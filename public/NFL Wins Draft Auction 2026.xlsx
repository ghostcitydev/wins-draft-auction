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ll2-my.sharepoint.com/personal/sean_linkletter_ap_jll_com/Documents/Microsoft Teams Chat Files/"/>
    </mc:Choice>
  </mc:AlternateContent>
  <xr:revisionPtr revIDLastSave="422" documentId="8_{06CADDD2-96AB-4C3F-AD99-39E4C9ECA2CF}" xr6:coauthVersionLast="47" xr6:coauthVersionMax="47" xr10:uidLastSave="{B6C5C318-5446-4E38-83D3-1692A7B5577A}"/>
  <bookViews>
    <workbookView xWindow="-120" yWindow="-120" windowWidth="29040" windowHeight="17520" firstSheet="2" activeTab="2" xr2:uid="{41E01C80-B786-46F1-8040-5EA23A7741A4}"/>
  </bookViews>
  <sheets>
    <sheet name="Index A" sheetId="3" state="hidden" r:id="rId1"/>
    <sheet name="Paste" sheetId="2" state="hidden" r:id="rId2"/>
    <sheet name="Auction" sheetId="1" r:id="rId3"/>
    <sheet name="SOS" sheetId="14" r:id="rId4"/>
    <sheet name="Value" sheetId="4" r:id="rId5"/>
    <sheet name="Timeline" sheetId="6" r:id="rId6"/>
    <sheet name="EPA" sheetId="13" r:id="rId7"/>
    <sheet name="Playoffs" sheetId="8" r:id="rId8"/>
    <sheet name="QB" sheetId="17" r:id="rId9"/>
    <sheet name="DVOA" sheetId="16" r:id="rId10"/>
    <sheet name="Schedule" sheetId="19" r:id="rId11"/>
    <sheet name="Table Ref" sheetId="23" r:id="rId12"/>
    <sheet name="Index" sheetId="18" r:id="rId13"/>
    <sheet name="Coordinates" sheetId="20" r:id="rId14"/>
    <sheet name="Playoff Pool" sheetId="31" r:id="rId15"/>
  </sheets>
  <definedNames>
    <definedName name="_xlnm._FilterDatabase" localSheetId="2" hidden="1">Auction!$A$1:$R$1</definedName>
    <definedName name="_xlnm._FilterDatabase" localSheetId="13" hidden="1">Coordinates!$A$1:$D$33</definedName>
    <definedName name="_xlnm._FilterDatabase" localSheetId="9" hidden="1">DVOA!$A$1:$AA$33</definedName>
    <definedName name="_xlnm._FilterDatabase" localSheetId="6" hidden="1">EPA!$A$1:$X$33</definedName>
    <definedName name="_xlnm._FilterDatabase" localSheetId="14" hidden="1">'Playoff Pool'!$A$8:$L$14</definedName>
    <definedName name="_xlnm._FilterDatabase" localSheetId="8" hidden="1">QB!$A$1:$AX$1</definedName>
    <definedName name="_xlnm._FilterDatabase" localSheetId="10" hidden="1">Schedule!$A$1:$AG$1</definedName>
    <definedName name="_xlnm._FilterDatabase" localSheetId="3" hidden="1">SOS!$A$1:$N$1</definedName>
    <definedName name="_xlnm._FilterDatabase" localSheetId="11" hidden="1">'Table Ref'!$A$1:$N$2</definedName>
    <definedName name="_xlnm._FilterDatabase" localSheetId="5" hidden="1">Timeline!$A$1:$Q$33</definedName>
    <definedName name="_xlnm._FilterDatabase" localSheetId="4" hidden="1">Value!$A$1:$P$1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1" l="1"/>
  <c r="V7" i="1"/>
  <c r="R33" i="1"/>
  <c r="F12" i="1"/>
  <c r="F3" i="1"/>
  <c r="F6" i="1"/>
  <c r="F33" i="1"/>
  <c r="F9" i="1"/>
  <c r="F22" i="1"/>
  <c r="F23" i="1"/>
  <c r="F27" i="1"/>
  <c r="F21" i="1"/>
  <c r="F19" i="1"/>
  <c r="F4" i="1"/>
  <c r="F7" i="1"/>
  <c r="F25" i="1"/>
  <c r="F8" i="1"/>
  <c r="F18" i="1"/>
  <c r="F26" i="1"/>
  <c r="F30" i="1"/>
  <c r="F13" i="1"/>
  <c r="F17" i="1"/>
  <c r="F10" i="1"/>
  <c r="F28" i="1"/>
  <c r="F11" i="1"/>
  <c r="F16" i="1"/>
  <c r="F24" i="1"/>
  <c r="F20" i="1"/>
  <c r="F2" i="1"/>
  <c r="F29" i="1"/>
  <c r="F15" i="1"/>
  <c r="F14" i="1"/>
  <c r="F31" i="1"/>
  <c r="G31" i="1" s="1"/>
  <c r="F32" i="1"/>
  <c r="F5" i="1"/>
  <c r="G5" i="1" s="1"/>
  <c r="G19" i="1"/>
  <c r="G28" i="1"/>
  <c r="G11" i="1"/>
  <c r="G20" i="1"/>
  <c r="G3" i="1"/>
  <c r="G22" i="1"/>
  <c r="G2" i="1"/>
  <c r="G6" i="1"/>
  <c r="G30" i="1"/>
  <c r="G14" i="1"/>
  <c r="G23" i="1"/>
  <c r="G12" i="1"/>
  <c r="G4" i="1"/>
  <c r="G16" i="1"/>
  <c r="G25" i="1"/>
  <c r="G27" i="1"/>
  <c r="G8" i="1"/>
  <c r="G32" i="1"/>
  <c r="G18" i="1"/>
  <c r="G26" i="1"/>
  <c r="G24" i="1"/>
  <c r="G13" i="1"/>
  <c r="G17" i="1"/>
  <c r="G33" i="1"/>
  <c r="G21" i="1"/>
  <c r="G29" i="1"/>
  <c r="G10" i="1"/>
  <c r="G15" i="1"/>
  <c r="G7" i="1"/>
  <c r="G9" i="1"/>
  <c r="S273" i="19"/>
  <c r="S272" i="19"/>
  <c r="S271" i="19"/>
  <c r="S270" i="19"/>
  <c r="S269" i="19"/>
  <c r="S268" i="19"/>
  <c r="S267" i="19"/>
  <c r="S266" i="19"/>
  <c r="S265" i="19"/>
  <c r="S264" i="19"/>
  <c r="S263" i="19"/>
  <c r="S262" i="19"/>
  <c r="S261" i="19"/>
  <c r="S260" i="19"/>
  <c r="S259" i="19"/>
  <c r="S258" i="19"/>
  <c r="AW786" i="17"/>
  <c r="AV786" i="17"/>
  <c r="AU786" i="17"/>
  <c r="AW785" i="17"/>
  <c r="AV785" i="17"/>
  <c r="AU785" i="17"/>
  <c r="AW784" i="17"/>
  <c r="AV784" i="17"/>
  <c r="AU784" i="17"/>
  <c r="AW783" i="17"/>
  <c r="AV783" i="17"/>
  <c r="AU783" i="17"/>
  <c r="AW782" i="17"/>
  <c r="AV782" i="17"/>
  <c r="AU782" i="17"/>
  <c r="AW781" i="17"/>
  <c r="AV781" i="17"/>
  <c r="AU781" i="17"/>
  <c r="AW780" i="17"/>
  <c r="AV780" i="17"/>
  <c r="AU780" i="17"/>
  <c r="AW779" i="17"/>
  <c r="AV779" i="17"/>
  <c r="AU779" i="17"/>
  <c r="AW778" i="17"/>
  <c r="AV778" i="17"/>
  <c r="AU778" i="17"/>
  <c r="AW777" i="17"/>
  <c r="AV777" i="17"/>
  <c r="AU777" i="17"/>
  <c r="AW776" i="17"/>
  <c r="AV776" i="17"/>
  <c r="AU776" i="17"/>
  <c r="AW775" i="17"/>
  <c r="AV775" i="17"/>
  <c r="AU775" i="17"/>
  <c r="AW774" i="17"/>
  <c r="AV774" i="17"/>
  <c r="AU774" i="17"/>
  <c r="AW773" i="17"/>
  <c r="AV773" i="17"/>
  <c r="AU773" i="17"/>
  <c r="AW772" i="17"/>
  <c r="AV772" i="17"/>
  <c r="AU772" i="17"/>
  <c r="AW771" i="17"/>
  <c r="AV771" i="17"/>
  <c r="AU771" i="17"/>
  <c r="AW770" i="17"/>
  <c r="AV770" i="17"/>
  <c r="AU770" i="17"/>
  <c r="AW769" i="17"/>
  <c r="AV769" i="17"/>
  <c r="AU769" i="17"/>
  <c r="AW768" i="17"/>
  <c r="AV768" i="17"/>
  <c r="AU768" i="17"/>
  <c r="AW767" i="17"/>
  <c r="AV767" i="17"/>
  <c r="AU767" i="17"/>
  <c r="AW766" i="17"/>
  <c r="AV766" i="17"/>
  <c r="AU766" i="17"/>
  <c r="AW765" i="17"/>
  <c r="AV765" i="17"/>
  <c r="AU765" i="17"/>
  <c r="AW764" i="17"/>
  <c r="AV764" i="17"/>
  <c r="AU764" i="17"/>
  <c r="AW763" i="17"/>
  <c r="AV763" i="17"/>
  <c r="AU763" i="17"/>
  <c r="AW762" i="17"/>
  <c r="AV762" i="17"/>
  <c r="AU762" i="17"/>
  <c r="AW761" i="17"/>
  <c r="AV761" i="17"/>
  <c r="AU761" i="17"/>
  <c r="AW760" i="17"/>
  <c r="AV760" i="17"/>
  <c r="AU760" i="17"/>
  <c r="AW759" i="17"/>
  <c r="AV759" i="17"/>
  <c r="AU759" i="17"/>
  <c r="AW758" i="17"/>
  <c r="AV758" i="17"/>
  <c r="AU758" i="17"/>
  <c r="AW757" i="17"/>
  <c r="AV757" i="17"/>
  <c r="AU757" i="17"/>
  <c r="AW756" i="17"/>
  <c r="AV756" i="17"/>
  <c r="AU756" i="17"/>
  <c r="AW755" i="17"/>
  <c r="AV755" i="17"/>
  <c r="AU755" i="17"/>
  <c r="AW754" i="17"/>
  <c r="AV754" i="17"/>
  <c r="AU754" i="17"/>
  <c r="AW753" i="17"/>
  <c r="AV753" i="17"/>
  <c r="AU753" i="17"/>
  <c r="AW752" i="17"/>
  <c r="AV752" i="17"/>
  <c r="AU752" i="17"/>
  <c r="AW751" i="17"/>
  <c r="AV751" i="17"/>
  <c r="AU751" i="17"/>
  <c r="AW750" i="17"/>
  <c r="AV750" i="17"/>
  <c r="AU750" i="17"/>
  <c r="AW749" i="17"/>
  <c r="AV749" i="17"/>
  <c r="AU749" i="17"/>
  <c r="AW748" i="17"/>
  <c r="AV748" i="17"/>
  <c r="AU748" i="17"/>
  <c r="AW747" i="17"/>
  <c r="AV747" i="17"/>
  <c r="AU747" i="17"/>
  <c r="AW746" i="17"/>
  <c r="AV746" i="17"/>
  <c r="AU746" i="17"/>
  <c r="AW745" i="17"/>
  <c r="AV745" i="17"/>
  <c r="AU745" i="17"/>
  <c r="AW744" i="17"/>
  <c r="AV744" i="17"/>
  <c r="AU744" i="17"/>
  <c r="AW743" i="17"/>
  <c r="AV743" i="17"/>
  <c r="AU743" i="17"/>
  <c r="AW742" i="17"/>
  <c r="AV742" i="17"/>
  <c r="AU742" i="17"/>
  <c r="AW741" i="17"/>
  <c r="AV741" i="17"/>
  <c r="AU741" i="17"/>
  <c r="AW740" i="17"/>
  <c r="AV740" i="17"/>
  <c r="AU740" i="17"/>
  <c r="AW739" i="17"/>
  <c r="AV739" i="17"/>
  <c r="AU739" i="17"/>
  <c r="AW738" i="17"/>
  <c r="AV738" i="17"/>
  <c r="AU738" i="17"/>
  <c r="AW737" i="17"/>
  <c r="AV737" i="17"/>
  <c r="AU737" i="17"/>
  <c r="AW736" i="17"/>
  <c r="AV736" i="17"/>
  <c r="AU736" i="17"/>
  <c r="AW735" i="17"/>
  <c r="AV735" i="17"/>
  <c r="AU735" i="17"/>
  <c r="AW734" i="17"/>
  <c r="AV734" i="17"/>
  <c r="AU734" i="17"/>
  <c r="AW733" i="17"/>
  <c r="AV733" i="17"/>
  <c r="AU733" i="17"/>
  <c r="AW732" i="17"/>
  <c r="AV732" i="17"/>
  <c r="AU732" i="17"/>
  <c r="AW731" i="17"/>
  <c r="AV731" i="17"/>
  <c r="AU731" i="17"/>
  <c r="AW730" i="17"/>
  <c r="AV730" i="17"/>
  <c r="AU730" i="17"/>
  <c r="AW729" i="17"/>
  <c r="AV729" i="17"/>
  <c r="AU729" i="17"/>
  <c r="S257" i="19"/>
  <c r="AW728" i="17"/>
  <c r="AV728" i="17"/>
  <c r="AU728" i="17"/>
  <c r="AW727" i="17"/>
  <c r="AV727" i="17"/>
  <c r="AU727" i="17"/>
  <c r="AW726" i="17"/>
  <c r="AV726" i="17"/>
  <c r="AU726" i="17"/>
  <c r="AW725" i="17"/>
  <c r="AV725" i="17"/>
  <c r="AU725" i="17"/>
  <c r="AW724" i="17"/>
  <c r="AV724" i="17"/>
  <c r="AU724" i="17"/>
  <c r="AW723" i="17"/>
  <c r="AV723" i="17"/>
  <c r="AU723" i="17"/>
  <c r="AW722" i="17"/>
  <c r="AV722" i="17"/>
  <c r="AU722" i="17"/>
  <c r="AW721" i="17"/>
  <c r="AV721" i="17"/>
  <c r="AU721" i="17"/>
  <c r="AW720" i="17"/>
  <c r="AV720" i="17"/>
  <c r="AU720" i="17"/>
  <c r="AW719" i="17"/>
  <c r="AV719" i="17"/>
  <c r="AU719" i="17"/>
  <c r="AW718" i="17"/>
  <c r="AV718" i="17"/>
  <c r="AU718" i="17"/>
  <c r="AW717" i="17"/>
  <c r="AV717" i="17"/>
  <c r="AU717" i="17"/>
  <c r="AW716" i="17"/>
  <c r="AV716" i="17"/>
  <c r="AU716" i="17"/>
  <c r="AW715" i="17"/>
  <c r="AV715" i="17"/>
  <c r="AU715" i="17"/>
  <c r="AW714" i="17"/>
  <c r="AV714" i="17"/>
  <c r="AU714" i="17"/>
  <c r="AW713" i="17"/>
  <c r="AV713" i="17"/>
  <c r="AU713" i="17"/>
  <c r="AW712" i="17"/>
  <c r="AV712" i="17"/>
  <c r="AU712" i="17"/>
  <c r="AW711" i="17"/>
  <c r="AV711" i="17"/>
  <c r="AU711" i="17"/>
  <c r="AW710" i="17"/>
  <c r="AV710" i="17"/>
  <c r="AU710" i="17"/>
  <c r="AW709" i="17"/>
  <c r="AV709" i="17"/>
  <c r="AU709" i="17"/>
  <c r="AW708" i="17"/>
  <c r="AV708" i="17"/>
  <c r="AU708" i="17"/>
  <c r="AW707" i="17"/>
  <c r="AV707" i="17"/>
  <c r="AU707" i="17"/>
  <c r="AW706" i="17"/>
  <c r="AV706" i="17"/>
  <c r="AU706" i="17"/>
  <c r="AW705" i="17"/>
  <c r="AV705" i="17"/>
  <c r="AU705" i="17"/>
  <c r="AW704" i="17"/>
  <c r="AV704" i="17"/>
  <c r="AU704" i="17"/>
  <c r="AW703" i="17"/>
  <c r="AV703" i="17"/>
  <c r="AU703" i="17"/>
  <c r="AW702" i="17"/>
  <c r="AV702" i="17"/>
  <c r="AU702" i="17"/>
  <c r="AW701" i="17"/>
  <c r="AV701" i="17"/>
  <c r="AU701" i="17"/>
  <c r="AW700" i="17"/>
  <c r="AV700" i="17"/>
  <c r="AU700" i="17"/>
  <c r="AW699" i="17"/>
  <c r="AV699" i="17"/>
  <c r="AU699" i="17"/>
  <c r="AW698" i="17"/>
  <c r="AV698" i="17"/>
  <c r="AU698" i="17"/>
  <c r="AW697" i="17"/>
  <c r="AV697" i="17"/>
  <c r="AU697" i="17"/>
  <c r="AW696" i="17"/>
  <c r="AV696" i="17"/>
  <c r="AU696" i="17"/>
  <c r="AW695" i="17"/>
  <c r="AV695" i="17"/>
  <c r="AU695" i="17"/>
  <c r="AW694" i="17"/>
  <c r="AV694" i="17"/>
  <c r="AU694" i="17"/>
  <c r="AW693" i="17"/>
  <c r="AV693" i="17"/>
  <c r="AU693" i="17"/>
  <c r="AW692" i="17"/>
  <c r="AV692" i="17"/>
  <c r="AU692" i="17"/>
  <c r="AW691" i="17"/>
  <c r="AV691" i="17"/>
  <c r="AU691" i="17"/>
  <c r="AW690" i="17"/>
  <c r="AV690" i="17"/>
  <c r="AU690" i="17"/>
  <c r="AW689" i="17"/>
  <c r="AV689" i="17"/>
  <c r="AU689" i="17"/>
  <c r="AW688" i="17"/>
  <c r="AV688" i="17"/>
  <c r="AU688" i="17"/>
  <c r="AW687" i="17"/>
  <c r="AV687" i="17"/>
  <c r="AU687" i="17"/>
  <c r="AW686" i="17"/>
  <c r="AV686" i="17"/>
  <c r="AU686" i="17"/>
  <c r="AW685" i="17"/>
  <c r="AV685" i="17"/>
  <c r="AU685" i="17"/>
  <c r="AW684" i="17"/>
  <c r="AV684" i="17"/>
  <c r="AU684" i="17"/>
  <c r="AW683" i="17"/>
  <c r="AV683" i="17"/>
  <c r="AU683" i="17"/>
  <c r="AW682" i="17"/>
  <c r="AV682" i="17"/>
  <c r="AU682" i="17"/>
  <c r="AW681" i="17"/>
  <c r="AV681" i="17"/>
  <c r="AU681" i="17"/>
  <c r="AW680" i="17"/>
  <c r="AV680" i="17"/>
  <c r="AU680" i="17"/>
  <c r="AW679" i="17"/>
  <c r="AV679" i="17"/>
  <c r="AU679" i="17"/>
  <c r="AW678" i="17"/>
  <c r="AV678" i="17"/>
  <c r="AU678" i="17"/>
  <c r="AW677" i="17"/>
  <c r="AV677" i="17"/>
  <c r="AU677" i="17"/>
  <c r="AW676" i="17"/>
  <c r="AV676" i="17"/>
  <c r="AU676" i="17"/>
  <c r="AW675" i="17"/>
  <c r="AV675" i="17"/>
  <c r="AU675" i="17"/>
  <c r="AW674" i="17"/>
  <c r="AV674" i="17"/>
  <c r="AU674" i="17"/>
  <c r="AW673" i="17"/>
  <c r="AV673" i="17"/>
  <c r="AU673" i="17"/>
  <c r="AW672" i="17"/>
  <c r="AV672" i="17"/>
  <c r="AU672" i="17"/>
  <c r="AW671" i="17"/>
  <c r="AV671" i="17"/>
  <c r="AU671" i="17"/>
  <c r="AG273" i="19"/>
  <c r="AG272" i="19"/>
  <c r="AG271" i="19"/>
  <c r="AG270" i="19"/>
  <c r="AG269" i="19"/>
  <c r="AG268" i="19"/>
  <c r="AG267" i="19"/>
  <c r="AG266" i="19"/>
  <c r="AG265" i="19"/>
  <c r="AG264" i="19"/>
  <c r="AG263" i="19"/>
  <c r="AG262" i="19"/>
  <c r="AG261" i="19"/>
  <c r="AG260" i="19"/>
  <c r="AG259" i="19"/>
  <c r="AG258" i="19"/>
  <c r="AG257" i="19"/>
  <c r="AG256" i="19"/>
  <c r="AG255" i="19"/>
  <c r="AG254" i="19"/>
  <c r="AG253" i="19"/>
  <c r="AG252" i="19"/>
  <c r="AG251" i="19"/>
  <c r="AG250" i="19"/>
  <c r="AG249" i="19"/>
  <c r="AG248" i="19"/>
  <c r="AG247" i="19"/>
  <c r="AG246" i="19"/>
  <c r="AG245" i="19"/>
  <c r="AG244" i="19"/>
  <c r="AG243" i="19"/>
  <c r="AG242" i="19"/>
  <c r="AG241" i="19"/>
  <c r="AG240" i="19"/>
  <c r="AG239" i="19"/>
  <c r="AG238" i="19"/>
  <c r="AG237" i="19"/>
  <c r="AG236" i="19"/>
  <c r="AG235" i="19"/>
  <c r="AG234" i="19"/>
  <c r="AG233" i="19"/>
  <c r="AG232" i="19"/>
  <c r="AG231" i="19"/>
  <c r="AG230" i="19"/>
  <c r="AG229" i="19"/>
  <c r="AG228" i="19"/>
  <c r="AG227" i="19"/>
  <c r="AG226" i="19"/>
  <c r="AG225" i="19"/>
  <c r="AG224" i="19"/>
  <c r="AG223" i="19"/>
  <c r="AG222" i="19"/>
  <c r="AG221" i="19"/>
  <c r="AG220" i="19"/>
  <c r="AG219" i="19"/>
  <c r="AG218" i="19"/>
  <c r="AG217" i="19"/>
  <c r="AG216" i="19"/>
  <c r="AG215" i="19"/>
  <c r="AG214" i="19"/>
  <c r="AG213" i="19"/>
  <c r="AG212" i="19"/>
  <c r="AG211" i="19"/>
  <c r="AG210" i="19"/>
  <c r="AG209" i="19"/>
  <c r="AG208" i="19"/>
  <c r="AG207" i="19"/>
  <c r="AG206" i="19"/>
  <c r="AG205" i="19"/>
  <c r="AG204" i="19"/>
  <c r="AG203" i="19"/>
  <c r="AG202" i="19"/>
  <c r="AG201" i="19"/>
  <c r="AG200" i="19"/>
  <c r="AG199" i="19"/>
  <c r="AG198" i="19"/>
  <c r="AG197" i="19"/>
  <c r="AG196" i="19"/>
  <c r="AG195" i="19"/>
  <c r="AG194" i="19"/>
  <c r="AG193" i="19"/>
  <c r="AG192" i="19"/>
  <c r="AG191" i="19"/>
  <c r="AG190" i="19"/>
  <c r="AG189" i="19"/>
  <c r="AG188" i="19"/>
  <c r="AG187" i="19"/>
  <c r="AG186" i="19"/>
  <c r="AG185" i="19"/>
  <c r="AG184" i="19"/>
  <c r="AG183" i="19"/>
  <c r="AG182" i="19"/>
  <c r="AG181" i="19"/>
  <c r="AG180" i="19"/>
  <c r="AG179" i="19"/>
  <c r="AG178" i="19"/>
  <c r="AG177" i="19"/>
  <c r="AG176" i="19"/>
  <c r="AG175" i="19"/>
  <c r="AG174" i="19"/>
  <c r="AG173" i="19"/>
  <c r="AG172" i="19"/>
  <c r="AG171" i="19"/>
  <c r="AG170" i="19"/>
  <c r="AG169" i="19"/>
  <c r="AG168" i="19"/>
  <c r="AG167" i="19"/>
  <c r="AG166" i="19"/>
  <c r="AG165" i="19"/>
  <c r="AG164" i="19"/>
  <c r="AG163" i="19"/>
  <c r="AG162" i="19"/>
  <c r="AG161" i="19"/>
  <c r="AG160" i="19"/>
  <c r="AG159" i="19"/>
  <c r="AG158" i="19"/>
  <c r="AG157" i="19"/>
  <c r="AG156" i="19"/>
  <c r="AG155" i="19"/>
  <c r="AG154" i="19"/>
  <c r="AG153" i="19"/>
  <c r="AG152" i="19"/>
  <c r="AG151" i="19"/>
  <c r="AG150" i="19"/>
  <c r="AG149" i="19"/>
  <c r="AG148" i="19"/>
  <c r="AG147" i="19"/>
  <c r="AG146" i="19"/>
  <c r="AG145" i="19"/>
  <c r="AG144" i="19"/>
  <c r="AG143" i="19"/>
  <c r="AG142" i="19"/>
  <c r="AG141" i="19"/>
  <c r="AG140" i="19"/>
  <c r="AG139" i="19"/>
  <c r="AG138" i="19"/>
  <c r="AG137" i="19"/>
  <c r="AG136" i="19"/>
  <c r="AG135" i="19"/>
  <c r="AG134" i="19"/>
  <c r="AG133" i="19"/>
  <c r="AG132" i="19"/>
  <c r="AG131" i="19"/>
  <c r="AG130" i="19"/>
  <c r="AG129" i="19"/>
  <c r="AG128" i="19"/>
  <c r="AG127" i="19"/>
  <c r="AG126" i="19"/>
  <c r="AG125" i="19"/>
  <c r="AG124" i="19"/>
  <c r="AG123" i="19"/>
  <c r="AG122" i="19"/>
  <c r="AG121" i="19"/>
  <c r="AG120" i="19"/>
  <c r="AG119" i="19"/>
  <c r="AG118" i="19"/>
  <c r="AG117" i="19"/>
  <c r="AG116" i="19"/>
  <c r="AG115" i="19"/>
  <c r="AG114" i="19"/>
  <c r="AG113" i="19"/>
  <c r="AG112" i="19"/>
  <c r="AG111" i="19"/>
  <c r="AG110" i="19"/>
  <c r="AG109" i="19"/>
  <c r="AG108" i="19"/>
  <c r="AG107" i="19"/>
  <c r="AG106" i="19"/>
  <c r="AG105" i="19"/>
  <c r="AG104" i="19"/>
  <c r="AG103" i="19"/>
  <c r="AG102" i="19"/>
  <c r="AG101" i="19"/>
  <c r="AG100" i="19"/>
  <c r="AG99" i="19"/>
  <c r="AG98" i="19"/>
  <c r="AG97" i="19"/>
  <c r="AG96" i="19"/>
  <c r="AG95" i="19"/>
  <c r="AG94" i="19"/>
  <c r="AG93" i="19"/>
  <c r="AG92" i="19"/>
  <c r="AG91" i="19"/>
  <c r="AG90" i="19"/>
  <c r="AG89" i="19"/>
  <c r="AG88" i="19"/>
  <c r="AG87" i="19"/>
  <c r="AG86" i="19"/>
  <c r="AG85" i="19"/>
  <c r="AG84" i="19"/>
  <c r="AG83" i="19"/>
  <c r="AG82" i="19"/>
  <c r="AG81" i="19"/>
  <c r="AG80" i="19"/>
  <c r="AG79" i="19"/>
  <c r="AG78" i="19"/>
  <c r="AG77" i="19"/>
  <c r="AG76" i="19"/>
  <c r="AG75" i="19"/>
  <c r="AG74" i="19"/>
  <c r="AG73" i="19"/>
  <c r="AG72" i="19"/>
  <c r="AG71" i="19"/>
  <c r="AG70" i="19"/>
  <c r="AG69" i="19"/>
  <c r="AG68" i="19"/>
  <c r="AG67" i="19"/>
  <c r="AG66" i="19"/>
  <c r="AG65" i="19"/>
  <c r="AG64" i="19"/>
  <c r="AG63" i="19"/>
  <c r="AG62" i="19"/>
  <c r="AG61" i="19"/>
  <c r="AG60" i="19"/>
  <c r="AG59" i="19"/>
  <c r="AG58" i="19"/>
  <c r="AG57" i="19"/>
  <c r="AG56" i="19"/>
  <c r="AG55" i="19"/>
  <c r="AG54" i="19"/>
  <c r="AG53" i="19"/>
  <c r="AG52" i="19"/>
  <c r="AG51" i="19"/>
  <c r="AG50" i="19"/>
  <c r="AG49" i="19"/>
  <c r="AG48" i="19"/>
  <c r="AG47" i="19"/>
  <c r="AG46" i="19"/>
  <c r="AG45" i="19"/>
  <c r="AG44" i="19"/>
  <c r="AG43" i="19"/>
  <c r="AG42" i="19"/>
  <c r="AG41" i="19"/>
  <c r="AG40" i="19"/>
  <c r="AG39" i="19"/>
  <c r="AG38" i="19"/>
  <c r="AG37" i="19"/>
  <c r="AG36" i="19"/>
  <c r="AG35" i="19"/>
  <c r="AG34" i="19"/>
  <c r="AG33" i="19"/>
  <c r="AG32" i="19"/>
  <c r="AG31" i="19"/>
  <c r="AG30" i="19"/>
  <c r="AG29" i="19"/>
  <c r="AG28" i="19"/>
  <c r="AG27" i="19"/>
  <c r="AG26" i="19"/>
  <c r="AG25" i="19"/>
  <c r="AG24" i="19"/>
  <c r="AG23" i="19"/>
  <c r="AG22" i="19"/>
  <c r="AG21" i="19"/>
  <c r="AG20" i="19"/>
  <c r="AG19" i="19"/>
  <c r="AG18" i="19"/>
  <c r="AG17" i="19"/>
  <c r="AG16" i="19"/>
  <c r="AG15" i="19"/>
  <c r="AG14" i="19"/>
  <c r="AG13" i="19"/>
  <c r="AG12" i="19"/>
  <c r="AG11" i="19"/>
  <c r="AG10" i="19"/>
  <c r="AG9" i="19"/>
  <c r="AG8" i="19"/>
  <c r="AG7" i="19"/>
  <c r="AG6" i="19"/>
  <c r="AG5" i="19"/>
  <c r="AG4" i="19"/>
  <c r="AG3" i="19"/>
  <c r="AG2" i="19"/>
  <c r="S256" i="19"/>
  <c r="S255" i="19"/>
  <c r="S254" i="19"/>
  <c r="S253" i="19"/>
  <c r="S252" i="19"/>
  <c r="S251" i="19"/>
  <c r="S250" i="19"/>
  <c r="S249" i="19"/>
  <c r="S248" i="19"/>
  <c r="S247" i="19"/>
  <c r="S246" i="19"/>
  <c r="S245" i="19"/>
  <c r="V577" i="13"/>
  <c r="V576" i="13"/>
  <c r="V575" i="13"/>
  <c r="V574" i="13"/>
  <c r="V573" i="13"/>
  <c r="V572" i="13"/>
  <c r="V571" i="13"/>
  <c r="V570" i="13"/>
  <c r="V569" i="13"/>
  <c r="V568" i="13"/>
  <c r="V567" i="13"/>
  <c r="V566" i="13"/>
  <c r="V565" i="13"/>
  <c r="V564" i="13"/>
  <c r="V563" i="13"/>
  <c r="V562" i="13"/>
  <c r="V561" i="13"/>
  <c r="V560" i="13"/>
  <c r="V559" i="13"/>
  <c r="V558" i="13"/>
  <c r="V557" i="13"/>
  <c r="V556" i="13"/>
  <c r="V555" i="13"/>
  <c r="V554" i="13"/>
  <c r="V553" i="13"/>
  <c r="V552" i="13"/>
  <c r="V551" i="13"/>
  <c r="V550" i="13"/>
  <c r="V549" i="13"/>
  <c r="V548" i="13"/>
  <c r="V547" i="13"/>
  <c r="V546" i="13"/>
  <c r="X9" i="4"/>
  <c r="W9" i="4"/>
  <c r="V9" i="4"/>
  <c r="X8" i="4"/>
  <c r="W8" i="4"/>
  <c r="V8" i="4"/>
  <c r="X7" i="4"/>
  <c r="W7" i="4"/>
  <c r="V7" i="4"/>
  <c r="X6" i="4"/>
  <c r="W6" i="4"/>
  <c r="V6" i="4"/>
  <c r="X5" i="4"/>
  <c r="W5" i="4"/>
  <c r="V5" i="4"/>
  <c r="X4" i="4"/>
  <c r="W4" i="4"/>
  <c r="V4" i="4"/>
  <c r="X3" i="4"/>
  <c r="W3" i="4"/>
  <c r="V3" i="4"/>
  <c r="X2" i="4"/>
  <c r="W2" i="4"/>
  <c r="V2" i="4"/>
  <c r="S244" i="19"/>
  <c r="S243" i="19"/>
  <c r="S242" i="19"/>
  <c r="S241" i="19"/>
  <c r="S240" i="19"/>
  <c r="S239" i="19"/>
  <c r="S238" i="19"/>
  <c r="S237" i="19"/>
  <c r="S236" i="19"/>
  <c r="S235" i="19"/>
  <c r="S234" i="19"/>
  <c r="S233" i="19"/>
  <c r="S232" i="19"/>
  <c r="S231" i="19"/>
  <c r="S230" i="19"/>
  <c r="S229" i="19"/>
  <c r="S228" i="19"/>
  <c r="S227" i="19"/>
  <c r="S226" i="19"/>
  <c r="AW670" i="17"/>
  <c r="AV670" i="17"/>
  <c r="AU670" i="17"/>
  <c r="AW669" i="17"/>
  <c r="AV669" i="17"/>
  <c r="AU669" i="17"/>
  <c r="AW668" i="17"/>
  <c r="AV668" i="17"/>
  <c r="AU668" i="17"/>
  <c r="AW667" i="17"/>
  <c r="AV667" i="17"/>
  <c r="AU667" i="17"/>
  <c r="AW666" i="17"/>
  <c r="AV666" i="17"/>
  <c r="AU666" i="17"/>
  <c r="AW665" i="17"/>
  <c r="AV665" i="17"/>
  <c r="AU665" i="17"/>
  <c r="AW664" i="17"/>
  <c r="AV664" i="17"/>
  <c r="AU664" i="17"/>
  <c r="AW663" i="17"/>
  <c r="AV663" i="17"/>
  <c r="AU663" i="17"/>
  <c r="AW662" i="17"/>
  <c r="AV662" i="17"/>
  <c r="AU662" i="17"/>
  <c r="AW661" i="17"/>
  <c r="AV661" i="17"/>
  <c r="AU661" i="17"/>
  <c r="AW660" i="17"/>
  <c r="AV660" i="17"/>
  <c r="AU660" i="17"/>
  <c r="AW659" i="17"/>
  <c r="AV659" i="17"/>
  <c r="AU659" i="17"/>
  <c r="AW658" i="17"/>
  <c r="AV658" i="17"/>
  <c r="AU658" i="17"/>
  <c r="AW657" i="17"/>
  <c r="AV657" i="17"/>
  <c r="AU657" i="17"/>
  <c r="AW656" i="17"/>
  <c r="AV656" i="17"/>
  <c r="AU656" i="17"/>
  <c r="AW655" i="17"/>
  <c r="AV655" i="17"/>
  <c r="AU655" i="17"/>
  <c r="AW654" i="17"/>
  <c r="AV654" i="17"/>
  <c r="AU654" i="17"/>
  <c r="AW653" i="17"/>
  <c r="AV653" i="17"/>
  <c r="AU653" i="17"/>
  <c r="AW652" i="17"/>
  <c r="AV652" i="17"/>
  <c r="AU652" i="17"/>
  <c r="AW651" i="17"/>
  <c r="AV651" i="17"/>
  <c r="AU651" i="17"/>
  <c r="AW650" i="17"/>
  <c r="AV650" i="17"/>
  <c r="AU650" i="17"/>
  <c r="AW649" i="17"/>
  <c r="AV649" i="17"/>
  <c r="AU649" i="17"/>
  <c r="AW648" i="17"/>
  <c r="AV648" i="17"/>
  <c r="AU648" i="17"/>
  <c r="AW647" i="17"/>
  <c r="AV647" i="17"/>
  <c r="AU647" i="17"/>
  <c r="AW646" i="17"/>
  <c r="AV646" i="17"/>
  <c r="AU646" i="17"/>
  <c r="AW645" i="17"/>
  <c r="AV645" i="17"/>
  <c r="AU645" i="17"/>
  <c r="AW644" i="17"/>
  <c r="AV644" i="17"/>
  <c r="AU644" i="17"/>
  <c r="AW643" i="17"/>
  <c r="AV643" i="17"/>
  <c r="AU643" i="17"/>
  <c r="AW642" i="17"/>
  <c r="AV642" i="17"/>
  <c r="AU642" i="17"/>
  <c r="AW641" i="17"/>
  <c r="AV641" i="17"/>
  <c r="AU641" i="17"/>
  <c r="AW640" i="17"/>
  <c r="AV640" i="17"/>
  <c r="AU640" i="17"/>
  <c r="AW639" i="17"/>
  <c r="AV639" i="17"/>
  <c r="AU639" i="17"/>
  <c r="AW638" i="17"/>
  <c r="AV638" i="17"/>
  <c r="AU638" i="17"/>
  <c r="AW637" i="17"/>
  <c r="AV637" i="17"/>
  <c r="AU637" i="17"/>
  <c r="AW636" i="17"/>
  <c r="AV636" i="17"/>
  <c r="AU636" i="17"/>
  <c r="AW635" i="17"/>
  <c r="AV635" i="17"/>
  <c r="AU635" i="17"/>
  <c r="AW634" i="17"/>
  <c r="AV634" i="17"/>
  <c r="AU634" i="17"/>
  <c r="AW633" i="17"/>
  <c r="AV633" i="17"/>
  <c r="AU633" i="17"/>
  <c r="AW632" i="17"/>
  <c r="AV632" i="17"/>
  <c r="AU632" i="17"/>
  <c r="AW631" i="17"/>
  <c r="AV631" i="17"/>
  <c r="AU631" i="17"/>
  <c r="AW630" i="17"/>
  <c r="AV630" i="17"/>
  <c r="AU630" i="17"/>
  <c r="AW629" i="17"/>
  <c r="AV629" i="17"/>
  <c r="AU629" i="17"/>
  <c r="AW628" i="17"/>
  <c r="AV628" i="17"/>
  <c r="AU628" i="17"/>
  <c r="AW627" i="17"/>
  <c r="AV627" i="17"/>
  <c r="AU627" i="17"/>
  <c r="AW626" i="17"/>
  <c r="AV626" i="17"/>
  <c r="AU626" i="17"/>
  <c r="AW625" i="17"/>
  <c r="AV625" i="17"/>
  <c r="AU625" i="17"/>
  <c r="AW624" i="17"/>
  <c r="AV624" i="17"/>
  <c r="AU624" i="17"/>
  <c r="AW623" i="17"/>
  <c r="AV623" i="17"/>
  <c r="AU623" i="17"/>
  <c r="AW622" i="17"/>
  <c r="AV622" i="17"/>
  <c r="AU622" i="17"/>
  <c r="AW621" i="17"/>
  <c r="AV621" i="17"/>
  <c r="AU621" i="17"/>
  <c r="AW620" i="17"/>
  <c r="AV620" i="17"/>
  <c r="AU620" i="17"/>
  <c r="AW619" i="17"/>
  <c r="AV619" i="17"/>
  <c r="AU619" i="17"/>
  <c r="AW618" i="17"/>
  <c r="AV618" i="17"/>
  <c r="AU618" i="17"/>
  <c r="AW617" i="17"/>
  <c r="AV617" i="17"/>
  <c r="AU617" i="17"/>
  <c r="AW616" i="17"/>
  <c r="AV616" i="17"/>
  <c r="AU616" i="17"/>
  <c r="V545" i="13"/>
  <c r="V544" i="13"/>
  <c r="V543" i="13"/>
  <c r="V542" i="13"/>
  <c r="V541" i="13"/>
  <c r="V540" i="13"/>
  <c r="V539" i="13"/>
  <c r="V538" i="13"/>
  <c r="V537" i="13"/>
  <c r="V536" i="13"/>
  <c r="V535" i="13"/>
  <c r="V534" i="13"/>
  <c r="V533" i="13"/>
  <c r="V532" i="13"/>
  <c r="V531" i="13"/>
  <c r="V530" i="13"/>
  <c r="V529" i="13"/>
  <c r="V528" i="13"/>
  <c r="V527" i="13"/>
  <c r="V526" i="13"/>
  <c r="V525" i="13"/>
  <c r="V524" i="13"/>
  <c r="V523" i="13"/>
  <c r="V522" i="13"/>
  <c r="V521" i="13"/>
  <c r="V520" i="13"/>
  <c r="V519" i="13"/>
  <c r="V518" i="13"/>
  <c r="V517" i="13"/>
  <c r="V516" i="13"/>
  <c r="V515" i="13"/>
  <c r="V514" i="13"/>
  <c r="AW615" i="17"/>
  <c r="AV615" i="17"/>
  <c r="AU615" i="17"/>
  <c r="AW614" i="17"/>
  <c r="AV614" i="17"/>
  <c r="AU614" i="17"/>
  <c r="AW613" i="17"/>
  <c r="AV613" i="17"/>
  <c r="AU613" i="17"/>
  <c r="AW612" i="17"/>
  <c r="AV612" i="17"/>
  <c r="AU612" i="17"/>
  <c r="AW611" i="17"/>
  <c r="AV611" i="17"/>
  <c r="AU611" i="17"/>
  <c r="AW610" i="17"/>
  <c r="AV610" i="17"/>
  <c r="AU610" i="17"/>
  <c r="AW609" i="17"/>
  <c r="AV609" i="17"/>
  <c r="AU609" i="17"/>
  <c r="AW608" i="17"/>
  <c r="AV608" i="17"/>
  <c r="AU608" i="17"/>
  <c r="AW607" i="17"/>
  <c r="AV607" i="17"/>
  <c r="AU607" i="17"/>
  <c r="AW606" i="17"/>
  <c r="AV606" i="17"/>
  <c r="AU606" i="17"/>
  <c r="AW605" i="17"/>
  <c r="AV605" i="17"/>
  <c r="AU605" i="17"/>
  <c r="AW604" i="17"/>
  <c r="AV604" i="17"/>
  <c r="AU604" i="17"/>
  <c r="AW603" i="17"/>
  <c r="AV603" i="17"/>
  <c r="AU603" i="17"/>
  <c r="AW602" i="17"/>
  <c r="AV602" i="17"/>
  <c r="AU602" i="17"/>
  <c r="AW601" i="17"/>
  <c r="AV601" i="17"/>
  <c r="AU601" i="17"/>
  <c r="AW600" i="17"/>
  <c r="AV600" i="17"/>
  <c r="AU600" i="17"/>
  <c r="AW599" i="17"/>
  <c r="AV599" i="17"/>
  <c r="AU599" i="17"/>
  <c r="AW598" i="17"/>
  <c r="AV598" i="17"/>
  <c r="AU598" i="17"/>
  <c r="AW597" i="17"/>
  <c r="AV597" i="17"/>
  <c r="AU597" i="17"/>
  <c r="AW596" i="17"/>
  <c r="AV596" i="17"/>
  <c r="AU596" i="17"/>
  <c r="AW595" i="17"/>
  <c r="AV595" i="17"/>
  <c r="AU595" i="17"/>
  <c r="AW594" i="17"/>
  <c r="AV594" i="17"/>
  <c r="AU594" i="17"/>
  <c r="AW593" i="17"/>
  <c r="AV593" i="17"/>
  <c r="AU593" i="17"/>
  <c r="AW592" i="17"/>
  <c r="AV592" i="17"/>
  <c r="AU592" i="17"/>
  <c r="AW591" i="17"/>
  <c r="AV591" i="17"/>
  <c r="AU591" i="17"/>
  <c r="AW590" i="17"/>
  <c r="AV590" i="17"/>
  <c r="AU590" i="17"/>
  <c r="AW589" i="17"/>
  <c r="AV589" i="17"/>
  <c r="AU589" i="17"/>
  <c r="AW588" i="17"/>
  <c r="AV588" i="17"/>
  <c r="AU588" i="17"/>
  <c r="AW587" i="17"/>
  <c r="AV587" i="17"/>
  <c r="AU587" i="17"/>
  <c r="AW586" i="17"/>
  <c r="AV586" i="17"/>
  <c r="AU586" i="17"/>
  <c r="AW585" i="17"/>
  <c r="AV585" i="17"/>
  <c r="AU585" i="17"/>
  <c r="AW584" i="17"/>
  <c r="AV584" i="17"/>
  <c r="AU584" i="17"/>
  <c r="AW583" i="17"/>
  <c r="AV583" i="17"/>
  <c r="AU583" i="17"/>
  <c r="AW582" i="17"/>
  <c r="AV582" i="17"/>
  <c r="AU582" i="17"/>
  <c r="AW581" i="17"/>
  <c r="AV581" i="17"/>
  <c r="AU581" i="17"/>
  <c r="AW580" i="17"/>
  <c r="AV580" i="17"/>
  <c r="AU580" i="17"/>
  <c r="AW579" i="17"/>
  <c r="AV579" i="17"/>
  <c r="AU579" i="17"/>
  <c r="AW578" i="17"/>
  <c r="AV578" i="17"/>
  <c r="AU578" i="17"/>
  <c r="AW577" i="17"/>
  <c r="AV577" i="17"/>
  <c r="AU577" i="17"/>
  <c r="AW576" i="17"/>
  <c r="AV576" i="17"/>
  <c r="AU576" i="17"/>
  <c r="AW575" i="17"/>
  <c r="AV575" i="17"/>
  <c r="AU575" i="17"/>
  <c r="AW574" i="17"/>
  <c r="AV574" i="17"/>
  <c r="AU574" i="17"/>
  <c r="AW573" i="17"/>
  <c r="AV573" i="17"/>
  <c r="AU573" i="17"/>
  <c r="AW572" i="17"/>
  <c r="AV572" i="17"/>
  <c r="AU572" i="17"/>
  <c r="AW571" i="17"/>
  <c r="AV571" i="17"/>
  <c r="AU571" i="17"/>
  <c r="AW570" i="17"/>
  <c r="AV570" i="17"/>
  <c r="AU570" i="17"/>
  <c r="AW569" i="17"/>
  <c r="AV569" i="17"/>
  <c r="AU569" i="17"/>
  <c r="AW568" i="17"/>
  <c r="AV568" i="17"/>
  <c r="AU568" i="17"/>
  <c r="AW567" i="17"/>
  <c r="AV567" i="17"/>
  <c r="AU567" i="17"/>
  <c r="AW566" i="17"/>
  <c r="AV566" i="17"/>
  <c r="AU566" i="17"/>
  <c r="AW565" i="17"/>
  <c r="AV565" i="17"/>
  <c r="AU565" i="17"/>
  <c r="AW564" i="17"/>
  <c r="AV564" i="17"/>
  <c r="AU564" i="17"/>
  <c r="AW563" i="17"/>
  <c r="AV563" i="17"/>
  <c r="AU563" i="17"/>
  <c r="V513" i="13"/>
  <c r="V512" i="13"/>
  <c r="V511" i="13"/>
  <c r="V510" i="13"/>
  <c r="V509" i="13"/>
  <c r="V508" i="13"/>
  <c r="V507" i="13"/>
  <c r="V506" i="13"/>
  <c r="V505" i="13"/>
  <c r="V504" i="13"/>
  <c r="V503" i="13"/>
  <c r="V502" i="13"/>
  <c r="V501" i="13"/>
  <c r="V500" i="13"/>
  <c r="V499" i="13"/>
  <c r="V498" i="13"/>
  <c r="V497" i="13"/>
  <c r="V496" i="13"/>
  <c r="V495" i="13"/>
  <c r="V494" i="13"/>
  <c r="V493" i="13"/>
  <c r="V492" i="13"/>
  <c r="V491" i="13"/>
  <c r="V490" i="13"/>
  <c r="V489" i="13"/>
  <c r="V488" i="13"/>
  <c r="V487" i="13"/>
  <c r="V486" i="13"/>
  <c r="V485" i="13"/>
  <c r="V484" i="13"/>
  <c r="V483" i="13"/>
  <c r="V482" i="13"/>
  <c r="S225" i="19"/>
  <c r="S224" i="19"/>
  <c r="S223" i="19"/>
  <c r="S222" i="19"/>
  <c r="S221" i="19"/>
  <c r="S220" i="19"/>
  <c r="S219" i="19"/>
  <c r="S218" i="19"/>
  <c r="S217" i="19"/>
  <c r="S216" i="19"/>
  <c r="S215" i="19"/>
  <c r="S214" i="19"/>
  <c r="S213" i="19"/>
  <c r="S212" i="19"/>
  <c r="S211" i="19"/>
  <c r="S210" i="19"/>
  <c r="F21" i="31"/>
  <c r="H21" i="31"/>
  <c r="J21" i="31"/>
  <c r="L21" i="31"/>
  <c r="F20" i="31"/>
  <c r="H20" i="31"/>
  <c r="J20" i="31"/>
  <c r="L20" i="31"/>
  <c r="F19" i="31"/>
  <c r="H19" i="31"/>
  <c r="J19" i="31"/>
  <c r="L19" i="31"/>
  <c r="F18" i="31"/>
  <c r="H18" i="31"/>
  <c r="J18" i="31"/>
  <c r="L18" i="31"/>
  <c r="F17" i="31"/>
  <c r="H17" i="31"/>
  <c r="J17" i="31"/>
  <c r="L17" i="31"/>
  <c r="F16" i="31"/>
  <c r="H16" i="31"/>
  <c r="J16" i="31"/>
  <c r="L16" i="31"/>
  <c r="F15" i="31"/>
  <c r="H15" i="31"/>
  <c r="J15" i="31"/>
  <c r="L15" i="31"/>
  <c r="C35" i="31"/>
  <c r="B35" i="31"/>
  <c r="G35" i="31" s="1"/>
  <c r="H35" i="31" s="1"/>
  <c r="C34" i="31"/>
  <c r="B34" i="31"/>
  <c r="G34" i="31" s="1"/>
  <c r="H34" i="31" s="1"/>
  <c r="C33" i="31"/>
  <c r="K33" i="31" s="1"/>
  <c r="L33" i="31" s="1"/>
  <c r="B33" i="31"/>
  <c r="C32" i="31"/>
  <c r="B32" i="31"/>
  <c r="C31" i="31"/>
  <c r="K31" i="31" s="1"/>
  <c r="L31" i="31" s="1"/>
  <c r="B31" i="31"/>
  <c r="C30" i="31"/>
  <c r="B30" i="31"/>
  <c r="C29" i="31"/>
  <c r="B29" i="31"/>
  <c r="C28" i="31"/>
  <c r="B28" i="31"/>
  <c r="K28" i="31" s="1"/>
  <c r="L28" i="31" s="1"/>
  <c r="C27" i="31"/>
  <c r="B27" i="31"/>
  <c r="G27" i="31" s="1"/>
  <c r="H27" i="31" s="1"/>
  <c r="C26" i="31"/>
  <c r="B26" i="31"/>
  <c r="C25" i="31"/>
  <c r="B25" i="31"/>
  <c r="E25" i="31" s="1"/>
  <c r="F25" i="31" s="1"/>
  <c r="C24" i="31"/>
  <c r="B24" i="31"/>
  <c r="G24" i="31" s="1"/>
  <c r="H24" i="31" s="1"/>
  <c r="C23" i="31"/>
  <c r="G23" i="31" s="1"/>
  <c r="H23" i="31" s="1"/>
  <c r="B23" i="31"/>
  <c r="E28" i="31"/>
  <c r="F28" i="31" s="1"/>
  <c r="E27" i="31"/>
  <c r="F27" i="31" s="1"/>
  <c r="E26" i="31"/>
  <c r="F26" i="31" s="1"/>
  <c r="E24" i="31"/>
  <c r="F24" i="31" s="1"/>
  <c r="E23" i="31"/>
  <c r="F23" i="31" s="1"/>
  <c r="L14" i="31"/>
  <c r="L13" i="31"/>
  <c r="L12" i="31"/>
  <c r="L11" i="31"/>
  <c r="L10" i="31"/>
  <c r="L9" i="31"/>
  <c r="L36" i="31" s="1"/>
  <c r="J14" i="31"/>
  <c r="J13" i="31"/>
  <c r="J12" i="31"/>
  <c r="J11" i="31"/>
  <c r="J10" i="31"/>
  <c r="J9" i="31"/>
  <c r="J36" i="31" s="1"/>
  <c r="H14" i="31"/>
  <c r="H13" i="31"/>
  <c r="H12" i="31"/>
  <c r="H11" i="31"/>
  <c r="H10" i="31"/>
  <c r="H9" i="31"/>
  <c r="H36" i="31" s="1"/>
  <c r="F14" i="31"/>
  <c r="F13" i="31"/>
  <c r="F12" i="31"/>
  <c r="F11" i="31"/>
  <c r="F10" i="31"/>
  <c r="F9" i="31"/>
  <c r="F36" i="31" s="1"/>
  <c r="AW562" i="17"/>
  <c r="AV562" i="17"/>
  <c r="AU562" i="17"/>
  <c r="AW561" i="17"/>
  <c r="AV561" i="17"/>
  <c r="AU561" i="17"/>
  <c r="AW560" i="17"/>
  <c r="AV560" i="17"/>
  <c r="AU560" i="17"/>
  <c r="AW559" i="17"/>
  <c r="AV559" i="17"/>
  <c r="AU559" i="17"/>
  <c r="AW558" i="17"/>
  <c r="AV558" i="17"/>
  <c r="AU558" i="17"/>
  <c r="AW557" i="17"/>
  <c r="AV557" i="17"/>
  <c r="AU557" i="17"/>
  <c r="AW556" i="17"/>
  <c r="AV556" i="17"/>
  <c r="AU556" i="17"/>
  <c r="AW555" i="17"/>
  <c r="AV555" i="17"/>
  <c r="AU555" i="17"/>
  <c r="AW554" i="17"/>
  <c r="AV554" i="17"/>
  <c r="AU554" i="17"/>
  <c r="AW553" i="17"/>
  <c r="AV553" i="17"/>
  <c r="AU553" i="17"/>
  <c r="AW552" i="17"/>
  <c r="AV552" i="17"/>
  <c r="AU552" i="17"/>
  <c r="AW551" i="17"/>
  <c r="AV551" i="17"/>
  <c r="AU551" i="17"/>
  <c r="AW550" i="17"/>
  <c r="AV550" i="17"/>
  <c r="AU550" i="17"/>
  <c r="AW549" i="17"/>
  <c r="AV549" i="17"/>
  <c r="AU549" i="17"/>
  <c r="AW548" i="17"/>
  <c r="AV548" i="17"/>
  <c r="AU548" i="17"/>
  <c r="AW547" i="17"/>
  <c r="AV547" i="17"/>
  <c r="AU547" i="17"/>
  <c r="AW546" i="17"/>
  <c r="AV546" i="17"/>
  <c r="AU546" i="17"/>
  <c r="AW545" i="17"/>
  <c r="AV545" i="17"/>
  <c r="AU545" i="17"/>
  <c r="AW544" i="17"/>
  <c r="AV544" i="17"/>
  <c r="AU544" i="17"/>
  <c r="AW543" i="17"/>
  <c r="AV543" i="17"/>
  <c r="AU543" i="17"/>
  <c r="AW542" i="17"/>
  <c r="AV542" i="17"/>
  <c r="AU542" i="17"/>
  <c r="AW541" i="17"/>
  <c r="AV541" i="17"/>
  <c r="AU541" i="17"/>
  <c r="AW540" i="17"/>
  <c r="AV540" i="17"/>
  <c r="AU540" i="17"/>
  <c r="AW539" i="17"/>
  <c r="AV539" i="17"/>
  <c r="AU539" i="17"/>
  <c r="AW538" i="17"/>
  <c r="AV538" i="17"/>
  <c r="AU538" i="17"/>
  <c r="AW537" i="17"/>
  <c r="AV537" i="17"/>
  <c r="AU537" i="17"/>
  <c r="AW536" i="17"/>
  <c r="AV536" i="17"/>
  <c r="AU536" i="17"/>
  <c r="AW535" i="17"/>
  <c r="AV535" i="17"/>
  <c r="AU535" i="17"/>
  <c r="AW534" i="17"/>
  <c r="AV534" i="17"/>
  <c r="AU534" i="17"/>
  <c r="AW533" i="17"/>
  <c r="AV533" i="17"/>
  <c r="AU533" i="17"/>
  <c r="AW532" i="17"/>
  <c r="AV532" i="17"/>
  <c r="AU532" i="17"/>
  <c r="AW531" i="17"/>
  <c r="AV531" i="17"/>
  <c r="AU531" i="17"/>
  <c r="AW530" i="17"/>
  <c r="AV530" i="17"/>
  <c r="AU530" i="17"/>
  <c r="AW529" i="17"/>
  <c r="AV529" i="17"/>
  <c r="AU529" i="17"/>
  <c r="AW528" i="17"/>
  <c r="AV528" i="17"/>
  <c r="AU528" i="17"/>
  <c r="AW527" i="17"/>
  <c r="AV527" i="17"/>
  <c r="AU527" i="17"/>
  <c r="AW526" i="17"/>
  <c r="AV526" i="17"/>
  <c r="AU526" i="17"/>
  <c r="AW525" i="17"/>
  <c r="AV525" i="17"/>
  <c r="AU525" i="17"/>
  <c r="AW524" i="17"/>
  <c r="AV524" i="17"/>
  <c r="AU524" i="17"/>
  <c r="AW523" i="17"/>
  <c r="AV523" i="17"/>
  <c r="AU523" i="17"/>
  <c r="AW522" i="17"/>
  <c r="AV522" i="17"/>
  <c r="AU522" i="17"/>
  <c r="AW521" i="17"/>
  <c r="AV521" i="17"/>
  <c r="AU521" i="17"/>
  <c r="AW520" i="17"/>
  <c r="AV520" i="17"/>
  <c r="AU520" i="17"/>
  <c r="AW519" i="17"/>
  <c r="AV519" i="17"/>
  <c r="AU519" i="17"/>
  <c r="AW518" i="17"/>
  <c r="AV518" i="17"/>
  <c r="AU518" i="17"/>
  <c r="AW517" i="17"/>
  <c r="AV517" i="17"/>
  <c r="AU517" i="17"/>
  <c r="AW516" i="17"/>
  <c r="AV516" i="17"/>
  <c r="AU516" i="17"/>
  <c r="AW515" i="17"/>
  <c r="AV515" i="17"/>
  <c r="AU515" i="17"/>
  <c r="AW514" i="17"/>
  <c r="AV514" i="17"/>
  <c r="AU514" i="17"/>
  <c r="AW513" i="17"/>
  <c r="AV513" i="17"/>
  <c r="AU513" i="17"/>
  <c r="W97" i="13"/>
  <c r="W129" i="13" s="1"/>
  <c r="W161" i="13" s="1"/>
  <c r="W193" i="13" s="1"/>
  <c r="W225" i="13" s="1"/>
  <c r="W257" i="13" s="1"/>
  <c r="W289" i="13" s="1"/>
  <c r="W321" i="13" s="1"/>
  <c r="W353" i="13" s="1"/>
  <c r="W385" i="13" s="1"/>
  <c r="W417" i="13" s="1"/>
  <c r="W449" i="13" s="1"/>
  <c r="W481" i="13" s="1"/>
  <c r="W96" i="13"/>
  <c r="W128" i="13" s="1"/>
  <c r="W160" i="13" s="1"/>
  <c r="W192" i="13" s="1"/>
  <c r="W224" i="13" s="1"/>
  <c r="W256" i="13" s="1"/>
  <c r="W288" i="13" s="1"/>
  <c r="W320" i="13" s="1"/>
  <c r="W352" i="13" s="1"/>
  <c r="W384" i="13" s="1"/>
  <c r="W416" i="13" s="1"/>
  <c r="W448" i="13" s="1"/>
  <c r="W480" i="13" s="1"/>
  <c r="W95" i="13"/>
  <c r="W127" i="13" s="1"/>
  <c r="W159" i="13" s="1"/>
  <c r="W191" i="13" s="1"/>
  <c r="W223" i="13" s="1"/>
  <c r="W255" i="13" s="1"/>
  <c r="W287" i="13" s="1"/>
  <c r="W319" i="13" s="1"/>
  <c r="W351" i="13" s="1"/>
  <c r="W383" i="13" s="1"/>
  <c r="W415" i="13" s="1"/>
  <c r="W447" i="13" s="1"/>
  <c r="W479" i="13" s="1"/>
  <c r="W94" i="13"/>
  <c r="W126" i="13" s="1"/>
  <c r="W158" i="13" s="1"/>
  <c r="W190" i="13" s="1"/>
  <c r="W222" i="13" s="1"/>
  <c r="W254" i="13" s="1"/>
  <c r="W286" i="13" s="1"/>
  <c r="W318" i="13" s="1"/>
  <c r="W350" i="13" s="1"/>
  <c r="W382" i="13" s="1"/>
  <c r="W414" i="13" s="1"/>
  <c r="W446" i="13" s="1"/>
  <c r="W478" i="13" s="1"/>
  <c r="W93" i="13"/>
  <c r="W125" i="13" s="1"/>
  <c r="W157" i="13" s="1"/>
  <c r="W189" i="13" s="1"/>
  <c r="W221" i="13" s="1"/>
  <c r="W253" i="13" s="1"/>
  <c r="W285" i="13" s="1"/>
  <c r="W317" i="13" s="1"/>
  <c r="W349" i="13" s="1"/>
  <c r="W381" i="13" s="1"/>
  <c r="W413" i="13" s="1"/>
  <c r="W445" i="13" s="1"/>
  <c r="W477" i="13" s="1"/>
  <c r="W92" i="13"/>
  <c r="W124" i="13" s="1"/>
  <c r="W156" i="13" s="1"/>
  <c r="W188" i="13" s="1"/>
  <c r="W220" i="13" s="1"/>
  <c r="W252" i="13" s="1"/>
  <c r="W284" i="13" s="1"/>
  <c r="W316" i="13" s="1"/>
  <c r="W348" i="13" s="1"/>
  <c r="W380" i="13" s="1"/>
  <c r="W412" i="13" s="1"/>
  <c r="W444" i="13" s="1"/>
  <c r="W476" i="13" s="1"/>
  <c r="W91" i="13"/>
  <c r="W123" i="13" s="1"/>
  <c r="W155" i="13" s="1"/>
  <c r="W187" i="13" s="1"/>
  <c r="W219" i="13" s="1"/>
  <c r="W251" i="13" s="1"/>
  <c r="W283" i="13" s="1"/>
  <c r="W315" i="13" s="1"/>
  <c r="W347" i="13" s="1"/>
  <c r="W379" i="13" s="1"/>
  <c r="W411" i="13" s="1"/>
  <c r="W443" i="13" s="1"/>
  <c r="W475" i="13" s="1"/>
  <c r="W90" i="13"/>
  <c r="W122" i="13" s="1"/>
  <c r="W154" i="13" s="1"/>
  <c r="W186" i="13" s="1"/>
  <c r="W218" i="13" s="1"/>
  <c r="W250" i="13" s="1"/>
  <c r="W282" i="13" s="1"/>
  <c r="W314" i="13" s="1"/>
  <c r="W346" i="13" s="1"/>
  <c r="W378" i="13" s="1"/>
  <c r="W410" i="13" s="1"/>
  <c r="W442" i="13" s="1"/>
  <c r="W474" i="13" s="1"/>
  <c r="W89" i="13"/>
  <c r="W121" i="13" s="1"/>
  <c r="W153" i="13" s="1"/>
  <c r="W185" i="13" s="1"/>
  <c r="W217" i="13" s="1"/>
  <c r="W249" i="13" s="1"/>
  <c r="W281" i="13" s="1"/>
  <c r="W313" i="13" s="1"/>
  <c r="W345" i="13" s="1"/>
  <c r="W377" i="13" s="1"/>
  <c r="W409" i="13" s="1"/>
  <c r="W441" i="13" s="1"/>
  <c r="W473" i="13" s="1"/>
  <c r="W88" i="13"/>
  <c r="W120" i="13" s="1"/>
  <c r="W152" i="13" s="1"/>
  <c r="W184" i="13" s="1"/>
  <c r="W216" i="13" s="1"/>
  <c r="W248" i="13" s="1"/>
  <c r="W280" i="13" s="1"/>
  <c r="W312" i="13" s="1"/>
  <c r="W344" i="13" s="1"/>
  <c r="W376" i="13" s="1"/>
  <c r="W408" i="13" s="1"/>
  <c r="W440" i="13" s="1"/>
  <c r="W472" i="13" s="1"/>
  <c r="W87" i="13"/>
  <c r="W119" i="13" s="1"/>
  <c r="W151" i="13" s="1"/>
  <c r="W183" i="13" s="1"/>
  <c r="W215" i="13" s="1"/>
  <c r="W247" i="13" s="1"/>
  <c r="W279" i="13" s="1"/>
  <c r="W311" i="13" s="1"/>
  <c r="W343" i="13" s="1"/>
  <c r="W375" i="13" s="1"/>
  <c r="W407" i="13" s="1"/>
  <c r="W439" i="13" s="1"/>
  <c r="W471" i="13" s="1"/>
  <c r="W86" i="13"/>
  <c r="W118" i="13" s="1"/>
  <c r="W150" i="13" s="1"/>
  <c r="W182" i="13" s="1"/>
  <c r="W214" i="13" s="1"/>
  <c r="W246" i="13" s="1"/>
  <c r="W278" i="13" s="1"/>
  <c r="W310" i="13" s="1"/>
  <c r="W342" i="13" s="1"/>
  <c r="W374" i="13" s="1"/>
  <c r="W406" i="13" s="1"/>
  <c r="W438" i="13" s="1"/>
  <c r="W470" i="13" s="1"/>
  <c r="W85" i="13"/>
  <c r="W117" i="13" s="1"/>
  <c r="W149" i="13" s="1"/>
  <c r="W181" i="13" s="1"/>
  <c r="W213" i="13" s="1"/>
  <c r="W245" i="13" s="1"/>
  <c r="W277" i="13" s="1"/>
  <c r="W309" i="13" s="1"/>
  <c r="W341" i="13" s="1"/>
  <c r="W373" i="13" s="1"/>
  <c r="W405" i="13" s="1"/>
  <c r="W437" i="13" s="1"/>
  <c r="W469" i="13" s="1"/>
  <c r="W84" i="13"/>
  <c r="W116" i="13" s="1"/>
  <c r="W148" i="13" s="1"/>
  <c r="W180" i="13" s="1"/>
  <c r="W212" i="13" s="1"/>
  <c r="W244" i="13" s="1"/>
  <c r="W276" i="13" s="1"/>
  <c r="W308" i="13" s="1"/>
  <c r="W340" i="13" s="1"/>
  <c r="W372" i="13" s="1"/>
  <c r="W404" i="13" s="1"/>
  <c r="W436" i="13" s="1"/>
  <c r="W468" i="13" s="1"/>
  <c r="W83" i="13"/>
  <c r="W115" i="13" s="1"/>
  <c r="W147" i="13" s="1"/>
  <c r="W179" i="13" s="1"/>
  <c r="W211" i="13" s="1"/>
  <c r="W243" i="13" s="1"/>
  <c r="W275" i="13" s="1"/>
  <c r="W307" i="13" s="1"/>
  <c r="W339" i="13" s="1"/>
  <c r="W371" i="13" s="1"/>
  <c r="W403" i="13" s="1"/>
  <c r="W435" i="13" s="1"/>
  <c r="W467" i="13" s="1"/>
  <c r="W82" i="13"/>
  <c r="W114" i="13" s="1"/>
  <c r="W146" i="13" s="1"/>
  <c r="W178" i="13" s="1"/>
  <c r="W210" i="13" s="1"/>
  <c r="W242" i="13" s="1"/>
  <c r="W274" i="13" s="1"/>
  <c r="W306" i="13" s="1"/>
  <c r="W338" i="13" s="1"/>
  <c r="W370" i="13" s="1"/>
  <c r="W402" i="13" s="1"/>
  <c r="W434" i="13" s="1"/>
  <c r="W466" i="13" s="1"/>
  <c r="W81" i="13"/>
  <c r="W113" i="13" s="1"/>
  <c r="W145" i="13" s="1"/>
  <c r="W177" i="13" s="1"/>
  <c r="W209" i="13" s="1"/>
  <c r="W241" i="13" s="1"/>
  <c r="W273" i="13" s="1"/>
  <c r="W305" i="13" s="1"/>
  <c r="W337" i="13" s="1"/>
  <c r="W369" i="13" s="1"/>
  <c r="W401" i="13" s="1"/>
  <c r="W433" i="13" s="1"/>
  <c r="W465" i="13" s="1"/>
  <c r="W80" i="13"/>
  <c r="W112" i="13" s="1"/>
  <c r="W144" i="13" s="1"/>
  <c r="W176" i="13" s="1"/>
  <c r="W208" i="13" s="1"/>
  <c r="W240" i="13" s="1"/>
  <c r="W272" i="13" s="1"/>
  <c r="W304" i="13" s="1"/>
  <c r="W336" i="13" s="1"/>
  <c r="W368" i="13" s="1"/>
  <c r="W400" i="13" s="1"/>
  <c r="W432" i="13" s="1"/>
  <c r="W464" i="13" s="1"/>
  <c r="W79" i="13"/>
  <c r="W111" i="13" s="1"/>
  <c r="W143" i="13" s="1"/>
  <c r="W175" i="13" s="1"/>
  <c r="W207" i="13" s="1"/>
  <c r="W239" i="13" s="1"/>
  <c r="W271" i="13" s="1"/>
  <c r="W303" i="13" s="1"/>
  <c r="W335" i="13" s="1"/>
  <c r="W367" i="13" s="1"/>
  <c r="W399" i="13" s="1"/>
  <c r="W431" i="13" s="1"/>
  <c r="W463" i="13" s="1"/>
  <c r="W78" i="13"/>
  <c r="W110" i="13" s="1"/>
  <c r="W142" i="13" s="1"/>
  <c r="W174" i="13" s="1"/>
  <c r="W206" i="13" s="1"/>
  <c r="W238" i="13" s="1"/>
  <c r="W270" i="13" s="1"/>
  <c r="W302" i="13" s="1"/>
  <c r="W334" i="13" s="1"/>
  <c r="W366" i="13" s="1"/>
  <c r="W398" i="13" s="1"/>
  <c r="W430" i="13" s="1"/>
  <c r="W462" i="13" s="1"/>
  <c r="W77" i="13"/>
  <c r="W109" i="13" s="1"/>
  <c r="W141" i="13" s="1"/>
  <c r="W173" i="13" s="1"/>
  <c r="W205" i="13" s="1"/>
  <c r="W237" i="13" s="1"/>
  <c r="W269" i="13" s="1"/>
  <c r="W301" i="13" s="1"/>
  <c r="W333" i="13" s="1"/>
  <c r="W365" i="13" s="1"/>
  <c r="W397" i="13" s="1"/>
  <c r="W429" i="13" s="1"/>
  <c r="W461" i="13" s="1"/>
  <c r="W76" i="13"/>
  <c r="W108" i="13" s="1"/>
  <c r="W140" i="13" s="1"/>
  <c r="W172" i="13" s="1"/>
  <c r="W204" i="13" s="1"/>
  <c r="W236" i="13" s="1"/>
  <c r="W268" i="13" s="1"/>
  <c r="W300" i="13" s="1"/>
  <c r="W332" i="13" s="1"/>
  <c r="W364" i="13" s="1"/>
  <c r="W396" i="13" s="1"/>
  <c r="W428" i="13" s="1"/>
  <c r="W460" i="13" s="1"/>
  <c r="W75" i="13"/>
  <c r="W107" i="13" s="1"/>
  <c r="W139" i="13" s="1"/>
  <c r="W171" i="13" s="1"/>
  <c r="W203" i="13" s="1"/>
  <c r="W235" i="13" s="1"/>
  <c r="W267" i="13" s="1"/>
  <c r="W299" i="13" s="1"/>
  <c r="W331" i="13" s="1"/>
  <c r="W363" i="13" s="1"/>
  <c r="W395" i="13" s="1"/>
  <c r="W427" i="13" s="1"/>
  <c r="W459" i="13" s="1"/>
  <c r="W74" i="13"/>
  <c r="W106" i="13" s="1"/>
  <c r="W138" i="13" s="1"/>
  <c r="W170" i="13" s="1"/>
  <c r="W202" i="13" s="1"/>
  <c r="W234" i="13" s="1"/>
  <c r="W266" i="13" s="1"/>
  <c r="W298" i="13" s="1"/>
  <c r="W330" i="13" s="1"/>
  <c r="W362" i="13" s="1"/>
  <c r="W394" i="13" s="1"/>
  <c r="W426" i="13" s="1"/>
  <c r="W458" i="13" s="1"/>
  <c r="W73" i="13"/>
  <c r="W105" i="13" s="1"/>
  <c r="W137" i="13" s="1"/>
  <c r="W169" i="13" s="1"/>
  <c r="W201" i="13" s="1"/>
  <c r="W233" i="13" s="1"/>
  <c r="W265" i="13" s="1"/>
  <c r="W297" i="13" s="1"/>
  <c r="W329" i="13" s="1"/>
  <c r="W361" i="13" s="1"/>
  <c r="W393" i="13" s="1"/>
  <c r="W425" i="13" s="1"/>
  <c r="W457" i="13" s="1"/>
  <c r="W72" i="13"/>
  <c r="W104" i="13" s="1"/>
  <c r="W136" i="13" s="1"/>
  <c r="W168" i="13" s="1"/>
  <c r="W200" i="13" s="1"/>
  <c r="W232" i="13" s="1"/>
  <c r="W264" i="13" s="1"/>
  <c r="W296" i="13" s="1"/>
  <c r="W328" i="13" s="1"/>
  <c r="W360" i="13" s="1"/>
  <c r="W392" i="13" s="1"/>
  <c r="W424" i="13" s="1"/>
  <c r="W456" i="13" s="1"/>
  <c r="W71" i="13"/>
  <c r="W103" i="13" s="1"/>
  <c r="W135" i="13" s="1"/>
  <c r="W167" i="13" s="1"/>
  <c r="W199" i="13" s="1"/>
  <c r="W231" i="13" s="1"/>
  <c r="W263" i="13" s="1"/>
  <c r="W295" i="13" s="1"/>
  <c r="W327" i="13" s="1"/>
  <c r="W359" i="13" s="1"/>
  <c r="W391" i="13" s="1"/>
  <c r="W423" i="13" s="1"/>
  <c r="W455" i="13" s="1"/>
  <c r="W70" i="13"/>
  <c r="W102" i="13" s="1"/>
  <c r="W134" i="13" s="1"/>
  <c r="W166" i="13" s="1"/>
  <c r="W198" i="13" s="1"/>
  <c r="W230" i="13" s="1"/>
  <c r="W262" i="13" s="1"/>
  <c r="W294" i="13" s="1"/>
  <c r="W326" i="13" s="1"/>
  <c r="W358" i="13" s="1"/>
  <c r="W390" i="13" s="1"/>
  <c r="W422" i="13" s="1"/>
  <c r="W454" i="13" s="1"/>
  <c r="W69" i="13"/>
  <c r="W101" i="13" s="1"/>
  <c r="W133" i="13" s="1"/>
  <c r="W165" i="13" s="1"/>
  <c r="W197" i="13" s="1"/>
  <c r="W229" i="13" s="1"/>
  <c r="W261" i="13" s="1"/>
  <c r="W293" i="13" s="1"/>
  <c r="W325" i="13" s="1"/>
  <c r="W357" i="13" s="1"/>
  <c r="W389" i="13" s="1"/>
  <c r="W421" i="13" s="1"/>
  <c r="W453" i="13" s="1"/>
  <c r="W68" i="13"/>
  <c r="W100" i="13" s="1"/>
  <c r="W132" i="13" s="1"/>
  <c r="W164" i="13" s="1"/>
  <c r="W196" i="13" s="1"/>
  <c r="W228" i="13" s="1"/>
  <c r="W260" i="13" s="1"/>
  <c r="W292" i="13" s="1"/>
  <c r="W324" i="13" s="1"/>
  <c r="W356" i="13" s="1"/>
  <c r="W388" i="13" s="1"/>
  <c r="W420" i="13" s="1"/>
  <c r="W452" i="13" s="1"/>
  <c r="W67" i="13"/>
  <c r="W99" i="13" s="1"/>
  <c r="W131" i="13" s="1"/>
  <c r="W163" i="13" s="1"/>
  <c r="W195" i="13" s="1"/>
  <c r="W227" i="13" s="1"/>
  <c r="W259" i="13" s="1"/>
  <c r="W291" i="13" s="1"/>
  <c r="W323" i="13" s="1"/>
  <c r="W355" i="13" s="1"/>
  <c r="W387" i="13" s="1"/>
  <c r="W419" i="13" s="1"/>
  <c r="W451" i="13" s="1"/>
  <c r="W66" i="13"/>
  <c r="W98" i="13" s="1"/>
  <c r="W130" i="13" s="1"/>
  <c r="W162" i="13" s="1"/>
  <c r="W194" i="13" s="1"/>
  <c r="W226" i="13" s="1"/>
  <c r="W258" i="13" s="1"/>
  <c r="W290" i="13" s="1"/>
  <c r="W322" i="13" s="1"/>
  <c r="W354" i="13" s="1"/>
  <c r="W386" i="13" s="1"/>
  <c r="W418" i="13" s="1"/>
  <c r="W450" i="13" s="1"/>
  <c r="V481" i="13"/>
  <c r="V480" i="13"/>
  <c r="V479" i="13"/>
  <c r="V478" i="13"/>
  <c r="V477" i="13"/>
  <c r="V476" i="13"/>
  <c r="V475" i="13"/>
  <c r="V474" i="13"/>
  <c r="V473" i="13"/>
  <c r="V472" i="13"/>
  <c r="V471" i="13"/>
  <c r="V470" i="13"/>
  <c r="V469" i="13"/>
  <c r="V468" i="13"/>
  <c r="V467" i="13"/>
  <c r="V466" i="13"/>
  <c r="V465" i="13"/>
  <c r="V464" i="13"/>
  <c r="V463" i="13"/>
  <c r="V462" i="13"/>
  <c r="V461" i="13"/>
  <c r="V460" i="13"/>
  <c r="V459" i="13"/>
  <c r="V458" i="13"/>
  <c r="V457" i="13"/>
  <c r="V456" i="13"/>
  <c r="V455" i="13"/>
  <c r="V454" i="13"/>
  <c r="V453" i="13"/>
  <c r="V452" i="13"/>
  <c r="V451" i="13"/>
  <c r="V450" i="13"/>
  <c r="S209" i="19"/>
  <c r="S208" i="19"/>
  <c r="S207" i="19"/>
  <c r="S206" i="19"/>
  <c r="S205" i="19"/>
  <c r="S204" i="19"/>
  <c r="S203" i="19"/>
  <c r="S202" i="19"/>
  <c r="S201" i="19"/>
  <c r="S200" i="19"/>
  <c r="S199" i="19"/>
  <c r="S198" i="19"/>
  <c r="S197" i="19"/>
  <c r="S196" i="19"/>
  <c r="S195" i="19"/>
  <c r="S194" i="19"/>
  <c r="S193" i="19"/>
  <c r="S192" i="19"/>
  <c r="S191" i="19"/>
  <c r="S190" i="19"/>
  <c r="S189" i="19"/>
  <c r="S188" i="19"/>
  <c r="S187" i="19"/>
  <c r="S186" i="19"/>
  <c r="S185" i="19"/>
  <c r="S184" i="19"/>
  <c r="S183" i="19"/>
  <c r="S182" i="19"/>
  <c r="S181" i="19"/>
  <c r="S180" i="19"/>
  <c r="S179" i="19"/>
  <c r="S178" i="19"/>
  <c r="S177" i="19"/>
  <c r="S176" i="19"/>
  <c r="S175" i="19"/>
  <c r="S174" i="19"/>
  <c r="S173" i="19"/>
  <c r="S172" i="19"/>
  <c r="S171" i="19"/>
  <c r="S170" i="19"/>
  <c r="S169" i="19"/>
  <c r="S168" i="19"/>
  <c r="S167" i="19"/>
  <c r="S166" i="19"/>
  <c r="S165" i="19"/>
  <c r="S163" i="19"/>
  <c r="S162" i="19"/>
  <c r="S161" i="19"/>
  <c r="S160" i="19"/>
  <c r="S159" i="19"/>
  <c r="S158" i="19"/>
  <c r="S157" i="19"/>
  <c r="S156" i="19"/>
  <c r="S155" i="19"/>
  <c r="S154" i="19"/>
  <c r="S153" i="19"/>
  <c r="S152" i="19"/>
  <c r="S164" i="19"/>
  <c r="S151" i="19"/>
  <c r="S150" i="19"/>
  <c r="S148" i="19"/>
  <c r="S147" i="19"/>
  <c r="S146" i="19"/>
  <c r="S145" i="19"/>
  <c r="S144" i="19"/>
  <c r="S143" i="19"/>
  <c r="S142" i="19"/>
  <c r="S141" i="19"/>
  <c r="S140" i="19"/>
  <c r="S139" i="19"/>
  <c r="S138" i="19"/>
  <c r="S149" i="19"/>
  <c r="S137" i="19"/>
  <c r="S136" i="19"/>
  <c r="S135" i="19"/>
  <c r="S134" i="19"/>
  <c r="S133" i="19"/>
  <c r="S132" i="19"/>
  <c r="S131" i="19"/>
  <c r="S130" i="19"/>
  <c r="S129" i="19"/>
  <c r="S128" i="19"/>
  <c r="S127" i="19"/>
  <c r="S126" i="19"/>
  <c r="S125" i="19"/>
  <c r="S124" i="19"/>
  <c r="S123" i="19"/>
  <c r="S122" i="19"/>
  <c r="S121" i="19"/>
  <c r="S120" i="19"/>
  <c r="S119" i="19"/>
  <c r="S118" i="19"/>
  <c r="S117" i="19"/>
  <c r="S116" i="19"/>
  <c r="S115" i="19"/>
  <c r="S114" i="19"/>
  <c r="S113" i="19"/>
  <c r="S112" i="19"/>
  <c r="S111" i="19"/>
  <c r="S110" i="19"/>
  <c r="S108" i="19"/>
  <c r="S109" i="19"/>
  <c r="S106" i="19"/>
  <c r="S105" i="19"/>
  <c r="S104" i="19"/>
  <c r="S103" i="19"/>
  <c r="S102" i="19"/>
  <c r="S101" i="19"/>
  <c r="S100" i="19"/>
  <c r="S99" i="19"/>
  <c r="S98" i="19"/>
  <c r="S97" i="19"/>
  <c r="S96" i="19"/>
  <c r="S107" i="19"/>
  <c r="S95" i="19"/>
  <c r="S94" i="19"/>
  <c r="S93" i="19"/>
  <c r="S91" i="19"/>
  <c r="S90" i="19"/>
  <c r="S89" i="19"/>
  <c r="S88" i="19"/>
  <c r="S87" i="19"/>
  <c r="S86" i="19"/>
  <c r="S85" i="19"/>
  <c r="S84" i="19"/>
  <c r="S83" i="19"/>
  <c r="S82" i="19"/>
  <c r="S81" i="19"/>
  <c r="S92" i="19"/>
  <c r="S80" i="19"/>
  <c r="S79" i="19"/>
  <c r="S77" i="19"/>
  <c r="S76" i="19"/>
  <c r="S75" i="19"/>
  <c r="S74" i="19"/>
  <c r="S73" i="19"/>
  <c r="S72" i="19"/>
  <c r="S71" i="19"/>
  <c r="S70" i="19"/>
  <c r="S69" i="19"/>
  <c r="S68" i="19"/>
  <c r="S67" i="19"/>
  <c r="S78" i="19"/>
  <c r="S66" i="19"/>
  <c r="S65" i="19"/>
  <c r="S64" i="19"/>
  <c r="S62" i="19"/>
  <c r="S61" i="19"/>
  <c r="S60" i="19"/>
  <c r="S59" i="19"/>
  <c r="S58" i="19"/>
  <c r="S57" i="19"/>
  <c r="S56" i="19"/>
  <c r="S55" i="19"/>
  <c r="S54" i="19"/>
  <c r="S53" i="19"/>
  <c r="S52" i="19"/>
  <c r="S51" i="19"/>
  <c r="S63" i="19"/>
  <c r="S50" i="19"/>
  <c r="S49" i="19"/>
  <c r="S48" i="19"/>
  <c r="S47" i="19"/>
  <c r="S46" i="19"/>
  <c r="S45" i="19"/>
  <c r="S44" i="19"/>
  <c r="S43" i="19"/>
  <c r="S42" i="19"/>
  <c r="S41" i="19"/>
  <c r="S40" i="19"/>
  <c r="S39" i="19"/>
  <c r="S38" i="19"/>
  <c r="S37" i="19"/>
  <c r="S36" i="19"/>
  <c r="S35" i="19"/>
  <c r="S34" i="19"/>
  <c r="S32" i="19"/>
  <c r="S33" i="19"/>
  <c r="S31" i="19"/>
  <c r="S30" i="19"/>
  <c r="S29" i="19"/>
  <c r="S28" i="19"/>
  <c r="S27" i="19"/>
  <c r="S26" i="19"/>
  <c r="S25" i="19"/>
  <c r="S24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S6" i="19"/>
  <c r="S5" i="19"/>
  <c r="S4" i="19"/>
  <c r="S3" i="19"/>
  <c r="AW512" i="17"/>
  <c r="AV512" i="17"/>
  <c r="AU512" i="17"/>
  <c r="AW511" i="17"/>
  <c r="AV511" i="17"/>
  <c r="AU511" i="17"/>
  <c r="AW510" i="17"/>
  <c r="AV510" i="17"/>
  <c r="AU510" i="17"/>
  <c r="AW509" i="17"/>
  <c r="AV509" i="17"/>
  <c r="AU509" i="17"/>
  <c r="AW508" i="17"/>
  <c r="AV508" i="17"/>
  <c r="AU508" i="17"/>
  <c r="AW507" i="17"/>
  <c r="AV507" i="17"/>
  <c r="AU507" i="17"/>
  <c r="AW506" i="17"/>
  <c r="AV506" i="17"/>
  <c r="AU506" i="17"/>
  <c r="AW505" i="17"/>
  <c r="AV505" i="17"/>
  <c r="AU505" i="17"/>
  <c r="AW504" i="17"/>
  <c r="AV504" i="17"/>
  <c r="AU504" i="17"/>
  <c r="AW503" i="17"/>
  <c r="AV503" i="17"/>
  <c r="AU503" i="17"/>
  <c r="AW502" i="17"/>
  <c r="AV502" i="17"/>
  <c r="AU502" i="17"/>
  <c r="AW501" i="17"/>
  <c r="AV501" i="17"/>
  <c r="AU501" i="17"/>
  <c r="AW500" i="17"/>
  <c r="AV500" i="17"/>
  <c r="AU500" i="17"/>
  <c r="AW499" i="17"/>
  <c r="AV499" i="17"/>
  <c r="AU499" i="17"/>
  <c r="AW498" i="17"/>
  <c r="AV498" i="17"/>
  <c r="AU498" i="17"/>
  <c r="AW497" i="17"/>
  <c r="AV497" i="17"/>
  <c r="AU497" i="17"/>
  <c r="AW496" i="17"/>
  <c r="AV496" i="17"/>
  <c r="AU496" i="17"/>
  <c r="AW495" i="17"/>
  <c r="AV495" i="17"/>
  <c r="AU495" i="17"/>
  <c r="AW494" i="17"/>
  <c r="AV494" i="17"/>
  <c r="AU494" i="17"/>
  <c r="AW493" i="17"/>
  <c r="AV493" i="17"/>
  <c r="AU493" i="17"/>
  <c r="AW492" i="17"/>
  <c r="AV492" i="17"/>
  <c r="AU492" i="17"/>
  <c r="AW491" i="17"/>
  <c r="AV491" i="17"/>
  <c r="AU491" i="17"/>
  <c r="AW490" i="17"/>
  <c r="AV490" i="17"/>
  <c r="AU490" i="17"/>
  <c r="AW489" i="17"/>
  <c r="AV489" i="17"/>
  <c r="AU489" i="17"/>
  <c r="AW488" i="17"/>
  <c r="AV488" i="17"/>
  <c r="AU488" i="17"/>
  <c r="AW487" i="17"/>
  <c r="AV487" i="17"/>
  <c r="AU487" i="17"/>
  <c r="AW486" i="17"/>
  <c r="AV486" i="17"/>
  <c r="AU486" i="17"/>
  <c r="AW485" i="17"/>
  <c r="AV485" i="17"/>
  <c r="AU485" i="17"/>
  <c r="AW484" i="17"/>
  <c r="AV484" i="17"/>
  <c r="AU484" i="17"/>
  <c r="AW483" i="17"/>
  <c r="AV483" i="17"/>
  <c r="AU483" i="17"/>
  <c r="AW482" i="17"/>
  <c r="AV482" i="17"/>
  <c r="AU482" i="17"/>
  <c r="AW481" i="17"/>
  <c r="AV481" i="17"/>
  <c r="AU481" i="17"/>
  <c r="AW480" i="17"/>
  <c r="AV480" i="17"/>
  <c r="AU480" i="17"/>
  <c r="AW479" i="17"/>
  <c r="AV479" i="17"/>
  <c r="AU479" i="17"/>
  <c r="AW478" i="17"/>
  <c r="AV478" i="17"/>
  <c r="AU478" i="17"/>
  <c r="AW477" i="17"/>
  <c r="AV477" i="17"/>
  <c r="AU477" i="17"/>
  <c r="AW476" i="17"/>
  <c r="AV476" i="17"/>
  <c r="AU476" i="17"/>
  <c r="AW475" i="17"/>
  <c r="AV475" i="17"/>
  <c r="AU475" i="17"/>
  <c r="AW474" i="17"/>
  <c r="AV474" i="17"/>
  <c r="AU474" i="17"/>
  <c r="AW473" i="17"/>
  <c r="AV473" i="17"/>
  <c r="AU473" i="17"/>
  <c r="AW472" i="17"/>
  <c r="AV472" i="17"/>
  <c r="AU472" i="17"/>
  <c r="AW471" i="17"/>
  <c r="AV471" i="17"/>
  <c r="AU471" i="17"/>
  <c r="AW470" i="17"/>
  <c r="AV470" i="17"/>
  <c r="AU470" i="17"/>
  <c r="AW469" i="17"/>
  <c r="AV469" i="17"/>
  <c r="AU469" i="17"/>
  <c r="AW468" i="17"/>
  <c r="AV468" i="17"/>
  <c r="AU468" i="17"/>
  <c r="AW467" i="17"/>
  <c r="AV467" i="17"/>
  <c r="AU467" i="17"/>
  <c r="AW466" i="17"/>
  <c r="AV466" i="17"/>
  <c r="AU466" i="17"/>
  <c r="AW465" i="17"/>
  <c r="AV465" i="17"/>
  <c r="AU465" i="17"/>
  <c r="AW464" i="17"/>
  <c r="AV464" i="17"/>
  <c r="AU464" i="17"/>
  <c r="AW463" i="17"/>
  <c r="AV463" i="17"/>
  <c r="AU463" i="17"/>
  <c r="V449" i="13"/>
  <c r="V448" i="13"/>
  <c r="V447" i="13"/>
  <c r="V443" i="13"/>
  <c r="V444" i="13"/>
  <c r="V438" i="13"/>
  <c r="V440" i="13"/>
  <c r="V439" i="13"/>
  <c r="V441" i="13"/>
  <c r="V442" i="13"/>
  <c r="V445" i="13"/>
  <c r="V446" i="13"/>
  <c r="V436" i="13"/>
  <c r="V437" i="13"/>
  <c r="V434" i="13"/>
  <c r="V430" i="13"/>
  <c r="V428" i="13"/>
  <c r="V432" i="13"/>
  <c r="V433" i="13"/>
  <c r="V429" i="13"/>
  <c r="V422" i="13"/>
  <c r="V427" i="13"/>
  <c r="V435" i="13"/>
  <c r="V421" i="13"/>
  <c r="V420" i="13"/>
  <c r="V431" i="13"/>
  <c r="V423" i="13"/>
  <c r="V424" i="13"/>
  <c r="V425" i="13"/>
  <c r="V426" i="13"/>
  <c r="V418" i="13"/>
  <c r="V419" i="13"/>
  <c r="AW462" i="17"/>
  <c r="AV462" i="17"/>
  <c r="AU462" i="17"/>
  <c r="AW461" i="17"/>
  <c r="AV461" i="17"/>
  <c r="AU461" i="17"/>
  <c r="AW460" i="17"/>
  <c r="AV460" i="17"/>
  <c r="AU460" i="17"/>
  <c r="AW459" i="17"/>
  <c r="AV459" i="17"/>
  <c r="AU459" i="17"/>
  <c r="AW458" i="17"/>
  <c r="AV458" i="17"/>
  <c r="AU458" i="17"/>
  <c r="AW457" i="17"/>
  <c r="AV457" i="17"/>
  <c r="AU457" i="17"/>
  <c r="AW456" i="17"/>
  <c r="AV456" i="17"/>
  <c r="AU456" i="17"/>
  <c r="AW455" i="17"/>
  <c r="AV455" i="17"/>
  <c r="AU455" i="17"/>
  <c r="AW454" i="17"/>
  <c r="AV454" i="17"/>
  <c r="AU454" i="17"/>
  <c r="AW453" i="17"/>
  <c r="AV453" i="17"/>
  <c r="AU453" i="17"/>
  <c r="AW452" i="17"/>
  <c r="AV452" i="17"/>
  <c r="AU452" i="17"/>
  <c r="AW451" i="17"/>
  <c r="AV451" i="17"/>
  <c r="AU451" i="17"/>
  <c r="AW450" i="17"/>
  <c r="AV450" i="17"/>
  <c r="AU450" i="17"/>
  <c r="AW449" i="17"/>
  <c r="AV449" i="17"/>
  <c r="AU449" i="17"/>
  <c r="AW448" i="17"/>
  <c r="AV448" i="17"/>
  <c r="AU448" i="17"/>
  <c r="AW447" i="17"/>
  <c r="AV447" i="17"/>
  <c r="AU447" i="17"/>
  <c r="AW446" i="17"/>
  <c r="AV446" i="17"/>
  <c r="AU446" i="17"/>
  <c r="AW445" i="17"/>
  <c r="AV445" i="17"/>
  <c r="AU445" i="17"/>
  <c r="AW444" i="17"/>
  <c r="AV444" i="17"/>
  <c r="AU444" i="17"/>
  <c r="AW443" i="17"/>
  <c r="AV443" i="17"/>
  <c r="AU443" i="17"/>
  <c r="AW442" i="17"/>
  <c r="AV442" i="17"/>
  <c r="AU442" i="17"/>
  <c r="AW441" i="17"/>
  <c r="AV441" i="17"/>
  <c r="AU441" i="17"/>
  <c r="AW440" i="17"/>
  <c r="AV440" i="17"/>
  <c r="AU440" i="17"/>
  <c r="AW439" i="17"/>
  <c r="AV439" i="17"/>
  <c r="AU439" i="17"/>
  <c r="AW438" i="17"/>
  <c r="AV438" i="17"/>
  <c r="AU438" i="17"/>
  <c r="AW437" i="17"/>
  <c r="AV437" i="17"/>
  <c r="AU437" i="17"/>
  <c r="AW436" i="17"/>
  <c r="AV436" i="17"/>
  <c r="AU436" i="17"/>
  <c r="AW435" i="17"/>
  <c r="AV435" i="17"/>
  <c r="AU435" i="17"/>
  <c r="AW434" i="17"/>
  <c r="AV434" i="17"/>
  <c r="AU434" i="17"/>
  <c r="AW433" i="17"/>
  <c r="AV433" i="17"/>
  <c r="AU433" i="17"/>
  <c r="AW432" i="17"/>
  <c r="AV432" i="17"/>
  <c r="AU432" i="17"/>
  <c r="AW431" i="17"/>
  <c r="AV431" i="17"/>
  <c r="AU431" i="17"/>
  <c r="AW430" i="17"/>
  <c r="AV430" i="17"/>
  <c r="AU430" i="17"/>
  <c r="AW429" i="17"/>
  <c r="AV429" i="17"/>
  <c r="AU429" i="17"/>
  <c r="AW428" i="17"/>
  <c r="AV428" i="17"/>
  <c r="AU428" i="17"/>
  <c r="AW427" i="17"/>
  <c r="AV427" i="17"/>
  <c r="AU427" i="17"/>
  <c r="AW426" i="17"/>
  <c r="AV426" i="17"/>
  <c r="AU426" i="17"/>
  <c r="AW425" i="17"/>
  <c r="AV425" i="17"/>
  <c r="AU425" i="17"/>
  <c r="AW424" i="17"/>
  <c r="AV424" i="17"/>
  <c r="AU424" i="17"/>
  <c r="AW423" i="17"/>
  <c r="AV423" i="17"/>
  <c r="AU423" i="17"/>
  <c r="AW422" i="17"/>
  <c r="AV422" i="17"/>
  <c r="AU422" i="17"/>
  <c r="AW421" i="17"/>
  <c r="AV421" i="17"/>
  <c r="AU421" i="17"/>
  <c r="AW420" i="17"/>
  <c r="AV420" i="17"/>
  <c r="AU420" i="17"/>
  <c r="AW419" i="17"/>
  <c r="AV419" i="17"/>
  <c r="AU419" i="17"/>
  <c r="AW418" i="17"/>
  <c r="AV418" i="17"/>
  <c r="AU418" i="17"/>
  <c r="AW417" i="17"/>
  <c r="AV417" i="17"/>
  <c r="AU417" i="17"/>
  <c r="AW416" i="17"/>
  <c r="AV416" i="17"/>
  <c r="AU416" i="17"/>
  <c r="AW415" i="17"/>
  <c r="AV415" i="17"/>
  <c r="AU415" i="17"/>
  <c r="AW414" i="17"/>
  <c r="AV414" i="17"/>
  <c r="AU414" i="17"/>
  <c r="V417" i="13"/>
  <c r="V415" i="13"/>
  <c r="V416" i="13"/>
  <c r="V413" i="13"/>
  <c r="V414" i="13"/>
  <c r="V406" i="13"/>
  <c r="V409" i="13"/>
  <c r="V410" i="13"/>
  <c r="V411" i="13"/>
  <c r="V412" i="13"/>
  <c r="V407" i="13"/>
  <c r="V408" i="13"/>
  <c r="V399" i="13"/>
  <c r="V398" i="13"/>
  <c r="V404" i="13"/>
  <c r="V405" i="13"/>
  <c r="V403" i="13"/>
  <c r="V401" i="13"/>
  <c r="V402" i="13"/>
  <c r="V391" i="13"/>
  <c r="V397" i="13"/>
  <c r="V389" i="13"/>
  <c r="V394" i="13"/>
  <c r="V387" i="13"/>
  <c r="V400" i="13"/>
  <c r="V392" i="13"/>
  <c r="V395" i="13"/>
  <c r="V388" i="13"/>
  <c r="V393" i="13"/>
  <c r="V396" i="13"/>
  <c r="V390" i="13"/>
  <c r="V386" i="13"/>
  <c r="X236" i="19"/>
  <c r="P266" i="19"/>
  <c r="R266" i="19" s="1"/>
  <c r="P265" i="19"/>
  <c r="R265" i="19" s="1"/>
  <c r="P272" i="19"/>
  <c r="R272" i="19" s="1"/>
  <c r="P264" i="19"/>
  <c r="R264" i="19" s="1"/>
  <c r="P271" i="19"/>
  <c r="R271" i="19" s="1"/>
  <c r="P263" i="19"/>
  <c r="R263" i="19" s="1"/>
  <c r="P270" i="19"/>
  <c r="R270" i="19" s="1"/>
  <c r="P269" i="19"/>
  <c r="R269" i="19" s="1"/>
  <c r="P262" i="19"/>
  <c r="R262" i="19" s="1"/>
  <c r="P268" i="19"/>
  <c r="R268" i="19" s="1"/>
  <c r="P258" i="19"/>
  <c r="R258" i="19" s="1"/>
  <c r="P259" i="19"/>
  <c r="R259" i="19" s="1"/>
  <c r="P267" i="19"/>
  <c r="R267" i="19" s="1"/>
  <c r="P273" i="19"/>
  <c r="R273" i="19" s="1"/>
  <c r="P261" i="19"/>
  <c r="R261" i="19" s="1"/>
  <c r="P260" i="19"/>
  <c r="R260" i="19" s="1"/>
  <c r="P257" i="19"/>
  <c r="R257" i="19" s="1"/>
  <c r="P256" i="19"/>
  <c r="R256" i="19" s="1"/>
  <c r="P255" i="19"/>
  <c r="R255" i="19" s="1"/>
  <c r="P254" i="19"/>
  <c r="R254" i="19" s="1"/>
  <c r="P253" i="19"/>
  <c r="R253" i="19" s="1"/>
  <c r="P252" i="19"/>
  <c r="R252" i="19" s="1"/>
  <c r="P251" i="19"/>
  <c r="P250" i="19"/>
  <c r="P249" i="19"/>
  <c r="P248" i="19"/>
  <c r="R248" i="19" s="1"/>
  <c r="P247" i="19"/>
  <c r="R247" i="19" s="1"/>
  <c r="P246" i="19"/>
  <c r="R246" i="19" s="1"/>
  <c r="P245" i="19"/>
  <c r="R245" i="19" s="1"/>
  <c r="P244" i="19"/>
  <c r="P243" i="19"/>
  <c r="P242" i="19"/>
  <c r="R242" i="19" s="1"/>
  <c r="P241" i="19"/>
  <c r="R241" i="19" s="1"/>
  <c r="P240" i="19"/>
  <c r="R240" i="19" s="1"/>
  <c r="P239" i="19"/>
  <c r="R239" i="19" s="1"/>
  <c r="P238" i="19"/>
  <c r="R238" i="19" s="1"/>
  <c r="P237" i="19"/>
  <c r="R237" i="19" s="1"/>
  <c r="P236" i="19"/>
  <c r="P235" i="19"/>
  <c r="P234" i="19"/>
  <c r="P233" i="19"/>
  <c r="P232" i="19"/>
  <c r="R232" i="19" s="1"/>
  <c r="P231" i="19"/>
  <c r="R231" i="19" s="1"/>
  <c r="P230" i="19"/>
  <c r="R230" i="19" s="1"/>
  <c r="P229" i="19"/>
  <c r="R229" i="19" s="1"/>
  <c r="P228" i="19"/>
  <c r="R228" i="19" s="1"/>
  <c r="P227" i="19"/>
  <c r="R227" i="19" s="1"/>
  <c r="P226" i="19"/>
  <c r="R226" i="19" s="1"/>
  <c r="P225" i="19"/>
  <c r="R225" i="19" s="1"/>
  <c r="P224" i="19"/>
  <c r="R224" i="19" s="1"/>
  <c r="P223" i="19"/>
  <c r="R223" i="19" s="1"/>
  <c r="P222" i="19"/>
  <c r="R222" i="19" s="1"/>
  <c r="P221" i="19"/>
  <c r="R221" i="19" s="1"/>
  <c r="P220" i="19"/>
  <c r="R220" i="19" s="1"/>
  <c r="P219" i="19"/>
  <c r="R219" i="19" s="1"/>
  <c r="P218" i="19"/>
  <c r="R218" i="19" s="1"/>
  <c r="P217" i="19"/>
  <c r="R217" i="19" s="1"/>
  <c r="P216" i="19"/>
  <c r="R216" i="19" s="1"/>
  <c r="P215" i="19"/>
  <c r="R215" i="19" s="1"/>
  <c r="P214" i="19"/>
  <c r="R214" i="19" s="1"/>
  <c r="P213" i="19"/>
  <c r="R213" i="19" s="1"/>
  <c r="P212" i="19"/>
  <c r="R212" i="19" s="1"/>
  <c r="P211" i="19"/>
  <c r="R211" i="19" s="1"/>
  <c r="P210" i="19"/>
  <c r="R210" i="19" s="1"/>
  <c r="P209" i="19"/>
  <c r="R209" i="19" s="1"/>
  <c r="P208" i="19"/>
  <c r="R208" i="19" s="1"/>
  <c r="P207" i="19"/>
  <c r="R207" i="19" s="1"/>
  <c r="P206" i="19"/>
  <c r="R206" i="19" s="1"/>
  <c r="P205" i="19"/>
  <c r="R205" i="19" s="1"/>
  <c r="P204" i="19"/>
  <c r="R204" i="19" s="1"/>
  <c r="P203" i="19"/>
  <c r="R203" i="19" s="1"/>
  <c r="P202" i="19"/>
  <c r="R202" i="19" s="1"/>
  <c r="P201" i="19"/>
  <c r="R201" i="19" s="1"/>
  <c r="P200" i="19"/>
  <c r="R200" i="19" s="1"/>
  <c r="P199" i="19"/>
  <c r="R199" i="19" s="1"/>
  <c r="P198" i="19"/>
  <c r="R198" i="19" s="1"/>
  <c r="P197" i="19"/>
  <c r="R197" i="19" s="1"/>
  <c r="P196" i="19"/>
  <c r="R196" i="19" s="1"/>
  <c r="P195" i="19"/>
  <c r="R195" i="19" s="1"/>
  <c r="P194" i="19"/>
  <c r="R194" i="19" s="1"/>
  <c r="P193" i="19"/>
  <c r="R193" i="19" s="1"/>
  <c r="P192" i="19"/>
  <c r="R192" i="19" s="1"/>
  <c r="P191" i="19"/>
  <c r="R191" i="19" s="1"/>
  <c r="P190" i="19"/>
  <c r="R190" i="19" s="1"/>
  <c r="P189" i="19"/>
  <c r="R189" i="19" s="1"/>
  <c r="P188" i="19"/>
  <c r="R188" i="19" s="1"/>
  <c r="P187" i="19"/>
  <c r="R187" i="19" s="1"/>
  <c r="P186" i="19"/>
  <c r="R186" i="19" s="1"/>
  <c r="P185" i="19"/>
  <c r="R185" i="19" s="1"/>
  <c r="P184" i="19"/>
  <c r="R184" i="19" s="1"/>
  <c r="P183" i="19"/>
  <c r="R183" i="19" s="1"/>
  <c r="P182" i="19"/>
  <c r="R182" i="19" s="1"/>
  <c r="P181" i="19"/>
  <c r="R181" i="19" s="1"/>
  <c r="P180" i="19"/>
  <c r="R180" i="19" s="1"/>
  <c r="P179" i="19"/>
  <c r="R179" i="19" s="1"/>
  <c r="P178" i="19"/>
  <c r="R178" i="19" s="1"/>
  <c r="P177" i="19"/>
  <c r="R177" i="19" s="1"/>
  <c r="P176" i="19"/>
  <c r="R176" i="19" s="1"/>
  <c r="P175" i="19"/>
  <c r="R175" i="19" s="1"/>
  <c r="P174" i="19"/>
  <c r="R174" i="19" s="1"/>
  <c r="P173" i="19"/>
  <c r="R173" i="19" s="1"/>
  <c r="P172" i="19"/>
  <c r="R172" i="19" s="1"/>
  <c r="P171" i="19"/>
  <c r="R171" i="19" s="1"/>
  <c r="P170" i="19"/>
  <c r="R170" i="19" s="1"/>
  <c r="P169" i="19"/>
  <c r="R169" i="19" s="1"/>
  <c r="P168" i="19"/>
  <c r="R168" i="19" s="1"/>
  <c r="P167" i="19"/>
  <c r="R167" i="19" s="1"/>
  <c r="P166" i="19"/>
  <c r="R166" i="19" s="1"/>
  <c r="P165" i="19"/>
  <c r="R165" i="19" s="1"/>
  <c r="P163" i="19"/>
  <c r="R163" i="19" s="1"/>
  <c r="P162" i="19"/>
  <c r="R162" i="19" s="1"/>
  <c r="P161" i="19"/>
  <c r="R161" i="19" s="1"/>
  <c r="P160" i="19"/>
  <c r="R160" i="19" s="1"/>
  <c r="P159" i="19"/>
  <c r="R159" i="19" s="1"/>
  <c r="P158" i="19"/>
  <c r="R158" i="19" s="1"/>
  <c r="P157" i="19"/>
  <c r="R157" i="19" s="1"/>
  <c r="P156" i="19"/>
  <c r="R156" i="19" s="1"/>
  <c r="P155" i="19"/>
  <c r="R155" i="19" s="1"/>
  <c r="P154" i="19"/>
  <c r="R154" i="19" s="1"/>
  <c r="P153" i="19"/>
  <c r="R153" i="19" s="1"/>
  <c r="P152" i="19"/>
  <c r="R152" i="19" s="1"/>
  <c r="P164" i="19"/>
  <c r="R164" i="19" s="1"/>
  <c r="P151" i="19"/>
  <c r="R151" i="19" s="1"/>
  <c r="P150" i="19"/>
  <c r="R150" i="19" s="1"/>
  <c r="P148" i="19"/>
  <c r="R148" i="19" s="1"/>
  <c r="P147" i="19"/>
  <c r="R147" i="19" s="1"/>
  <c r="P146" i="19"/>
  <c r="R146" i="19" s="1"/>
  <c r="P145" i="19"/>
  <c r="R145" i="19" s="1"/>
  <c r="P144" i="19"/>
  <c r="R144" i="19" s="1"/>
  <c r="P143" i="19"/>
  <c r="R143" i="19" s="1"/>
  <c r="P142" i="19"/>
  <c r="R142" i="19" s="1"/>
  <c r="P141" i="19"/>
  <c r="R141" i="19" s="1"/>
  <c r="P140" i="19"/>
  <c r="R140" i="19" s="1"/>
  <c r="P139" i="19"/>
  <c r="R139" i="19" s="1"/>
  <c r="P138" i="19"/>
  <c r="R138" i="19" s="1"/>
  <c r="P149" i="19"/>
  <c r="R149" i="19" s="1"/>
  <c r="P137" i="19"/>
  <c r="R137" i="19" s="1"/>
  <c r="P136" i="19"/>
  <c r="R136" i="19" s="1"/>
  <c r="P135" i="19"/>
  <c r="R135" i="19" s="1"/>
  <c r="P134" i="19"/>
  <c r="R134" i="19" s="1"/>
  <c r="P133" i="19"/>
  <c r="R133" i="19" s="1"/>
  <c r="P132" i="19"/>
  <c r="P131" i="19"/>
  <c r="P130" i="19"/>
  <c r="P129" i="19"/>
  <c r="R129" i="19" s="1"/>
  <c r="P128" i="19"/>
  <c r="R128" i="19" s="1"/>
  <c r="P127" i="19"/>
  <c r="R127" i="19" s="1"/>
  <c r="P126" i="19"/>
  <c r="R126" i="19" s="1"/>
  <c r="P125" i="19"/>
  <c r="R125" i="19" s="1"/>
  <c r="P124" i="19"/>
  <c r="P123" i="19"/>
  <c r="P122" i="19"/>
  <c r="R122" i="19" s="1"/>
  <c r="P121" i="19"/>
  <c r="R121" i="19" s="1"/>
  <c r="P120" i="19"/>
  <c r="R120" i="19" s="1"/>
  <c r="P119" i="19"/>
  <c r="R119" i="19" s="1"/>
  <c r="P118" i="19"/>
  <c r="R118" i="19" s="1"/>
  <c r="P117" i="19"/>
  <c r="R117" i="19" s="1"/>
  <c r="P116" i="19"/>
  <c r="P115" i="19"/>
  <c r="P114" i="19"/>
  <c r="P113" i="19"/>
  <c r="R113" i="19" s="1"/>
  <c r="P112" i="19"/>
  <c r="R112" i="19" s="1"/>
  <c r="P111" i="19"/>
  <c r="R111" i="19" s="1"/>
  <c r="P110" i="19"/>
  <c r="R110" i="19" s="1"/>
  <c r="P108" i="19"/>
  <c r="R108" i="19" s="1"/>
  <c r="P109" i="19"/>
  <c r="R109" i="19" s="1"/>
  <c r="P106" i="19"/>
  <c r="R106" i="19" s="1"/>
  <c r="P105" i="19"/>
  <c r="R105" i="19" s="1"/>
  <c r="P104" i="19"/>
  <c r="R104" i="19" s="1"/>
  <c r="P103" i="19"/>
  <c r="R103" i="19" s="1"/>
  <c r="P102" i="19"/>
  <c r="R102" i="19" s="1"/>
  <c r="P101" i="19"/>
  <c r="R101" i="19" s="1"/>
  <c r="P100" i="19"/>
  <c r="R100" i="19" s="1"/>
  <c r="P99" i="19"/>
  <c r="R99" i="19" s="1"/>
  <c r="P98" i="19"/>
  <c r="R98" i="19" s="1"/>
  <c r="P97" i="19"/>
  <c r="R97" i="19" s="1"/>
  <c r="P96" i="19"/>
  <c r="R96" i="19" s="1"/>
  <c r="P107" i="19"/>
  <c r="R107" i="19" s="1"/>
  <c r="P95" i="19"/>
  <c r="R95" i="19" s="1"/>
  <c r="P94" i="19"/>
  <c r="R94" i="19" s="1"/>
  <c r="P93" i="19"/>
  <c r="R93" i="19" s="1"/>
  <c r="P91" i="19"/>
  <c r="R91" i="19" s="1"/>
  <c r="P90" i="19"/>
  <c r="R90" i="19" s="1"/>
  <c r="P89" i="19"/>
  <c r="R89" i="19" s="1"/>
  <c r="P88" i="19"/>
  <c r="R88" i="19" s="1"/>
  <c r="P87" i="19"/>
  <c r="R87" i="19" s="1"/>
  <c r="P86" i="19"/>
  <c r="R86" i="19" s="1"/>
  <c r="P85" i="19"/>
  <c r="R85" i="19" s="1"/>
  <c r="P84" i="19"/>
  <c r="R84" i="19" s="1"/>
  <c r="P83" i="19"/>
  <c r="R83" i="19" s="1"/>
  <c r="P82" i="19"/>
  <c r="R82" i="19" s="1"/>
  <c r="P81" i="19"/>
  <c r="R81" i="19" s="1"/>
  <c r="P92" i="19"/>
  <c r="R92" i="19" s="1"/>
  <c r="P80" i="19"/>
  <c r="R80" i="19" s="1"/>
  <c r="P79" i="19"/>
  <c r="R79" i="19" s="1"/>
  <c r="P77" i="19"/>
  <c r="R77" i="19" s="1"/>
  <c r="P76" i="19"/>
  <c r="R76" i="19" s="1"/>
  <c r="P75" i="19"/>
  <c r="R75" i="19" s="1"/>
  <c r="P74" i="19"/>
  <c r="R74" i="19" s="1"/>
  <c r="P73" i="19"/>
  <c r="R73" i="19" s="1"/>
  <c r="P72" i="19"/>
  <c r="R72" i="19" s="1"/>
  <c r="P71" i="19"/>
  <c r="R71" i="19" s="1"/>
  <c r="P70" i="19"/>
  <c r="R70" i="19" s="1"/>
  <c r="P69" i="19"/>
  <c r="R69" i="19" s="1"/>
  <c r="P68" i="19"/>
  <c r="R68" i="19" s="1"/>
  <c r="P67" i="19"/>
  <c r="R67" i="19" s="1"/>
  <c r="P78" i="19"/>
  <c r="R78" i="19" s="1"/>
  <c r="P66" i="19"/>
  <c r="R66" i="19" s="1"/>
  <c r="P65" i="19"/>
  <c r="R65" i="19" s="1"/>
  <c r="P64" i="19"/>
  <c r="R64" i="19" s="1"/>
  <c r="P62" i="19"/>
  <c r="R62" i="19" s="1"/>
  <c r="P61" i="19"/>
  <c r="R61" i="19" s="1"/>
  <c r="P60" i="19"/>
  <c r="R60" i="19" s="1"/>
  <c r="P59" i="19"/>
  <c r="R59" i="19" s="1"/>
  <c r="P58" i="19"/>
  <c r="R58" i="19" s="1"/>
  <c r="P57" i="19"/>
  <c r="R57" i="19" s="1"/>
  <c r="P56" i="19"/>
  <c r="R56" i="19" s="1"/>
  <c r="P55" i="19"/>
  <c r="R55" i="19" s="1"/>
  <c r="P54" i="19"/>
  <c r="R54" i="19" s="1"/>
  <c r="P53" i="19"/>
  <c r="R53" i="19" s="1"/>
  <c r="P52" i="19"/>
  <c r="R52" i="19" s="1"/>
  <c r="P51" i="19"/>
  <c r="R51" i="19" s="1"/>
  <c r="P63" i="19"/>
  <c r="R63" i="19" s="1"/>
  <c r="P50" i="19"/>
  <c r="R50" i="19" s="1"/>
  <c r="P49" i="19"/>
  <c r="R49" i="19" s="1"/>
  <c r="P48" i="19"/>
  <c r="R48" i="19" s="1"/>
  <c r="P47" i="19"/>
  <c r="R47" i="19" s="1"/>
  <c r="P46" i="19"/>
  <c r="R46" i="19" s="1"/>
  <c r="P45" i="19"/>
  <c r="R45" i="19" s="1"/>
  <c r="P44" i="19"/>
  <c r="R44" i="19" s="1"/>
  <c r="P43" i="19"/>
  <c r="R43" i="19" s="1"/>
  <c r="P42" i="19"/>
  <c r="R42" i="19" s="1"/>
  <c r="P41" i="19"/>
  <c r="R41" i="19" s="1"/>
  <c r="P40" i="19"/>
  <c r="R40" i="19" s="1"/>
  <c r="P39" i="19"/>
  <c r="R39" i="19" s="1"/>
  <c r="P38" i="19"/>
  <c r="R38" i="19" s="1"/>
  <c r="P37" i="19"/>
  <c r="R37" i="19" s="1"/>
  <c r="P36" i="19"/>
  <c r="R36" i="19" s="1"/>
  <c r="P35" i="19"/>
  <c r="R35" i="19" s="1"/>
  <c r="P34" i="19"/>
  <c r="R34" i="19" s="1"/>
  <c r="P32" i="19"/>
  <c r="R32" i="19" s="1"/>
  <c r="P33" i="19"/>
  <c r="R33" i="19" s="1"/>
  <c r="P31" i="19"/>
  <c r="R31" i="19" s="1"/>
  <c r="P30" i="19"/>
  <c r="R30" i="19" s="1"/>
  <c r="P29" i="19"/>
  <c r="R29" i="19" s="1"/>
  <c r="P28" i="19"/>
  <c r="R28" i="19" s="1"/>
  <c r="P27" i="19"/>
  <c r="R27" i="19" s="1"/>
  <c r="P26" i="19"/>
  <c r="R26" i="19" s="1"/>
  <c r="P25" i="19"/>
  <c r="R25" i="19" s="1"/>
  <c r="P24" i="19"/>
  <c r="R24" i="19" s="1"/>
  <c r="P23" i="19"/>
  <c r="R23" i="19" s="1"/>
  <c r="P22" i="19"/>
  <c r="R22" i="19" s="1"/>
  <c r="P21" i="19"/>
  <c r="R21" i="19" s="1"/>
  <c r="P20" i="19"/>
  <c r="R20" i="19" s="1"/>
  <c r="P19" i="19"/>
  <c r="R19" i="19" s="1"/>
  <c r="P18" i="19"/>
  <c r="R18" i="19" s="1"/>
  <c r="P17" i="19"/>
  <c r="R17" i="19" s="1"/>
  <c r="P16" i="19"/>
  <c r="R16" i="19" s="1"/>
  <c r="P15" i="19"/>
  <c r="R15" i="19" s="1"/>
  <c r="P14" i="19"/>
  <c r="R14" i="19" s="1"/>
  <c r="P13" i="19"/>
  <c r="R13" i="19" s="1"/>
  <c r="P12" i="19"/>
  <c r="R12" i="19" s="1"/>
  <c r="P11" i="19"/>
  <c r="R11" i="19" s="1"/>
  <c r="P10" i="19"/>
  <c r="R10" i="19" s="1"/>
  <c r="P9" i="19"/>
  <c r="R9" i="19" s="1"/>
  <c r="P8" i="19"/>
  <c r="R8" i="19" s="1"/>
  <c r="P7" i="19"/>
  <c r="R7" i="19" s="1"/>
  <c r="P6" i="19"/>
  <c r="R6" i="19" s="1"/>
  <c r="P5" i="19"/>
  <c r="R5" i="19" s="1"/>
  <c r="P4" i="19"/>
  <c r="R4" i="19" s="1"/>
  <c r="P3" i="19"/>
  <c r="R3" i="19" s="1"/>
  <c r="P2" i="19"/>
  <c r="R2" i="19" s="1"/>
  <c r="O266" i="19"/>
  <c r="Q266" i="19" s="1"/>
  <c r="O265" i="19"/>
  <c r="Q265" i="19" s="1"/>
  <c r="O272" i="19"/>
  <c r="Q272" i="19" s="1"/>
  <c r="O264" i="19"/>
  <c r="Q264" i="19" s="1"/>
  <c r="O271" i="19"/>
  <c r="Q271" i="19" s="1"/>
  <c r="O263" i="19"/>
  <c r="Q263" i="19" s="1"/>
  <c r="O270" i="19"/>
  <c r="Q270" i="19" s="1"/>
  <c r="O269" i="19"/>
  <c r="Q269" i="19" s="1"/>
  <c r="O262" i="19"/>
  <c r="Q262" i="19" s="1"/>
  <c r="O268" i="19"/>
  <c r="Q268" i="19" s="1"/>
  <c r="O258" i="19"/>
  <c r="Q258" i="19" s="1"/>
  <c r="O259" i="19"/>
  <c r="Q259" i="19" s="1"/>
  <c r="O267" i="19"/>
  <c r="Q267" i="19" s="1"/>
  <c r="O273" i="19"/>
  <c r="Q273" i="19" s="1"/>
  <c r="O261" i="19"/>
  <c r="Q261" i="19" s="1"/>
  <c r="O260" i="19"/>
  <c r="Q260" i="19" s="1"/>
  <c r="O257" i="19"/>
  <c r="Q257" i="19" s="1"/>
  <c r="O256" i="19"/>
  <c r="Q256" i="19" s="1"/>
  <c r="O255" i="19"/>
  <c r="Q255" i="19" s="1"/>
  <c r="O254" i="19"/>
  <c r="Q254" i="19" s="1"/>
  <c r="O253" i="19"/>
  <c r="Q253" i="19" s="1"/>
  <c r="O252" i="19"/>
  <c r="Q252" i="19" s="1"/>
  <c r="O251" i="19"/>
  <c r="Q251" i="19" s="1"/>
  <c r="O250" i="19"/>
  <c r="Q250" i="19" s="1"/>
  <c r="O249" i="19"/>
  <c r="Q249" i="19" s="1"/>
  <c r="O248" i="19"/>
  <c r="Q248" i="19" s="1"/>
  <c r="O247" i="19"/>
  <c r="Q247" i="19" s="1"/>
  <c r="O246" i="19"/>
  <c r="Q246" i="19" s="1"/>
  <c r="O245" i="19"/>
  <c r="Q245" i="19" s="1"/>
  <c r="O244" i="19"/>
  <c r="Q244" i="19" s="1"/>
  <c r="O243" i="19"/>
  <c r="Q243" i="19" s="1"/>
  <c r="O242" i="19"/>
  <c r="Q242" i="19" s="1"/>
  <c r="O241" i="19"/>
  <c r="Q241" i="19" s="1"/>
  <c r="O240" i="19"/>
  <c r="Q240" i="19" s="1"/>
  <c r="O239" i="19"/>
  <c r="Q239" i="19" s="1"/>
  <c r="O238" i="19"/>
  <c r="Q238" i="19" s="1"/>
  <c r="O237" i="19"/>
  <c r="Q237" i="19" s="1"/>
  <c r="O236" i="19"/>
  <c r="Q236" i="19" s="1"/>
  <c r="O235" i="19"/>
  <c r="Q235" i="19" s="1"/>
  <c r="O234" i="19"/>
  <c r="Q234" i="19" s="1"/>
  <c r="O233" i="19"/>
  <c r="Q233" i="19" s="1"/>
  <c r="O232" i="19"/>
  <c r="Q232" i="19" s="1"/>
  <c r="O231" i="19"/>
  <c r="Q231" i="19" s="1"/>
  <c r="O230" i="19"/>
  <c r="Q230" i="19" s="1"/>
  <c r="O229" i="19"/>
  <c r="Q229" i="19" s="1"/>
  <c r="O228" i="19"/>
  <c r="Q228" i="19" s="1"/>
  <c r="O227" i="19"/>
  <c r="Q227" i="19" s="1"/>
  <c r="O226" i="19"/>
  <c r="Q226" i="19" s="1"/>
  <c r="O225" i="19"/>
  <c r="Q225" i="19" s="1"/>
  <c r="O224" i="19"/>
  <c r="Q224" i="19" s="1"/>
  <c r="O223" i="19"/>
  <c r="Q223" i="19" s="1"/>
  <c r="O222" i="19"/>
  <c r="Q222" i="19" s="1"/>
  <c r="O221" i="19"/>
  <c r="Q221" i="19" s="1"/>
  <c r="O220" i="19"/>
  <c r="Q220" i="19" s="1"/>
  <c r="O219" i="19"/>
  <c r="Q219" i="19" s="1"/>
  <c r="O218" i="19"/>
  <c r="Q218" i="19" s="1"/>
  <c r="O217" i="19"/>
  <c r="Q217" i="19" s="1"/>
  <c r="O216" i="19"/>
  <c r="Q216" i="19" s="1"/>
  <c r="O215" i="19"/>
  <c r="Q215" i="19" s="1"/>
  <c r="O214" i="19"/>
  <c r="Q214" i="19" s="1"/>
  <c r="O213" i="19"/>
  <c r="Q213" i="19" s="1"/>
  <c r="O212" i="19"/>
  <c r="Q212" i="19" s="1"/>
  <c r="O211" i="19"/>
  <c r="Q211" i="19" s="1"/>
  <c r="O210" i="19"/>
  <c r="Q210" i="19" s="1"/>
  <c r="O209" i="19"/>
  <c r="Q209" i="19" s="1"/>
  <c r="O208" i="19"/>
  <c r="Q208" i="19" s="1"/>
  <c r="O207" i="19"/>
  <c r="Q207" i="19" s="1"/>
  <c r="O206" i="19"/>
  <c r="Q206" i="19" s="1"/>
  <c r="O205" i="19"/>
  <c r="Q205" i="19" s="1"/>
  <c r="O204" i="19"/>
  <c r="Q204" i="19" s="1"/>
  <c r="O203" i="19"/>
  <c r="Q203" i="19" s="1"/>
  <c r="O202" i="19"/>
  <c r="Q202" i="19" s="1"/>
  <c r="O201" i="19"/>
  <c r="Q201" i="19" s="1"/>
  <c r="O200" i="19"/>
  <c r="Q200" i="19" s="1"/>
  <c r="O199" i="19"/>
  <c r="Q199" i="19" s="1"/>
  <c r="O198" i="19"/>
  <c r="Q198" i="19" s="1"/>
  <c r="O197" i="19"/>
  <c r="Q197" i="19" s="1"/>
  <c r="O196" i="19"/>
  <c r="Q196" i="19" s="1"/>
  <c r="O195" i="19"/>
  <c r="Q195" i="19" s="1"/>
  <c r="O194" i="19"/>
  <c r="Q194" i="19" s="1"/>
  <c r="O193" i="19"/>
  <c r="Q193" i="19" s="1"/>
  <c r="O192" i="19"/>
  <c r="Q192" i="19" s="1"/>
  <c r="O191" i="19"/>
  <c r="Q191" i="19" s="1"/>
  <c r="O190" i="19"/>
  <c r="Q190" i="19" s="1"/>
  <c r="O189" i="19"/>
  <c r="Q189" i="19" s="1"/>
  <c r="O188" i="19"/>
  <c r="Q188" i="19" s="1"/>
  <c r="O187" i="19"/>
  <c r="Q187" i="19" s="1"/>
  <c r="O186" i="19"/>
  <c r="Q186" i="19" s="1"/>
  <c r="O185" i="19"/>
  <c r="Q185" i="19" s="1"/>
  <c r="O184" i="19"/>
  <c r="Q184" i="19" s="1"/>
  <c r="O183" i="19"/>
  <c r="Q183" i="19" s="1"/>
  <c r="O182" i="19"/>
  <c r="Q182" i="19" s="1"/>
  <c r="O181" i="19"/>
  <c r="Q181" i="19" s="1"/>
  <c r="O180" i="19"/>
  <c r="Q180" i="19" s="1"/>
  <c r="O179" i="19"/>
  <c r="Q179" i="19" s="1"/>
  <c r="O178" i="19"/>
  <c r="Q178" i="19" s="1"/>
  <c r="O177" i="19"/>
  <c r="Q177" i="19" s="1"/>
  <c r="O176" i="19"/>
  <c r="Q176" i="19" s="1"/>
  <c r="O175" i="19"/>
  <c r="Q175" i="19" s="1"/>
  <c r="O174" i="19"/>
  <c r="Q174" i="19" s="1"/>
  <c r="O173" i="19"/>
  <c r="Q173" i="19" s="1"/>
  <c r="O172" i="19"/>
  <c r="Q172" i="19" s="1"/>
  <c r="O171" i="19"/>
  <c r="Q171" i="19" s="1"/>
  <c r="O170" i="19"/>
  <c r="Q170" i="19" s="1"/>
  <c r="O169" i="19"/>
  <c r="Q169" i="19" s="1"/>
  <c r="O168" i="19"/>
  <c r="Q168" i="19" s="1"/>
  <c r="O167" i="19"/>
  <c r="Q167" i="19" s="1"/>
  <c r="O166" i="19"/>
  <c r="Q166" i="19" s="1"/>
  <c r="O165" i="19"/>
  <c r="Q165" i="19" s="1"/>
  <c r="O163" i="19"/>
  <c r="Q163" i="19" s="1"/>
  <c r="O162" i="19"/>
  <c r="Q162" i="19" s="1"/>
  <c r="O161" i="19"/>
  <c r="Q161" i="19" s="1"/>
  <c r="O160" i="19"/>
  <c r="Q160" i="19" s="1"/>
  <c r="O159" i="19"/>
  <c r="Q159" i="19" s="1"/>
  <c r="O158" i="19"/>
  <c r="Q158" i="19" s="1"/>
  <c r="O157" i="19"/>
  <c r="Q157" i="19" s="1"/>
  <c r="O156" i="19"/>
  <c r="Q156" i="19" s="1"/>
  <c r="O155" i="19"/>
  <c r="Q155" i="19" s="1"/>
  <c r="O154" i="19"/>
  <c r="Q154" i="19" s="1"/>
  <c r="O153" i="19"/>
  <c r="Q153" i="19" s="1"/>
  <c r="O152" i="19"/>
  <c r="Q152" i="19" s="1"/>
  <c r="O164" i="19"/>
  <c r="Q164" i="19" s="1"/>
  <c r="O151" i="19"/>
  <c r="Q151" i="19" s="1"/>
  <c r="O150" i="19"/>
  <c r="Q150" i="19" s="1"/>
  <c r="O148" i="19"/>
  <c r="Q148" i="19" s="1"/>
  <c r="O147" i="19"/>
  <c r="Q147" i="19" s="1"/>
  <c r="O146" i="19"/>
  <c r="Q146" i="19" s="1"/>
  <c r="O145" i="19"/>
  <c r="Q145" i="19" s="1"/>
  <c r="O144" i="19"/>
  <c r="Q144" i="19" s="1"/>
  <c r="O143" i="19"/>
  <c r="Q143" i="19" s="1"/>
  <c r="O142" i="19"/>
  <c r="Q142" i="19" s="1"/>
  <c r="O141" i="19"/>
  <c r="Q141" i="19" s="1"/>
  <c r="O140" i="19"/>
  <c r="Q140" i="19" s="1"/>
  <c r="O139" i="19"/>
  <c r="Q139" i="19" s="1"/>
  <c r="O138" i="19"/>
  <c r="Q138" i="19" s="1"/>
  <c r="O149" i="19"/>
  <c r="Q149" i="19" s="1"/>
  <c r="O137" i="19"/>
  <c r="Q137" i="19" s="1"/>
  <c r="O136" i="19"/>
  <c r="Q136" i="19" s="1"/>
  <c r="O135" i="19"/>
  <c r="Q135" i="19" s="1"/>
  <c r="O134" i="19"/>
  <c r="Q134" i="19" s="1"/>
  <c r="O133" i="19"/>
  <c r="Q133" i="19" s="1"/>
  <c r="O132" i="19"/>
  <c r="Q132" i="19" s="1"/>
  <c r="O131" i="19"/>
  <c r="Q131" i="19" s="1"/>
  <c r="O130" i="19"/>
  <c r="Q130" i="19" s="1"/>
  <c r="O129" i="19"/>
  <c r="Q129" i="19" s="1"/>
  <c r="O128" i="19"/>
  <c r="Q128" i="19" s="1"/>
  <c r="O127" i="19"/>
  <c r="Q127" i="19" s="1"/>
  <c r="O126" i="19"/>
  <c r="Q126" i="19" s="1"/>
  <c r="O125" i="19"/>
  <c r="Q125" i="19" s="1"/>
  <c r="O124" i="19"/>
  <c r="Q124" i="19" s="1"/>
  <c r="O123" i="19"/>
  <c r="Q123" i="19" s="1"/>
  <c r="O122" i="19"/>
  <c r="Q122" i="19" s="1"/>
  <c r="O121" i="19"/>
  <c r="Q121" i="19" s="1"/>
  <c r="O120" i="19"/>
  <c r="Q120" i="19" s="1"/>
  <c r="O119" i="19"/>
  <c r="Q119" i="19" s="1"/>
  <c r="O118" i="19"/>
  <c r="Q118" i="19" s="1"/>
  <c r="O117" i="19"/>
  <c r="Q117" i="19" s="1"/>
  <c r="O116" i="19"/>
  <c r="Q116" i="19" s="1"/>
  <c r="O115" i="19"/>
  <c r="Q115" i="19" s="1"/>
  <c r="O114" i="19"/>
  <c r="Q114" i="19" s="1"/>
  <c r="O113" i="19"/>
  <c r="Q113" i="19" s="1"/>
  <c r="O112" i="19"/>
  <c r="Q112" i="19" s="1"/>
  <c r="O111" i="19"/>
  <c r="Q111" i="19" s="1"/>
  <c r="O110" i="19"/>
  <c r="Q110" i="19" s="1"/>
  <c r="O108" i="19"/>
  <c r="Q108" i="19" s="1"/>
  <c r="O109" i="19"/>
  <c r="Q109" i="19" s="1"/>
  <c r="O106" i="19"/>
  <c r="Q106" i="19" s="1"/>
  <c r="O105" i="19"/>
  <c r="Q105" i="19" s="1"/>
  <c r="O104" i="19"/>
  <c r="Q104" i="19" s="1"/>
  <c r="O103" i="19"/>
  <c r="Q103" i="19" s="1"/>
  <c r="O102" i="19"/>
  <c r="Q102" i="19" s="1"/>
  <c r="O101" i="19"/>
  <c r="Q101" i="19" s="1"/>
  <c r="O100" i="19"/>
  <c r="Q100" i="19" s="1"/>
  <c r="O99" i="19"/>
  <c r="Q99" i="19" s="1"/>
  <c r="O98" i="19"/>
  <c r="Q98" i="19" s="1"/>
  <c r="O97" i="19"/>
  <c r="Q97" i="19" s="1"/>
  <c r="O96" i="19"/>
  <c r="Q96" i="19" s="1"/>
  <c r="O107" i="19"/>
  <c r="Q107" i="19" s="1"/>
  <c r="O95" i="19"/>
  <c r="Q95" i="19" s="1"/>
  <c r="O94" i="19"/>
  <c r="Q94" i="19" s="1"/>
  <c r="O93" i="19"/>
  <c r="Q93" i="19" s="1"/>
  <c r="O91" i="19"/>
  <c r="Q91" i="19" s="1"/>
  <c r="O90" i="19"/>
  <c r="Q90" i="19" s="1"/>
  <c r="O89" i="19"/>
  <c r="Q89" i="19" s="1"/>
  <c r="O88" i="19"/>
  <c r="Q88" i="19" s="1"/>
  <c r="O87" i="19"/>
  <c r="Q87" i="19" s="1"/>
  <c r="O86" i="19"/>
  <c r="Q86" i="19" s="1"/>
  <c r="O85" i="19"/>
  <c r="Q85" i="19" s="1"/>
  <c r="O84" i="19"/>
  <c r="Q84" i="19" s="1"/>
  <c r="O83" i="19"/>
  <c r="Q83" i="19" s="1"/>
  <c r="O82" i="19"/>
  <c r="Q82" i="19" s="1"/>
  <c r="O81" i="19"/>
  <c r="Q81" i="19" s="1"/>
  <c r="O92" i="19"/>
  <c r="Q92" i="19" s="1"/>
  <c r="O80" i="19"/>
  <c r="Q80" i="19" s="1"/>
  <c r="O79" i="19"/>
  <c r="Q79" i="19" s="1"/>
  <c r="O77" i="19"/>
  <c r="Q77" i="19" s="1"/>
  <c r="O76" i="19"/>
  <c r="Q76" i="19" s="1"/>
  <c r="O75" i="19"/>
  <c r="Q75" i="19" s="1"/>
  <c r="O74" i="19"/>
  <c r="Q74" i="19" s="1"/>
  <c r="O73" i="19"/>
  <c r="Q73" i="19" s="1"/>
  <c r="O72" i="19"/>
  <c r="Q72" i="19" s="1"/>
  <c r="O71" i="19"/>
  <c r="Q71" i="19" s="1"/>
  <c r="O70" i="19"/>
  <c r="Q70" i="19" s="1"/>
  <c r="O69" i="19"/>
  <c r="Q69" i="19" s="1"/>
  <c r="O68" i="19"/>
  <c r="Q68" i="19" s="1"/>
  <c r="O67" i="19"/>
  <c r="Q67" i="19" s="1"/>
  <c r="O78" i="19"/>
  <c r="Q78" i="19" s="1"/>
  <c r="O66" i="19"/>
  <c r="Q66" i="19" s="1"/>
  <c r="O65" i="19"/>
  <c r="Q65" i="19" s="1"/>
  <c r="O64" i="19"/>
  <c r="Q64" i="19" s="1"/>
  <c r="O62" i="19"/>
  <c r="Q62" i="19" s="1"/>
  <c r="O61" i="19"/>
  <c r="Q61" i="19" s="1"/>
  <c r="O60" i="19"/>
  <c r="Q60" i="19" s="1"/>
  <c r="O59" i="19"/>
  <c r="Q59" i="19" s="1"/>
  <c r="O58" i="19"/>
  <c r="Q58" i="19" s="1"/>
  <c r="O57" i="19"/>
  <c r="Q57" i="19" s="1"/>
  <c r="O56" i="19"/>
  <c r="Q56" i="19" s="1"/>
  <c r="O55" i="19"/>
  <c r="Q55" i="19" s="1"/>
  <c r="O54" i="19"/>
  <c r="Q54" i="19" s="1"/>
  <c r="O53" i="19"/>
  <c r="Q53" i="19" s="1"/>
  <c r="O52" i="19"/>
  <c r="Q52" i="19" s="1"/>
  <c r="O51" i="19"/>
  <c r="Q51" i="19" s="1"/>
  <c r="O63" i="19"/>
  <c r="Q63" i="19" s="1"/>
  <c r="O50" i="19"/>
  <c r="Q50" i="19" s="1"/>
  <c r="O49" i="19"/>
  <c r="Q49" i="19" s="1"/>
  <c r="O48" i="19"/>
  <c r="Q48" i="19" s="1"/>
  <c r="O47" i="19"/>
  <c r="Q47" i="19" s="1"/>
  <c r="O46" i="19"/>
  <c r="Q46" i="19" s="1"/>
  <c r="O45" i="19"/>
  <c r="Q45" i="19" s="1"/>
  <c r="O44" i="19"/>
  <c r="Q44" i="19" s="1"/>
  <c r="O43" i="19"/>
  <c r="Q43" i="19" s="1"/>
  <c r="O42" i="19"/>
  <c r="Q42" i="19" s="1"/>
  <c r="O41" i="19"/>
  <c r="Q41" i="19" s="1"/>
  <c r="O40" i="19"/>
  <c r="Q40" i="19" s="1"/>
  <c r="O39" i="19"/>
  <c r="Q39" i="19" s="1"/>
  <c r="O38" i="19"/>
  <c r="Q38" i="19" s="1"/>
  <c r="O37" i="19"/>
  <c r="Q37" i="19" s="1"/>
  <c r="O36" i="19"/>
  <c r="Q36" i="19" s="1"/>
  <c r="O35" i="19"/>
  <c r="Q35" i="19" s="1"/>
  <c r="O34" i="19"/>
  <c r="Q34" i="19" s="1"/>
  <c r="O32" i="19"/>
  <c r="Q32" i="19" s="1"/>
  <c r="O33" i="19"/>
  <c r="Q33" i="19" s="1"/>
  <c r="O31" i="19"/>
  <c r="Q31" i="19" s="1"/>
  <c r="O30" i="19"/>
  <c r="Q30" i="19" s="1"/>
  <c r="O29" i="19"/>
  <c r="Q29" i="19" s="1"/>
  <c r="O28" i="19"/>
  <c r="Q28" i="19" s="1"/>
  <c r="O27" i="19"/>
  <c r="Q27" i="19" s="1"/>
  <c r="O26" i="19"/>
  <c r="Q26" i="19" s="1"/>
  <c r="O25" i="19"/>
  <c r="Q25" i="19" s="1"/>
  <c r="O24" i="19"/>
  <c r="Q24" i="19" s="1"/>
  <c r="O23" i="19"/>
  <c r="Q23" i="19" s="1"/>
  <c r="O22" i="19"/>
  <c r="Q22" i="19" s="1"/>
  <c r="O21" i="19"/>
  <c r="Q21" i="19" s="1"/>
  <c r="O20" i="19"/>
  <c r="Q20" i="19" s="1"/>
  <c r="O19" i="19"/>
  <c r="Q19" i="19" s="1"/>
  <c r="O18" i="19"/>
  <c r="Q18" i="19" s="1"/>
  <c r="O17" i="19"/>
  <c r="Q17" i="19" s="1"/>
  <c r="O16" i="19"/>
  <c r="Q16" i="19" s="1"/>
  <c r="O15" i="19"/>
  <c r="Q15" i="19" s="1"/>
  <c r="O14" i="19"/>
  <c r="Q14" i="19" s="1"/>
  <c r="O13" i="19"/>
  <c r="Q13" i="19" s="1"/>
  <c r="O12" i="19"/>
  <c r="Q12" i="19" s="1"/>
  <c r="O11" i="19"/>
  <c r="Q11" i="19" s="1"/>
  <c r="O10" i="19"/>
  <c r="Q10" i="19" s="1"/>
  <c r="O9" i="19"/>
  <c r="Q9" i="19" s="1"/>
  <c r="O8" i="19"/>
  <c r="Q8" i="19" s="1"/>
  <c r="O7" i="19"/>
  <c r="Q7" i="19" s="1"/>
  <c r="O6" i="19"/>
  <c r="Q6" i="19" s="1"/>
  <c r="O5" i="19"/>
  <c r="Q5" i="19" s="1"/>
  <c r="O4" i="19"/>
  <c r="Q4" i="19" s="1"/>
  <c r="O3" i="19"/>
  <c r="O2" i="19"/>
  <c r="U266" i="19"/>
  <c r="T266" i="19"/>
  <c r="V266" i="19" s="1"/>
  <c r="U265" i="19"/>
  <c r="T265" i="19"/>
  <c r="V265" i="19" s="1"/>
  <c r="U272" i="19"/>
  <c r="T272" i="19"/>
  <c r="V272" i="19" s="1"/>
  <c r="U264" i="19"/>
  <c r="T264" i="19"/>
  <c r="U271" i="19"/>
  <c r="T271" i="19"/>
  <c r="U263" i="19"/>
  <c r="T263" i="19"/>
  <c r="V263" i="19" s="1"/>
  <c r="U270" i="19"/>
  <c r="T270" i="19"/>
  <c r="U269" i="19"/>
  <c r="T269" i="19"/>
  <c r="V269" i="19" s="1"/>
  <c r="U262" i="19"/>
  <c r="T262" i="19"/>
  <c r="U268" i="19"/>
  <c r="T268" i="19"/>
  <c r="U258" i="19"/>
  <c r="T258" i="19"/>
  <c r="V258" i="19" s="1"/>
  <c r="U259" i="19"/>
  <c r="T259" i="19"/>
  <c r="U267" i="19"/>
  <c r="T267" i="19"/>
  <c r="U273" i="19"/>
  <c r="T273" i="19"/>
  <c r="U261" i="19"/>
  <c r="T261" i="19"/>
  <c r="U260" i="19"/>
  <c r="T260" i="19"/>
  <c r="U257" i="19"/>
  <c r="T257" i="19"/>
  <c r="U256" i="19"/>
  <c r="T256" i="19"/>
  <c r="U255" i="19"/>
  <c r="T255" i="19"/>
  <c r="U254" i="19"/>
  <c r="T254" i="19"/>
  <c r="V254" i="19" s="1"/>
  <c r="U253" i="19"/>
  <c r="T253" i="19"/>
  <c r="U252" i="19"/>
  <c r="T252" i="19"/>
  <c r="U251" i="19"/>
  <c r="T251" i="19"/>
  <c r="U250" i="19"/>
  <c r="T250" i="19"/>
  <c r="U249" i="19"/>
  <c r="T249" i="19"/>
  <c r="V249" i="19" s="1"/>
  <c r="U248" i="19"/>
  <c r="T248" i="19"/>
  <c r="U247" i="19"/>
  <c r="T247" i="19"/>
  <c r="U246" i="19"/>
  <c r="T246" i="19"/>
  <c r="U245" i="19"/>
  <c r="T245" i="19"/>
  <c r="U244" i="19"/>
  <c r="T244" i="19"/>
  <c r="U243" i="19"/>
  <c r="T243" i="19"/>
  <c r="U242" i="19"/>
  <c r="T242" i="19"/>
  <c r="V242" i="19" s="1"/>
  <c r="U241" i="19"/>
  <c r="T241" i="19"/>
  <c r="U240" i="19"/>
  <c r="T240" i="19"/>
  <c r="U239" i="19"/>
  <c r="T239" i="19"/>
  <c r="U238" i="19"/>
  <c r="T238" i="19"/>
  <c r="U237" i="19"/>
  <c r="T237" i="19"/>
  <c r="U236" i="19"/>
  <c r="T236" i="19"/>
  <c r="U235" i="19"/>
  <c r="T235" i="19"/>
  <c r="U234" i="19"/>
  <c r="T234" i="19"/>
  <c r="U233" i="19"/>
  <c r="T233" i="19"/>
  <c r="U232" i="19"/>
  <c r="T232" i="19"/>
  <c r="U231" i="19"/>
  <c r="T231" i="19"/>
  <c r="U230" i="19"/>
  <c r="T230" i="19"/>
  <c r="U229" i="19"/>
  <c r="T229" i="19"/>
  <c r="U228" i="19"/>
  <c r="T228" i="19"/>
  <c r="U227" i="19"/>
  <c r="T227" i="19"/>
  <c r="U226" i="19"/>
  <c r="T226" i="19"/>
  <c r="U225" i="19"/>
  <c r="T225" i="19"/>
  <c r="U224" i="19"/>
  <c r="T224" i="19"/>
  <c r="U223" i="19"/>
  <c r="T223" i="19"/>
  <c r="U222" i="19"/>
  <c r="T222" i="19"/>
  <c r="U221" i="19"/>
  <c r="T221" i="19"/>
  <c r="U220" i="19"/>
  <c r="T220" i="19"/>
  <c r="U219" i="19"/>
  <c r="T219" i="19"/>
  <c r="U218" i="19"/>
  <c r="T218" i="19"/>
  <c r="U217" i="19"/>
  <c r="T217" i="19"/>
  <c r="U216" i="19"/>
  <c r="T216" i="19"/>
  <c r="U215" i="19"/>
  <c r="T215" i="19"/>
  <c r="U214" i="19"/>
  <c r="T214" i="19"/>
  <c r="V214" i="19" s="1"/>
  <c r="U213" i="19"/>
  <c r="T213" i="19"/>
  <c r="U212" i="19"/>
  <c r="T212" i="19"/>
  <c r="U211" i="19"/>
  <c r="T211" i="19"/>
  <c r="U210" i="19"/>
  <c r="T210" i="19"/>
  <c r="U209" i="19"/>
  <c r="T209" i="19"/>
  <c r="U208" i="19"/>
  <c r="T208" i="19"/>
  <c r="U207" i="19"/>
  <c r="T207" i="19"/>
  <c r="U206" i="19"/>
  <c r="T206" i="19"/>
  <c r="U205" i="19"/>
  <c r="T205" i="19"/>
  <c r="U204" i="19"/>
  <c r="T204" i="19"/>
  <c r="U203" i="19"/>
  <c r="T203" i="19"/>
  <c r="U202" i="19"/>
  <c r="T202" i="19"/>
  <c r="V202" i="19" s="1"/>
  <c r="U201" i="19"/>
  <c r="T201" i="19"/>
  <c r="U200" i="19"/>
  <c r="T200" i="19"/>
  <c r="U199" i="19"/>
  <c r="T199" i="19"/>
  <c r="U198" i="19"/>
  <c r="T198" i="19"/>
  <c r="U197" i="19"/>
  <c r="T197" i="19"/>
  <c r="U196" i="19"/>
  <c r="T196" i="19"/>
  <c r="V196" i="19" s="1"/>
  <c r="U195" i="19"/>
  <c r="T195" i="19"/>
  <c r="U194" i="19"/>
  <c r="T194" i="19"/>
  <c r="U193" i="19"/>
  <c r="T193" i="19"/>
  <c r="V193" i="19" s="1"/>
  <c r="U192" i="19"/>
  <c r="T192" i="19"/>
  <c r="U191" i="19"/>
  <c r="T191" i="19"/>
  <c r="U190" i="19"/>
  <c r="T190" i="19"/>
  <c r="U189" i="19"/>
  <c r="T189" i="19"/>
  <c r="U188" i="19"/>
  <c r="T188" i="19"/>
  <c r="U187" i="19"/>
  <c r="T187" i="19"/>
  <c r="U186" i="19"/>
  <c r="T186" i="19"/>
  <c r="U185" i="19"/>
  <c r="T185" i="19"/>
  <c r="U184" i="19"/>
  <c r="T184" i="19"/>
  <c r="V184" i="19" s="1"/>
  <c r="U183" i="19"/>
  <c r="T183" i="19"/>
  <c r="V183" i="19" s="1"/>
  <c r="U182" i="19"/>
  <c r="T182" i="19"/>
  <c r="U181" i="19"/>
  <c r="T181" i="19"/>
  <c r="U180" i="19"/>
  <c r="T180" i="19"/>
  <c r="U179" i="19"/>
  <c r="T179" i="19"/>
  <c r="U178" i="19"/>
  <c r="T178" i="19"/>
  <c r="U177" i="19"/>
  <c r="T177" i="19"/>
  <c r="V177" i="19" s="1"/>
  <c r="U176" i="19"/>
  <c r="T176" i="19"/>
  <c r="U175" i="19"/>
  <c r="T175" i="19"/>
  <c r="U174" i="19"/>
  <c r="T174" i="19"/>
  <c r="U173" i="19"/>
  <c r="T173" i="19"/>
  <c r="U172" i="19"/>
  <c r="T172" i="19"/>
  <c r="U171" i="19"/>
  <c r="T171" i="19"/>
  <c r="V171" i="19" s="1"/>
  <c r="U170" i="19"/>
  <c r="T170" i="19"/>
  <c r="U169" i="19"/>
  <c r="T169" i="19"/>
  <c r="U168" i="19"/>
  <c r="T168" i="19"/>
  <c r="V168" i="19" s="1"/>
  <c r="U167" i="19"/>
  <c r="T167" i="19"/>
  <c r="U166" i="19"/>
  <c r="T166" i="19"/>
  <c r="U165" i="19"/>
  <c r="T165" i="19"/>
  <c r="U163" i="19"/>
  <c r="T163" i="19"/>
  <c r="U162" i="19"/>
  <c r="T162" i="19"/>
  <c r="U161" i="19"/>
  <c r="T161" i="19"/>
  <c r="U160" i="19"/>
  <c r="T160" i="19"/>
  <c r="U159" i="19"/>
  <c r="T159" i="19"/>
  <c r="V159" i="19" s="1"/>
  <c r="U158" i="19"/>
  <c r="T158" i="19"/>
  <c r="U157" i="19"/>
  <c r="T157" i="19"/>
  <c r="U156" i="19"/>
  <c r="T156" i="19"/>
  <c r="U155" i="19"/>
  <c r="T155" i="19"/>
  <c r="U154" i="19"/>
  <c r="T154" i="19"/>
  <c r="U153" i="19"/>
  <c r="T153" i="19"/>
  <c r="U152" i="19"/>
  <c r="T152" i="19"/>
  <c r="U164" i="19"/>
  <c r="T164" i="19"/>
  <c r="U151" i="19"/>
  <c r="T151" i="19"/>
  <c r="U150" i="19"/>
  <c r="T150" i="19"/>
  <c r="U148" i="19"/>
  <c r="T148" i="19"/>
  <c r="V148" i="19" s="1"/>
  <c r="U147" i="19"/>
  <c r="T147" i="19"/>
  <c r="U146" i="19"/>
  <c r="T146" i="19"/>
  <c r="U145" i="19"/>
  <c r="T145" i="19"/>
  <c r="U144" i="19"/>
  <c r="T144" i="19"/>
  <c r="U143" i="19"/>
  <c r="T143" i="19"/>
  <c r="V143" i="19" s="1"/>
  <c r="U142" i="19"/>
  <c r="T142" i="19"/>
  <c r="U141" i="19"/>
  <c r="T141" i="19"/>
  <c r="V141" i="19" s="1"/>
  <c r="U140" i="19"/>
  <c r="T140" i="19"/>
  <c r="U139" i="19"/>
  <c r="T139" i="19"/>
  <c r="U138" i="19"/>
  <c r="T138" i="19"/>
  <c r="U149" i="19"/>
  <c r="T149" i="19"/>
  <c r="U137" i="19"/>
  <c r="T137" i="19"/>
  <c r="U136" i="19"/>
  <c r="T136" i="19"/>
  <c r="V136" i="19" s="1"/>
  <c r="U135" i="19"/>
  <c r="T135" i="19"/>
  <c r="U134" i="19"/>
  <c r="T134" i="19"/>
  <c r="U133" i="19"/>
  <c r="T133" i="19"/>
  <c r="U132" i="19"/>
  <c r="T132" i="19"/>
  <c r="U131" i="19"/>
  <c r="T131" i="19"/>
  <c r="U130" i="19"/>
  <c r="T130" i="19"/>
  <c r="U129" i="19"/>
  <c r="T129" i="19"/>
  <c r="U128" i="19"/>
  <c r="T128" i="19"/>
  <c r="U127" i="19"/>
  <c r="T127" i="19"/>
  <c r="U126" i="19"/>
  <c r="T126" i="19"/>
  <c r="V126" i="19" s="1"/>
  <c r="U125" i="19"/>
  <c r="T125" i="19"/>
  <c r="U124" i="19"/>
  <c r="T124" i="19"/>
  <c r="U123" i="19"/>
  <c r="T123" i="19"/>
  <c r="U122" i="19"/>
  <c r="T122" i="19"/>
  <c r="U121" i="19"/>
  <c r="T121" i="19"/>
  <c r="U120" i="19"/>
  <c r="T120" i="19"/>
  <c r="U119" i="19"/>
  <c r="T119" i="19"/>
  <c r="U118" i="19"/>
  <c r="T118" i="19"/>
  <c r="U117" i="19"/>
  <c r="T117" i="19"/>
  <c r="U116" i="19"/>
  <c r="T116" i="19"/>
  <c r="U115" i="19"/>
  <c r="T115" i="19"/>
  <c r="U114" i="19"/>
  <c r="T114" i="19"/>
  <c r="U113" i="19"/>
  <c r="T113" i="19"/>
  <c r="U112" i="19"/>
  <c r="T112" i="19"/>
  <c r="U111" i="19"/>
  <c r="T111" i="19"/>
  <c r="U110" i="19"/>
  <c r="T110" i="19"/>
  <c r="U108" i="19"/>
  <c r="T108" i="19"/>
  <c r="U109" i="19"/>
  <c r="T109" i="19"/>
  <c r="U106" i="19"/>
  <c r="T106" i="19"/>
  <c r="U105" i="19"/>
  <c r="T105" i="19"/>
  <c r="U104" i="19"/>
  <c r="T104" i="19"/>
  <c r="U103" i="19"/>
  <c r="T103" i="19"/>
  <c r="U102" i="19"/>
  <c r="T102" i="19"/>
  <c r="U101" i="19"/>
  <c r="T101" i="19"/>
  <c r="U100" i="19"/>
  <c r="T100" i="19"/>
  <c r="V100" i="19" s="1"/>
  <c r="U99" i="19"/>
  <c r="T99" i="19"/>
  <c r="U98" i="19"/>
  <c r="T98" i="19"/>
  <c r="U97" i="19"/>
  <c r="T97" i="19"/>
  <c r="U96" i="19"/>
  <c r="T96" i="19"/>
  <c r="V96" i="19" s="1"/>
  <c r="U107" i="19"/>
  <c r="T107" i="19"/>
  <c r="U95" i="19"/>
  <c r="T95" i="19"/>
  <c r="V95" i="19" s="1"/>
  <c r="U94" i="19"/>
  <c r="T94" i="19"/>
  <c r="V94" i="19" s="1"/>
  <c r="U93" i="19"/>
  <c r="T93" i="19"/>
  <c r="U91" i="19"/>
  <c r="T91" i="19"/>
  <c r="U90" i="19"/>
  <c r="T90" i="19"/>
  <c r="U89" i="19"/>
  <c r="T89" i="19"/>
  <c r="V89" i="19" s="1"/>
  <c r="U88" i="19"/>
  <c r="T88" i="19"/>
  <c r="U87" i="19"/>
  <c r="T87" i="19"/>
  <c r="U86" i="19"/>
  <c r="T86" i="19"/>
  <c r="V86" i="19" s="1"/>
  <c r="U85" i="19"/>
  <c r="T85" i="19"/>
  <c r="U84" i="19"/>
  <c r="T84" i="19"/>
  <c r="V84" i="19" s="1"/>
  <c r="U83" i="19"/>
  <c r="T83" i="19"/>
  <c r="U82" i="19"/>
  <c r="T82" i="19"/>
  <c r="U81" i="19"/>
  <c r="T81" i="19"/>
  <c r="U92" i="19"/>
  <c r="T92" i="19"/>
  <c r="U80" i="19"/>
  <c r="T80" i="19"/>
  <c r="U79" i="19"/>
  <c r="T79" i="19"/>
  <c r="U77" i="19"/>
  <c r="T77" i="19"/>
  <c r="U76" i="19"/>
  <c r="T76" i="19"/>
  <c r="U75" i="19"/>
  <c r="T75" i="19"/>
  <c r="U74" i="19"/>
  <c r="T74" i="19"/>
  <c r="U73" i="19"/>
  <c r="T73" i="19"/>
  <c r="V73" i="19" s="1"/>
  <c r="U72" i="19"/>
  <c r="T72" i="19"/>
  <c r="U71" i="19"/>
  <c r="T71" i="19"/>
  <c r="U70" i="19"/>
  <c r="T70" i="19"/>
  <c r="U69" i="19"/>
  <c r="T69" i="19"/>
  <c r="U68" i="19"/>
  <c r="T68" i="19"/>
  <c r="U67" i="19"/>
  <c r="T67" i="19"/>
  <c r="U78" i="19"/>
  <c r="T78" i="19"/>
  <c r="U66" i="19"/>
  <c r="T66" i="19"/>
  <c r="U65" i="19"/>
  <c r="T65" i="19"/>
  <c r="U64" i="19"/>
  <c r="T64" i="19"/>
  <c r="V64" i="19" s="1"/>
  <c r="U62" i="19"/>
  <c r="T62" i="19"/>
  <c r="U61" i="19"/>
  <c r="T61" i="19"/>
  <c r="U60" i="19"/>
  <c r="T60" i="19"/>
  <c r="U59" i="19"/>
  <c r="T59" i="19"/>
  <c r="V59" i="19" s="1"/>
  <c r="U58" i="19"/>
  <c r="T58" i="19"/>
  <c r="U57" i="19"/>
  <c r="T57" i="19"/>
  <c r="U56" i="19"/>
  <c r="T56" i="19"/>
  <c r="U55" i="19"/>
  <c r="T55" i="19"/>
  <c r="U54" i="19"/>
  <c r="T54" i="19"/>
  <c r="U53" i="19"/>
  <c r="T53" i="19"/>
  <c r="U52" i="19"/>
  <c r="T52" i="19"/>
  <c r="U51" i="19"/>
  <c r="T51" i="19"/>
  <c r="U63" i="19"/>
  <c r="T63" i="19"/>
  <c r="V63" i="19" s="1"/>
  <c r="U50" i="19"/>
  <c r="T50" i="19"/>
  <c r="V50" i="19" s="1"/>
  <c r="U49" i="19"/>
  <c r="T49" i="19"/>
  <c r="U48" i="19"/>
  <c r="T48" i="19"/>
  <c r="U47" i="19"/>
  <c r="T47" i="19"/>
  <c r="U46" i="19"/>
  <c r="T46" i="19"/>
  <c r="U45" i="19"/>
  <c r="T45" i="19"/>
  <c r="U44" i="19"/>
  <c r="T44" i="19"/>
  <c r="U43" i="19"/>
  <c r="T43" i="19"/>
  <c r="U42" i="19"/>
  <c r="T42" i="19"/>
  <c r="U41" i="19"/>
  <c r="T41" i="19"/>
  <c r="U40" i="19"/>
  <c r="T40" i="19"/>
  <c r="U39" i="19"/>
  <c r="T39" i="19"/>
  <c r="U38" i="19"/>
  <c r="T38" i="19"/>
  <c r="U37" i="19"/>
  <c r="T37" i="19"/>
  <c r="U36" i="19"/>
  <c r="T36" i="19"/>
  <c r="U35" i="19"/>
  <c r="T35" i="19"/>
  <c r="U34" i="19"/>
  <c r="T34" i="19"/>
  <c r="U32" i="19"/>
  <c r="T32" i="19"/>
  <c r="U33" i="19"/>
  <c r="T33" i="19"/>
  <c r="U31" i="19"/>
  <c r="T31" i="19"/>
  <c r="U30" i="19"/>
  <c r="T30" i="19"/>
  <c r="U29" i="19"/>
  <c r="T29" i="19"/>
  <c r="U28" i="19"/>
  <c r="T28" i="19"/>
  <c r="U27" i="19"/>
  <c r="T27" i="19"/>
  <c r="U26" i="19"/>
  <c r="T26" i="19"/>
  <c r="U25" i="19"/>
  <c r="T25" i="19"/>
  <c r="U24" i="19"/>
  <c r="T24" i="19"/>
  <c r="U23" i="19"/>
  <c r="T23" i="19"/>
  <c r="U22" i="19"/>
  <c r="T22" i="19"/>
  <c r="U21" i="19"/>
  <c r="T21" i="19"/>
  <c r="V21" i="19" s="1"/>
  <c r="U20" i="19"/>
  <c r="T20" i="19"/>
  <c r="U19" i="19"/>
  <c r="T19" i="19"/>
  <c r="U18" i="19"/>
  <c r="T18" i="19"/>
  <c r="U17" i="19"/>
  <c r="T17" i="19"/>
  <c r="U16" i="19"/>
  <c r="T16" i="19"/>
  <c r="U15" i="19"/>
  <c r="T15" i="19"/>
  <c r="U14" i="19"/>
  <c r="T14" i="19"/>
  <c r="V14" i="19" s="1"/>
  <c r="U13" i="19"/>
  <c r="T13" i="19"/>
  <c r="U12" i="19"/>
  <c r="T12" i="19"/>
  <c r="U11" i="19"/>
  <c r="T11" i="19"/>
  <c r="U10" i="19"/>
  <c r="T10" i="19"/>
  <c r="U9" i="19"/>
  <c r="T9" i="19"/>
  <c r="U8" i="19"/>
  <c r="T8" i="19"/>
  <c r="U7" i="19"/>
  <c r="T7" i="19"/>
  <c r="U6" i="19"/>
  <c r="T6" i="19"/>
  <c r="U5" i="19"/>
  <c r="T5" i="19"/>
  <c r="U4" i="19"/>
  <c r="T4" i="19"/>
  <c r="U3" i="19"/>
  <c r="T3" i="19"/>
  <c r="T2" i="19"/>
  <c r="U2" i="19"/>
  <c r="R251" i="19"/>
  <c r="R250" i="19"/>
  <c r="R249" i="19"/>
  <c r="R244" i="19"/>
  <c r="R243" i="19"/>
  <c r="R236" i="19"/>
  <c r="R235" i="19"/>
  <c r="R234" i="19"/>
  <c r="R233" i="19"/>
  <c r="R132" i="19"/>
  <c r="R131" i="19"/>
  <c r="R130" i="19"/>
  <c r="R124" i="19"/>
  <c r="R123" i="19"/>
  <c r="R116" i="19"/>
  <c r="R115" i="19"/>
  <c r="R114" i="19"/>
  <c r="Y266" i="19"/>
  <c r="Y265" i="19"/>
  <c r="Y272" i="19"/>
  <c r="Y264" i="19"/>
  <c r="Y271" i="19"/>
  <c r="Y263" i="19"/>
  <c r="Y270" i="19"/>
  <c r="Y269" i="19"/>
  <c r="Y262" i="19"/>
  <c r="Y268" i="19"/>
  <c r="Y258" i="19"/>
  <c r="Y259" i="19"/>
  <c r="Y267" i="19"/>
  <c r="Y273" i="19"/>
  <c r="Y261" i="19"/>
  <c r="Y260" i="19"/>
  <c r="Y257" i="19"/>
  <c r="Y256" i="19"/>
  <c r="Y255" i="19"/>
  <c r="Y254" i="19"/>
  <c r="Y253" i="19"/>
  <c r="Y252" i="19"/>
  <c r="Y251" i="19"/>
  <c r="Y250" i="19"/>
  <c r="Y249" i="19"/>
  <c r="Y248" i="19"/>
  <c r="Y247" i="19"/>
  <c r="Y246" i="19"/>
  <c r="Y245" i="19"/>
  <c r="Y244" i="19"/>
  <c r="Y243" i="19"/>
  <c r="Y242" i="19"/>
  <c r="Y241" i="19"/>
  <c r="Y240" i="19"/>
  <c r="Y239" i="19"/>
  <c r="Y238" i="19"/>
  <c r="Y237" i="19"/>
  <c r="Y236" i="19"/>
  <c r="Y235" i="19"/>
  <c r="Y234" i="19"/>
  <c r="Y233" i="19"/>
  <c r="Y232" i="19"/>
  <c r="Y231" i="19"/>
  <c r="Y230" i="19"/>
  <c r="Y229" i="19"/>
  <c r="Y228" i="19"/>
  <c r="Y227" i="19"/>
  <c r="Y226" i="19"/>
  <c r="Y225" i="19"/>
  <c r="Y224" i="19"/>
  <c r="Y223" i="19"/>
  <c r="Y222" i="19"/>
  <c r="Y221" i="19"/>
  <c r="Y220" i="19"/>
  <c r="Y219" i="19"/>
  <c r="Y218" i="19"/>
  <c r="Y217" i="19"/>
  <c r="Y216" i="19"/>
  <c r="Y215" i="19"/>
  <c r="Y214" i="19"/>
  <c r="Y213" i="19"/>
  <c r="Y212" i="19"/>
  <c r="Y211" i="19"/>
  <c r="Y210" i="19"/>
  <c r="Y209" i="19"/>
  <c r="Y208" i="19"/>
  <c r="Y207" i="19"/>
  <c r="Y206" i="19"/>
  <c r="Y205" i="19"/>
  <c r="Y204" i="19"/>
  <c r="Y203" i="19"/>
  <c r="Y202" i="19"/>
  <c r="Y201" i="19"/>
  <c r="Y200" i="19"/>
  <c r="Y199" i="19"/>
  <c r="Y198" i="19"/>
  <c r="Y197" i="19"/>
  <c r="Y196" i="19"/>
  <c r="Y195" i="19"/>
  <c r="Y194" i="19"/>
  <c r="Y193" i="19"/>
  <c r="Y192" i="19"/>
  <c r="Y191" i="19"/>
  <c r="Y190" i="19"/>
  <c r="Y189" i="19"/>
  <c r="Y188" i="19"/>
  <c r="Y187" i="19"/>
  <c r="Y186" i="19"/>
  <c r="Y185" i="19"/>
  <c r="Y184" i="19"/>
  <c r="Y183" i="19"/>
  <c r="Y182" i="19"/>
  <c r="Y181" i="19"/>
  <c r="Y180" i="19"/>
  <c r="Y179" i="19"/>
  <c r="Y178" i="19"/>
  <c r="Y177" i="19"/>
  <c r="Y176" i="19"/>
  <c r="Y175" i="19"/>
  <c r="Y174" i="19"/>
  <c r="Y173" i="19"/>
  <c r="Y172" i="19"/>
  <c r="Y171" i="19"/>
  <c r="Y170" i="19"/>
  <c r="Y169" i="19"/>
  <c r="Y168" i="19"/>
  <c r="Y167" i="19"/>
  <c r="Y166" i="19"/>
  <c r="Y165" i="19"/>
  <c r="Y163" i="19"/>
  <c r="Y162" i="19"/>
  <c r="Y161" i="19"/>
  <c r="Y160" i="19"/>
  <c r="Y159" i="19"/>
  <c r="Y158" i="19"/>
  <c r="Y157" i="19"/>
  <c r="Y156" i="19"/>
  <c r="Y155" i="19"/>
  <c r="Y154" i="19"/>
  <c r="Y153" i="19"/>
  <c r="Y152" i="19"/>
  <c r="Y164" i="19"/>
  <c r="Y151" i="19"/>
  <c r="Y150" i="19"/>
  <c r="Y148" i="19"/>
  <c r="Y147" i="19"/>
  <c r="Y146" i="19"/>
  <c r="Y145" i="19"/>
  <c r="Y144" i="19"/>
  <c r="Y143" i="19"/>
  <c r="Y142" i="19"/>
  <c r="Y141" i="19"/>
  <c r="Y140" i="19"/>
  <c r="Y139" i="19"/>
  <c r="Y138" i="19"/>
  <c r="Y149" i="19"/>
  <c r="Y137" i="19"/>
  <c r="Y136" i="19"/>
  <c r="Y135" i="19"/>
  <c r="Y134" i="19"/>
  <c r="Y133" i="19"/>
  <c r="Y132" i="19"/>
  <c r="Y131" i="19"/>
  <c r="Y130" i="19"/>
  <c r="Y129" i="19"/>
  <c r="Y128" i="19"/>
  <c r="Y127" i="19"/>
  <c r="Y126" i="19"/>
  <c r="Y125" i="19"/>
  <c r="Y124" i="19"/>
  <c r="Y123" i="19"/>
  <c r="Y122" i="19"/>
  <c r="Y121" i="19"/>
  <c r="Y120" i="19"/>
  <c r="Y119" i="19"/>
  <c r="Y118" i="19"/>
  <c r="Y117" i="19"/>
  <c r="Y116" i="19"/>
  <c r="Y115" i="19"/>
  <c r="Y114" i="19"/>
  <c r="Y113" i="19"/>
  <c r="Y112" i="19"/>
  <c r="Y111" i="19"/>
  <c r="Y110" i="19"/>
  <c r="Y108" i="19"/>
  <c r="Y109" i="19"/>
  <c r="Y106" i="19"/>
  <c r="Y105" i="19"/>
  <c r="Y104" i="19"/>
  <c r="Y103" i="19"/>
  <c r="Y102" i="19"/>
  <c r="Y101" i="19"/>
  <c r="Y100" i="19"/>
  <c r="Y99" i="19"/>
  <c r="Y98" i="19"/>
  <c r="Y97" i="19"/>
  <c r="Y96" i="19"/>
  <c r="Y107" i="19"/>
  <c r="Y95" i="19"/>
  <c r="Y94" i="19"/>
  <c r="Y93" i="19"/>
  <c r="Y91" i="19"/>
  <c r="Y90" i="19"/>
  <c r="Y89" i="19"/>
  <c r="Y88" i="19"/>
  <c r="Y87" i="19"/>
  <c r="Y86" i="19"/>
  <c r="Y85" i="19"/>
  <c r="Y84" i="19"/>
  <c r="Y83" i="19"/>
  <c r="Y82" i="19"/>
  <c r="Y81" i="19"/>
  <c r="Y92" i="19"/>
  <c r="Y80" i="19"/>
  <c r="Y79" i="19"/>
  <c r="Y77" i="19"/>
  <c r="Y76" i="19"/>
  <c r="Y75" i="19"/>
  <c r="Y74" i="19"/>
  <c r="Y73" i="19"/>
  <c r="Y72" i="19"/>
  <c r="Y71" i="19"/>
  <c r="Y70" i="19"/>
  <c r="Y69" i="19"/>
  <c r="Y68" i="19"/>
  <c r="Y67" i="19"/>
  <c r="Y78" i="19"/>
  <c r="Y66" i="19"/>
  <c r="Y65" i="19"/>
  <c r="Y64" i="19"/>
  <c r="Y62" i="19"/>
  <c r="Y61" i="19"/>
  <c r="Y60" i="19"/>
  <c r="Y59" i="19"/>
  <c r="Y58" i="19"/>
  <c r="Y57" i="19"/>
  <c r="Y56" i="19"/>
  <c r="Y55" i="19"/>
  <c r="Y54" i="19"/>
  <c r="Y53" i="19"/>
  <c r="Y52" i="19"/>
  <c r="Y51" i="19"/>
  <c r="Y63" i="19"/>
  <c r="Y50" i="19"/>
  <c r="Y49" i="19"/>
  <c r="Y48" i="19"/>
  <c r="Y47" i="19"/>
  <c r="Y46" i="19"/>
  <c r="Y45" i="19"/>
  <c r="Y44" i="19"/>
  <c r="Y43" i="19"/>
  <c r="Y42" i="19"/>
  <c r="Y41" i="19"/>
  <c r="Y40" i="19"/>
  <c r="Y39" i="19"/>
  <c r="Y38" i="19"/>
  <c r="Y37" i="19"/>
  <c r="Y36" i="19"/>
  <c r="Y35" i="19"/>
  <c r="Y34" i="19"/>
  <c r="Y32" i="19"/>
  <c r="Y33" i="19"/>
  <c r="Y31" i="19"/>
  <c r="Y30" i="19"/>
  <c r="Y29" i="19"/>
  <c r="Y28" i="19"/>
  <c r="Y27" i="19"/>
  <c r="Y26" i="19"/>
  <c r="Y25" i="19"/>
  <c r="Y24" i="19"/>
  <c r="Y23" i="19"/>
  <c r="Y22" i="19"/>
  <c r="Y21" i="19"/>
  <c r="Y20" i="19"/>
  <c r="Y19" i="19"/>
  <c r="Y18" i="19"/>
  <c r="Y17" i="19"/>
  <c r="Y16" i="19"/>
  <c r="Y15" i="19"/>
  <c r="Y14" i="19"/>
  <c r="Y13" i="19"/>
  <c r="Y12" i="19"/>
  <c r="Y11" i="19"/>
  <c r="Y10" i="19"/>
  <c r="Y9" i="19"/>
  <c r="Y8" i="19"/>
  <c r="Y7" i="19"/>
  <c r="Y6" i="19"/>
  <c r="Y5" i="19"/>
  <c r="Y4" i="19"/>
  <c r="Y3" i="19"/>
  <c r="Y2" i="19"/>
  <c r="X266" i="19"/>
  <c r="X265" i="19"/>
  <c r="X272" i="19"/>
  <c r="X264" i="19"/>
  <c r="X271" i="19"/>
  <c r="X263" i="19"/>
  <c r="X270" i="19"/>
  <c r="X269" i="19"/>
  <c r="X262" i="19"/>
  <c r="X268" i="19"/>
  <c r="X258" i="19"/>
  <c r="X259" i="19"/>
  <c r="X267" i="19"/>
  <c r="X273" i="19"/>
  <c r="X261" i="19"/>
  <c r="X260" i="19"/>
  <c r="X257" i="19"/>
  <c r="X256" i="19"/>
  <c r="X255" i="19"/>
  <c r="X254" i="19"/>
  <c r="X253" i="19"/>
  <c r="X252" i="19"/>
  <c r="X251" i="19"/>
  <c r="X250" i="19"/>
  <c r="X249" i="19"/>
  <c r="X248" i="19"/>
  <c r="X247" i="19"/>
  <c r="X246" i="19"/>
  <c r="X245" i="19"/>
  <c r="X244" i="19"/>
  <c r="X243" i="19"/>
  <c r="X242" i="19"/>
  <c r="X241" i="19"/>
  <c r="X240" i="19"/>
  <c r="X239" i="19"/>
  <c r="X238" i="19"/>
  <c r="X237" i="19"/>
  <c r="X235" i="19"/>
  <c r="X234" i="19"/>
  <c r="X233" i="19"/>
  <c r="X232" i="19"/>
  <c r="X231" i="19"/>
  <c r="X230" i="19"/>
  <c r="X229" i="19"/>
  <c r="X228" i="19"/>
  <c r="X227" i="19"/>
  <c r="X226" i="19"/>
  <c r="X225" i="19"/>
  <c r="X224" i="19"/>
  <c r="X223" i="19"/>
  <c r="X222" i="19"/>
  <c r="X221" i="19"/>
  <c r="X220" i="19"/>
  <c r="X219" i="19"/>
  <c r="X218" i="19"/>
  <c r="X217" i="19"/>
  <c r="X216" i="19"/>
  <c r="X215" i="19"/>
  <c r="X214" i="19"/>
  <c r="X213" i="19"/>
  <c r="X212" i="19"/>
  <c r="X211" i="19"/>
  <c r="X210" i="19"/>
  <c r="X209" i="19"/>
  <c r="X208" i="19"/>
  <c r="X207" i="19"/>
  <c r="X206" i="19"/>
  <c r="X205" i="19"/>
  <c r="X204" i="19"/>
  <c r="X203" i="19"/>
  <c r="X202" i="19"/>
  <c r="X201" i="19"/>
  <c r="X200" i="19"/>
  <c r="X199" i="19"/>
  <c r="X198" i="19"/>
  <c r="X197" i="19"/>
  <c r="X196" i="19"/>
  <c r="X195" i="19"/>
  <c r="X194" i="19"/>
  <c r="X193" i="19"/>
  <c r="X192" i="19"/>
  <c r="X191" i="19"/>
  <c r="X190" i="19"/>
  <c r="X189" i="19"/>
  <c r="X188" i="19"/>
  <c r="X187" i="19"/>
  <c r="X186" i="19"/>
  <c r="X185" i="19"/>
  <c r="X184" i="19"/>
  <c r="X183" i="19"/>
  <c r="X182" i="19"/>
  <c r="X181" i="19"/>
  <c r="X180" i="19"/>
  <c r="X179" i="19"/>
  <c r="X178" i="19"/>
  <c r="X177" i="19"/>
  <c r="X176" i="19"/>
  <c r="X175" i="19"/>
  <c r="X174" i="19"/>
  <c r="X173" i="19"/>
  <c r="X172" i="19"/>
  <c r="X171" i="19"/>
  <c r="X170" i="19"/>
  <c r="X169" i="19"/>
  <c r="X168" i="19"/>
  <c r="X167" i="19"/>
  <c r="X166" i="19"/>
  <c r="X165" i="19"/>
  <c r="X163" i="19"/>
  <c r="X162" i="19"/>
  <c r="X161" i="19"/>
  <c r="X160" i="19"/>
  <c r="X159" i="19"/>
  <c r="X158" i="19"/>
  <c r="X157" i="19"/>
  <c r="X156" i="19"/>
  <c r="X155" i="19"/>
  <c r="X154" i="19"/>
  <c r="X153" i="19"/>
  <c r="X152" i="19"/>
  <c r="X164" i="19"/>
  <c r="X151" i="19"/>
  <c r="X150" i="19"/>
  <c r="X148" i="19"/>
  <c r="X147" i="19"/>
  <c r="X146" i="19"/>
  <c r="X145" i="19"/>
  <c r="X144" i="19"/>
  <c r="X143" i="19"/>
  <c r="X142" i="19"/>
  <c r="X141" i="19"/>
  <c r="X140" i="19"/>
  <c r="X139" i="19"/>
  <c r="X138" i="19"/>
  <c r="X149" i="19"/>
  <c r="X137" i="19"/>
  <c r="X136" i="19"/>
  <c r="X135" i="19"/>
  <c r="X134" i="19"/>
  <c r="X133" i="19"/>
  <c r="X132" i="19"/>
  <c r="X131" i="19"/>
  <c r="X130" i="19"/>
  <c r="X129" i="19"/>
  <c r="X128" i="19"/>
  <c r="X127" i="19"/>
  <c r="X126" i="19"/>
  <c r="X125" i="19"/>
  <c r="X124" i="19"/>
  <c r="X123" i="19"/>
  <c r="X122" i="19"/>
  <c r="X121" i="19"/>
  <c r="X120" i="19"/>
  <c r="X119" i="19"/>
  <c r="X118" i="19"/>
  <c r="X117" i="19"/>
  <c r="X116" i="19"/>
  <c r="X115" i="19"/>
  <c r="X114" i="19"/>
  <c r="X113" i="19"/>
  <c r="X112" i="19"/>
  <c r="X111" i="19"/>
  <c r="X110" i="19"/>
  <c r="X108" i="19"/>
  <c r="X109" i="19"/>
  <c r="X106" i="19"/>
  <c r="X105" i="19"/>
  <c r="X104" i="19"/>
  <c r="X103" i="19"/>
  <c r="X102" i="19"/>
  <c r="X101" i="19"/>
  <c r="X100" i="19"/>
  <c r="X99" i="19"/>
  <c r="X98" i="19"/>
  <c r="X97" i="19"/>
  <c r="X96" i="19"/>
  <c r="X107" i="19"/>
  <c r="X95" i="19"/>
  <c r="X94" i="19"/>
  <c r="X93" i="19"/>
  <c r="X91" i="19"/>
  <c r="X90" i="19"/>
  <c r="X89" i="19"/>
  <c r="X88" i="19"/>
  <c r="X87" i="19"/>
  <c r="X86" i="19"/>
  <c r="X85" i="19"/>
  <c r="X84" i="19"/>
  <c r="X83" i="19"/>
  <c r="X82" i="19"/>
  <c r="X81" i="19"/>
  <c r="X92" i="19"/>
  <c r="X80" i="19"/>
  <c r="X79" i="19"/>
  <c r="X77" i="19"/>
  <c r="X76" i="19"/>
  <c r="X75" i="19"/>
  <c r="X74" i="19"/>
  <c r="X73" i="19"/>
  <c r="X72" i="19"/>
  <c r="X71" i="19"/>
  <c r="X70" i="19"/>
  <c r="X69" i="19"/>
  <c r="X68" i="19"/>
  <c r="X67" i="19"/>
  <c r="X78" i="19"/>
  <c r="X66" i="19"/>
  <c r="X65" i="19"/>
  <c r="X64" i="19"/>
  <c r="X62" i="19"/>
  <c r="X61" i="19"/>
  <c r="X60" i="19"/>
  <c r="X59" i="19"/>
  <c r="X58" i="19"/>
  <c r="X57" i="19"/>
  <c r="X56" i="19"/>
  <c r="X55" i="19"/>
  <c r="X54" i="19"/>
  <c r="X53" i="19"/>
  <c r="X52" i="19"/>
  <c r="X51" i="19"/>
  <c r="X63" i="19"/>
  <c r="X50" i="19"/>
  <c r="X49" i="19"/>
  <c r="X48" i="19"/>
  <c r="X47" i="19"/>
  <c r="X46" i="19"/>
  <c r="X45" i="19"/>
  <c r="X44" i="19"/>
  <c r="X43" i="19"/>
  <c r="X42" i="19"/>
  <c r="X41" i="19"/>
  <c r="X40" i="19"/>
  <c r="X39" i="19"/>
  <c r="X38" i="19"/>
  <c r="X37" i="19"/>
  <c r="X36" i="19"/>
  <c r="X35" i="19"/>
  <c r="X34" i="19"/>
  <c r="X32" i="19"/>
  <c r="X33" i="19"/>
  <c r="X31" i="19"/>
  <c r="X30" i="19"/>
  <c r="X29" i="19"/>
  <c r="X28" i="19"/>
  <c r="X27" i="19"/>
  <c r="X26" i="19"/>
  <c r="X25" i="19"/>
  <c r="X24" i="19"/>
  <c r="X23" i="19"/>
  <c r="X22" i="19"/>
  <c r="X21" i="19"/>
  <c r="X20" i="19"/>
  <c r="X19" i="19"/>
  <c r="X18" i="19"/>
  <c r="X17" i="19"/>
  <c r="X16" i="19"/>
  <c r="X15" i="19"/>
  <c r="X14" i="19"/>
  <c r="X13" i="19"/>
  <c r="X12" i="19"/>
  <c r="X11" i="19"/>
  <c r="X10" i="19"/>
  <c r="X9" i="19"/>
  <c r="X8" i="19"/>
  <c r="X7" i="19"/>
  <c r="X6" i="19"/>
  <c r="X5" i="19"/>
  <c r="X4" i="19"/>
  <c r="X3" i="19"/>
  <c r="X2" i="19"/>
  <c r="V385" i="13"/>
  <c r="V383" i="13"/>
  <c r="V380" i="13"/>
  <c r="V384" i="13"/>
  <c r="V382" i="13"/>
  <c r="V381" i="13"/>
  <c r="V378" i="13"/>
  <c r="V375" i="13"/>
  <c r="V376" i="13"/>
  <c r="V379" i="13"/>
  <c r="V374" i="13"/>
  <c r="V366" i="13"/>
  <c r="V373" i="13"/>
  <c r="V377" i="13"/>
  <c r="V372" i="13"/>
  <c r="V370" i="13"/>
  <c r="V365" i="13"/>
  <c r="V369" i="13"/>
  <c r="V359" i="13"/>
  <c r="V368" i="13"/>
  <c r="V367" i="13"/>
  <c r="V363" i="13"/>
  <c r="V358" i="13"/>
  <c r="V354" i="13"/>
  <c r="V362" i="13"/>
  <c r="V371" i="13"/>
  <c r="V355" i="13"/>
  <c r="V361" i="13"/>
  <c r="V360" i="13"/>
  <c r="V364" i="13"/>
  <c r="V357" i="13"/>
  <c r="V356" i="13"/>
  <c r="AV413" i="17"/>
  <c r="AU413" i="17"/>
  <c r="AV412" i="17"/>
  <c r="AU412" i="17"/>
  <c r="AV411" i="17"/>
  <c r="AU411" i="17"/>
  <c r="AV410" i="17"/>
  <c r="AU410" i="17"/>
  <c r="AV409" i="17"/>
  <c r="AU409" i="17"/>
  <c r="AV408" i="17"/>
  <c r="AU408" i="17"/>
  <c r="AV407" i="17"/>
  <c r="AU407" i="17"/>
  <c r="AV406" i="17"/>
  <c r="AU406" i="17"/>
  <c r="AV405" i="17"/>
  <c r="AU405" i="17"/>
  <c r="AV404" i="17"/>
  <c r="AU404" i="17"/>
  <c r="AV403" i="17"/>
  <c r="AU403" i="17"/>
  <c r="AV402" i="17"/>
  <c r="AU402" i="17"/>
  <c r="AV401" i="17"/>
  <c r="AU401" i="17"/>
  <c r="AV400" i="17"/>
  <c r="AU400" i="17"/>
  <c r="AV399" i="17"/>
  <c r="AU399" i="17"/>
  <c r="AV398" i="17"/>
  <c r="AU398" i="17"/>
  <c r="AV397" i="17"/>
  <c r="AU397" i="17"/>
  <c r="AV396" i="17"/>
  <c r="AU396" i="17"/>
  <c r="AV395" i="17"/>
  <c r="AU395" i="17"/>
  <c r="AV394" i="17"/>
  <c r="AU394" i="17"/>
  <c r="AV393" i="17"/>
  <c r="AU393" i="17"/>
  <c r="AV392" i="17"/>
  <c r="AU392" i="17"/>
  <c r="AV391" i="17"/>
  <c r="AU391" i="17"/>
  <c r="AV390" i="17"/>
  <c r="AU390" i="17"/>
  <c r="AV389" i="17"/>
  <c r="AU389" i="17"/>
  <c r="AV388" i="17"/>
  <c r="AU388" i="17"/>
  <c r="AV387" i="17"/>
  <c r="AU387" i="17"/>
  <c r="AV386" i="17"/>
  <c r="AU386" i="17"/>
  <c r="AV385" i="17"/>
  <c r="AU385" i="17"/>
  <c r="AV384" i="17"/>
  <c r="AU384" i="17"/>
  <c r="AV383" i="17"/>
  <c r="AU383" i="17"/>
  <c r="AV382" i="17"/>
  <c r="AU382" i="17"/>
  <c r="AV381" i="17"/>
  <c r="AU381" i="17"/>
  <c r="AV380" i="17"/>
  <c r="AU380" i="17"/>
  <c r="AV379" i="17"/>
  <c r="AU379" i="17"/>
  <c r="AV378" i="17"/>
  <c r="AU378" i="17"/>
  <c r="AV377" i="17"/>
  <c r="AU377" i="17"/>
  <c r="AV376" i="17"/>
  <c r="AU376" i="17"/>
  <c r="AV375" i="17"/>
  <c r="AU375" i="17"/>
  <c r="AV374" i="17"/>
  <c r="AU374" i="17"/>
  <c r="AV373" i="17"/>
  <c r="AU373" i="17"/>
  <c r="AV372" i="17"/>
  <c r="AU372" i="17"/>
  <c r="AV371" i="17"/>
  <c r="AU371" i="17"/>
  <c r="AV370" i="17"/>
  <c r="AU370" i="17"/>
  <c r="AV369" i="17"/>
  <c r="AU369" i="17"/>
  <c r="AV368" i="17"/>
  <c r="AU368" i="17"/>
  <c r="AV367" i="17"/>
  <c r="AU367" i="17"/>
  <c r="V353" i="13"/>
  <c r="V352" i="13"/>
  <c r="V351" i="13"/>
  <c r="V346" i="13"/>
  <c r="V345" i="13"/>
  <c r="V349" i="13"/>
  <c r="V347" i="13"/>
  <c r="V350" i="13"/>
  <c r="V344" i="13"/>
  <c r="V348" i="13"/>
  <c r="V341" i="13"/>
  <c r="V340" i="13"/>
  <c r="V343" i="13"/>
  <c r="V342" i="13"/>
  <c r="V339" i="13"/>
  <c r="V335" i="13"/>
  <c r="V336" i="13"/>
  <c r="V338" i="13"/>
  <c r="V334" i="13"/>
  <c r="V328" i="13"/>
  <c r="V332" i="13"/>
  <c r="V326" i="13"/>
  <c r="V329" i="13"/>
  <c r="V322" i="13"/>
  <c r="V331" i="13"/>
  <c r="V330" i="13"/>
  <c r="V337" i="13"/>
  <c r="V333" i="13"/>
  <c r="V323" i="13"/>
  <c r="V327" i="13"/>
  <c r="V325" i="13"/>
  <c r="V324" i="13"/>
  <c r="AV366" i="17"/>
  <c r="AU366" i="17"/>
  <c r="AV365" i="17"/>
  <c r="AU365" i="17"/>
  <c r="AV364" i="17"/>
  <c r="AU364" i="17"/>
  <c r="AV363" i="17"/>
  <c r="AU363" i="17"/>
  <c r="AV362" i="17"/>
  <c r="AU362" i="17"/>
  <c r="AV361" i="17"/>
  <c r="AU361" i="17"/>
  <c r="AV360" i="17"/>
  <c r="AU360" i="17"/>
  <c r="AV359" i="17"/>
  <c r="AU359" i="17"/>
  <c r="AV358" i="17"/>
  <c r="AU358" i="17"/>
  <c r="AV357" i="17"/>
  <c r="AU357" i="17"/>
  <c r="AV356" i="17"/>
  <c r="AU356" i="17"/>
  <c r="AV355" i="17"/>
  <c r="AU355" i="17"/>
  <c r="AV354" i="17"/>
  <c r="AU354" i="17"/>
  <c r="AV353" i="17"/>
  <c r="AU353" i="17"/>
  <c r="AV352" i="17"/>
  <c r="AU352" i="17"/>
  <c r="AV351" i="17"/>
  <c r="AU351" i="17"/>
  <c r="AV350" i="17"/>
  <c r="AU350" i="17"/>
  <c r="AV349" i="17"/>
  <c r="AU349" i="17"/>
  <c r="AV348" i="17"/>
  <c r="AU348" i="17"/>
  <c r="AV347" i="17"/>
  <c r="AU347" i="17"/>
  <c r="AV346" i="17"/>
  <c r="AU346" i="17"/>
  <c r="AV345" i="17"/>
  <c r="AU345" i="17"/>
  <c r="AV344" i="17"/>
  <c r="AU344" i="17"/>
  <c r="AV343" i="17"/>
  <c r="AU343" i="17"/>
  <c r="AV342" i="17"/>
  <c r="AU342" i="17"/>
  <c r="AV341" i="17"/>
  <c r="AU341" i="17"/>
  <c r="AV340" i="17"/>
  <c r="AU340" i="17"/>
  <c r="AV339" i="17"/>
  <c r="AU339" i="17"/>
  <c r="AV338" i="17"/>
  <c r="AU338" i="17"/>
  <c r="AV337" i="17"/>
  <c r="AU337" i="17"/>
  <c r="AV336" i="17"/>
  <c r="AU336" i="17"/>
  <c r="AV335" i="17"/>
  <c r="AU335" i="17"/>
  <c r="AV334" i="17"/>
  <c r="AU334" i="17"/>
  <c r="AV333" i="17"/>
  <c r="AU333" i="17"/>
  <c r="AV332" i="17"/>
  <c r="AU332" i="17"/>
  <c r="AV331" i="17"/>
  <c r="AU331" i="17"/>
  <c r="AV330" i="17"/>
  <c r="AU330" i="17"/>
  <c r="AV329" i="17"/>
  <c r="AU329" i="17"/>
  <c r="AV328" i="17"/>
  <c r="AU328" i="17"/>
  <c r="AV327" i="17"/>
  <c r="AU327" i="17"/>
  <c r="AV326" i="17"/>
  <c r="AU326" i="17"/>
  <c r="AV325" i="17"/>
  <c r="AU325" i="17"/>
  <c r="AV324" i="17"/>
  <c r="AU324" i="17"/>
  <c r="AV323" i="17"/>
  <c r="AU323" i="17"/>
  <c r="AV322" i="17"/>
  <c r="AU322" i="17"/>
  <c r="AV321" i="17"/>
  <c r="AU321" i="17"/>
  <c r="AV320" i="17"/>
  <c r="AU320" i="17"/>
  <c r="AV319" i="17"/>
  <c r="AU319" i="17"/>
  <c r="AV318" i="17"/>
  <c r="AU318" i="17"/>
  <c r="AV317" i="17"/>
  <c r="AU317" i="17"/>
  <c r="AV316" i="17"/>
  <c r="AU316" i="17"/>
  <c r="AV315" i="17"/>
  <c r="AU315" i="17"/>
  <c r="AV314" i="17"/>
  <c r="AU314" i="17"/>
  <c r="AV313" i="17"/>
  <c r="AU313" i="17"/>
  <c r="AV312" i="17"/>
  <c r="AU312" i="17"/>
  <c r="AV311" i="17"/>
  <c r="AU311" i="17"/>
  <c r="AV310" i="17"/>
  <c r="AU310" i="17"/>
  <c r="AV309" i="17"/>
  <c r="AU309" i="17"/>
  <c r="AV308" i="17"/>
  <c r="AU308" i="17"/>
  <c r="AV307" i="17"/>
  <c r="AU307" i="17"/>
  <c r="AV306" i="17"/>
  <c r="AU306" i="17"/>
  <c r="AV305" i="17"/>
  <c r="AU305" i="17"/>
  <c r="AV304" i="17"/>
  <c r="AU304" i="17"/>
  <c r="AV303" i="17"/>
  <c r="AU303" i="17"/>
  <c r="AV302" i="17"/>
  <c r="AU302" i="17"/>
  <c r="AV301" i="17"/>
  <c r="AU301" i="17"/>
  <c r="AV300" i="17"/>
  <c r="AU300" i="17"/>
  <c r="AV299" i="17"/>
  <c r="AU299" i="17"/>
  <c r="AV298" i="17"/>
  <c r="AU298" i="17"/>
  <c r="AV297" i="17"/>
  <c r="AU297" i="17"/>
  <c r="AV296" i="17"/>
  <c r="AU296" i="17"/>
  <c r="AV295" i="17"/>
  <c r="AU295" i="17"/>
  <c r="AV294" i="17"/>
  <c r="AU294" i="17"/>
  <c r="AV293" i="17"/>
  <c r="AU293" i="17"/>
  <c r="AV292" i="17"/>
  <c r="AU292" i="17"/>
  <c r="AV291" i="17"/>
  <c r="AU291" i="17"/>
  <c r="AV290" i="17"/>
  <c r="AU290" i="17"/>
  <c r="AV289" i="17"/>
  <c r="AU289" i="17"/>
  <c r="AV288" i="17"/>
  <c r="AU288" i="17"/>
  <c r="AV287" i="17"/>
  <c r="AU287" i="17"/>
  <c r="AV286" i="17"/>
  <c r="AU286" i="17"/>
  <c r="AV285" i="17"/>
  <c r="AU285" i="17"/>
  <c r="AV284" i="17"/>
  <c r="AU284" i="17"/>
  <c r="AV283" i="17"/>
  <c r="AU283" i="17"/>
  <c r="AV282" i="17"/>
  <c r="AU282" i="17"/>
  <c r="AV281" i="17"/>
  <c r="AU281" i="17"/>
  <c r="AV280" i="17"/>
  <c r="AU280" i="17"/>
  <c r="AV279" i="17"/>
  <c r="AU279" i="17"/>
  <c r="AV278" i="17"/>
  <c r="AU278" i="17"/>
  <c r="AV277" i="17"/>
  <c r="AU277" i="17"/>
  <c r="AV276" i="17"/>
  <c r="AU276" i="17"/>
  <c r="V321" i="13"/>
  <c r="V320" i="13"/>
  <c r="V317" i="13"/>
  <c r="V319" i="13"/>
  <c r="V314" i="13"/>
  <c r="V315" i="13"/>
  <c r="V316" i="13"/>
  <c r="V311" i="13"/>
  <c r="V318" i="13"/>
  <c r="V307" i="13"/>
  <c r="V312" i="13"/>
  <c r="V313" i="13"/>
  <c r="V304" i="13"/>
  <c r="V309" i="13"/>
  <c r="V306" i="13"/>
  <c r="V303" i="13"/>
  <c r="V308" i="13"/>
  <c r="V297" i="13"/>
  <c r="V305" i="13"/>
  <c r="V300" i="13"/>
  <c r="V294" i="13"/>
  <c r="V302" i="13"/>
  <c r="V290" i="13"/>
  <c r="V299" i="13"/>
  <c r="V298" i="13"/>
  <c r="V310" i="13"/>
  <c r="V301" i="13"/>
  <c r="V291" i="13"/>
  <c r="V293" i="13"/>
  <c r="V295" i="13"/>
  <c r="V292" i="13"/>
  <c r="V296" i="13"/>
  <c r="AV275" i="17"/>
  <c r="AU275" i="17"/>
  <c r="AV274" i="17"/>
  <c r="AU274" i="17"/>
  <c r="AV273" i="17"/>
  <c r="AU273" i="17"/>
  <c r="AV272" i="17"/>
  <c r="AU272" i="17"/>
  <c r="AV271" i="17"/>
  <c r="AU271" i="17"/>
  <c r="AV270" i="17"/>
  <c r="AU270" i="17"/>
  <c r="AV269" i="17"/>
  <c r="AU269" i="17"/>
  <c r="AV268" i="17"/>
  <c r="AU268" i="17"/>
  <c r="AV267" i="17"/>
  <c r="AU267" i="17"/>
  <c r="AV266" i="17"/>
  <c r="AU266" i="17"/>
  <c r="AV265" i="17"/>
  <c r="AU265" i="17"/>
  <c r="AV264" i="17"/>
  <c r="AU264" i="17"/>
  <c r="AV263" i="17"/>
  <c r="AU263" i="17"/>
  <c r="AV262" i="17"/>
  <c r="AU262" i="17"/>
  <c r="AV261" i="17"/>
  <c r="AU261" i="17"/>
  <c r="AV260" i="17"/>
  <c r="AU260" i="17"/>
  <c r="AV259" i="17"/>
  <c r="AU259" i="17"/>
  <c r="AV258" i="17"/>
  <c r="AU258" i="17"/>
  <c r="AV257" i="17"/>
  <c r="AU257" i="17"/>
  <c r="AV256" i="17"/>
  <c r="AU256" i="17"/>
  <c r="AV255" i="17"/>
  <c r="AU255" i="17"/>
  <c r="AV254" i="17"/>
  <c r="AU254" i="17"/>
  <c r="AV253" i="17"/>
  <c r="AU253" i="17"/>
  <c r="AV252" i="17"/>
  <c r="AU252" i="17"/>
  <c r="AV251" i="17"/>
  <c r="AU251" i="17"/>
  <c r="AV250" i="17"/>
  <c r="AU250" i="17"/>
  <c r="AV249" i="17"/>
  <c r="AU249" i="17"/>
  <c r="AV248" i="17"/>
  <c r="AU248" i="17"/>
  <c r="AV247" i="17"/>
  <c r="AU247" i="17"/>
  <c r="AV246" i="17"/>
  <c r="AU246" i="17"/>
  <c r="AV245" i="17"/>
  <c r="AU245" i="17"/>
  <c r="AV244" i="17"/>
  <c r="AU244" i="17"/>
  <c r="AV243" i="17"/>
  <c r="AU243" i="17"/>
  <c r="AV242" i="17"/>
  <c r="AU242" i="17"/>
  <c r="AV241" i="17"/>
  <c r="AU241" i="17"/>
  <c r="AV240" i="17"/>
  <c r="AU240" i="17"/>
  <c r="AV239" i="17"/>
  <c r="AU239" i="17"/>
  <c r="AV238" i="17"/>
  <c r="AU238" i="17"/>
  <c r="AV237" i="17"/>
  <c r="AU237" i="17"/>
  <c r="AV236" i="17"/>
  <c r="AU236" i="17"/>
  <c r="AV235" i="17"/>
  <c r="AU235" i="17"/>
  <c r="AV234" i="17"/>
  <c r="AU234" i="17"/>
  <c r="AV233" i="17"/>
  <c r="AU233" i="17"/>
  <c r="AV232" i="17"/>
  <c r="AU232" i="17"/>
  <c r="V289" i="13"/>
  <c r="V287" i="13"/>
  <c r="V288" i="13"/>
  <c r="V285" i="13"/>
  <c r="V282" i="13"/>
  <c r="V284" i="13"/>
  <c r="V279" i="13"/>
  <c r="V283" i="13"/>
  <c r="V286" i="13"/>
  <c r="V276" i="13"/>
  <c r="V281" i="13"/>
  <c r="V275" i="13"/>
  <c r="V277" i="13"/>
  <c r="V280" i="13"/>
  <c r="V273" i="13"/>
  <c r="V278" i="13"/>
  <c r="V274" i="13"/>
  <c r="V271" i="13"/>
  <c r="V272" i="13"/>
  <c r="V263" i="13"/>
  <c r="V268" i="13"/>
  <c r="V270" i="13"/>
  <c r="V267" i="13"/>
  <c r="V258" i="13"/>
  <c r="V261" i="13"/>
  <c r="V264" i="13"/>
  <c r="V269" i="13"/>
  <c r="V262" i="13"/>
  <c r="V266" i="13"/>
  <c r="V265" i="13"/>
  <c r="V259" i="13"/>
  <c r="V260" i="13"/>
  <c r="AU191" i="17"/>
  <c r="AU192" i="17"/>
  <c r="AU193" i="17"/>
  <c r="AU194" i="17"/>
  <c r="AU195" i="17"/>
  <c r="AU196" i="17"/>
  <c r="AU197" i="17"/>
  <c r="AU198" i="17"/>
  <c r="AU199" i="17"/>
  <c r="AU200" i="17"/>
  <c r="AU201" i="17"/>
  <c r="AU202" i="17"/>
  <c r="AU203" i="17"/>
  <c r="AU204" i="17"/>
  <c r="AU205" i="17"/>
  <c r="AU206" i="17"/>
  <c r="AU207" i="17"/>
  <c r="AU208" i="17"/>
  <c r="AU209" i="17"/>
  <c r="AU210" i="17"/>
  <c r="AU211" i="17"/>
  <c r="AU212" i="17"/>
  <c r="AU213" i="17"/>
  <c r="AU214" i="17"/>
  <c r="AU215" i="17"/>
  <c r="AU216" i="17"/>
  <c r="AU217" i="17"/>
  <c r="AU218" i="17"/>
  <c r="AU219" i="17"/>
  <c r="AU220" i="17"/>
  <c r="AU221" i="17"/>
  <c r="AU222" i="17"/>
  <c r="AU223" i="17"/>
  <c r="AU224" i="17"/>
  <c r="AU225" i="17"/>
  <c r="AU226" i="17"/>
  <c r="AU227" i="17"/>
  <c r="AU228" i="17"/>
  <c r="AU229" i="17"/>
  <c r="AU230" i="17"/>
  <c r="AU231" i="17"/>
  <c r="AV193" i="17"/>
  <c r="AV231" i="17"/>
  <c r="AV230" i="17"/>
  <c r="AV229" i="17"/>
  <c r="AV228" i="17"/>
  <c r="AV227" i="17"/>
  <c r="AV226" i="17"/>
  <c r="AV225" i="17"/>
  <c r="AV224" i="17"/>
  <c r="AV223" i="17"/>
  <c r="AV222" i="17"/>
  <c r="AV221" i="17"/>
  <c r="AV220" i="17"/>
  <c r="AV219" i="17"/>
  <c r="AV218" i="17"/>
  <c r="AV217" i="17"/>
  <c r="AV216" i="17"/>
  <c r="AV215" i="17"/>
  <c r="AV214" i="17"/>
  <c r="AV213" i="17"/>
  <c r="AV212" i="17"/>
  <c r="AV211" i="17"/>
  <c r="AV210" i="17"/>
  <c r="AV209" i="17"/>
  <c r="AV208" i="17"/>
  <c r="AV207" i="17"/>
  <c r="AV206" i="17"/>
  <c r="AV205" i="17"/>
  <c r="AV204" i="17"/>
  <c r="AV203" i="17"/>
  <c r="AV202" i="17"/>
  <c r="AV201" i="17"/>
  <c r="AV200" i="17"/>
  <c r="AV199" i="17"/>
  <c r="AV198" i="17"/>
  <c r="AV197" i="17"/>
  <c r="AV196" i="17"/>
  <c r="AV195" i="17"/>
  <c r="AV194" i="17"/>
  <c r="AV192" i="17"/>
  <c r="AV191" i="17"/>
  <c r="AX150" i="17"/>
  <c r="AV190" i="17"/>
  <c r="AU190" i="17"/>
  <c r="AV189" i="17"/>
  <c r="AU189" i="17"/>
  <c r="AV188" i="17"/>
  <c r="AU188" i="17"/>
  <c r="AV187" i="17"/>
  <c r="AU187" i="17"/>
  <c r="AV186" i="17"/>
  <c r="AU186" i="17"/>
  <c r="AV185" i="17"/>
  <c r="AU185" i="17"/>
  <c r="AV184" i="17"/>
  <c r="AU184" i="17"/>
  <c r="AV183" i="17"/>
  <c r="AU183" i="17"/>
  <c r="AV182" i="17"/>
  <c r="AU182" i="17"/>
  <c r="AX181" i="17"/>
  <c r="AV181" i="17"/>
  <c r="AU181" i="17"/>
  <c r="AX180" i="17"/>
  <c r="AV180" i="17"/>
  <c r="AU180" i="17"/>
  <c r="AX179" i="17"/>
  <c r="AV179" i="17"/>
  <c r="AU179" i="17"/>
  <c r="AX178" i="17"/>
  <c r="AV178" i="17"/>
  <c r="AU178" i="17"/>
  <c r="AX177" i="17"/>
  <c r="AV177" i="17"/>
  <c r="AU177" i="17"/>
  <c r="AX176" i="17"/>
  <c r="AV176" i="17"/>
  <c r="AU176" i="17"/>
  <c r="AX175" i="17"/>
  <c r="AV175" i="17"/>
  <c r="AU175" i="17"/>
  <c r="AX174" i="17"/>
  <c r="AV174" i="17"/>
  <c r="AU174" i="17"/>
  <c r="AX173" i="17"/>
  <c r="AV173" i="17"/>
  <c r="AU173" i="17"/>
  <c r="AX172" i="17"/>
  <c r="AV172" i="17"/>
  <c r="AU172" i="17"/>
  <c r="AX171" i="17"/>
  <c r="AV171" i="17"/>
  <c r="AU171" i="17"/>
  <c r="AX170" i="17"/>
  <c r="AV170" i="17"/>
  <c r="AU170" i="17"/>
  <c r="AX169" i="17"/>
  <c r="AV169" i="17"/>
  <c r="AU169" i="17"/>
  <c r="AX168" i="17"/>
  <c r="AV168" i="17"/>
  <c r="AU168" i="17"/>
  <c r="AX167" i="17"/>
  <c r="AV167" i="17"/>
  <c r="AU167" i="17"/>
  <c r="AX166" i="17"/>
  <c r="AV166" i="17"/>
  <c r="AU166" i="17"/>
  <c r="AX165" i="17"/>
  <c r="AV165" i="17"/>
  <c r="AU165" i="17"/>
  <c r="AX164" i="17"/>
  <c r="AV164" i="17"/>
  <c r="AU164" i="17"/>
  <c r="AX163" i="17"/>
  <c r="AV163" i="17"/>
  <c r="AU163" i="17"/>
  <c r="AX162" i="17"/>
  <c r="AV162" i="17"/>
  <c r="AU162" i="17"/>
  <c r="AX161" i="17"/>
  <c r="AV161" i="17"/>
  <c r="AU161" i="17"/>
  <c r="AX160" i="17"/>
  <c r="AV160" i="17"/>
  <c r="AU160" i="17"/>
  <c r="AX159" i="17"/>
  <c r="AV159" i="17"/>
  <c r="AU159" i="17"/>
  <c r="AX158" i="17"/>
  <c r="AV158" i="17"/>
  <c r="AU158" i="17"/>
  <c r="AX157" i="17"/>
  <c r="AV157" i="17"/>
  <c r="AU157" i="17"/>
  <c r="AX156" i="17"/>
  <c r="AV156" i="17"/>
  <c r="AU156" i="17"/>
  <c r="AX155" i="17"/>
  <c r="AV155" i="17"/>
  <c r="AU155" i="17"/>
  <c r="AX154" i="17"/>
  <c r="AV154" i="17"/>
  <c r="AU154" i="17"/>
  <c r="AX153" i="17"/>
  <c r="AV153" i="17"/>
  <c r="AU153" i="17"/>
  <c r="AX152" i="17"/>
  <c r="AV152" i="17"/>
  <c r="AU152" i="17"/>
  <c r="AX151" i="17"/>
  <c r="AV151" i="17"/>
  <c r="AU151" i="17"/>
  <c r="AV150" i="17"/>
  <c r="AV149" i="17"/>
  <c r="AV148" i="17"/>
  <c r="AV147" i="17"/>
  <c r="AV146" i="17"/>
  <c r="AV145" i="17"/>
  <c r="AV144" i="17"/>
  <c r="AV143" i="17"/>
  <c r="AV142" i="17"/>
  <c r="AV141" i="17"/>
  <c r="AV140" i="17"/>
  <c r="AV139" i="17"/>
  <c r="AV138" i="17"/>
  <c r="AV137" i="17"/>
  <c r="AV136" i="17"/>
  <c r="AV135" i="17"/>
  <c r="AV134" i="17"/>
  <c r="AV133" i="17"/>
  <c r="AV132" i="17"/>
  <c r="AV131" i="17"/>
  <c r="AV130" i="17"/>
  <c r="AV129" i="17"/>
  <c r="AV128" i="17"/>
  <c r="AV127" i="17"/>
  <c r="AV126" i="17"/>
  <c r="AV125" i="17"/>
  <c r="AV124" i="17"/>
  <c r="AV123" i="17"/>
  <c r="AV122" i="17"/>
  <c r="AV121" i="17"/>
  <c r="AV120" i="17"/>
  <c r="AV119" i="17"/>
  <c r="AV118" i="17"/>
  <c r="AV117" i="17"/>
  <c r="AV116" i="17"/>
  <c r="AV115" i="17"/>
  <c r="AV114" i="17"/>
  <c r="AV113" i="17"/>
  <c r="AV112" i="17"/>
  <c r="AV111" i="17"/>
  <c r="AV110" i="17"/>
  <c r="AV109" i="17"/>
  <c r="AV108" i="17"/>
  <c r="AV107" i="17"/>
  <c r="AV106" i="17"/>
  <c r="AV105" i="17"/>
  <c r="AV104" i="17"/>
  <c r="AV103" i="17"/>
  <c r="AV102" i="17"/>
  <c r="AV101" i="17"/>
  <c r="AV100" i="17"/>
  <c r="AV99" i="17"/>
  <c r="AV98" i="17"/>
  <c r="AV97" i="17"/>
  <c r="AV96" i="17"/>
  <c r="AV95" i="17"/>
  <c r="AV94" i="17"/>
  <c r="AV93" i="17"/>
  <c r="AV92" i="17"/>
  <c r="AV91" i="17"/>
  <c r="AV90" i="17"/>
  <c r="AV89" i="17"/>
  <c r="AV88" i="17"/>
  <c r="AV87" i="17"/>
  <c r="AV86" i="17"/>
  <c r="AV85" i="17"/>
  <c r="AV84" i="17"/>
  <c r="AV83" i="17"/>
  <c r="AV82" i="17"/>
  <c r="AV81" i="17"/>
  <c r="AV80" i="17"/>
  <c r="AV79" i="17"/>
  <c r="AV78" i="17"/>
  <c r="AV77" i="17"/>
  <c r="AV76" i="17"/>
  <c r="AV75" i="17"/>
  <c r="AV74" i="17"/>
  <c r="AV73" i="17"/>
  <c r="AV72" i="17"/>
  <c r="AV71" i="17"/>
  <c r="AV70" i="17"/>
  <c r="AV69" i="17"/>
  <c r="AV68" i="17"/>
  <c r="AV67" i="17"/>
  <c r="AV66" i="17"/>
  <c r="AV65" i="17"/>
  <c r="AV64" i="17"/>
  <c r="AV63" i="17"/>
  <c r="AV62" i="17"/>
  <c r="AV61" i="17"/>
  <c r="AV60" i="17"/>
  <c r="AV59" i="17"/>
  <c r="AV58" i="17"/>
  <c r="AV57" i="17"/>
  <c r="AV56" i="17"/>
  <c r="AV55" i="17"/>
  <c r="AV54" i="17"/>
  <c r="AV53" i="17"/>
  <c r="AV52" i="17"/>
  <c r="AV51" i="17"/>
  <c r="AV50" i="17"/>
  <c r="AV49" i="17"/>
  <c r="AV48" i="17"/>
  <c r="AV47" i="17"/>
  <c r="AV46" i="17"/>
  <c r="AV45" i="17"/>
  <c r="AV44" i="17"/>
  <c r="AV43" i="17"/>
  <c r="AV42" i="17"/>
  <c r="AV41" i="17"/>
  <c r="AV40" i="17"/>
  <c r="AV39" i="17"/>
  <c r="AV38" i="17"/>
  <c r="AV37" i="17"/>
  <c r="AV36" i="17"/>
  <c r="AV35" i="17"/>
  <c r="AV34" i="17"/>
  <c r="AV33" i="17"/>
  <c r="AV32" i="17"/>
  <c r="AV31" i="17"/>
  <c r="AV30" i="17"/>
  <c r="AV29" i="17"/>
  <c r="AV28" i="17"/>
  <c r="AV27" i="17"/>
  <c r="AV26" i="17"/>
  <c r="AV25" i="17"/>
  <c r="AV24" i="17"/>
  <c r="AV23" i="17"/>
  <c r="AV22" i="17"/>
  <c r="AV21" i="17"/>
  <c r="AV20" i="17"/>
  <c r="AV19" i="17"/>
  <c r="AV18" i="17"/>
  <c r="AV17" i="17"/>
  <c r="AV16" i="17"/>
  <c r="AV15" i="17"/>
  <c r="AV14" i="17"/>
  <c r="AV13" i="17"/>
  <c r="AV12" i="17"/>
  <c r="AV11" i="17"/>
  <c r="AV10" i="17"/>
  <c r="AV9" i="17"/>
  <c r="AV8" i="17"/>
  <c r="AV7" i="17"/>
  <c r="AV6" i="17"/>
  <c r="AV5" i="17"/>
  <c r="AV4" i="17"/>
  <c r="AV3" i="17"/>
  <c r="AV2" i="17"/>
  <c r="AV143" i="18"/>
  <c r="AV142" i="18"/>
  <c r="AV141" i="18"/>
  <c r="AV140" i="18"/>
  <c r="AV139" i="18"/>
  <c r="AV138" i="18"/>
  <c r="AV137" i="18"/>
  <c r="AV136" i="18"/>
  <c r="AV135" i="18"/>
  <c r="AV134" i="18"/>
  <c r="AV133" i="18"/>
  <c r="AV132" i="18"/>
  <c r="AV131" i="18"/>
  <c r="AV130" i="18"/>
  <c r="AV129" i="18"/>
  <c r="AV128" i="18"/>
  <c r="AV127" i="18"/>
  <c r="AV126" i="18"/>
  <c r="AV125" i="18"/>
  <c r="AV124" i="18"/>
  <c r="AV123" i="18"/>
  <c r="AV122" i="18"/>
  <c r="AV121" i="18"/>
  <c r="AV120" i="18"/>
  <c r="AV119" i="18"/>
  <c r="AV118" i="18"/>
  <c r="AV117" i="18"/>
  <c r="AV116" i="18"/>
  <c r="AV115" i="18"/>
  <c r="AV114" i="18"/>
  <c r="AV113" i="18"/>
  <c r="AV112" i="18"/>
  <c r="AV111" i="18"/>
  <c r="AV110" i="18"/>
  <c r="AV109" i="18"/>
  <c r="AV108" i="18"/>
  <c r="AV107" i="18"/>
  <c r="AV106" i="18"/>
  <c r="AV105" i="18"/>
  <c r="AV104" i="18"/>
  <c r="AV103" i="18"/>
  <c r="AV102" i="18"/>
  <c r="AV101" i="18"/>
  <c r="AV100" i="18"/>
  <c r="AV99" i="18"/>
  <c r="AV98" i="18"/>
  <c r="AV97" i="18"/>
  <c r="AV96" i="18"/>
  <c r="AV95" i="18"/>
  <c r="AV94" i="18"/>
  <c r="AV93" i="18"/>
  <c r="AV92" i="18"/>
  <c r="AV91" i="18"/>
  <c r="AV90" i="18"/>
  <c r="AV89" i="18"/>
  <c r="AV88" i="18"/>
  <c r="AV87" i="18"/>
  <c r="AV86" i="18"/>
  <c r="AV85" i="18"/>
  <c r="AV84" i="18"/>
  <c r="AV83" i="18"/>
  <c r="AV82" i="18"/>
  <c r="AV81" i="18"/>
  <c r="AV80" i="18"/>
  <c r="AV79" i="18"/>
  <c r="AV78" i="18"/>
  <c r="AV77" i="18"/>
  <c r="AV76" i="18"/>
  <c r="AV75" i="18"/>
  <c r="AV74" i="18"/>
  <c r="AV73" i="18"/>
  <c r="AV72" i="18"/>
  <c r="AV71" i="18"/>
  <c r="AV70" i="18"/>
  <c r="AV69" i="18"/>
  <c r="AV68" i="18"/>
  <c r="AV67" i="18"/>
  <c r="AV66" i="18"/>
  <c r="AV65" i="18"/>
  <c r="AV64" i="18"/>
  <c r="AV63" i="18"/>
  <c r="AV62" i="18"/>
  <c r="AV61" i="18"/>
  <c r="AV60" i="18"/>
  <c r="AV59" i="18"/>
  <c r="AV58" i="18"/>
  <c r="AV57" i="18"/>
  <c r="AV56" i="18"/>
  <c r="AV55" i="18"/>
  <c r="AV54" i="18"/>
  <c r="AV53" i="18"/>
  <c r="AV52" i="18"/>
  <c r="AV51" i="18"/>
  <c r="AV50" i="18"/>
  <c r="AV49" i="18"/>
  <c r="AV48" i="18"/>
  <c r="AV47" i="18"/>
  <c r="AV46" i="18"/>
  <c r="AV45" i="18"/>
  <c r="AV44" i="18"/>
  <c r="AV43" i="18"/>
  <c r="AV42" i="18"/>
  <c r="AV41" i="18"/>
  <c r="AV40" i="18"/>
  <c r="AV39" i="18"/>
  <c r="AV38" i="18"/>
  <c r="AV37" i="18"/>
  <c r="AV36" i="18"/>
  <c r="AV35" i="18"/>
  <c r="AV34" i="18"/>
  <c r="AV33" i="18"/>
  <c r="AV32" i="18"/>
  <c r="AV31" i="18"/>
  <c r="AV30" i="18"/>
  <c r="AV29" i="18"/>
  <c r="AV28" i="18"/>
  <c r="AV27" i="18"/>
  <c r="AV26" i="18"/>
  <c r="AV25" i="18"/>
  <c r="AV24" i="18"/>
  <c r="AV23" i="18"/>
  <c r="AV22" i="18"/>
  <c r="AV21" i="18"/>
  <c r="AV20" i="18"/>
  <c r="AV19" i="18"/>
  <c r="AV18" i="18"/>
  <c r="AV17" i="18"/>
  <c r="AV16" i="18"/>
  <c r="AV15" i="18"/>
  <c r="AV14" i="18"/>
  <c r="AV13" i="18"/>
  <c r="AV12" i="18"/>
  <c r="AV11" i="18"/>
  <c r="AV10" i="18"/>
  <c r="AV9" i="18"/>
  <c r="AV8" i="18"/>
  <c r="AV7" i="18"/>
  <c r="AV6" i="18"/>
  <c r="AV5" i="18"/>
  <c r="AV4" i="18"/>
  <c r="AV3" i="18"/>
  <c r="AV2" i="18"/>
  <c r="AU149" i="17"/>
  <c r="AU148" i="17"/>
  <c r="AU147" i="17"/>
  <c r="AU146" i="17"/>
  <c r="AU145" i="17"/>
  <c r="AU144" i="17"/>
  <c r="AU143" i="17"/>
  <c r="AU142" i="17"/>
  <c r="AU141" i="17"/>
  <c r="AU140" i="17"/>
  <c r="AU139" i="17"/>
  <c r="AU138" i="17"/>
  <c r="AU137" i="17"/>
  <c r="AU136" i="17"/>
  <c r="AU135" i="17"/>
  <c r="AU134" i="17"/>
  <c r="AU133" i="17"/>
  <c r="AU132" i="17"/>
  <c r="AU131" i="17"/>
  <c r="AU130" i="17"/>
  <c r="AU129" i="17"/>
  <c r="AU128" i="17"/>
  <c r="AU127" i="17"/>
  <c r="AU126" i="17"/>
  <c r="AU125" i="17"/>
  <c r="AU124" i="17"/>
  <c r="AU123" i="17"/>
  <c r="AU122" i="17"/>
  <c r="AU121" i="17"/>
  <c r="AU120" i="17"/>
  <c r="AU119" i="17"/>
  <c r="AU118" i="17"/>
  <c r="AU117" i="17"/>
  <c r="AU116" i="17"/>
  <c r="AU115" i="17"/>
  <c r="AU114" i="17"/>
  <c r="AU113" i="17"/>
  <c r="AU112" i="17"/>
  <c r="AU111" i="17"/>
  <c r="AU110" i="17"/>
  <c r="V192" i="13"/>
  <c r="V186" i="13"/>
  <c r="V189" i="13"/>
  <c r="V188" i="13"/>
  <c r="V183" i="13"/>
  <c r="V191" i="13"/>
  <c r="V193" i="13"/>
  <c r="V190" i="13"/>
  <c r="V187" i="13"/>
  <c r="V185" i="13"/>
  <c r="V177" i="13"/>
  <c r="V171" i="13"/>
  <c r="V184" i="13"/>
  <c r="V182" i="13"/>
  <c r="V164" i="13"/>
  <c r="V176" i="13"/>
  <c r="V181" i="13"/>
  <c r="V179" i="13"/>
  <c r="V170" i="13"/>
  <c r="V180" i="13"/>
  <c r="V172" i="13"/>
  <c r="V162" i="13"/>
  <c r="V178" i="13"/>
  <c r="V165" i="13"/>
  <c r="V166" i="13"/>
  <c r="V167" i="13"/>
  <c r="V175" i="13"/>
  <c r="V173" i="13"/>
  <c r="V169" i="13"/>
  <c r="V174" i="13"/>
  <c r="V168" i="13"/>
  <c r="V163" i="13"/>
  <c r="AU109" i="17"/>
  <c r="AU108" i="17"/>
  <c r="AU107" i="17"/>
  <c r="AU106" i="17"/>
  <c r="AU105" i="17"/>
  <c r="AU104" i="17"/>
  <c r="AU103" i="17"/>
  <c r="AU102" i="17"/>
  <c r="AU101" i="17"/>
  <c r="AU100" i="17"/>
  <c r="AU99" i="17"/>
  <c r="AU98" i="17"/>
  <c r="AU97" i="17"/>
  <c r="AU96" i="17"/>
  <c r="AU95" i="17"/>
  <c r="AU94" i="17"/>
  <c r="AU93" i="17"/>
  <c r="AU92" i="17"/>
  <c r="AU91" i="17"/>
  <c r="AU90" i="17"/>
  <c r="AU89" i="17"/>
  <c r="AU88" i="17"/>
  <c r="AU87" i="17"/>
  <c r="AU86" i="17"/>
  <c r="AU85" i="17"/>
  <c r="AU84" i="17"/>
  <c r="AU83" i="17"/>
  <c r="AU82" i="17"/>
  <c r="AU81" i="17"/>
  <c r="AU80" i="17"/>
  <c r="AU79" i="17"/>
  <c r="AU78" i="17"/>
  <c r="AU77" i="17"/>
  <c r="AU76" i="17"/>
  <c r="AU75" i="17"/>
  <c r="AU74" i="17"/>
  <c r="AU73" i="17"/>
  <c r="AU72" i="17"/>
  <c r="V161" i="13"/>
  <c r="V154" i="13"/>
  <c r="V159" i="13"/>
  <c r="V151" i="13"/>
  <c r="V158" i="13"/>
  <c r="V155" i="13"/>
  <c r="V160" i="13"/>
  <c r="V156" i="13"/>
  <c r="V157" i="13"/>
  <c r="V141" i="13"/>
  <c r="V150" i="13"/>
  <c r="V146" i="13"/>
  <c r="V152" i="13"/>
  <c r="V153" i="13"/>
  <c r="V136" i="13"/>
  <c r="V140" i="13"/>
  <c r="V142" i="13"/>
  <c r="V148" i="13"/>
  <c r="V131" i="13"/>
  <c r="V149" i="13"/>
  <c r="V144" i="13"/>
  <c r="V147" i="13"/>
  <c r="V143" i="13"/>
  <c r="V132" i="13"/>
  <c r="V134" i="13"/>
  <c r="V137" i="13"/>
  <c r="V135" i="13"/>
  <c r="V138" i="13"/>
  <c r="V133" i="13"/>
  <c r="V130" i="13"/>
  <c r="V139" i="13"/>
  <c r="V145" i="13"/>
  <c r="W266" i="19"/>
  <c r="W265" i="19"/>
  <c r="W272" i="19"/>
  <c r="W264" i="19"/>
  <c r="W271" i="19"/>
  <c r="W263" i="19"/>
  <c r="W270" i="19"/>
  <c r="W269" i="19"/>
  <c r="W262" i="19"/>
  <c r="W268" i="19"/>
  <c r="W258" i="19"/>
  <c r="W259" i="19"/>
  <c r="W267" i="19"/>
  <c r="W273" i="19"/>
  <c r="W261" i="19"/>
  <c r="W260" i="19"/>
  <c r="W257" i="19"/>
  <c r="W256" i="19"/>
  <c r="W255" i="19"/>
  <c r="W254" i="19"/>
  <c r="W253" i="19"/>
  <c r="W252" i="19"/>
  <c r="W251" i="19"/>
  <c r="W250" i="19"/>
  <c r="W249" i="19"/>
  <c r="W248" i="19"/>
  <c r="W247" i="19"/>
  <c r="W246" i="19"/>
  <c r="W245" i="19"/>
  <c r="W244" i="19"/>
  <c r="W243" i="19"/>
  <c r="W242" i="19"/>
  <c r="W241" i="19"/>
  <c r="W240" i="19"/>
  <c r="W239" i="19"/>
  <c r="W238" i="19"/>
  <c r="W237" i="19"/>
  <c r="W236" i="19"/>
  <c r="W235" i="19"/>
  <c r="W234" i="19"/>
  <c r="W233" i="19"/>
  <c r="W232" i="19"/>
  <c r="W231" i="19"/>
  <c r="W230" i="19"/>
  <c r="W229" i="19"/>
  <c r="W228" i="19"/>
  <c r="W227" i="19"/>
  <c r="W226" i="19"/>
  <c r="W225" i="19"/>
  <c r="W224" i="19"/>
  <c r="W223" i="19"/>
  <c r="W222" i="19"/>
  <c r="W221" i="19"/>
  <c r="W220" i="19"/>
  <c r="W219" i="19"/>
  <c r="W218" i="19"/>
  <c r="W217" i="19"/>
  <c r="W216" i="19"/>
  <c r="W215" i="19"/>
  <c r="W214" i="19"/>
  <c r="W213" i="19"/>
  <c r="W212" i="19"/>
  <c r="W211" i="19"/>
  <c r="W210" i="19"/>
  <c r="W209" i="19"/>
  <c r="W208" i="19"/>
  <c r="W207" i="19"/>
  <c r="W206" i="19"/>
  <c r="W205" i="19"/>
  <c r="W204" i="19"/>
  <c r="W203" i="19"/>
  <c r="W202" i="19"/>
  <c r="W201" i="19"/>
  <c r="W200" i="19"/>
  <c r="W199" i="19"/>
  <c r="W198" i="19"/>
  <c r="W197" i="19"/>
  <c r="W196" i="19"/>
  <c r="W195" i="19"/>
  <c r="W194" i="19"/>
  <c r="W193" i="19"/>
  <c r="W192" i="19"/>
  <c r="W191" i="19"/>
  <c r="W190" i="19"/>
  <c r="W189" i="19"/>
  <c r="W188" i="19"/>
  <c r="W187" i="19"/>
  <c r="W186" i="19"/>
  <c r="W185" i="19"/>
  <c r="W184" i="19"/>
  <c r="W183" i="19"/>
  <c r="W182" i="19"/>
  <c r="W181" i="19"/>
  <c r="W180" i="19"/>
  <c r="W179" i="19"/>
  <c r="W178" i="19"/>
  <c r="W177" i="19"/>
  <c r="W176" i="19"/>
  <c r="W175" i="19"/>
  <c r="W174" i="19"/>
  <c r="W173" i="19"/>
  <c r="W172" i="19"/>
  <c r="W171" i="19"/>
  <c r="W170" i="19"/>
  <c r="W169" i="19"/>
  <c r="W168" i="19"/>
  <c r="W167" i="19"/>
  <c r="W166" i="19"/>
  <c r="W165" i="19"/>
  <c r="W163" i="19"/>
  <c r="W162" i="19"/>
  <c r="W161" i="19"/>
  <c r="W160" i="19"/>
  <c r="W159" i="19"/>
  <c r="W158" i="19"/>
  <c r="W157" i="19"/>
  <c r="W156" i="19"/>
  <c r="W155" i="19"/>
  <c r="W154" i="19"/>
  <c r="W153" i="19"/>
  <c r="W152" i="19"/>
  <c r="W164" i="19"/>
  <c r="W151" i="19"/>
  <c r="W150" i="19"/>
  <c r="W148" i="19"/>
  <c r="W147" i="19"/>
  <c r="W146" i="19"/>
  <c r="W145" i="19"/>
  <c r="W144" i="19"/>
  <c r="W143" i="19"/>
  <c r="W142" i="19"/>
  <c r="W141" i="19"/>
  <c r="W140" i="19"/>
  <c r="W139" i="19"/>
  <c r="W138" i="19"/>
  <c r="W149" i="19"/>
  <c r="W137" i="19"/>
  <c r="W136" i="19"/>
  <c r="W135" i="19"/>
  <c r="W134" i="19"/>
  <c r="W133" i="19"/>
  <c r="W132" i="19"/>
  <c r="W131" i="19"/>
  <c r="W130" i="19"/>
  <c r="W129" i="19"/>
  <c r="W128" i="19"/>
  <c r="W127" i="19"/>
  <c r="W126" i="19"/>
  <c r="W125" i="19"/>
  <c r="W124" i="19"/>
  <c r="W123" i="19"/>
  <c r="W122" i="19"/>
  <c r="W121" i="19"/>
  <c r="W120" i="19"/>
  <c r="W119" i="19"/>
  <c r="W118" i="19"/>
  <c r="W117" i="19"/>
  <c r="W116" i="19"/>
  <c r="W115" i="19"/>
  <c r="W114" i="19"/>
  <c r="W113" i="19"/>
  <c r="W112" i="19"/>
  <c r="W111" i="19"/>
  <c r="W110" i="19"/>
  <c r="W108" i="19"/>
  <c r="W109" i="19"/>
  <c r="W106" i="19"/>
  <c r="W105" i="19"/>
  <c r="W104" i="19"/>
  <c r="W103" i="19"/>
  <c r="W102" i="19"/>
  <c r="W101" i="19"/>
  <c r="W100" i="19"/>
  <c r="W99" i="19"/>
  <c r="W98" i="19"/>
  <c r="W97" i="19"/>
  <c r="W96" i="19"/>
  <c r="W107" i="19"/>
  <c r="W95" i="19"/>
  <c r="W94" i="19"/>
  <c r="W93" i="19"/>
  <c r="W91" i="19"/>
  <c r="W90" i="19"/>
  <c r="W89" i="19"/>
  <c r="W88" i="19"/>
  <c r="W87" i="19"/>
  <c r="W86" i="19"/>
  <c r="W85" i="19"/>
  <c r="W84" i="19"/>
  <c r="W83" i="19"/>
  <c r="W82" i="19"/>
  <c r="W81" i="19"/>
  <c r="W92" i="19"/>
  <c r="W80" i="19"/>
  <c r="W79" i="19"/>
  <c r="W77" i="19"/>
  <c r="W76" i="19"/>
  <c r="W75" i="19"/>
  <c r="W74" i="19"/>
  <c r="W73" i="19"/>
  <c r="W72" i="19"/>
  <c r="W71" i="19"/>
  <c r="W70" i="19"/>
  <c r="W69" i="19"/>
  <c r="W68" i="19"/>
  <c r="W67" i="19"/>
  <c r="W78" i="19"/>
  <c r="W66" i="19"/>
  <c r="W65" i="19"/>
  <c r="W64" i="19"/>
  <c r="W62" i="19"/>
  <c r="W61" i="19"/>
  <c r="W60" i="19"/>
  <c r="W59" i="19"/>
  <c r="W58" i="19"/>
  <c r="W57" i="19"/>
  <c r="W56" i="19"/>
  <c r="W55" i="19"/>
  <c r="W54" i="19"/>
  <c r="W53" i="19"/>
  <c r="W52" i="19"/>
  <c r="W51" i="19"/>
  <c r="W63" i="19"/>
  <c r="W50" i="19"/>
  <c r="W49" i="19"/>
  <c r="W48" i="19"/>
  <c r="W47" i="19"/>
  <c r="W46" i="19"/>
  <c r="W45" i="19"/>
  <c r="W44" i="19"/>
  <c r="W43" i="19"/>
  <c r="W42" i="19"/>
  <c r="W41" i="19"/>
  <c r="W40" i="19"/>
  <c r="W39" i="19"/>
  <c r="W38" i="19"/>
  <c r="W37" i="19"/>
  <c r="W36" i="19"/>
  <c r="W35" i="19"/>
  <c r="W34" i="19"/>
  <c r="W32" i="19"/>
  <c r="W33" i="19"/>
  <c r="W31" i="19"/>
  <c r="W30" i="19"/>
  <c r="W29" i="19"/>
  <c r="W28" i="19"/>
  <c r="W27" i="19"/>
  <c r="W26" i="19"/>
  <c r="W25" i="19"/>
  <c r="W24" i="19"/>
  <c r="W23" i="19"/>
  <c r="W22" i="19"/>
  <c r="W21" i="19"/>
  <c r="W20" i="19"/>
  <c r="W19" i="19"/>
  <c r="W18" i="19"/>
  <c r="W17" i="19"/>
  <c r="W16" i="19"/>
  <c r="W15" i="19"/>
  <c r="W14" i="19"/>
  <c r="W13" i="19"/>
  <c r="W12" i="19"/>
  <c r="W11" i="19"/>
  <c r="W10" i="19"/>
  <c r="W9" i="19"/>
  <c r="W8" i="19"/>
  <c r="W7" i="19"/>
  <c r="W6" i="19"/>
  <c r="W5" i="19"/>
  <c r="W4" i="19"/>
  <c r="W3" i="19"/>
  <c r="W2" i="19"/>
  <c r="S2" i="19"/>
  <c r="AU150" i="17"/>
  <c r="AU71" i="17"/>
  <c r="AU70" i="17"/>
  <c r="AU69" i="17"/>
  <c r="AU68" i="17"/>
  <c r="AX35" i="17"/>
  <c r="AU67" i="17"/>
  <c r="AU66" i="17"/>
  <c r="AU65" i="17"/>
  <c r="AU64" i="17"/>
  <c r="AU63" i="17"/>
  <c r="AU62" i="17"/>
  <c r="AU61" i="17"/>
  <c r="AU60" i="17"/>
  <c r="AU59" i="17"/>
  <c r="AU58" i="17"/>
  <c r="AU57" i="17"/>
  <c r="AU56" i="17"/>
  <c r="AU55" i="17"/>
  <c r="AU54" i="17"/>
  <c r="AU53" i="17"/>
  <c r="AU52" i="17"/>
  <c r="AU51" i="17"/>
  <c r="AU50" i="17"/>
  <c r="AU49" i="17"/>
  <c r="AU48" i="17"/>
  <c r="AU47" i="17"/>
  <c r="AU46" i="17"/>
  <c r="AU45" i="17"/>
  <c r="AU44" i="17"/>
  <c r="AU43" i="17"/>
  <c r="AU42" i="17"/>
  <c r="AU41" i="17"/>
  <c r="AU40" i="17"/>
  <c r="AU39" i="17"/>
  <c r="AU38" i="17"/>
  <c r="AU37" i="17"/>
  <c r="AU36" i="17"/>
  <c r="AU35" i="17"/>
  <c r="AU34" i="17"/>
  <c r="AU33" i="17"/>
  <c r="AU32" i="17"/>
  <c r="AU31" i="17"/>
  <c r="AU30" i="17"/>
  <c r="AU29" i="17"/>
  <c r="AU28" i="17"/>
  <c r="AU27" i="17"/>
  <c r="AU26" i="17"/>
  <c r="AU25" i="17"/>
  <c r="AU24" i="17"/>
  <c r="AU23" i="17"/>
  <c r="AU22" i="17"/>
  <c r="AU21" i="17"/>
  <c r="AU20" i="17"/>
  <c r="AU19" i="17"/>
  <c r="AU18" i="17"/>
  <c r="AU17" i="17"/>
  <c r="AU16" i="17"/>
  <c r="AU15" i="17"/>
  <c r="AU14" i="17"/>
  <c r="AU13" i="17"/>
  <c r="AU12" i="17"/>
  <c r="AU11" i="17"/>
  <c r="AU10" i="17"/>
  <c r="AU9" i="17"/>
  <c r="AU8" i="17"/>
  <c r="AU7" i="17"/>
  <c r="AU6" i="17"/>
  <c r="AU5" i="17"/>
  <c r="AU4" i="17"/>
  <c r="AU3" i="17"/>
  <c r="AU2" i="17"/>
  <c r="N225" i="14"/>
  <c r="M225" i="14"/>
  <c r="N224" i="14"/>
  <c r="M224" i="14"/>
  <c r="N223" i="14"/>
  <c r="M223" i="14"/>
  <c r="N222" i="14"/>
  <c r="M222" i="14"/>
  <c r="N221" i="14"/>
  <c r="M221" i="14"/>
  <c r="N220" i="14"/>
  <c r="M220" i="14"/>
  <c r="N219" i="14"/>
  <c r="M219" i="14"/>
  <c r="N218" i="14"/>
  <c r="M218" i="14"/>
  <c r="N217" i="14"/>
  <c r="M217" i="14"/>
  <c r="N216" i="14"/>
  <c r="M216" i="14"/>
  <c r="N215" i="14"/>
  <c r="M215" i="14"/>
  <c r="N214" i="14"/>
  <c r="M214" i="14"/>
  <c r="N213" i="14"/>
  <c r="M213" i="14"/>
  <c r="N212" i="14"/>
  <c r="M212" i="14"/>
  <c r="N211" i="14"/>
  <c r="M211" i="14"/>
  <c r="N210" i="14"/>
  <c r="M210" i="14"/>
  <c r="N209" i="14"/>
  <c r="M209" i="14"/>
  <c r="N208" i="14"/>
  <c r="M208" i="14"/>
  <c r="N207" i="14"/>
  <c r="M207" i="14"/>
  <c r="N206" i="14"/>
  <c r="M206" i="14"/>
  <c r="N205" i="14"/>
  <c r="M205" i="14"/>
  <c r="N204" i="14"/>
  <c r="M204" i="14"/>
  <c r="N203" i="14"/>
  <c r="M203" i="14"/>
  <c r="N202" i="14"/>
  <c r="M202" i="14"/>
  <c r="N201" i="14"/>
  <c r="M201" i="14"/>
  <c r="N200" i="14"/>
  <c r="M200" i="14"/>
  <c r="N199" i="14"/>
  <c r="M199" i="14"/>
  <c r="N198" i="14"/>
  <c r="M198" i="14"/>
  <c r="N197" i="14"/>
  <c r="M197" i="14"/>
  <c r="N196" i="14"/>
  <c r="M196" i="14"/>
  <c r="N195" i="14"/>
  <c r="M195" i="14"/>
  <c r="N194" i="14"/>
  <c r="M194" i="14"/>
  <c r="N193" i="14"/>
  <c r="M193" i="14"/>
  <c r="N192" i="14"/>
  <c r="M192" i="14"/>
  <c r="N191" i="14"/>
  <c r="M191" i="14"/>
  <c r="N190" i="14"/>
  <c r="M190" i="14"/>
  <c r="N189" i="14"/>
  <c r="M189" i="14"/>
  <c r="N188" i="14"/>
  <c r="M188" i="14"/>
  <c r="N187" i="14"/>
  <c r="M187" i="14"/>
  <c r="N186" i="14"/>
  <c r="M186" i="14"/>
  <c r="N185" i="14"/>
  <c r="M185" i="14"/>
  <c r="N184" i="14"/>
  <c r="M184" i="14"/>
  <c r="N183" i="14"/>
  <c r="M183" i="14"/>
  <c r="N182" i="14"/>
  <c r="M182" i="14"/>
  <c r="N181" i="14"/>
  <c r="M181" i="14"/>
  <c r="N180" i="14"/>
  <c r="M180" i="14"/>
  <c r="N179" i="14"/>
  <c r="M179" i="14"/>
  <c r="N178" i="14"/>
  <c r="M178" i="14"/>
  <c r="N177" i="14"/>
  <c r="M177" i="14"/>
  <c r="N176" i="14"/>
  <c r="M176" i="14"/>
  <c r="N175" i="14"/>
  <c r="M175" i="14"/>
  <c r="N174" i="14"/>
  <c r="M174" i="14"/>
  <c r="N173" i="14"/>
  <c r="M173" i="14"/>
  <c r="N172" i="14"/>
  <c r="M172" i="14"/>
  <c r="N171" i="14"/>
  <c r="M171" i="14"/>
  <c r="N170" i="14"/>
  <c r="M170" i="14"/>
  <c r="N169" i="14"/>
  <c r="M169" i="14"/>
  <c r="N168" i="14"/>
  <c r="M168" i="14"/>
  <c r="N167" i="14"/>
  <c r="M167" i="14"/>
  <c r="N166" i="14"/>
  <c r="M166" i="14"/>
  <c r="N165" i="14"/>
  <c r="M165" i="14"/>
  <c r="N164" i="14"/>
  <c r="M164" i="14"/>
  <c r="N163" i="14"/>
  <c r="M163" i="14"/>
  <c r="N162" i="14"/>
  <c r="M162" i="14"/>
  <c r="N161" i="14"/>
  <c r="M161" i="14"/>
  <c r="N160" i="14"/>
  <c r="M160" i="14"/>
  <c r="N159" i="14"/>
  <c r="M159" i="14"/>
  <c r="N158" i="14"/>
  <c r="M158" i="14"/>
  <c r="N157" i="14"/>
  <c r="M157" i="14"/>
  <c r="N156" i="14"/>
  <c r="M156" i="14"/>
  <c r="N155" i="14"/>
  <c r="M155" i="14"/>
  <c r="N154" i="14"/>
  <c r="M154" i="14"/>
  <c r="N153" i="14"/>
  <c r="M153" i="14"/>
  <c r="N152" i="14"/>
  <c r="M152" i="14"/>
  <c r="N151" i="14"/>
  <c r="M151" i="14"/>
  <c r="N150" i="14"/>
  <c r="M150" i="14"/>
  <c r="N149" i="14"/>
  <c r="M149" i="14"/>
  <c r="N148" i="14"/>
  <c r="M148" i="14"/>
  <c r="N147" i="14"/>
  <c r="M147" i="14"/>
  <c r="N146" i="14"/>
  <c r="M146" i="14"/>
  <c r="N145" i="14"/>
  <c r="M145" i="14"/>
  <c r="N144" i="14"/>
  <c r="M144" i="14"/>
  <c r="N143" i="14"/>
  <c r="M143" i="14"/>
  <c r="N142" i="14"/>
  <c r="M142" i="14"/>
  <c r="N141" i="14"/>
  <c r="M141" i="14"/>
  <c r="N140" i="14"/>
  <c r="M140" i="14"/>
  <c r="N139" i="14"/>
  <c r="M139" i="14"/>
  <c r="N138" i="14"/>
  <c r="M138" i="14"/>
  <c r="N137" i="14"/>
  <c r="M137" i="14"/>
  <c r="N136" i="14"/>
  <c r="M136" i="14"/>
  <c r="N135" i="14"/>
  <c r="M135" i="14"/>
  <c r="N134" i="14"/>
  <c r="M134" i="14"/>
  <c r="N133" i="14"/>
  <c r="M133" i="14"/>
  <c r="N132" i="14"/>
  <c r="M132" i="14"/>
  <c r="N131" i="14"/>
  <c r="M131" i="14"/>
  <c r="N130" i="14"/>
  <c r="M130" i="14"/>
  <c r="N129" i="14"/>
  <c r="M129" i="14"/>
  <c r="N128" i="14"/>
  <c r="M128" i="14"/>
  <c r="N127" i="14"/>
  <c r="M127" i="14"/>
  <c r="N126" i="14"/>
  <c r="M126" i="14"/>
  <c r="N125" i="14"/>
  <c r="M125" i="14"/>
  <c r="N124" i="14"/>
  <c r="M124" i="14"/>
  <c r="N123" i="14"/>
  <c r="M123" i="14"/>
  <c r="N122" i="14"/>
  <c r="M122" i="14"/>
  <c r="N121" i="14"/>
  <c r="M121" i="14"/>
  <c r="N120" i="14"/>
  <c r="M120" i="14"/>
  <c r="N119" i="14"/>
  <c r="M119" i="14"/>
  <c r="N118" i="14"/>
  <c r="M118" i="14"/>
  <c r="N117" i="14"/>
  <c r="M117" i="14"/>
  <c r="N116" i="14"/>
  <c r="M116" i="14"/>
  <c r="N115" i="14"/>
  <c r="M115" i="14"/>
  <c r="N114" i="14"/>
  <c r="M114" i="14"/>
  <c r="N113" i="14"/>
  <c r="M113" i="14"/>
  <c r="N112" i="14"/>
  <c r="M112" i="14"/>
  <c r="N111" i="14"/>
  <c r="M111" i="14"/>
  <c r="N110" i="14"/>
  <c r="M110" i="14"/>
  <c r="N109" i="14"/>
  <c r="M109" i="14"/>
  <c r="N108" i="14"/>
  <c r="M108" i="14"/>
  <c r="N107" i="14"/>
  <c r="M107" i="14"/>
  <c r="N106" i="14"/>
  <c r="M106" i="14"/>
  <c r="N105" i="14"/>
  <c r="M105" i="14"/>
  <c r="N104" i="14"/>
  <c r="M104" i="14"/>
  <c r="N103" i="14"/>
  <c r="M103" i="14"/>
  <c r="N102" i="14"/>
  <c r="M102" i="14"/>
  <c r="N101" i="14"/>
  <c r="M101" i="14"/>
  <c r="N100" i="14"/>
  <c r="M100" i="14"/>
  <c r="N99" i="14"/>
  <c r="M99" i="14"/>
  <c r="N98" i="14"/>
  <c r="M98" i="14"/>
  <c r="N97" i="14"/>
  <c r="M97" i="14"/>
  <c r="N96" i="14"/>
  <c r="M96" i="14"/>
  <c r="N95" i="14"/>
  <c r="M95" i="14"/>
  <c r="N94" i="14"/>
  <c r="M94" i="14"/>
  <c r="N93" i="14"/>
  <c r="M93" i="14"/>
  <c r="N92" i="14"/>
  <c r="M92" i="14"/>
  <c r="N91" i="14"/>
  <c r="M91" i="14"/>
  <c r="N90" i="14"/>
  <c r="M90" i="14"/>
  <c r="N89" i="14"/>
  <c r="M89" i="14"/>
  <c r="N88" i="14"/>
  <c r="M88" i="14"/>
  <c r="N87" i="14"/>
  <c r="M87" i="14"/>
  <c r="N86" i="14"/>
  <c r="M86" i="14"/>
  <c r="N85" i="14"/>
  <c r="M85" i="14"/>
  <c r="N84" i="14"/>
  <c r="M84" i="14"/>
  <c r="N83" i="14"/>
  <c r="M83" i="14"/>
  <c r="N82" i="14"/>
  <c r="M82" i="14"/>
  <c r="N81" i="14"/>
  <c r="M81" i="14"/>
  <c r="N80" i="14"/>
  <c r="M80" i="14"/>
  <c r="N79" i="14"/>
  <c r="M79" i="14"/>
  <c r="N78" i="14"/>
  <c r="M78" i="14"/>
  <c r="N77" i="14"/>
  <c r="M77" i="14"/>
  <c r="N76" i="14"/>
  <c r="M76" i="14"/>
  <c r="N75" i="14"/>
  <c r="M75" i="14"/>
  <c r="N74" i="14"/>
  <c r="M74" i="14"/>
  <c r="N73" i="14"/>
  <c r="M73" i="14"/>
  <c r="N72" i="14"/>
  <c r="M72" i="14"/>
  <c r="N71" i="14"/>
  <c r="M71" i="14"/>
  <c r="N70" i="14"/>
  <c r="M70" i="14"/>
  <c r="N69" i="14"/>
  <c r="M69" i="14"/>
  <c r="N68" i="14"/>
  <c r="M68" i="14"/>
  <c r="N67" i="14"/>
  <c r="M67" i="14"/>
  <c r="N66" i="14"/>
  <c r="M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N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2" i="14"/>
  <c r="V257" i="13"/>
  <c r="V253" i="13"/>
  <c r="V254" i="13"/>
  <c r="V252" i="13"/>
  <c r="V256" i="13"/>
  <c r="V250" i="13"/>
  <c r="V245" i="13"/>
  <c r="V243" i="13"/>
  <c r="V249" i="13"/>
  <c r="V255" i="13"/>
  <c r="V247" i="13"/>
  <c r="V238" i="13"/>
  <c r="V242" i="13"/>
  <c r="V239" i="13"/>
  <c r="V246" i="13"/>
  <c r="V232" i="13"/>
  <c r="V236" i="13"/>
  <c r="V240" i="13"/>
  <c r="V244" i="13"/>
  <c r="V248" i="13"/>
  <c r="V237" i="13"/>
  <c r="V226" i="13"/>
  <c r="V234" i="13"/>
  <c r="V251" i="13"/>
  <c r="V228" i="13"/>
  <c r="V230" i="13"/>
  <c r="V233" i="13"/>
  <c r="V235" i="13"/>
  <c r="V241" i="13"/>
  <c r="V231" i="13"/>
  <c r="V227" i="13"/>
  <c r="V229" i="13"/>
  <c r="V225" i="13"/>
  <c r="V223" i="13"/>
  <c r="V221" i="13"/>
  <c r="V217" i="13"/>
  <c r="V215" i="13"/>
  <c r="V224" i="13"/>
  <c r="V219" i="13"/>
  <c r="V222" i="13"/>
  <c r="V218" i="13"/>
  <c r="V220" i="13"/>
  <c r="V210" i="13"/>
  <c r="V207" i="13"/>
  <c r="V209" i="13"/>
  <c r="V201" i="13"/>
  <c r="V216" i="13"/>
  <c r="V205" i="13"/>
  <c r="V214" i="13"/>
  <c r="V212" i="13"/>
  <c r="V206" i="13"/>
  <c r="V194" i="13"/>
  <c r="V211" i="13"/>
  <c r="V208" i="13"/>
  <c r="V200" i="13"/>
  <c r="V199" i="13"/>
  <c r="V197" i="13"/>
  <c r="V213" i="13"/>
  <c r="V195" i="13"/>
  <c r="V198" i="13"/>
  <c r="V203" i="13"/>
  <c r="V204" i="13"/>
  <c r="V202" i="13"/>
  <c r="V196" i="13"/>
  <c r="V128" i="13"/>
  <c r="V129" i="13"/>
  <c r="V123" i="13"/>
  <c r="V124" i="13"/>
  <c r="V108" i="13"/>
  <c r="V118" i="13"/>
  <c r="V121" i="13"/>
  <c r="V125" i="13"/>
  <c r="V127" i="13"/>
  <c r="V126" i="13"/>
  <c r="V117" i="13"/>
  <c r="V120" i="13"/>
  <c r="V106" i="13"/>
  <c r="V119" i="13"/>
  <c r="V122" i="13"/>
  <c r="V116" i="13"/>
  <c r="V111" i="13"/>
  <c r="V113" i="13"/>
  <c r="V99" i="13"/>
  <c r="V98" i="13"/>
  <c r="V107" i="13"/>
  <c r="V115" i="13"/>
  <c r="V110" i="13"/>
  <c r="V104" i="13"/>
  <c r="V105" i="13"/>
  <c r="V109" i="13"/>
  <c r="V114" i="13"/>
  <c r="V103" i="13"/>
  <c r="V101" i="13"/>
  <c r="V112" i="13"/>
  <c r="V102" i="13"/>
  <c r="V100" i="13"/>
  <c r="V92" i="13"/>
  <c r="V90" i="13"/>
  <c r="V91" i="13"/>
  <c r="V94" i="13"/>
  <c r="V95" i="13"/>
  <c r="V87" i="13"/>
  <c r="V71" i="13"/>
  <c r="V84" i="13"/>
  <c r="V96" i="13"/>
  <c r="V97" i="13"/>
  <c r="V83" i="13"/>
  <c r="V74" i="13"/>
  <c r="V85" i="13"/>
  <c r="V69" i="13"/>
  <c r="V89" i="13"/>
  <c r="V86" i="13"/>
  <c r="V67" i="13"/>
  <c r="V73" i="13"/>
  <c r="V79" i="13"/>
  <c r="V76" i="13"/>
  <c r="V93" i="13"/>
  <c r="V78" i="13"/>
  <c r="V81" i="13"/>
  <c r="V82" i="13"/>
  <c r="V77" i="13"/>
  <c r="V70" i="13"/>
  <c r="V88" i="13"/>
  <c r="V68" i="13"/>
  <c r="V72" i="13"/>
  <c r="V80" i="13"/>
  <c r="V75" i="13"/>
  <c r="V66" i="13"/>
  <c r="V58" i="13"/>
  <c r="V63" i="13"/>
  <c r="V62" i="13"/>
  <c r="V59" i="13"/>
  <c r="V50" i="13"/>
  <c r="V60" i="13"/>
  <c r="V55" i="13"/>
  <c r="V65" i="13"/>
  <c r="V39" i="13"/>
  <c r="V36" i="13"/>
  <c r="V34" i="13"/>
  <c r="V53" i="13"/>
  <c r="V54" i="13"/>
  <c r="V42" i="13"/>
  <c r="V57" i="13"/>
  <c r="V51" i="13"/>
  <c r="V52" i="13"/>
  <c r="V44" i="13"/>
  <c r="V45" i="13"/>
  <c r="V41" i="13"/>
  <c r="V46" i="13"/>
  <c r="V49" i="13"/>
  <c r="V40" i="13"/>
  <c r="V47" i="13"/>
  <c r="V43" i="13"/>
  <c r="V37" i="13"/>
  <c r="V56" i="13"/>
  <c r="V64" i="13"/>
  <c r="V35" i="13"/>
  <c r="V48" i="13"/>
  <c r="V61" i="13"/>
  <c r="V38" i="13"/>
  <c r="V29" i="13"/>
  <c r="V24" i="13"/>
  <c r="V30" i="13"/>
  <c r="V33" i="13"/>
  <c r="V32" i="13"/>
  <c r="V26" i="13"/>
  <c r="V28" i="13"/>
  <c r="V31" i="13"/>
  <c r="V27" i="13"/>
  <c r="V25" i="13"/>
  <c r="V23" i="13"/>
  <c r="V22" i="13"/>
  <c r="V21" i="13"/>
  <c r="V19" i="13"/>
  <c r="V15" i="13"/>
  <c r="V20" i="13"/>
  <c r="V17" i="13"/>
  <c r="V14" i="13"/>
  <c r="V16" i="13"/>
  <c r="V18" i="13"/>
  <c r="V7" i="13"/>
  <c r="V11" i="13"/>
  <c r="V8" i="13"/>
  <c r="V13" i="13"/>
  <c r="V10" i="13"/>
  <c r="V12" i="13"/>
  <c r="V6" i="13"/>
  <c r="V9" i="13"/>
  <c r="V4" i="13"/>
  <c r="V2" i="13"/>
  <c r="V3" i="13"/>
  <c r="V5" i="13"/>
  <c r="V201" i="19" l="1"/>
  <c r="V149" i="19"/>
  <c r="V127" i="19"/>
  <c r="V91" i="19"/>
  <c r="V67" i="19"/>
  <c r="V104" i="19"/>
  <c r="V69" i="19"/>
  <c r="V56" i="19"/>
  <c r="V144" i="19"/>
  <c r="V87" i="19"/>
  <c r="V51" i="19"/>
  <c r="V172" i="19"/>
  <c r="V163" i="19"/>
  <c r="V46" i="19"/>
  <c r="V167" i="19"/>
  <c r="V207" i="19"/>
  <c r="V45" i="19"/>
  <c r="V203" i="19"/>
  <c r="V165" i="19"/>
  <c r="V267" i="19"/>
  <c r="V259" i="19"/>
  <c r="V257" i="19"/>
  <c r="V98" i="19"/>
  <c r="V77" i="19"/>
  <c r="V255" i="19"/>
  <c r="V65" i="19"/>
  <c r="V246" i="19"/>
  <c r="V27" i="19"/>
  <c r="V29" i="19"/>
  <c r="V109" i="19"/>
  <c r="V114" i="19"/>
  <c r="V197" i="19"/>
  <c r="V128" i="19"/>
  <c r="V190" i="19"/>
  <c r="V262" i="19"/>
  <c r="V192" i="19"/>
  <c r="V219" i="19"/>
  <c r="V154" i="19"/>
  <c r="V179" i="19"/>
  <c r="V176" i="19"/>
  <c r="V173" i="19"/>
  <c r="V264" i="19"/>
  <c r="V243" i="19"/>
  <c r="V146" i="19"/>
  <c r="V93" i="19"/>
  <c r="V125" i="19"/>
  <c r="V122" i="19"/>
  <c r="V169" i="19"/>
  <c r="V134" i="19"/>
  <c r="V175" i="19"/>
  <c r="V55" i="19"/>
  <c r="V155" i="19"/>
  <c r="V135" i="19"/>
  <c r="V115" i="19"/>
  <c r="Y5" i="4"/>
  <c r="Y4" i="4"/>
  <c r="Y9" i="4"/>
  <c r="Y8" i="4"/>
  <c r="Y6" i="4"/>
  <c r="Y3" i="4"/>
  <c r="Y7" i="4"/>
  <c r="W10" i="4"/>
  <c r="X10" i="4"/>
  <c r="V10" i="4"/>
  <c r="Y2" i="4"/>
  <c r="V68" i="19"/>
  <c r="V28" i="19"/>
  <c r="V25" i="19"/>
  <c r="V188" i="19"/>
  <c r="V140" i="19"/>
  <c r="V43" i="19"/>
  <c r="V37" i="19"/>
  <c r="V189" i="19"/>
  <c r="V250" i="19"/>
  <c r="V79" i="19"/>
  <c r="V57" i="19"/>
  <c r="V220" i="19"/>
  <c r="V121" i="19"/>
  <c r="V70" i="19"/>
  <c r="V60" i="19"/>
  <c r="V26" i="19"/>
  <c r="V123" i="19"/>
  <c r="V62" i="19"/>
  <c r="V209" i="19"/>
  <c r="V40" i="19"/>
  <c r="V36" i="19"/>
  <c r="V204" i="19"/>
  <c r="V108" i="19"/>
  <c r="V81" i="19"/>
  <c r="V234" i="19"/>
  <c r="V229" i="19"/>
  <c r="V226" i="19"/>
  <c r="V187" i="19"/>
  <c r="V111" i="19"/>
  <c r="V106" i="19"/>
  <c r="V83" i="19"/>
  <c r="V80" i="19"/>
  <c r="V75" i="19"/>
  <c r="V71" i="19"/>
  <c r="V44" i="19"/>
  <c r="V271" i="19"/>
  <c r="V268" i="19"/>
  <c r="V225" i="19"/>
  <c r="V200" i="19"/>
  <c r="V182" i="19"/>
  <c r="V145" i="19"/>
  <c r="V66" i="19"/>
  <c r="V18" i="19"/>
  <c r="V11" i="19"/>
  <c r="V205" i="19"/>
  <c r="V194" i="19"/>
  <c r="V174" i="19"/>
  <c r="V117" i="19"/>
  <c r="V180" i="19"/>
  <c r="V101" i="19"/>
  <c r="V30" i="19"/>
  <c r="V23" i="19"/>
  <c r="V139" i="19"/>
  <c r="V78" i="19"/>
  <c r="V270" i="19"/>
  <c r="V247" i="19"/>
  <c r="V236" i="19"/>
  <c r="V232" i="19"/>
  <c r="V227" i="19"/>
  <c r="V186" i="19"/>
  <c r="V170" i="19"/>
  <c r="V160" i="19"/>
  <c r="V164" i="19"/>
  <c r="V142" i="19"/>
  <c r="V58" i="19"/>
  <c r="V49" i="19"/>
  <c r="V32" i="19"/>
  <c r="V221" i="19"/>
  <c r="V222" i="19"/>
  <c r="G32" i="31"/>
  <c r="H32" i="31" s="1"/>
  <c r="K35" i="31"/>
  <c r="L35" i="31" s="1"/>
  <c r="E35" i="31"/>
  <c r="F35" i="31" s="1"/>
  <c r="I35" i="31"/>
  <c r="J35" i="31" s="1"/>
  <c r="K34" i="31"/>
  <c r="L34" i="31" s="1"/>
  <c r="E34" i="31"/>
  <c r="F34" i="31" s="1"/>
  <c r="I34" i="31"/>
  <c r="J34" i="31" s="1"/>
  <c r="E33" i="31"/>
  <c r="F33" i="31" s="1"/>
  <c r="I33" i="31"/>
  <c r="J33" i="31" s="1"/>
  <c r="G33" i="31"/>
  <c r="H33" i="31" s="1"/>
  <c r="K32" i="31"/>
  <c r="L32" i="31" s="1"/>
  <c r="I32" i="31"/>
  <c r="J32" i="31" s="1"/>
  <c r="E32" i="31"/>
  <c r="F32" i="31" s="1"/>
  <c r="G31" i="31"/>
  <c r="H31" i="31" s="1"/>
  <c r="E31" i="31"/>
  <c r="F31" i="31" s="1"/>
  <c r="I31" i="31"/>
  <c r="J31" i="31" s="1"/>
  <c r="G30" i="31"/>
  <c r="H30" i="31" s="1"/>
  <c r="K30" i="31"/>
  <c r="L30" i="31" s="1"/>
  <c r="E30" i="31"/>
  <c r="F30" i="31" s="1"/>
  <c r="I30" i="31"/>
  <c r="J30" i="31" s="1"/>
  <c r="I29" i="31"/>
  <c r="J29" i="31" s="1"/>
  <c r="E29" i="31"/>
  <c r="F29" i="31" s="1"/>
  <c r="K29" i="31"/>
  <c r="L29" i="31" s="1"/>
  <c r="G29" i="31"/>
  <c r="H29" i="31" s="1"/>
  <c r="I28" i="31"/>
  <c r="J28" i="31" s="1"/>
  <c r="G28" i="31"/>
  <c r="H28" i="31" s="1"/>
  <c r="K27" i="31"/>
  <c r="L27" i="31" s="1"/>
  <c r="I27" i="31"/>
  <c r="J27" i="31" s="1"/>
  <c r="K26" i="31"/>
  <c r="L26" i="31" s="1"/>
  <c r="I26" i="31"/>
  <c r="J26" i="31" s="1"/>
  <c r="G26" i="31"/>
  <c r="H26" i="31" s="1"/>
  <c r="I25" i="31"/>
  <c r="J25" i="31" s="1"/>
  <c r="G25" i="31"/>
  <c r="H25" i="31" s="1"/>
  <c r="K25" i="31"/>
  <c r="L25" i="31" s="1"/>
  <c r="I24" i="31"/>
  <c r="J24" i="31" s="1"/>
  <c r="K24" i="31"/>
  <c r="L24" i="31" s="1"/>
  <c r="I23" i="31"/>
  <c r="J23" i="31" s="1"/>
  <c r="K23" i="31"/>
  <c r="L23" i="31" s="1"/>
  <c r="V260" i="19"/>
  <c r="V251" i="19"/>
  <c r="V137" i="19"/>
  <c r="V105" i="19"/>
  <c r="V22" i="19"/>
  <c r="V239" i="19"/>
  <c r="V215" i="19"/>
  <c r="V191" i="19"/>
  <c r="V185" i="19"/>
  <c r="V157" i="19"/>
  <c r="V152" i="19"/>
  <c r="V110" i="19"/>
  <c r="V166" i="19"/>
  <c r="V138" i="19"/>
  <c r="V253" i="19"/>
  <c r="V238" i="19"/>
  <c r="V90" i="19"/>
  <c r="V61" i="19"/>
  <c r="V34" i="19"/>
  <c r="V261" i="19"/>
  <c r="V39" i="19"/>
  <c r="AF179" i="19"/>
  <c r="AF171" i="19"/>
  <c r="AF163" i="19"/>
  <c r="AF154" i="19"/>
  <c r="AF147" i="19"/>
  <c r="AF172" i="19"/>
  <c r="AF162" i="19"/>
  <c r="AF155" i="19"/>
  <c r="AF146" i="19"/>
  <c r="V120" i="19"/>
  <c r="V48" i="19"/>
  <c r="V5" i="19"/>
  <c r="V158" i="19"/>
  <c r="V206" i="19"/>
  <c r="V150" i="19"/>
  <c r="V102" i="19"/>
  <c r="V35" i="19"/>
  <c r="AB195" i="19" a="1"/>
  <c r="AD195" i="19" s="1"/>
  <c r="AA195" i="19" a="1"/>
  <c r="AC195" i="19" s="1"/>
  <c r="AB194" i="19" a="1"/>
  <c r="AD194" i="19" s="1"/>
  <c r="AA194" i="19" a="1"/>
  <c r="AC194" i="19" s="1"/>
  <c r="AB193" i="19" a="1"/>
  <c r="AD193" i="19" s="1"/>
  <c r="AA193" i="19" a="1"/>
  <c r="AC193" i="19" s="1"/>
  <c r="AB192" i="19" a="1"/>
  <c r="AD192" i="19" s="1"/>
  <c r="AA192" i="19" a="1"/>
  <c r="AC192" i="19" s="1"/>
  <c r="AB191" i="19" a="1"/>
  <c r="AD191" i="19" s="1"/>
  <c r="AA191" i="19" a="1"/>
  <c r="AC191" i="19" s="1"/>
  <c r="AB190" i="19" a="1"/>
  <c r="AD190" i="19" s="1"/>
  <c r="AA190" i="19" a="1"/>
  <c r="AC190" i="19" s="1"/>
  <c r="AB189" i="19" a="1"/>
  <c r="AD189" i="19" s="1"/>
  <c r="AA189" i="19" a="1"/>
  <c r="AC189" i="19" s="1"/>
  <c r="AB188" i="19" a="1"/>
  <c r="AD188" i="19" s="1"/>
  <c r="AA188" i="19" a="1"/>
  <c r="AC188" i="19" s="1"/>
  <c r="AB187" i="19" a="1"/>
  <c r="AD187" i="19" s="1"/>
  <c r="AA187" i="19" a="1"/>
  <c r="AC187" i="19" s="1"/>
  <c r="AB186" i="19" a="1"/>
  <c r="AD186" i="19" s="1"/>
  <c r="AA186" i="19" a="1"/>
  <c r="AC186" i="19" s="1"/>
  <c r="AB185" i="19" a="1"/>
  <c r="AD185" i="19" s="1"/>
  <c r="AA185" i="19" a="1"/>
  <c r="AC185" i="19" s="1"/>
  <c r="AB184" i="19" a="1"/>
  <c r="AD184" i="19" s="1"/>
  <c r="AA184" i="19" a="1"/>
  <c r="AC184" i="19" s="1"/>
  <c r="AB183" i="19" a="1"/>
  <c r="AD183" i="19" s="1"/>
  <c r="AA183" i="19" a="1"/>
  <c r="AC183" i="19" s="1"/>
  <c r="AB182" i="19" a="1"/>
  <c r="AD182" i="19" s="1"/>
  <c r="AA182" i="19" a="1"/>
  <c r="AC182" i="19" s="1"/>
  <c r="AB181" i="19" a="1"/>
  <c r="AD181" i="19" s="1"/>
  <c r="AA181" i="19" a="1"/>
  <c r="AC181" i="19" s="1"/>
  <c r="AB180" i="19" a="1"/>
  <c r="AD180" i="19" s="1"/>
  <c r="AA180" i="19" a="1"/>
  <c r="AC180" i="19" s="1"/>
  <c r="AB179" i="19" a="1"/>
  <c r="AD179" i="19" s="1"/>
  <c r="AA179" i="19" a="1"/>
  <c r="AC179" i="19" s="1"/>
  <c r="AB178" i="19" a="1"/>
  <c r="AD178" i="19" s="1"/>
  <c r="AA178" i="19" a="1"/>
  <c r="AC178" i="19" s="1"/>
  <c r="AB177" i="19" a="1"/>
  <c r="AD177" i="19" s="1"/>
  <c r="AA177" i="19" a="1"/>
  <c r="AC177" i="19" s="1"/>
  <c r="AB176" i="19" a="1"/>
  <c r="AD176" i="19" s="1"/>
  <c r="AA176" i="19" a="1"/>
  <c r="AC176" i="19" s="1"/>
  <c r="AB175" i="19" a="1"/>
  <c r="AD175" i="19" s="1"/>
  <c r="AA175" i="19" a="1"/>
  <c r="AC175" i="19" s="1"/>
  <c r="AB174" i="19" a="1"/>
  <c r="AD174" i="19" s="1"/>
  <c r="AA174" i="19" a="1"/>
  <c r="AC174" i="19" s="1"/>
  <c r="AB173" i="19" a="1"/>
  <c r="AD173" i="19" s="1"/>
  <c r="AA173" i="19" a="1"/>
  <c r="AC173" i="19" s="1"/>
  <c r="AB172" i="19" a="1"/>
  <c r="AD172" i="19" s="1"/>
  <c r="AA172" i="19" a="1"/>
  <c r="AC172" i="19" s="1"/>
  <c r="AB171" i="19" a="1"/>
  <c r="AD171" i="19" s="1"/>
  <c r="AA171" i="19" a="1"/>
  <c r="AC171" i="19" s="1"/>
  <c r="AA170" i="19" a="1"/>
  <c r="AC170" i="19" s="1"/>
  <c r="AB170" i="19" a="1"/>
  <c r="AD170" i="19" s="1"/>
  <c r="AB169" i="19" a="1"/>
  <c r="AD169" i="19" s="1"/>
  <c r="AA169" i="19" a="1"/>
  <c r="AC169" i="19" s="1"/>
  <c r="AB168" i="19" a="1"/>
  <c r="AD168" i="19" s="1"/>
  <c r="AA168" i="19" a="1"/>
  <c r="AC168" i="19" s="1"/>
  <c r="AB167" i="19" a="1"/>
  <c r="AD167" i="19" s="1"/>
  <c r="AA167" i="19" a="1"/>
  <c r="AC167" i="19" s="1"/>
  <c r="AA166" i="19" a="1"/>
  <c r="AC166" i="19" s="1"/>
  <c r="AB166" i="19" a="1"/>
  <c r="AD166" i="19" s="1"/>
  <c r="AB165" i="19" a="1"/>
  <c r="AD165" i="19" s="1"/>
  <c r="AA165" i="19" a="1"/>
  <c r="AC165" i="19" s="1"/>
  <c r="AB163" i="19" a="1"/>
  <c r="AD163" i="19" s="1"/>
  <c r="AA163" i="19" a="1"/>
  <c r="AC163" i="19" s="1"/>
  <c r="AB162" i="19" a="1"/>
  <c r="AD162" i="19" s="1"/>
  <c r="AA162" i="19" a="1"/>
  <c r="AC162" i="19" s="1"/>
  <c r="AB161" i="19" a="1"/>
  <c r="AD161" i="19" s="1"/>
  <c r="AA161" i="19" a="1"/>
  <c r="AC161" i="19" s="1"/>
  <c r="AA160" i="19" a="1"/>
  <c r="AC160" i="19" s="1"/>
  <c r="AB160" i="19" a="1"/>
  <c r="AD160" i="19" s="1"/>
  <c r="AB159" i="19" a="1"/>
  <c r="AD159" i="19" s="1"/>
  <c r="AA159" i="19" a="1"/>
  <c r="AC159" i="19" s="1"/>
  <c r="AB158" i="19" a="1"/>
  <c r="AD158" i="19" s="1"/>
  <c r="AA158" i="19" a="1"/>
  <c r="AC158" i="19" s="1"/>
  <c r="AA157" i="19" a="1"/>
  <c r="AC157" i="19" s="1"/>
  <c r="AB157" i="19" a="1"/>
  <c r="AD157" i="19" s="1"/>
  <c r="AA156" i="19" a="1"/>
  <c r="AC156" i="19" s="1"/>
  <c r="AB156" i="19" a="1"/>
  <c r="AD156" i="19" s="1"/>
  <c r="AA155" i="19" a="1"/>
  <c r="AC155" i="19" s="1"/>
  <c r="AB155" i="19" a="1"/>
  <c r="AD155" i="19" s="1"/>
  <c r="AA154" i="19" a="1"/>
  <c r="AC154" i="19" s="1"/>
  <c r="AB154" i="19" a="1"/>
  <c r="AD154" i="19" s="1"/>
  <c r="AA153" i="19" a="1"/>
  <c r="AC153" i="19" s="1"/>
  <c r="AB153" i="19" a="1"/>
  <c r="AD153" i="19" s="1"/>
  <c r="AB152" i="19" a="1"/>
  <c r="AD152" i="19" s="1"/>
  <c r="AA152" i="19" a="1"/>
  <c r="AC152" i="19" s="1"/>
  <c r="AB164" i="19" a="1"/>
  <c r="AD164" i="19" s="1"/>
  <c r="AA164" i="19" a="1"/>
  <c r="AC164" i="19" s="1"/>
  <c r="AA151" i="19" a="1"/>
  <c r="AC151" i="19" s="1"/>
  <c r="AB151" i="19" a="1"/>
  <c r="AD151" i="19" s="1"/>
  <c r="AB150" i="19" a="1"/>
  <c r="AD150" i="19" s="1"/>
  <c r="AA150" i="19" a="1"/>
  <c r="AC150" i="19" s="1"/>
  <c r="AA148" i="19" a="1"/>
  <c r="AC148" i="19" s="1"/>
  <c r="AB148" i="19" a="1"/>
  <c r="AD148" i="19" s="1"/>
  <c r="AA147" i="19" a="1"/>
  <c r="AC147" i="19" s="1"/>
  <c r="AB147" i="19" a="1"/>
  <c r="AD147" i="19" s="1"/>
  <c r="AB146" i="19" a="1"/>
  <c r="AD146" i="19" s="1"/>
  <c r="AA146" i="19" a="1"/>
  <c r="AC146" i="19" s="1"/>
  <c r="AB145" i="19" a="1"/>
  <c r="AD145" i="19" s="1"/>
  <c r="AA145" i="19" a="1"/>
  <c r="AC145" i="19" s="1"/>
  <c r="AA144" i="19" a="1"/>
  <c r="AC144" i="19" s="1"/>
  <c r="AB144" i="19" a="1"/>
  <c r="AD144" i="19" s="1"/>
  <c r="AA143" i="19" a="1"/>
  <c r="AC143" i="19" s="1"/>
  <c r="AB143" i="19" a="1"/>
  <c r="AD143" i="19" s="1"/>
  <c r="AA142" i="19" a="1"/>
  <c r="AC142" i="19" s="1"/>
  <c r="AB142" i="19" a="1"/>
  <c r="AD142" i="19" s="1"/>
  <c r="AB141" i="19" a="1"/>
  <c r="AD141" i="19" s="1"/>
  <c r="AA141" i="19" a="1"/>
  <c r="AC141" i="19" s="1"/>
  <c r="AB140" i="19" a="1"/>
  <c r="AD140" i="19" s="1"/>
  <c r="AA140" i="19" a="1"/>
  <c r="AC140" i="19" s="1"/>
  <c r="AB139" i="19" a="1"/>
  <c r="AD139" i="19" s="1"/>
  <c r="AA139" i="19" a="1"/>
  <c r="AC139" i="19" s="1"/>
  <c r="AB138" i="19" a="1"/>
  <c r="AD138" i="19" s="1"/>
  <c r="AA138" i="19" a="1"/>
  <c r="AC138" i="19" s="1"/>
  <c r="AB149" i="19" a="1"/>
  <c r="AD149" i="19" s="1"/>
  <c r="AA149" i="19" a="1"/>
  <c r="AC149" i="19" s="1"/>
  <c r="AB137" i="19" a="1"/>
  <c r="AD137" i="19" s="1"/>
  <c r="AA137" i="19" a="1"/>
  <c r="AC137" i="19" s="1"/>
  <c r="AB136" i="19" a="1"/>
  <c r="AD136" i="19" s="1"/>
  <c r="AA136" i="19" a="1"/>
  <c r="AC136" i="19" s="1"/>
  <c r="AB135" i="19" a="1"/>
  <c r="AD135" i="19" s="1"/>
  <c r="AA135" i="19" a="1"/>
  <c r="AC135" i="19" s="1"/>
  <c r="AB134" i="19" a="1"/>
  <c r="AD134" i="19" s="1"/>
  <c r="AA134" i="19" a="1"/>
  <c r="AC134" i="19" s="1"/>
  <c r="AB133" i="19" a="1"/>
  <c r="AD133" i="19" s="1"/>
  <c r="AA133" i="19" a="1"/>
  <c r="AC133" i="19" s="1"/>
  <c r="AB132" i="19" a="1"/>
  <c r="AD132" i="19" s="1"/>
  <c r="AA132" i="19" a="1"/>
  <c r="AC132" i="19" s="1"/>
  <c r="AB131" i="19" a="1"/>
  <c r="AD131" i="19" s="1"/>
  <c r="AA131" i="19" a="1"/>
  <c r="AC131" i="19" s="1"/>
  <c r="AB130" i="19" a="1"/>
  <c r="AD130" i="19" s="1"/>
  <c r="AA130" i="19" a="1"/>
  <c r="AC130" i="19" s="1"/>
  <c r="AB129" i="19" a="1"/>
  <c r="AD129" i="19" s="1"/>
  <c r="AA129" i="19" a="1"/>
  <c r="AC129" i="19" s="1"/>
  <c r="AB128" i="19" a="1"/>
  <c r="AD128" i="19" s="1"/>
  <c r="AA128" i="19" a="1"/>
  <c r="AC128" i="19" s="1"/>
  <c r="AB127" i="19" a="1"/>
  <c r="AD127" i="19" s="1"/>
  <c r="AA127" i="19" a="1"/>
  <c r="AC127" i="19" s="1"/>
  <c r="AB126" i="19" a="1"/>
  <c r="AD126" i="19" s="1"/>
  <c r="AA126" i="19" a="1"/>
  <c r="AC126" i="19" s="1"/>
  <c r="AB125" i="19" a="1"/>
  <c r="AD125" i="19" s="1"/>
  <c r="AA125" i="19" a="1"/>
  <c r="AC125" i="19" s="1"/>
  <c r="AB124" i="19" a="1"/>
  <c r="AD124" i="19" s="1"/>
  <c r="AA124" i="19" a="1"/>
  <c r="AC124" i="19" s="1"/>
  <c r="AA123" i="19" a="1"/>
  <c r="AC123" i="19" s="1"/>
  <c r="AB123" i="19" a="1"/>
  <c r="AD123" i="19" s="1"/>
  <c r="AB122" i="19" a="1"/>
  <c r="AD122" i="19" s="1"/>
  <c r="AA122" i="19" a="1"/>
  <c r="AC122" i="19" s="1"/>
  <c r="AA121" i="19" a="1"/>
  <c r="AC121" i="19" s="1"/>
  <c r="AB121" i="19" a="1"/>
  <c r="AD121" i="19" s="1"/>
  <c r="AA120" i="19" a="1"/>
  <c r="AC120" i="19" s="1"/>
  <c r="AB120" i="19" a="1"/>
  <c r="AD120" i="19" s="1"/>
  <c r="AA119" i="19" a="1"/>
  <c r="AC119" i="19" s="1"/>
  <c r="AB119" i="19" a="1"/>
  <c r="AD119" i="19" s="1"/>
  <c r="AA118" i="19" a="1"/>
  <c r="AC118" i="19" s="1"/>
  <c r="AB118" i="19" a="1"/>
  <c r="AD118" i="19" s="1"/>
  <c r="AB117" i="19" a="1"/>
  <c r="AD117" i="19" s="1"/>
  <c r="AA117" i="19" a="1"/>
  <c r="AC117" i="19" s="1"/>
  <c r="AB116" i="19" a="1"/>
  <c r="AD116" i="19" s="1"/>
  <c r="AA116" i="19" a="1"/>
  <c r="AC116" i="19" s="1"/>
  <c r="AB115" i="19" a="1"/>
  <c r="AD115" i="19" s="1"/>
  <c r="AA115" i="19" a="1"/>
  <c r="AC115" i="19" s="1"/>
  <c r="AB114" i="19" a="1"/>
  <c r="AD114" i="19" s="1"/>
  <c r="AA114" i="19" a="1"/>
  <c r="AC114" i="19" s="1"/>
  <c r="AA113" i="19" a="1"/>
  <c r="AC113" i="19" s="1"/>
  <c r="AB113" i="19" a="1"/>
  <c r="AD113" i="19" s="1"/>
  <c r="AB112" i="19" a="1"/>
  <c r="AD112" i="19" s="1"/>
  <c r="AA112" i="19" a="1"/>
  <c r="AC112" i="19" s="1"/>
  <c r="AB111" i="19" a="1"/>
  <c r="AD111" i="19" s="1"/>
  <c r="AA111" i="19" a="1"/>
  <c r="AC111" i="19" s="1"/>
  <c r="AB110" i="19" a="1"/>
  <c r="AD110" i="19" s="1"/>
  <c r="AA110" i="19" a="1"/>
  <c r="AC110" i="19" s="1"/>
  <c r="AB108" i="19" a="1"/>
  <c r="AD108" i="19" s="1"/>
  <c r="AA108" i="19" a="1"/>
  <c r="AC108" i="19" s="1"/>
  <c r="AA109" i="19" a="1"/>
  <c r="AC109" i="19" s="1"/>
  <c r="AB109" i="19" a="1"/>
  <c r="AD109" i="19" s="1"/>
  <c r="AB106" i="19" a="1"/>
  <c r="AD106" i="19" s="1"/>
  <c r="AA106" i="19" a="1"/>
  <c r="AC106" i="19" s="1"/>
  <c r="AB105" i="19" a="1"/>
  <c r="AD105" i="19" s="1"/>
  <c r="AA105" i="19" a="1"/>
  <c r="AC105" i="19" s="1"/>
  <c r="AB104" i="19" a="1"/>
  <c r="AD104" i="19" s="1"/>
  <c r="AA104" i="19" a="1"/>
  <c r="AC104" i="19" s="1"/>
  <c r="AB103" i="19" a="1"/>
  <c r="AD103" i="19" s="1"/>
  <c r="AA103" i="19" a="1"/>
  <c r="AC103" i="19" s="1"/>
  <c r="AB102" i="19" a="1"/>
  <c r="AD102" i="19" s="1"/>
  <c r="AA102" i="19" a="1"/>
  <c r="AC102" i="19" s="1"/>
  <c r="AB101" i="19" a="1"/>
  <c r="AD101" i="19" s="1"/>
  <c r="AA101" i="19" a="1"/>
  <c r="AC101" i="19" s="1"/>
  <c r="AB100" i="19" a="1"/>
  <c r="AD100" i="19" s="1"/>
  <c r="AA100" i="19" a="1"/>
  <c r="AC100" i="19" s="1"/>
  <c r="AB99" i="19" a="1"/>
  <c r="AD99" i="19" s="1"/>
  <c r="AA99" i="19" a="1"/>
  <c r="AC99" i="19" s="1"/>
  <c r="AB98" i="19" a="1"/>
  <c r="AD98" i="19" s="1"/>
  <c r="AA98" i="19" a="1"/>
  <c r="AC98" i="19" s="1"/>
  <c r="AB97" i="19" a="1"/>
  <c r="AD97" i="19" s="1"/>
  <c r="AA97" i="19" a="1"/>
  <c r="AC97" i="19" s="1"/>
  <c r="AB96" i="19" a="1"/>
  <c r="AD96" i="19" s="1"/>
  <c r="AA96" i="19" a="1"/>
  <c r="AC96" i="19" s="1"/>
  <c r="AB107" i="19" a="1"/>
  <c r="AD107" i="19" s="1"/>
  <c r="AA107" i="19" a="1"/>
  <c r="AC107" i="19" s="1"/>
  <c r="AB95" i="19" a="1"/>
  <c r="AD95" i="19" s="1"/>
  <c r="AA95" i="19" a="1"/>
  <c r="AC95" i="19" s="1"/>
  <c r="AB94" i="19" a="1"/>
  <c r="AD94" i="19" s="1"/>
  <c r="AA94" i="19" a="1"/>
  <c r="AC94" i="19" s="1"/>
  <c r="AB93" i="19" a="1"/>
  <c r="AD93" i="19" s="1"/>
  <c r="AA93" i="19" a="1"/>
  <c r="AC93" i="19" s="1"/>
  <c r="AB91" i="19" a="1"/>
  <c r="AD91" i="19" s="1"/>
  <c r="AA91" i="19" a="1"/>
  <c r="AC91" i="19" s="1"/>
  <c r="AB90" i="19" a="1"/>
  <c r="AD90" i="19" s="1"/>
  <c r="AA90" i="19" a="1"/>
  <c r="AC90" i="19" s="1"/>
  <c r="AB89" i="19" a="1"/>
  <c r="AD89" i="19" s="1"/>
  <c r="AA89" i="19" a="1"/>
  <c r="AC89" i="19" s="1"/>
  <c r="AB88" i="19" a="1"/>
  <c r="AD88" i="19" s="1"/>
  <c r="AA88" i="19" a="1"/>
  <c r="AC88" i="19" s="1"/>
  <c r="AB87" i="19" a="1"/>
  <c r="AD87" i="19" s="1"/>
  <c r="AA87" i="19" a="1"/>
  <c r="AC87" i="19" s="1"/>
  <c r="AB86" i="19" a="1"/>
  <c r="AD86" i="19" s="1"/>
  <c r="AA86" i="19" a="1"/>
  <c r="AC86" i="19" s="1"/>
  <c r="AB85" i="19" a="1"/>
  <c r="AD85" i="19" s="1"/>
  <c r="AA85" i="19" a="1"/>
  <c r="AC85" i="19" s="1"/>
  <c r="AB84" i="19" a="1"/>
  <c r="AD84" i="19" s="1"/>
  <c r="AA84" i="19" a="1"/>
  <c r="AC84" i="19" s="1"/>
  <c r="AB83" i="19" a="1"/>
  <c r="AD83" i="19" s="1"/>
  <c r="AA83" i="19" a="1"/>
  <c r="AC83" i="19" s="1"/>
  <c r="AB82" i="19" a="1"/>
  <c r="AD82" i="19" s="1"/>
  <c r="AA82" i="19" a="1"/>
  <c r="AC82" i="19" s="1"/>
  <c r="AB81" i="19" a="1"/>
  <c r="AD81" i="19" s="1"/>
  <c r="AA81" i="19" a="1"/>
  <c r="AC81" i="19" s="1"/>
  <c r="AB92" i="19" a="1"/>
  <c r="AD92" i="19" s="1"/>
  <c r="AA92" i="19" a="1"/>
  <c r="AC92" i="19" s="1"/>
  <c r="AB80" i="19" a="1"/>
  <c r="AD80" i="19" s="1"/>
  <c r="AA80" i="19" a="1"/>
  <c r="AC80" i="19" s="1"/>
  <c r="AB79" i="19" a="1"/>
  <c r="AD79" i="19" s="1"/>
  <c r="AA79" i="19" a="1"/>
  <c r="AC79" i="19" s="1"/>
  <c r="AB77" i="19" a="1"/>
  <c r="AD77" i="19" s="1"/>
  <c r="AA77" i="19" a="1"/>
  <c r="AC77" i="19" s="1"/>
  <c r="AB76" i="19" a="1"/>
  <c r="AD76" i="19" s="1"/>
  <c r="AA76" i="19" a="1"/>
  <c r="AC76" i="19" s="1"/>
  <c r="AB75" i="19" a="1"/>
  <c r="AD75" i="19" s="1"/>
  <c r="AA75" i="19" a="1"/>
  <c r="AC75" i="19" s="1"/>
  <c r="AB74" i="19" a="1"/>
  <c r="AD74" i="19" s="1"/>
  <c r="AA74" i="19" a="1"/>
  <c r="AC74" i="19" s="1"/>
  <c r="AB73" i="19" a="1"/>
  <c r="AD73" i="19" s="1"/>
  <c r="AA73" i="19" a="1"/>
  <c r="AC73" i="19" s="1"/>
  <c r="AB72" i="19" a="1"/>
  <c r="AD72" i="19" s="1"/>
  <c r="AA72" i="19" a="1"/>
  <c r="AC72" i="19" s="1"/>
  <c r="AB71" i="19" a="1"/>
  <c r="AD71" i="19" s="1"/>
  <c r="AA71" i="19" a="1"/>
  <c r="AC71" i="19" s="1"/>
  <c r="AB70" i="19" a="1"/>
  <c r="AD70" i="19" s="1"/>
  <c r="AA70" i="19" a="1"/>
  <c r="AC70" i="19" s="1"/>
  <c r="AB69" i="19" a="1"/>
  <c r="AD69" i="19" s="1"/>
  <c r="AA69" i="19" a="1"/>
  <c r="AC69" i="19" s="1"/>
  <c r="AB68" i="19" a="1"/>
  <c r="AD68" i="19" s="1"/>
  <c r="AA68" i="19" a="1"/>
  <c r="AC68" i="19" s="1"/>
  <c r="AB67" i="19" a="1"/>
  <c r="AD67" i="19" s="1"/>
  <c r="AA67" i="19" a="1"/>
  <c r="AC67" i="19" s="1"/>
  <c r="AB78" i="19" a="1"/>
  <c r="AD78" i="19" s="1"/>
  <c r="AA78" i="19" a="1"/>
  <c r="AC78" i="19" s="1"/>
  <c r="AB66" i="19" a="1"/>
  <c r="AD66" i="19" s="1"/>
  <c r="AA66" i="19" a="1"/>
  <c r="AC66" i="19" s="1"/>
  <c r="AB65" i="19" a="1"/>
  <c r="AD65" i="19" s="1"/>
  <c r="AA65" i="19" a="1"/>
  <c r="AC65" i="19" s="1"/>
  <c r="AB64" i="19" a="1"/>
  <c r="AD64" i="19" s="1"/>
  <c r="AA64" i="19" a="1"/>
  <c r="AC64" i="19" s="1"/>
  <c r="AB62" i="19" a="1"/>
  <c r="AD62" i="19" s="1"/>
  <c r="AA62" i="19" a="1"/>
  <c r="AC62" i="19" s="1"/>
  <c r="AB61" i="19" a="1"/>
  <c r="AD61" i="19" s="1"/>
  <c r="AA61" i="19" a="1"/>
  <c r="AC61" i="19" s="1"/>
  <c r="AB60" i="19" a="1"/>
  <c r="AD60" i="19" s="1"/>
  <c r="AA60" i="19" a="1"/>
  <c r="AC60" i="19" s="1"/>
  <c r="AB59" i="19" a="1"/>
  <c r="AD59" i="19" s="1"/>
  <c r="AA59" i="19" a="1"/>
  <c r="AC59" i="19" s="1"/>
  <c r="AB58" i="19" a="1"/>
  <c r="AD58" i="19" s="1"/>
  <c r="AA58" i="19" a="1"/>
  <c r="AC58" i="19" s="1"/>
  <c r="AB57" i="19" a="1"/>
  <c r="AD57" i="19" s="1"/>
  <c r="AA57" i="19" a="1"/>
  <c r="AC57" i="19" s="1"/>
  <c r="AA56" i="19" a="1"/>
  <c r="AC56" i="19" s="1"/>
  <c r="AB56" i="19" a="1"/>
  <c r="AD56" i="19" s="1"/>
  <c r="AB55" i="19" a="1"/>
  <c r="AD55" i="19" s="1"/>
  <c r="AA55" i="19" a="1"/>
  <c r="AC55" i="19" s="1"/>
  <c r="AB54" i="19" a="1"/>
  <c r="AD54" i="19" s="1"/>
  <c r="AA54" i="19" a="1"/>
  <c r="AC54" i="19" s="1"/>
  <c r="AB53" i="19" a="1"/>
  <c r="AD53" i="19" s="1"/>
  <c r="AA53" i="19" a="1"/>
  <c r="AC53" i="19" s="1"/>
  <c r="AB52" i="19" a="1"/>
  <c r="AD52" i="19" s="1"/>
  <c r="AA52" i="19" a="1"/>
  <c r="AC52" i="19" s="1"/>
  <c r="AB51" i="19" a="1"/>
  <c r="AD51" i="19" s="1"/>
  <c r="AA51" i="19" a="1"/>
  <c r="AC51" i="19" s="1"/>
  <c r="AB63" i="19" a="1"/>
  <c r="AD63" i="19" s="1"/>
  <c r="AA63" i="19" a="1"/>
  <c r="AC63" i="19" s="1"/>
  <c r="AA50" i="19" a="1"/>
  <c r="AC50" i="19" s="1"/>
  <c r="AB50" i="19" a="1"/>
  <c r="AD50" i="19" s="1"/>
  <c r="AB49" i="19" a="1"/>
  <c r="AD49" i="19" s="1"/>
  <c r="AA49" i="19" a="1"/>
  <c r="AC49" i="19" s="1"/>
  <c r="AB48" i="19" a="1"/>
  <c r="AD48" i="19" s="1"/>
  <c r="AA48" i="19" a="1"/>
  <c r="AC48" i="19" s="1"/>
  <c r="AB47" i="19" a="1"/>
  <c r="AD47" i="19" s="1"/>
  <c r="AA47" i="19" a="1"/>
  <c r="AC47" i="19" s="1"/>
  <c r="AB46" i="19" a="1"/>
  <c r="AD46" i="19" s="1"/>
  <c r="AA46" i="19" a="1"/>
  <c r="AC46" i="19" s="1"/>
  <c r="AB45" i="19" a="1"/>
  <c r="AD45" i="19" s="1"/>
  <c r="AA45" i="19" a="1"/>
  <c r="AC45" i="19" s="1"/>
  <c r="AB44" i="19" a="1"/>
  <c r="AD44" i="19" s="1"/>
  <c r="AA44" i="19" a="1"/>
  <c r="AC44" i="19" s="1"/>
  <c r="AB43" i="19" a="1"/>
  <c r="AD43" i="19" s="1"/>
  <c r="AA43" i="19" a="1"/>
  <c r="AC43" i="19" s="1"/>
  <c r="AB42" i="19" a="1"/>
  <c r="AD42" i="19" s="1"/>
  <c r="AA42" i="19" a="1"/>
  <c r="AC42" i="19" s="1"/>
  <c r="AB41" i="19" a="1"/>
  <c r="AD41" i="19" s="1"/>
  <c r="AA41" i="19" a="1"/>
  <c r="AC41" i="19" s="1"/>
  <c r="AB40" i="19" a="1"/>
  <c r="AD40" i="19" s="1"/>
  <c r="AA40" i="19" a="1"/>
  <c r="AC40" i="19" s="1"/>
  <c r="AB39" i="19" a="1"/>
  <c r="AD39" i="19" s="1"/>
  <c r="AA39" i="19" a="1"/>
  <c r="AC39" i="19" s="1"/>
  <c r="AB38" i="19" a="1"/>
  <c r="AD38" i="19" s="1"/>
  <c r="AA38" i="19" a="1"/>
  <c r="AC38" i="19" s="1"/>
  <c r="AB37" i="19" a="1"/>
  <c r="AD37" i="19" s="1"/>
  <c r="AA37" i="19" a="1"/>
  <c r="AC37" i="19" s="1"/>
  <c r="AB36" i="19" a="1"/>
  <c r="AD36" i="19" s="1"/>
  <c r="AA36" i="19" a="1"/>
  <c r="AC36" i="19" s="1"/>
  <c r="AB35" i="19" a="1"/>
  <c r="AD35" i="19" s="1"/>
  <c r="AA35" i="19" a="1"/>
  <c r="AC35" i="19" s="1"/>
  <c r="AB34" i="19" a="1"/>
  <c r="AD34" i="19" s="1"/>
  <c r="AA34" i="19" a="1"/>
  <c r="AC34" i="19" s="1"/>
  <c r="AB32" i="19" a="1"/>
  <c r="AD32" i="19" s="1"/>
  <c r="AA32" i="19" a="1"/>
  <c r="AC32" i="19" s="1"/>
  <c r="AB33" i="19" a="1"/>
  <c r="AD33" i="19" s="1"/>
  <c r="AA33" i="19" a="1"/>
  <c r="AC33" i="19" s="1"/>
  <c r="AB31" i="19" a="1"/>
  <c r="AD31" i="19" s="1"/>
  <c r="AA31" i="19" a="1"/>
  <c r="AC31" i="19" s="1"/>
  <c r="AB30" i="19" a="1"/>
  <c r="AD30" i="19" s="1"/>
  <c r="AA30" i="19" a="1"/>
  <c r="AC30" i="19" s="1"/>
  <c r="AA29" i="19" a="1"/>
  <c r="AC29" i="19" s="1"/>
  <c r="AB29" i="19" a="1"/>
  <c r="AD29" i="19" s="1"/>
  <c r="AB28" i="19" a="1"/>
  <c r="AD28" i="19" s="1"/>
  <c r="AA28" i="19" a="1"/>
  <c r="AC28" i="19" s="1"/>
  <c r="AB27" i="19" a="1"/>
  <c r="AD27" i="19" s="1"/>
  <c r="AA27" i="19" a="1"/>
  <c r="AC27" i="19" s="1"/>
  <c r="AB26" i="19" a="1"/>
  <c r="AD26" i="19" s="1"/>
  <c r="AA26" i="19" a="1"/>
  <c r="AC26" i="19" s="1"/>
  <c r="AB25" i="19" a="1"/>
  <c r="AD25" i="19" s="1"/>
  <c r="AA25" i="19" a="1"/>
  <c r="AC25" i="19" s="1"/>
  <c r="AB24" i="19" a="1"/>
  <c r="AD24" i="19" s="1"/>
  <c r="AA24" i="19" a="1"/>
  <c r="AC24" i="19" s="1"/>
  <c r="AA23" i="19" a="1"/>
  <c r="AC23" i="19" s="1"/>
  <c r="AB23" i="19" a="1"/>
  <c r="AD23" i="19" s="1"/>
  <c r="AA22" i="19" a="1"/>
  <c r="AC22" i="19" s="1"/>
  <c r="AB22" i="19" a="1"/>
  <c r="AD22" i="19" s="1"/>
  <c r="AB21" i="19" a="1"/>
  <c r="AD21" i="19" s="1"/>
  <c r="AA21" i="19" a="1"/>
  <c r="AC21" i="19" s="1"/>
  <c r="AB20" i="19" a="1"/>
  <c r="AD20" i="19" s="1"/>
  <c r="AA20" i="19" a="1"/>
  <c r="AC20" i="19" s="1"/>
  <c r="AB19" i="19" a="1"/>
  <c r="AD19" i="19" s="1"/>
  <c r="AA19" i="19" a="1"/>
  <c r="AC19" i="19" s="1"/>
  <c r="AB18" i="19" a="1"/>
  <c r="AD18" i="19" s="1"/>
  <c r="AA18" i="19" a="1"/>
  <c r="AC18" i="19" s="1"/>
  <c r="AB17" i="19" a="1"/>
  <c r="AD17" i="19" s="1"/>
  <c r="AA17" i="19" a="1"/>
  <c r="AC17" i="19" s="1"/>
  <c r="AB16" i="19" a="1"/>
  <c r="AD16" i="19" s="1"/>
  <c r="AA16" i="19" a="1"/>
  <c r="AC16" i="19" s="1"/>
  <c r="AB15" i="19" a="1"/>
  <c r="AD15" i="19" s="1"/>
  <c r="AA15" i="19" a="1"/>
  <c r="AC15" i="19" s="1"/>
  <c r="AB14" i="19" a="1"/>
  <c r="AD14" i="19" s="1"/>
  <c r="AA14" i="19" a="1"/>
  <c r="AC14" i="19" s="1"/>
  <c r="AB13" i="19" a="1"/>
  <c r="AD13" i="19" s="1"/>
  <c r="AA13" i="19" a="1"/>
  <c r="AC13" i="19" s="1"/>
  <c r="AB12" i="19" a="1"/>
  <c r="AD12" i="19" s="1"/>
  <c r="AA12" i="19" a="1"/>
  <c r="AC12" i="19" s="1"/>
  <c r="AB11" i="19" a="1"/>
  <c r="AD11" i="19" s="1"/>
  <c r="AA11" i="19" a="1"/>
  <c r="AC11" i="19" s="1"/>
  <c r="AB10" i="19" a="1"/>
  <c r="AD10" i="19" s="1"/>
  <c r="AA10" i="19" a="1"/>
  <c r="AC10" i="19" s="1"/>
  <c r="AB9" i="19" a="1"/>
  <c r="AD9" i="19" s="1"/>
  <c r="AA9" i="19" a="1"/>
  <c r="AC9" i="19" s="1"/>
  <c r="AB8" i="19" a="1"/>
  <c r="AD8" i="19" s="1"/>
  <c r="AA8" i="19" a="1"/>
  <c r="AC8" i="19" s="1"/>
  <c r="AB7" i="19" a="1"/>
  <c r="AD7" i="19" s="1"/>
  <c r="AA7" i="19" a="1"/>
  <c r="AC7" i="19" s="1"/>
  <c r="AB6" i="19" a="1"/>
  <c r="AD6" i="19" s="1"/>
  <c r="AA6" i="19" a="1"/>
  <c r="AC6" i="19" s="1"/>
  <c r="AB5" i="19" a="1"/>
  <c r="AD5" i="19" s="1"/>
  <c r="AA5" i="19" a="1"/>
  <c r="AC5" i="19" s="1"/>
  <c r="AB4" i="19" a="1"/>
  <c r="AD4" i="19" s="1"/>
  <c r="AA4" i="19" a="1"/>
  <c r="AC4" i="19" s="1"/>
  <c r="AB3" i="19" a="1"/>
  <c r="AD3" i="19" s="1"/>
  <c r="AA3" i="19" a="1"/>
  <c r="AC3" i="19" s="1"/>
  <c r="AB2" i="19" a="1"/>
  <c r="AD2" i="19" s="1"/>
  <c r="AA2" i="19" a="1"/>
  <c r="AC2" i="19" s="1"/>
  <c r="AF151" i="19"/>
  <c r="AF158" i="19"/>
  <c r="AF175" i="19"/>
  <c r="AF144" i="19"/>
  <c r="AF152" i="19"/>
  <c r="AF160" i="19"/>
  <c r="AF169" i="19"/>
  <c r="AF177" i="19"/>
  <c r="AF167" i="19"/>
  <c r="V15" i="19"/>
  <c r="AF143" i="19"/>
  <c r="AF164" i="19"/>
  <c r="AF159" i="19"/>
  <c r="AF168" i="19"/>
  <c r="AF176" i="19"/>
  <c r="AF145" i="19"/>
  <c r="AF153" i="19"/>
  <c r="AF161" i="19"/>
  <c r="AF170" i="19"/>
  <c r="AF178" i="19"/>
  <c r="AF148" i="19"/>
  <c r="AF156" i="19"/>
  <c r="AF165" i="19"/>
  <c r="AF173" i="19"/>
  <c r="V24" i="19"/>
  <c r="V240" i="19"/>
  <c r="V244" i="19"/>
  <c r="V248" i="19"/>
  <c r="V252" i="19"/>
  <c r="V256" i="19"/>
  <c r="V273" i="19"/>
  <c r="AF150" i="19"/>
  <c r="AF157" i="19"/>
  <c r="AF166" i="19"/>
  <c r="AF174" i="19"/>
  <c r="V113" i="19"/>
  <c r="V245" i="19"/>
  <c r="V237" i="19"/>
  <c r="V54" i="19"/>
  <c r="V132" i="19"/>
  <c r="V112" i="19"/>
  <c r="V116" i="19"/>
  <c r="V38" i="19"/>
  <c r="V20" i="19"/>
  <c r="AE179" i="19"/>
  <c r="AE176" i="19"/>
  <c r="AE173" i="19"/>
  <c r="AE171" i="19"/>
  <c r="AE169" i="19"/>
  <c r="AE166" i="19"/>
  <c r="AE160" i="19"/>
  <c r="AE156" i="19"/>
  <c r="AE154" i="19"/>
  <c r="AE151" i="19"/>
  <c r="AE147" i="19"/>
  <c r="V235" i="19"/>
  <c r="V233" i="19"/>
  <c r="AE178" i="19"/>
  <c r="AE175" i="19"/>
  <c r="AE172" i="19"/>
  <c r="AE170" i="19"/>
  <c r="AE168" i="19"/>
  <c r="AE165" i="19"/>
  <c r="AE159" i="19"/>
  <c r="AE155" i="19"/>
  <c r="AE152" i="19"/>
  <c r="AE150" i="19"/>
  <c r="AE146" i="19"/>
  <c r="AE143" i="19"/>
  <c r="V230" i="19"/>
  <c r="V212" i="19"/>
  <c r="V52" i="19"/>
  <c r="V42" i="19"/>
  <c r="V31" i="19"/>
  <c r="AE177" i="19"/>
  <c r="AE174" i="19"/>
  <c r="AE167" i="19"/>
  <c r="AE158" i="19"/>
  <c r="AE153" i="19"/>
  <c r="AE145" i="19"/>
  <c r="V241" i="19"/>
  <c r="V131" i="19"/>
  <c r="V33" i="19"/>
  <c r="AE163" i="19"/>
  <c r="AE162" i="19"/>
  <c r="AE161" i="19"/>
  <c r="AE157" i="19"/>
  <c r="AE164" i="19"/>
  <c r="AE148" i="19"/>
  <c r="AE144" i="19"/>
  <c r="V130" i="19"/>
  <c r="V53" i="19"/>
  <c r="V41" i="19"/>
  <c r="V47" i="19"/>
  <c r="V19" i="19"/>
  <c r="V76" i="19"/>
  <c r="V74" i="19"/>
  <c r="V72" i="19"/>
  <c r="V12" i="19"/>
  <c r="V103" i="19"/>
  <c r="V85" i="19"/>
  <c r="V92" i="19"/>
  <c r="V9" i="19"/>
  <c r="V6" i="19"/>
  <c r="V119" i="19"/>
  <c r="V107" i="19"/>
  <c r="V82" i="19"/>
  <c r="V10" i="19"/>
  <c r="V7" i="19"/>
  <c r="V4" i="19"/>
  <c r="V195" i="19"/>
  <c r="V181" i="19"/>
  <c r="V162" i="19"/>
  <c r="V161" i="19"/>
  <c r="V153" i="19"/>
  <c r="V147" i="19"/>
  <c r="V133" i="19"/>
  <c r="V129" i="19"/>
  <c r="V99" i="19"/>
  <c r="V88" i="19"/>
  <c r="V16" i="19"/>
  <c r="V8" i="19"/>
  <c r="V217" i="19"/>
  <c r="V216" i="19"/>
  <c r="V156" i="19"/>
  <c r="V151" i="19"/>
  <c r="V124" i="19"/>
  <c r="V97" i="19"/>
  <c r="V17" i="19"/>
  <c r="V13" i="19"/>
  <c r="V178" i="19"/>
  <c r="V118" i="19"/>
  <c r="V3" i="19"/>
  <c r="AW297" i="17"/>
  <c r="AW315" i="17"/>
  <c r="AW410" i="17"/>
  <c r="AW409" i="17"/>
  <c r="AW408" i="17"/>
  <c r="AW400" i="17"/>
  <c r="AW413" i="17"/>
  <c r="AW412" i="17"/>
  <c r="AW411" i="17"/>
  <c r="AW367" i="17"/>
  <c r="AW345" i="17"/>
  <c r="AW333" i="17"/>
  <c r="AW376" i="17"/>
  <c r="AW321" i="17"/>
  <c r="AW397" i="17"/>
  <c r="AW384" i="17"/>
  <c r="AW374" i="17"/>
  <c r="AW365" i="17"/>
  <c r="AW323" i="17"/>
  <c r="AW402" i="17"/>
  <c r="AW390" i="17"/>
  <c r="AW339" i="17"/>
  <c r="AW324" i="17"/>
  <c r="AW401" i="17"/>
  <c r="AW391" i="17"/>
  <c r="AW381" i="17"/>
  <c r="AW372" i="17"/>
  <c r="AW366" i="17"/>
  <c r="AW338" i="17"/>
  <c r="AW329" i="17"/>
  <c r="AW396" i="17"/>
  <c r="AW343" i="17"/>
  <c r="AW375" i="17"/>
  <c r="AW360" i="17"/>
  <c r="AW335" i="17"/>
  <c r="AW326" i="17"/>
  <c r="AW350" i="17"/>
  <c r="AW349" i="17"/>
  <c r="AW348" i="17"/>
  <c r="AW347" i="17"/>
  <c r="AW340" i="17"/>
  <c r="AW327" i="17"/>
  <c r="AW398" i="17"/>
  <c r="AW385" i="17"/>
  <c r="AW377" i="17"/>
  <c r="AW368" i="17"/>
  <c r="AW364" i="17"/>
  <c r="AW336" i="17"/>
  <c r="AW330" i="17"/>
  <c r="AW405" i="17"/>
  <c r="AW388" i="17"/>
  <c r="AW380" i="17"/>
  <c r="AW369" i="17"/>
  <c r="AW344" i="17"/>
  <c r="AW334" i="17"/>
  <c r="AW325" i="17"/>
  <c r="AW406" i="17"/>
  <c r="AW394" i="17"/>
  <c r="AW383" i="17"/>
  <c r="AW373" i="17"/>
  <c r="AW361" i="17"/>
  <c r="AW342" i="17"/>
  <c r="AW337" i="17"/>
  <c r="AW322" i="17"/>
  <c r="AW379" i="17"/>
  <c r="AW370" i="17"/>
  <c r="AW362" i="17"/>
  <c r="AW341" i="17"/>
  <c r="AW331" i="17"/>
  <c r="AW320" i="17"/>
  <c r="AW403" i="17"/>
  <c r="AW389" i="17"/>
  <c r="AW378" i="17"/>
  <c r="AW363" i="17"/>
  <c r="AW382" i="17"/>
  <c r="AW392" i="17"/>
  <c r="AW399" i="17"/>
  <c r="AW328" i="17"/>
  <c r="AW346" i="17"/>
  <c r="AW371" i="17"/>
  <c r="AW386" i="17"/>
  <c r="AW395" i="17"/>
  <c r="AW407" i="17"/>
  <c r="AW332" i="17"/>
  <c r="AW404" i="17"/>
  <c r="AW393" i="17"/>
  <c r="AW387" i="17"/>
  <c r="AF142" i="19"/>
  <c r="AE142" i="19"/>
  <c r="AF141" i="19"/>
  <c r="AE141" i="19"/>
  <c r="AF140" i="19"/>
  <c r="AE140" i="19"/>
  <c r="AE139" i="19"/>
  <c r="AF139" i="19"/>
  <c r="AE138" i="19"/>
  <c r="AF138" i="19"/>
  <c r="AE149" i="19"/>
  <c r="AF149" i="19"/>
  <c r="AE137" i="19"/>
  <c r="AF137" i="19"/>
  <c r="AE136" i="19"/>
  <c r="AF136" i="19"/>
  <c r="AE135" i="19"/>
  <c r="AF135" i="19"/>
  <c r="AE134" i="19"/>
  <c r="AF134" i="19"/>
  <c r="AE133" i="19"/>
  <c r="AF133" i="19"/>
  <c r="AE132" i="19"/>
  <c r="AF132" i="19"/>
  <c r="AE131" i="19"/>
  <c r="AF131" i="19"/>
  <c r="AE130" i="19"/>
  <c r="AF130" i="19"/>
  <c r="AE129" i="19"/>
  <c r="AF129" i="19"/>
  <c r="AE128" i="19"/>
  <c r="AF128" i="19"/>
  <c r="AE127" i="19"/>
  <c r="AF127" i="19"/>
  <c r="AE126" i="19"/>
  <c r="AF126" i="19"/>
  <c r="AE125" i="19"/>
  <c r="AF125" i="19"/>
  <c r="AF124" i="19"/>
  <c r="AE124" i="19"/>
  <c r="AE123" i="19"/>
  <c r="AF123" i="19"/>
  <c r="AE122" i="19"/>
  <c r="AF122" i="19"/>
  <c r="AF121" i="19"/>
  <c r="AE121" i="19"/>
  <c r="AF120" i="19"/>
  <c r="AE120" i="19"/>
  <c r="AE119" i="19"/>
  <c r="AF119" i="19"/>
  <c r="AF118" i="19"/>
  <c r="AE118" i="19"/>
  <c r="AF117" i="19"/>
  <c r="AE117" i="19"/>
  <c r="AE116" i="19"/>
  <c r="AF116" i="19"/>
  <c r="AE115" i="19"/>
  <c r="AF115" i="19"/>
  <c r="AE114" i="19"/>
  <c r="AF114" i="19"/>
  <c r="AE113" i="19"/>
  <c r="AF113" i="19"/>
  <c r="AE112" i="19"/>
  <c r="AF112" i="19"/>
  <c r="AE111" i="19"/>
  <c r="AF111" i="19"/>
  <c r="AE110" i="19"/>
  <c r="AF110" i="19"/>
  <c r="AE108" i="19"/>
  <c r="AF108" i="19"/>
  <c r="AF109" i="19"/>
  <c r="AE109" i="19"/>
  <c r="AF106" i="19"/>
  <c r="AE106" i="19"/>
  <c r="AF105" i="19"/>
  <c r="AE105" i="19"/>
  <c r="AE104" i="19"/>
  <c r="AF104" i="19"/>
  <c r="AE103" i="19"/>
  <c r="AF103" i="19"/>
  <c r="AE102" i="19"/>
  <c r="AF102" i="19"/>
  <c r="AE101" i="19"/>
  <c r="AF101" i="19"/>
  <c r="AF100" i="19"/>
  <c r="AE100" i="19"/>
  <c r="AE99" i="19"/>
  <c r="AF99" i="19"/>
  <c r="AF98" i="19"/>
  <c r="AE98" i="19"/>
  <c r="AE97" i="19"/>
  <c r="AF97" i="19"/>
  <c r="AE96" i="19"/>
  <c r="AF96" i="19"/>
  <c r="AF107" i="19"/>
  <c r="AE107" i="19"/>
  <c r="AE95" i="19"/>
  <c r="AF95" i="19"/>
  <c r="AE94" i="19"/>
  <c r="AF94" i="19"/>
  <c r="AE93" i="19"/>
  <c r="AF93" i="19"/>
  <c r="AE91" i="19"/>
  <c r="AF91" i="19"/>
  <c r="AE90" i="19"/>
  <c r="AF90" i="19"/>
  <c r="AE89" i="19"/>
  <c r="AF89" i="19"/>
  <c r="AF88" i="19"/>
  <c r="AE88" i="19"/>
  <c r="AE87" i="19"/>
  <c r="AF87" i="19"/>
  <c r="AE86" i="19"/>
  <c r="AF86" i="19"/>
  <c r="AE85" i="19"/>
  <c r="AF85" i="19"/>
  <c r="AE84" i="19"/>
  <c r="AF84" i="19"/>
  <c r="AE83" i="19"/>
  <c r="AF83" i="19"/>
  <c r="AE82" i="19"/>
  <c r="AF82" i="19"/>
  <c r="AE81" i="19"/>
  <c r="AF81" i="19"/>
  <c r="AE92" i="19"/>
  <c r="AF92" i="19"/>
  <c r="AE80" i="19"/>
  <c r="AF80" i="19"/>
  <c r="AF79" i="19"/>
  <c r="AE79" i="19"/>
  <c r="AF77" i="19"/>
  <c r="AE77" i="19"/>
  <c r="AF76" i="19"/>
  <c r="AE76" i="19"/>
  <c r="AF75" i="19"/>
  <c r="AE75" i="19"/>
  <c r="AE74" i="19"/>
  <c r="AF74" i="19"/>
  <c r="AF73" i="19"/>
  <c r="AE73" i="19"/>
  <c r="AE72" i="19"/>
  <c r="AF72" i="19"/>
  <c r="AF71" i="19"/>
  <c r="AE71" i="19"/>
  <c r="AF70" i="19"/>
  <c r="AE70" i="19"/>
  <c r="AF69" i="19"/>
  <c r="AE69" i="19"/>
  <c r="AF68" i="19"/>
  <c r="AE68" i="19"/>
  <c r="AF67" i="19"/>
  <c r="AE67" i="19"/>
  <c r="AE78" i="19"/>
  <c r="AF78" i="19"/>
  <c r="AF66" i="19"/>
  <c r="AE66" i="19"/>
  <c r="AF65" i="19"/>
  <c r="AE65" i="19"/>
  <c r="AF64" i="19"/>
  <c r="AE64" i="19"/>
  <c r="AF62" i="19"/>
  <c r="AE62" i="19"/>
  <c r="AF61" i="19"/>
  <c r="AE61" i="19"/>
  <c r="AF60" i="19"/>
  <c r="AE60" i="19"/>
  <c r="AF59" i="19"/>
  <c r="AE59" i="19"/>
  <c r="AE58" i="19"/>
  <c r="AF58" i="19"/>
  <c r="AF57" i="19"/>
  <c r="AE57" i="19"/>
  <c r="AF56" i="19"/>
  <c r="AE56" i="19"/>
  <c r="AF55" i="19"/>
  <c r="AE55" i="19"/>
  <c r="AE54" i="19"/>
  <c r="AF54" i="19"/>
  <c r="AF53" i="19"/>
  <c r="AE53" i="19"/>
  <c r="AE52" i="19"/>
  <c r="AF52" i="19"/>
  <c r="AE51" i="19"/>
  <c r="AF51" i="19"/>
  <c r="AE63" i="19"/>
  <c r="AF63" i="19"/>
  <c r="AE50" i="19"/>
  <c r="AF50" i="19"/>
  <c r="AF49" i="19"/>
  <c r="AE49" i="19"/>
  <c r="AE48" i="19"/>
  <c r="AF48" i="19"/>
  <c r="AE47" i="19"/>
  <c r="AF47" i="19"/>
  <c r="AF46" i="19"/>
  <c r="AE46" i="19"/>
  <c r="AF45" i="19"/>
  <c r="AE45" i="19"/>
  <c r="AE44" i="19"/>
  <c r="AF44" i="19"/>
  <c r="AF43" i="19"/>
  <c r="AE43" i="19"/>
  <c r="AF42" i="19"/>
  <c r="AE42" i="19"/>
  <c r="AF41" i="19"/>
  <c r="AE41" i="19"/>
  <c r="AF40" i="19"/>
  <c r="AE40" i="19"/>
  <c r="AF39" i="19"/>
  <c r="AE39" i="19"/>
  <c r="AE38" i="19"/>
  <c r="AF38" i="19"/>
  <c r="AE37" i="19"/>
  <c r="AF37" i="19"/>
  <c r="AE36" i="19"/>
  <c r="AF36" i="19"/>
  <c r="AE35" i="19"/>
  <c r="AF35" i="19"/>
  <c r="AE34" i="19"/>
  <c r="AF34" i="19"/>
  <c r="AE32" i="19"/>
  <c r="AF32" i="19"/>
  <c r="AE33" i="19"/>
  <c r="AF33" i="19"/>
  <c r="AE31" i="19"/>
  <c r="AF31" i="19"/>
  <c r="AE30" i="19"/>
  <c r="AF30" i="19"/>
  <c r="AE29" i="19"/>
  <c r="AF29" i="19"/>
  <c r="AF28" i="19"/>
  <c r="AE28" i="19"/>
  <c r="AE27" i="19"/>
  <c r="AF27" i="19"/>
  <c r="AE26" i="19"/>
  <c r="AF26" i="19"/>
  <c r="AF25" i="19"/>
  <c r="AE25" i="19"/>
  <c r="AF24" i="19"/>
  <c r="AE24" i="19"/>
  <c r="AF23" i="19"/>
  <c r="AE23" i="19"/>
  <c r="AF22" i="19"/>
  <c r="AE22" i="19"/>
  <c r="AE21" i="19"/>
  <c r="AF21" i="19"/>
  <c r="AE20" i="19"/>
  <c r="AF20" i="19"/>
  <c r="AE19" i="19"/>
  <c r="AF19" i="19"/>
  <c r="AE18" i="19"/>
  <c r="AF18" i="19"/>
  <c r="AE17" i="19"/>
  <c r="AF17" i="19"/>
  <c r="AE16" i="19"/>
  <c r="AF16" i="19"/>
  <c r="AF15" i="19"/>
  <c r="AE15" i="19"/>
  <c r="AF14" i="19"/>
  <c r="AE14" i="19"/>
  <c r="AF13" i="19"/>
  <c r="AE13" i="19"/>
  <c r="AF12" i="19"/>
  <c r="AE12" i="19"/>
  <c r="AE11" i="19"/>
  <c r="AF11" i="19"/>
  <c r="AE10" i="19"/>
  <c r="AF10" i="19"/>
  <c r="AE9" i="19"/>
  <c r="AF9" i="19"/>
  <c r="AE8" i="19"/>
  <c r="AF8" i="19"/>
  <c r="AE7" i="19"/>
  <c r="AF7" i="19"/>
  <c r="AE6" i="19"/>
  <c r="AF6" i="19"/>
  <c r="AE5" i="19"/>
  <c r="AF5" i="19"/>
  <c r="AE4" i="19"/>
  <c r="AF4" i="19"/>
  <c r="AF3" i="19"/>
  <c r="AE3" i="19"/>
  <c r="AE2" i="19"/>
  <c r="AF2" i="19"/>
  <c r="AW354" i="17"/>
  <c r="AW353" i="17"/>
  <c r="AW352" i="17"/>
  <c r="AW351" i="17"/>
  <c r="AW359" i="17"/>
  <c r="AW357" i="17"/>
  <c r="AW356" i="17"/>
  <c r="AW358" i="17"/>
  <c r="AW355" i="17"/>
  <c r="Q3" i="19"/>
  <c r="Q2" i="19"/>
  <c r="V198" i="19"/>
  <c r="V2" i="19"/>
  <c r="V231" i="19"/>
  <c r="V218" i="19"/>
  <c r="V228" i="19"/>
  <c r="V211" i="19"/>
  <c r="V224" i="19"/>
  <c r="V223" i="19"/>
  <c r="V210" i="19"/>
  <c r="V199" i="19"/>
  <c r="V213" i="19"/>
  <c r="V208" i="19"/>
  <c r="Z266" i="19"/>
  <c r="Z265" i="19"/>
  <c r="Z272" i="19"/>
  <c r="Z264" i="19"/>
  <c r="Z271" i="19"/>
  <c r="Z263" i="19"/>
  <c r="Z270" i="19"/>
  <c r="Z269" i="19"/>
  <c r="Z262" i="19"/>
  <c r="Z268" i="19"/>
  <c r="Z258" i="19"/>
  <c r="Z259" i="19"/>
  <c r="Z267" i="19"/>
  <c r="Z273" i="19"/>
  <c r="Z261" i="19"/>
  <c r="Z260" i="19"/>
  <c r="Z257" i="19"/>
  <c r="Z256" i="19"/>
  <c r="Z255" i="19"/>
  <c r="Z254" i="19"/>
  <c r="Z253" i="19"/>
  <c r="Z252" i="19"/>
  <c r="Z251" i="19"/>
  <c r="Z250" i="19"/>
  <c r="Z249" i="19"/>
  <c r="Z248" i="19"/>
  <c r="Z247" i="19"/>
  <c r="Z246" i="19"/>
  <c r="Z245" i="19"/>
  <c r="Z244" i="19"/>
  <c r="Z243" i="19"/>
  <c r="Z242" i="19"/>
  <c r="Z241" i="19"/>
  <c r="Z240" i="19"/>
  <c r="Z239" i="19"/>
  <c r="Z238" i="19"/>
  <c r="Z237" i="19"/>
  <c r="Z236" i="19"/>
  <c r="Z235" i="19"/>
  <c r="Z234" i="19"/>
  <c r="Z233" i="19"/>
  <c r="Z232" i="19"/>
  <c r="Z231" i="19"/>
  <c r="Z230" i="19"/>
  <c r="Z229" i="19"/>
  <c r="Z228" i="19"/>
  <c r="Z227" i="19"/>
  <c r="Z226" i="19"/>
  <c r="Z225" i="19"/>
  <c r="Z224" i="19"/>
  <c r="Z223" i="19"/>
  <c r="Z222" i="19"/>
  <c r="Z221" i="19"/>
  <c r="Z220" i="19"/>
  <c r="Z219" i="19"/>
  <c r="Z218" i="19"/>
  <c r="Z217" i="19"/>
  <c r="Z216" i="19"/>
  <c r="Z215" i="19"/>
  <c r="Z214" i="19"/>
  <c r="Z213" i="19"/>
  <c r="Z212" i="19"/>
  <c r="Z211" i="19"/>
  <c r="Z210" i="19"/>
  <c r="Z209" i="19"/>
  <c r="Z208" i="19"/>
  <c r="Z207" i="19"/>
  <c r="Z206" i="19"/>
  <c r="Z205" i="19"/>
  <c r="Z204" i="19"/>
  <c r="Z203" i="19"/>
  <c r="Z202" i="19"/>
  <c r="Z201" i="19"/>
  <c r="Z200" i="19"/>
  <c r="Z199" i="19"/>
  <c r="Z198" i="19"/>
  <c r="Z197" i="19"/>
  <c r="Z196" i="19"/>
  <c r="Z195" i="19"/>
  <c r="Z194" i="19"/>
  <c r="Z193" i="19"/>
  <c r="Z192" i="19"/>
  <c r="Z191" i="19"/>
  <c r="Z190" i="19"/>
  <c r="Z189" i="19"/>
  <c r="Z188" i="19"/>
  <c r="Z187" i="19"/>
  <c r="Z186" i="19"/>
  <c r="Z185" i="19"/>
  <c r="Z184" i="19"/>
  <c r="Z183" i="19"/>
  <c r="Z182" i="19"/>
  <c r="Z181" i="19"/>
  <c r="Z180" i="19"/>
  <c r="Z179" i="19"/>
  <c r="Z178" i="19"/>
  <c r="Z177" i="19"/>
  <c r="Z176" i="19"/>
  <c r="Z175" i="19"/>
  <c r="Z174" i="19"/>
  <c r="Z173" i="19"/>
  <c r="Z172" i="19"/>
  <c r="Z171" i="19"/>
  <c r="Z170" i="19"/>
  <c r="Z169" i="19"/>
  <c r="Z168" i="19"/>
  <c r="Z167" i="19"/>
  <c r="Z166" i="19"/>
  <c r="Z165" i="19"/>
  <c r="Z163" i="19"/>
  <c r="Z162" i="19"/>
  <c r="Z161" i="19"/>
  <c r="Z160" i="19"/>
  <c r="Z159" i="19"/>
  <c r="Z158" i="19"/>
  <c r="Z157" i="19"/>
  <c r="Z156" i="19"/>
  <c r="Z155" i="19"/>
  <c r="Z154" i="19"/>
  <c r="Z153" i="19"/>
  <c r="Z152" i="19"/>
  <c r="Z164" i="19"/>
  <c r="Z151" i="19"/>
  <c r="Z150" i="19"/>
  <c r="Z148" i="19"/>
  <c r="Z147" i="19"/>
  <c r="Z146" i="19"/>
  <c r="Z145" i="19"/>
  <c r="Z144" i="19"/>
  <c r="Z143" i="19"/>
  <c r="Z142" i="19"/>
  <c r="Z141" i="19"/>
  <c r="Z140" i="19"/>
  <c r="Z139" i="19"/>
  <c r="Z138" i="19"/>
  <c r="Z149" i="19"/>
  <c r="Z137" i="19"/>
  <c r="Z136" i="19"/>
  <c r="Z135" i="19"/>
  <c r="Z134" i="19"/>
  <c r="Z133" i="19"/>
  <c r="Z132" i="19"/>
  <c r="Z131" i="19"/>
  <c r="Z130" i="19"/>
  <c r="Z129" i="19"/>
  <c r="Z128" i="19"/>
  <c r="Z127" i="19"/>
  <c r="Z126" i="19"/>
  <c r="Z125" i="19"/>
  <c r="Z124" i="19"/>
  <c r="Z123" i="19"/>
  <c r="Z122" i="19"/>
  <c r="Z121" i="19"/>
  <c r="Z120" i="19"/>
  <c r="Z119" i="19"/>
  <c r="Z118" i="19"/>
  <c r="Z117" i="19"/>
  <c r="Z116" i="19"/>
  <c r="Z115" i="19"/>
  <c r="Z114" i="19"/>
  <c r="Z113" i="19"/>
  <c r="Z112" i="19"/>
  <c r="Z111" i="19"/>
  <c r="Z110" i="19"/>
  <c r="Z108" i="19"/>
  <c r="Z109" i="19"/>
  <c r="Z106" i="19"/>
  <c r="Z105" i="19"/>
  <c r="Z104" i="19"/>
  <c r="Z103" i="19"/>
  <c r="Z102" i="19"/>
  <c r="Z101" i="19"/>
  <c r="Z100" i="19"/>
  <c r="Z99" i="19"/>
  <c r="Z98" i="19"/>
  <c r="Z97" i="19"/>
  <c r="Z96" i="19"/>
  <c r="Z107" i="19"/>
  <c r="Z95" i="19"/>
  <c r="Z94" i="19"/>
  <c r="Z93" i="19"/>
  <c r="Z91" i="19"/>
  <c r="Z90" i="19"/>
  <c r="Z89" i="19"/>
  <c r="Z88" i="19"/>
  <c r="Z87" i="19"/>
  <c r="Z86" i="19"/>
  <c r="Z85" i="19"/>
  <c r="Z84" i="19"/>
  <c r="Z83" i="19"/>
  <c r="Z82" i="19"/>
  <c r="Z81" i="19"/>
  <c r="Z92" i="19"/>
  <c r="Z80" i="19"/>
  <c r="Z79" i="19"/>
  <c r="Z77" i="19"/>
  <c r="Z76" i="19"/>
  <c r="Z75" i="19"/>
  <c r="Z74" i="19"/>
  <c r="Z73" i="19"/>
  <c r="Z72" i="19"/>
  <c r="Z71" i="19"/>
  <c r="Z70" i="19"/>
  <c r="Z69" i="19"/>
  <c r="Z68" i="19"/>
  <c r="Z67" i="19"/>
  <c r="Z78" i="19"/>
  <c r="Z66" i="19"/>
  <c r="Z65" i="19"/>
  <c r="Z64" i="19"/>
  <c r="Z62" i="19"/>
  <c r="Z61" i="19"/>
  <c r="Z60" i="19"/>
  <c r="Z59" i="19"/>
  <c r="Z58" i="19"/>
  <c r="Z57" i="19"/>
  <c r="Z56" i="19"/>
  <c r="Z55" i="19"/>
  <c r="Z54" i="19"/>
  <c r="Z53" i="19"/>
  <c r="Z52" i="19"/>
  <c r="Z51" i="19"/>
  <c r="Z63" i="19"/>
  <c r="Z50" i="19"/>
  <c r="Z49" i="19"/>
  <c r="Z48" i="19"/>
  <c r="Z47" i="19"/>
  <c r="Z46" i="19"/>
  <c r="Z45" i="19"/>
  <c r="Z44" i="19"/>
  <c r="Z43" i="19"/>
  <c r="Z42" i="19"/>
  <c r="Z41" i="19"/>
  <c r="Z40" i="19"/>
  <c r="Z39" i="19"/>
  <c r="Z38" i="19"/>
  <c r="Z37" i="19"/>
  <c r="Z36" i="19"/>
  <c r="Z35" i="19"/>
  <c r="Z34" i="19"/>
  <c r="Z32" i="19"/>
  <c r="Z33" i="19"/>
  <c r="Z31" i="19"/>
  <c r="Z30" i="19"/>
  <c r="Z29" i="19"/>
  <c r="Z28" i="19"/>
  <c r="Z27" i="19"/>
  <c r="Z26" i="19"/>
  <c r="Z25" i="19"/>
  <c r="Z24" i="19"/>
  <c r="Z23" i="19"/>
  <c r="Z22" i="19"/>
  <c r="Z21" i="19"/>
  <c r="Z20" i="19"/>
  <c r="Z19" i="19"/>
  <c r="Z18" i="19"/>
  <c r="Z17" i="19"/>
  <c r="Z16" i="19"/>
  <c r="Z15" i="19"/>
  <c r="Z14" i="19"/>
  <c r="Z13" i="19"/>
  <c r="Z12" i="19"/>
  <c r="Z11" i="19"/>
  <c r="Z10" i="19"/>
  <c r="Z9" i="19"/>
  <c r="Z8" i="19"/>
  <c r="Z7" i="19"/>
  <c r="Z6" i="19"/>
  <c r="Z5" i="19"/>
  <c r="Z4" i="19"/>
  <c r="Z3" i="19"/>
  <c r="Z2" i="19"/>
  <c r="AW288" i="17"/>
  <c r="AW304" i="17"/>
  <c r="AW262" i="17"/>
  <c r="AW283" i="17"/>
  <c r="AW291" i="17"/>
  <c r="AW299" i="17"/>
  <c r="AW307" i="17"/>
  <c r="AW280" i="17"/>
  <c r="AW296" i="17"/>
  <c r="AW312" i="17"/>
  <c r="AW273" i="17"/>
  <c r="AW278" i="17"/>
  <c r="AW286" i="17"/>
  <c r="AW294" i="17"/>
  <c r="AW302" i="17"/>
  <c r="AW310" i="17"/>
  <c r="AW318" i="17"/>
  <c r="AW305" i="17"/>
  <c r="AW276" i="17"/>
  <c r="AW284" i="17"/>
  <c r="AW292" i="17"/>
  <c r="AW300" i="17"/>
  <c r="AW308" i="17"/>
  <c r="AW316" i="17"/>
  <c r="AW289" i="17"/>
  <c r="AW279" i="17"/>
  <c r="AW287" i="17"/>
  <c r="AW295" i="17"/>
  <c r="AW303" i="17"/>
  <c r="AW311" i="17"/>
  <c r="AW319" i="17"/>
  <c r="AW281" i="17"/>
  <c r="AW313" i="17"/>
  <c r="AW282" i="17"/>
  <c r="AW290" i="17"/>
  <c r="AW298" i="17"/>
  <c r="AW306" i="17"/>
  <c r="AW314" i="17"/>
  <c r="AW264" i="17"/>
  <c r="AW277" i="17"/>
  <c r="AW285" i="17"/>
  <c r="AW293" i="17"/>
  <c r="AW301" i="17"/>
  <c r="AW309" i="17"/>
  <c r="AW317" i="17"/>
  <c r="AW270" i="17"/>
  <c r="AW254" i="17"/>
  <c r="AW233" i="17"/>
  <c r="AW241" i="17"/>
  <c r="AW249" i="17"/>
  <c r="AW257" i="17"/>
  <c r="AW265" i="17"/>
  <c r="AW232" i="17"/>
  <c r="AW231" i="17"/>
  <c r="AW236" i="17"/>
  <c r="AW244" i="17"/>
  <c r="AW252" i="17"/>
  <c r="AW260" i="17"/>
  <c r="AW268" i="17"/>
  <c r="AW222" i="17"/>
  <c r="AW246" i="17"/>
  <c r="AW219" i="17"/>
  <c r="AW239" i="17"/>
  <c r="AW247" i="17"/>
  <c r="AW255" i="17"/>
  <c r="AW263" i="17"/>
  <c r="AW271" i="17"/>
  <c r="AW230" i="17"/>
  <c r="AW234" i="17"/>
  <c r="AW242" i="17"/>
  <c r="AW250" i="17"/>
  <c r="AW258" i="17"/>
  <c r="AW266" i="17"/>
  <c r="AW274" i="17"/>
  <c r="AW238" i="17"/>
  <c r="AW237" i="17"/>
  <c r="AW245" i="17"/>
  <c r="AW253" i="17"/>
  <c r="AW261" i="17"/>
  <c r="AW269" i="17"/>
  <c r="AW272" i="17"/>
  <c r="AW240" i="17"/>
  <c r="AW248" i="17"/>
  <c r="AW256" i="17"/>
  <c r="AW235" i="17"/>
  <c r="AW243" i="17"/>
  <c r="AW251" i="17"/>
  <c r="AW259" i="17"/>
  <c r="AW267" i="17"/>
  <c r="AW275" i="17"/>
  <c r="AW202" i="17"/>
  <c r="AW218" i="17"/>
  <c r="AW226" i="17"/>
  <c r="AW197" i="17"/>
  <c r="AW205" i="17"/>
  <c r="AW213" i="17"/>
  <c r="AW221" i="17"/>
  <c r="AW229" i="17"/>
  <c r="AW194" i="17"/>
  <c r="AW210" i="17"/>
  <c r="AW192" i="17"/>
  <c r="AW200" i="17"/>
  <c r="AW208" i="17"/>
  <c r="AW216" i="17"/>
  <c r="AW224" i="17"/>
  <c r="AW227" i="17"/>
  <c r="AW211" i="17"/>
  <c r="AW206" i="17"/>
  <c r="AW193" i="17"/>
  <c r="AW201" i="17"/>
  <c r="AW209" i="17"/>
  <c r="AW217" i="17"/>
  <c r="AW225" i="17"/>
  <c r="AW203" i="17"/>
  <c r="AW214" i="17"/>
  <c r="AW196" i="17"/>
  <c r="AW204" i="17"/>
  <c r="AW212" i="17"/>
  <c r="AW220" i="17"/>
  <c r="AW228" i="17"/>
  <c r="AW195" i="17"/>
  <c r="AW198" i="17"/>
  <c r="AW191" i="17"/>
  <c r="AW199" i="17"/>
  <c r="AW207" i="17"/>
  <c r="AW215" i="17"/>
  <c r="AW223" i="17"/>
  <c r="AW185" i="17"/>
  <c r="AW161" i="17"/>
  <c r="AW169" i="17"/>
  <c r="AW188" i="17"/>
  <c r="AW177" i="17"/>
  <c r="AW182" i="17"/>
  <c r="AW178" i="17"/>
  <c r="AW162" i="17"/>
  <c r="AW158" i="17"/>
  <c r="AW180" i="17"/>
  <c r="AW176" i="17"/>
  <c r="AW164" i="17"/>
  <c r="AW160" i="17"/>
  <c r="AW166" i="17"/>
  <c r="AW168" i="17"/>
  <c r="AW174" i="17"/>
  <c r="AW154" i="17"/>
  <c r="AW183" i="17"/>
  <c r="AW172" i="17"/>
  <c r="AW156" i="17"/>
  <c r="AW170" i="17"/>
  <c r="AW152" i="17"/>
  <c r="AW167" i="17"/>
  <c r="AW175" i="17"/>
  <c r="AW159" i="17"/>
  <c r="AW186" i="17"/>
  <c r="AW189" i="17"/>
  <c r="AW165" i="17"/>
  <c r="AW173" i="17"/>
  <c r="AW181" i="17"/>
  <c r="AW184" i="17"/>
  <c r="AW187" i="17"/>
  <c r="AW163" i="17"/>
  <c r="AW171" i="17"/>
  <c r="AW179" i="17"/>
  <c r="AW190" i="17"/>
  <c r="AW151" i="17"/>
  <c r="AW153" i="17"/>
  <c r="AW155" i="17"/>
  <c r="AW157" i="17"/>
  <c r="AW83" i="17"/>
  <c r="AW53" i="17"/>
  <c r="AW148" i="17"/>
  <c r="AW147" i="17"/>
  <c r="AW61" i="17"/>
  <c r="AW69" i="17"/>
  <c r="AW77" i="17"/>
  <c r="AW85" i="17"/>
  <c r="AW93" i="17"/>
  <c r="AW101" i="17"/>
  <c r="AW109" i="17"/>
  <c r="AW117" i="17"/>
  <c r="AW125" i="17"/>
  <c r="AW133" i="17"/>
  <c r="AW141" i="17"/>
  <c r="AW149" i="17"/>
  <c r="AW68" i="17"/>
  <c r="AW92" i="17"/>
  <c r="AW124" i="17"/>
  <c r="AW5" i="17"/>
  <c r="AW13" i="17"/>
  <c r="AW21" i="17"/>
  <c r="AW29" i="17"/>
  <c r="AW37" i="17"/>
  <c r="AW45" i="17"/>
  <c r="AW6" i="17"/>
  <c r="AW14" i="17"/>
  <c r="AW22" i="17"/>
  <c r="AW30" i="17"/>
  <c r="AW38" i="17"/>
  <c r="AW46" i="17"/>
  <c r="AW54" i="17"/>
  <c r="AW62" i="17"/>
  <c r="AW70" i="17"/>
  <c r="AW78" i="17"/>
  <c r="AW86" i="17"/>
  <c r="AW94" i="17"/>
  <c r="AW102" i="17"/>
  <c r="AW110" i="17"/>
  <c r="AW118" i="17"/>
  <c r="AW126" i="17"/>
  <c r="AW134" i="17"/>
  <c r="AW142" i="17"/>
  <c r="AW11" i="17"/>
  <c r="AW43" i="17"/>
  <c r="AW20" i="17"/>
  <c r="AW44" i="17"/>
  <c r="AW76" i="17"/>
  <c r="AW116" i="17"/>
  <c r="AW15" i="17"/>
  <c r="AW47" i="17"/>
  <c r="AW87" i="17"/>
  <c r="AW95" i="17"/>
  <c r="AW103" i="17"/>
  <c r="AW111" i="17"/>
  <c r="AW119" i="17"/>
  <c r="AW127" i="17"/>
  <c r="AW135" i="17"/>
  <c r="AW143" i="17"/>
  <c r="AW150" i="17"/>
  <c r="AW27" i="17"/>
  <c r="AW4" i="17"/>
  <c r="AW28" i="17"/>
  <c r="AW52" i="17"/>
  <c r="AW84" i="17"/>
  <c r="AW108" i="17"/>
  <c r="AW140" i="17"/>
  <c r="AW7" i="17"/>
  <c r="AW31" i="17"/>
  <c r="AW55" i="17"/>
  <c r="AW63" i="17"/>
  <c r="AW79" i="17"/>
  <c r="AW8" i="17"/>
  <c r="AW16" i="17"/>
  <c r="AW24" i="17"/>
  <c r="AW32" i="17"/>
  <c r="AW40" i="17"/>
  <c r="AW48" i="17"/>
  <c r="AW56" i="17"/>
  <c r="AW64" i="17"/>
  <c r="AW72" i="17"/>
  <c r="AW80" i="17"/>
  <c r="AW88" i="17"/>
  <c r="AW96" i="17"/>
  <c r="AW104" i="17"/>
  <c r="AW112" i="17"/>
  <c r="AW120" i="17"/>
  <c r="AW128" i="17"/>
  <c r="AW136" i="17"/>
  <c r="AW144" i="17"/>
  <c r="AW3" i="17"/>
  <c r="AW35" i="17"/>
  <c r="AW12" i="17"/>
  <c r="AW36" i="17"/>
  <c r="AW60" i="17"/>
  <c r="AW100" i="17"/>
  <c r="AW132" i="17"/>
  <c r="AW23" i="17"/>
  <c r="AW39" i="17"/>
  <c r="AW71" i="17"/>
  <c r="AW9" i="17"/>
  <c r="AW17" i="17"/>
  <c r="AW25" i="17"/>
  <c r="AW33" i="17"/>
  <c r="AW41" i="17"/>
  <c r="AW49" i="17"/>
  <c r="AW57" i="17"/>
  <c r="AW65" i="17"/>
  <c r="AW73" i="17"/>
  <c r="AW81" i="17"/>
  <c r="AW89" i="17"/>
  <c r="AW97" i="17"/>
  <c r="AW105" i="17"/>
  <c r="AW113" i="17"/>
  <c r="AW121" i="17"/>
  <c r="AW129" i="17"/>
  <c r="AW137" i="17"/>
  <c r="AW145" i="17"/>
  <c r="AW2" i="17"/>
  <c r="AW10" i="17"/>
  <c r="AW18" i="17"/>
  <c r="AW26" i="17"/>
  <c r="AW34" i="17"/>
  <c r="AW42" i="17"/>
  <c r="AW50" i="17"/>
  <c r="AW58" i="17"/>
  <c r="AW66" i="17"/>
  <c r="AW74" i="17"/>
  <c r="AW82" i="17"/>
  <c r="AW90" i="17"/>
  <c r="AW98" i="17"/>
  <c r="AW106" i="17"/>
  <c r="AW114" i="17"/>
  <c r="AW122" i="17"/>
  <c r="AW130" i="17"/>
  <c r="AW138" i="17"/>
  <c r="AW146" i="17"/>
  <c r="AW19" i="17"/>
  <c r="AW51" i="17"/>
  <c r="AW59" i="17"/>
  <c r="AW67" i="17"/>
  <c r="AW75" i="17"/>
  <c r="AW91" i="17"/>
  <c r="AW99" i="17"/>
  <c r="AW107" i="17"/>
  <c r="AW115" i="17"/>
  <c r="AW123" i="17"/>
  <c r="AW131" i="17"/>
  <c r="AW139" i="17"/>
  <c r="P5" i="4"/>
  <c r="P28" i="4"/>
  <c r="P33" i="4"/>
  <c r="P32" i="4"/>
  <c r="P31" i="4"/>
  <c r="P3" i="4"/>
  <c r="P30" i="4"/>
  <c r="P15" i="4"/>
  <c r="P20" i="4"/>
  <c r="P26" i="4"/>
  <c r="P25" i="4"/>
  <c r="P22" i="4"/>
  <c r="P21" i="4"/>
  <c r="P10" i="4"/>
  <c r="P17" i="4"/>
  <c r="P4" i="4"/>
  <c r="P7" i="4"/>
  <c r="P6" i="4"/>
  <c r="P2" i="4"/>
  <c r="P24" i="4"/>
  <c r="P29" i="4"/>
  <c r="P8" i="4"/>
  <c r="P19" i="4"/>
  <c r="P27" i="4"/>
  <c r="P11" i="4"/>
  <c r="P13" i="4"/>
  <c r="P12" i="4"/>
  <c r="P16" i="4"/>
  <c r="P14" i="4"/>
  <c r="P9" i="4"/>
  <c r="P18" i="4"/>
  <c r="P23" i="4"/>
  <c r="J37" i="31" l="1"/>
  <c r="H37" i="31"/>
  <c r="L37" i="31"/>
  <c r="F38" i="31"/>
  <c r="F37" i="31"/>
  <c r="J38" i="31"/>
  <c r="H38" i="31"/>
  <c r="L38" i="31"/>
  <c r="AA234" i="19" a="1"/>
  <c r="AC234" i="19" s="1"/>
  <c r="AA218" i="19" a="1"/>
  <c r="AC218" i="19" s="1"/>
  <c r="AB266" i="19" a="1"/>
  <c r="AD266" i="19" s="1"/>
  <c r="AB265" i="19" a="1"/>
  <c r="AD265" i="19" s="1"/>
  <c r="AA266" i="19" a="1"/>
  <c r="AC266" i="19" s="1"/>
  <c r="AA265" i="19" a="1"/>
  <c r="AC265" i="19" s="1"/>
  <c r="AA264" i="19" a="1"/>
  <c r="AC264" i="19" s="1"/>
  <c r="AA271" i="19" a="1"/>
  <c r="AC271" i="19" s="1"/>
  <c r="AA270" i="19" a="1"/>
  <c r="AC270" i="19" s="1"/>
  <c r="AB267" i="19" a="1"/>
  <c r="AD267" i="19" s="1"/>
  <c r="AB261" i="19" a="1"/>
  <c r="AD261" i="19" s="1"/>
  <c r="AB256" i="19" a="1"/>
  <c r="AD256" i="19" s="1"/>
  <c r="AB252" i="19" a="1"/>
  <c r="AD252" i="19" s="1"/>
  <c r="AB249" i="19" a="1"/>
  <c r="AD249" i="19" s="1"/>
  <c r="AA245" i="19" a="1"/>
  <c r="AC245" i="19" s="1"/>
  <c r="AA241" i="19" a="1"/>
  <c r="AC241" i="19" s="1"/>
  <c r="AB238" i="19" a="1"/>
  <c r="AD238" i="19" s="1"/>
  <c r="AA233" i="19" a="1"/>
  <c r="AC233" i="19" s="1"/>
  <c r="AB226" i="19" a="1"/>
  <c r="AD226" i="19" s="1"/>
  <c r="AB221" i="19" a="1"/>
  <c r="AD221" i="19" s="1"/>
  <c r="AA215" i="19" a="1"/>
  <c r="AC215" i="19" s="1"/>
  <c r="AB209" i="19" a="1"/>
  <c r="AD209" i="19" s="1"/>
  <c r="AB204" i="19" a="1"/>
  <c r="AD204" i="19" s="1"/>
  <c r="AB198" i="19" a="1"/>
  <c r="AD198" i="19" s="1"/>
  <c r="AA230" i="19" a="1"/>
  <c r="AC230" i="19" s="1"/>
  <c r="AB225" i="19" a="1"/>
  <c r="AD225" i="19" s="1"/>
  <c r="AB219" i="19" a="1"/>
  <c r="AD219" i="19" s="1"/>
  <c r="AA213" i="19" a="1"/>
  <c r="AC213" i="19" s="1"/>
  <c r="AB200" i="19" a="1"/>
  <c r="AD200" i="19" s="1"/>
  <c r="AA236" i="19" a="1"/>
  <c r="AC236" i="19" s="1"/>
  <c r="AB229" i="19" a="1"/>
  <c r="AD229" i="19" s="1"/>
  <c r="AB224" i="19" a="1"/>
  <c r="AD224" i="19" s="1"/>
  <c r="AA219" i="19" a="1"/>
  <c r="AC219" i="19" s="1"/>
  <c r="AA212" i="19" a="1"/>
  <c r="AC212" i="19" s="1"/>
  <c r="AA206" i="19" a="1"/>
  <c r="AC206" i="19" s="1"/>
  <c r="AB201" i="19" a="1"/>
  <c r="AD201" i="19" s="1"/>
  <c r="AA196" i="19" a="1"/>
  <c r="AC196" i="19" s="1"/>
  <c r="AA235" i="19" a="1"/>
  <c r="AC235" i="19" s="1"/>
  <c r="AB227" i="19" a="1"/>
  <c r="AD227" i="19" s="1"/>
  <c r="AA223" i="19" a="1"/>
  <c r="AC223" i="19" s="1"/>
  <c r="AA216" i="19" a="1"/>
  <c r="AC216" i="19" s="1"/>
  <c r="AB208" i="19" a="1"/>
  <c r="AD208" i="19" s="1"/>
  <c r="AB203" i="19" a="1"/>
  <c r="AD203" i="19" s="1"/>
  <c r="AA197" i="19" a="1"/>
  <c r="AC197" i="19" s="1"/>
  <c r="AB235" i="19" a="1"/>
  <c r="AD235" i="19" s="1"/>
  <c r="AA228" i="19" a="1"/>
  <c r="AC228" i="19" s="1"/>
  <c r="AB223" i="19" a="1"/>
  <c r="AD223" i="19" s="1"/>
  <c r="AB216" i="19" a="1"/>
  <c r="AD216" i="19" s="1"/>
  <c r="AA209" i="19" a="1"/>
  <c r="AC209" i="19" s="1"/>
  <c r="AB196" i="19" a="1"/>
  <c r="AD196" i="19" s="1"/>
  <c r="AB215" i="19" a="1"/>
  <c r="AD215" i="19" s="1"/>
  <c r="AA205" i="19" a="1"/>
  <c r="AC205" i="19" s="1"/>
  <c r="AA258" i="19" a="1"/>
  <c r="AC258" i="19" s="1"/>
  <c r="AB255" i="19" a="1"/>
  <c r="AD255" i="19" s="1"/>
  <c r="AA249" i="19" a="1"/>
  <c r="AC249" i="19" s="1"/>
  <c r="AB240" i="19" a="1"/>
  <c r="AD240" i="19" s="1"/>
  <c r="AB231" i="19" a="1"/>
  <c r="AD231" i="19" s="1"/>
  <c r="AA222" i="19" a="1"/>
  <c r="AC222" i="19" s="1"/>
  <c r="AA211" i="19" a="1"/>
  <c r="AC211" i="19" s="1"/>
  <c r="AA199" i="19" a="1"/>
  <c r="AC199" i="19" s="1"/>
  <c r="AB271" i="19" a="1"/>
  <c r="AD271" i="19" s="1"/>
  <c r="AA267" i="19" a="1"/>
  <c r="AC267" i="19" s="1"/>
  <c r="AA247" i="19" a="1"/>
  <c r="AC247" i="19" s="1"/>
  <c r="AB232" i="19" a="1"/>
  <c r="AD232" i="19" s="1"/>
  <c r="AA210" i="19" a="1"/>
  <c r="AC210" i="19" s="1"/>
  <c r="AB268" i="19" a="1"/>
  <c r="AD268" i="19" s="1"/>
  <c r="AB257" i="19" a="1"/>
  <c r="AD257" i="19" s="1"/>
  <c r="AB251" i="19" a="1"/>
  <c r="AD251" i="19" s="1"/>
  <c r="AB247" i="19" a="1"/>
  <c r="AD247" i="19" s="1"/>
  <c r="AA242" i="19" a="1"/>
  <c r="AC242" i="19" s="1"/>
  <c r="AB237" i="19" a="1"/>
  <c r="AD237" i="19" s="1"/>
  <c r="AA229" i="19" a="1"/>
  <c r="AC229" i="19" s="1"/>
  <c r="AA221" i="19" a="1"/>
  <c r="AC221" i="19" s="1"/>
  <c r="AB212" i="19" a="1"/>
  <c r="AD212" i="19" s="1"/>
  <c r="AB205" i="19" a="1"/>
  <c r="AD205" i="19" s="1"/>
  <c r="AB197" i="19" a="1"/>
  <c r="AD197" i="19" s="1"/>
  <c r="AA262" i="19" a="1"/>
  <c r="AC262" i="19" s="1"/>
  <c r="AA254" i="19" a="1"/>
  <c r="AC254" i="19" s="1"/>
  <c r="AA243" i="19" a="1"/>
  <c r="AC243" i="19" s="1"/>
  <c r="AB230" i="19" a="1"/>
  <c r="AD230" i="19" s="1"/>
  <c r="AA214" i="19" a="1"/>
  <c r="AC214" i="19" s="1"/>
  <c r="AA201" i="19" a="1"/>
  <c r="AC201" i="19" s="1"/>
  <c r="AB259" i="19" a="1"/>
  <c r="AD259" i="19" s="1"/>
  <c r="AA257" i="19" a="1"/>
  <c r="AC257" i="19" s="1"/>
  <c r="AA251" i="19" a="1"/>
  <c r="AC251" i="19" s="1"/>
  <c r="AB246" i="19" a="1"/>
  <c r="AD246" i="19" s="1"/>
  <c r="AB241" i="19" a="1"/>
  <c r="AD241" i="19" s="1"/>
  <c r="AA237" i="19" a="1"/>
  <c r="AC237" i="19" s="1"/>
  <c r="AB228" i="19" a="1"/>
  <c r="AD228" i="19" s="1"/>
  <c r="AB217" i="19" a="1"/>
  <c r="AD217" i="19" s="1"/>
  <c r="AB207" i="19" a="1"/>
  <c r="AD207" i="19" s="1"/>
  <c r="AA202" i="19" a="1"/>
  <c r="AC202" i="19" s="1"/>
  <c r="AB262" i="19" a="1"/>
  <c r="AD262" i="19" s="1"/>
  <c r="AB254" i="19" a="1"/>
  <c r="AD254" i="19" s="1"/>
  <c r="AB243" i="19" a="1"/>
  <c r="AD243" i="19" s="1"/>
  <c r="AA231" i="19" a="1"/>
  <c r="AC231" i="19" s="1"/>
  <c r="AB214" i="19" a="1"/>
  <c r="AD214" i="19" s="1"/>
  <c r="AA200" i="19" a="1"/>
  <c r="AC200" i="19" s="1"/>
  <c r="AA204" i="19" a="1"/>
  <c r="AC204" i="19" s="1"/>
  <c r="AA268" i="19" a="1"/>
  <c r="AC268" i="19" s="1"/>
  <c r="AA260" i="19" a="1"/>
  <c r="AC260" i="19" s="1"/>
  <c r="AA252" i="19" a="1"/>
  <c r="AC252" i="19" s="1"/>
  <c r="AA248" i="19" a="1"/>
  <c r="AC248" i="19" s="1"/>
  <c r="AB239" i="19" a="1"/>
  <c r="AD239" i="19" s="1"/>
  <c r="AB233" i="19" a="1"/>
  <c r="AD233" i="19" s="1"/>
  <c r="AA226" i="19" a="1"/>
  <c r="AC226" i="19" s="1"/>
  <c r="AB218" i="19" a="1"/>
  <c r="AD218" i="19" s="1"/>
  <c r="AB210" i="19" a="1"/>
  <c r="AD210" i="19" s="1"/>
  <c r="AB202" i="19" a="1"/>
  <c r="AD202" i="19" s="1"/>
  <c r="AB272" i="19" a="1"/>
  <c r="AD272" i="19" s="1"/>
  <c r="AB270" i="19" a="1"/>
  <c r="AD270" i="19" s="1"/>
  <c r="AA261" i="19" a="1"/>
  <c r="AC261" i="19" s="1"/>
  <c r="AB248" i="19" a="1"/>
  <c r="AD248" i="19" s="1"/>
  <c r="AA238" i="19" a="1"/>
  <c r="AC238" i="19" s="1"/>
  <c r="AB220" i="19" a="1"/>
  <c r="AD220" i="19" s="1"/>
  <c r="AB258" i="19" a="1"/>
  <c r="AD258" i="19" s="1"/>
  <c r="AB253" i="19" a="1"/>
  <c r="AD253" i="19" s="1"/>
  <c r="AB244" i="19" a="1"/>
  <c r="AD244" i="19" s="1"/>
  <c r="AB236" i="19" a="1"/>
  <c r="AD236" i="19" s="1"/>
  <c r="AA225" i="19" a="1"/>
  <c r="AC225" i="19" s="1"/>
  <c r="AB211" i="19" a="1"/>
  <c r="AD211" i="19" s="1"/>
  <c r="AB199" i="19" a="1"/>
  <c r="AD199" i="19" s="1"/>
  <c r="AA259" i="19" a="1"/>
  <c r="AC259" i="19" s="1"/>
  <c r="AA253" i="19" a="1"/>
  <c r="AC253" i="19" s="1"/>
  <c r="AA244" i="19" a="1"/>
  <c r="AC244" i="19" s="1"/>
  <c r="AB234" i="19" a="1"/>
  <c r="AD234" i="19" s="1"/>
  <c r="AA220" i="19" a="1"/>
  <c r="AC220" i="19" s="1"/>
  <c r="AA207" i="19" a="1"/>
  <c r="AC207" i="19" s="1"/>
  <c r="AA272" i="19" a="1"/>
  <c r="AC272" i="19" s="1"/>
  <c r="AB263" i="19" a="1"/>
  <c r="AD263" i="19" s="1"/>
  <c r="AB269" i="19" a="1"/>
  <c r="AD269" i="19" s="1"/>
  <c r="AB273" i="19" a="1"/>
  <c r="AD273" i="19" s="1"/>
  <c r="AB260" i="19" a="1"/>
  <c r="AD260" i="19" s="1"/>
  <c r="AA255" i="19" a="1"/>
  <c r="AC255" i="19" s="1"/>
  <c r="AA250" i="19" a="1"/>
  <c r="AC250" i="19" s="1"/>
  <c r="AA246" i="19" a="1"/>
  <c r="AC246" i="19" s="1"/>
  <c r="AB242" i="19" a="1"/>
  <c r="AD242" i="19" s="1"/>
  <c r="AA239" i="19" a="1"/>
  <c r="AC239" i="19" s="1"/>
  <c r="AA227" i="19" a="1"/>
  <c r="AC227" i="19" s="1"/>
  <c r="AB222" i="19" a="1"/>
  <c r="AD222" i="19" s="1"/>
  <c r="AA217" i="19" a="1"/>
  <c r="AC217" i="19" s="1"/>
  <c r="AA208" i="19" a="1"/>
  <c r="AC208" i="19" s="1"/>
  <c r="AA203" i="19" a="1"/>
  <c r="AC203" i="19" s="1"/>
  <c r="AB264" i="19" a="1"/>
  <c r="AD264" i="19" s="1"/>
  <c r="AA263" i="19" a="1"/>
  <c r="AC263" i="19" s="1"/>
  <c r="AA269" i="19" a="1"/>
  <c r="AC269" i="19" s="1"/>
  <c r="AA273" i="19" a="1"/>
  <c r="AC273" i="19" s="1"/>
  <c r="AA256" i="19" a="1"/>
  <c r="AC256" i="19" s="1"/>
  <c r="AB250" i="19" a="1"/>
  <c r="AD250" i="19" s="1"/>
  <c r="AB245" i="19" a="1"/>
  <c r="AD245" i="19" s="1"/>
  <c r="AA240" i="19" a="1"/>
  <c r="AC240" i="19" s="1"/>
  <c r="AA232" i="19" a="1"/>
  <c r="AC232" i="19" s="1"/>
  <c r="AA224" i="19" a="1"/>
  <c r="AC224" i="19" s="1"/>
  <c r="AB213" i="19" a="1"/>
  <c r="AD213" i="19" s="1"/>
  <c r="AB206" i="19" a="1"/>
  <c r="AD206" i="19" s="1"/>
  <c r="AA198" i="19" a="1"/>
  <c r="AC198" i="19" s="1"/>
  <c r="AE195" i="19"/>
  <c r="AF195" i="19"/>
  <c r="AE194" i="19"/>
  <c r="AF194" i="19"/>
  <c r="AE193" i="19"/>
  <c r="AF193" i="19"/>
  <c r="AE192" i="19"/>
  <c r="AF192" i="19"/>
  <c r="AE191" i="19"/>
  <c r="AF191" i="19"/>
  <c r="AE190" i="19"/>
  <c r="AF190" i="19"/>
  <c r="AE189" i="19"/>
  <c r="AF189" i="19"/>
  <c r="AE188" i="19"/>
  <c r="AF188" i="19"/>
  <c r="AE187" i="19"/>
  <c r="AF187" i="19"/>
  <c r="AE186" i="19"/>
  <c r="AF186" i="19"/>
  <c r="AE185" i="19"/>
  <c r="AF185" i="19"/>
  <c r="AE184" i="19"/>
  <c r="AF184" i="19"/>
  <c r="AE183" i="19"/>
  <c r="AF183" i="19"/>
  <c r="AE182" i="19"/>
  <c r="AF182" i="19"/>
  <c r="AE181" i="19"/>
  <c r="AF181" i="19"/>
  <c r="AE180" i="19"/>
  <c r="AF180" i="19"/>
  <c r="N16" i="4"/>
  <c r="N31" i="4"/>
  <c r="N8" i="4"/>
  <c r="N14" i="4"/>
  <c r="N4" i="4"/>
  <c r="N26" i="4"/>
  <c r="N19" i="4"/>
  <c r="N7" i="4"/>
  <c r="N33" i="4"/>
  <c r="N3" i="4"/>
  <c r="N15" i="4"/>
  <c r="N13" i="4"/>
  <c r="N18" i="4"/>
  <c r="N30" i="4"/>
  <c r="N5" i="4"/>
  <c r="N32" i="4"/>
  <c r="N24" i="4"/>
  <c r="N12" i="4"/>
  <c r="N22" i="4"/>
  <c r="N20" i="4"/>
  <c r="N27" i="4"/>
  <c r="N17" i="4"/>
  <c r="N23" i="4"/>
  <c r="N11" i="4"/>
  <c r="N29" i="4"/>
  <c r="N21" i="4"/>
  <c r="N28" i="4"/>
  <c r="N2" i="4"/>
  <c r="N9" i="4"/>
  <c r="N25" i="4"/>
  <c r="N10" i="4"/>
  <c r="N6" i="4"/>
  <c r="S7" i="4"/>
  <c r="AF234" i="19" l="1"/>
  <c r="AE234" i="19"/>
  <c r="AF218" i="19"/>
  <c r="AE218" i="19"/>
  <c r="AF266" i="19"/>
  <c r="AE266" i="19"/>
  <c r="AE265" i="19"/>
  <c r="AF265" i="19"/>
  <c r="AF264" i="19"/>
  <c r="AE264" i="19"/>
  <c r="AE271" i="19"/>
  <c r="AF271" i="19"/>
  <c r="AE270" i="19"/>
  <c r="AF270" i="19"/>
  <c r="AE245" i="19"/>
  <c r="AF245" i="19"/>
  <c r="AE241" i="19"/>
  <c r="AF241" i="19"/>
  <c r="AE233" i="19"/>
  <c r="AF233" i="19"/>
  <c r="AF215" i="19"/>
  <c r="AE215" i="19"/>
  <c r="AF230" i="19"/>
  <c r="AE230" i="19"/>
  <c r="AF213" i="19"/>
  <c r="AE213" i="19"/>
  <c r="AE236" i="19"/>
  <c r="AF236" i="19"/>
  <c r="AF219" i="19"/>
  <c r="AE219" i="19"/>
  <c r="AF212" i="19"/>
  <c r="AE212" i="19"/>
  <c r="AE206" i="19"/>
  <c r="AF206" i="19"/>
  <c r="AF196" i="19"/>
  <c r="AE196" i="19"/>
  <c r="AE235" i="19"/>
  <c r="AF235" i="19"/>
  <c r="AF223" i="19"/>
  <c r="AE223" i="19"/>
  <c r="AF216" i="19"/>
  <c r="AE216" i="19"/>
  <c r="AE197" i="19"/>
  <c r="AF197" i="19"/>
  <c r="AE228" i="19"/>
  <c r="AF228" i="19"/>
  <c r="AE209" i="19"/>
  <c r="AF209" i="19"/>
  <c r="AF205" i="19"/>
  <c r="AE205" i="19"/>
  <c r="AE258" i="19"/>
  <c r="AF258" i="19"/>
  <c r="AE249" i="19"/>
  <c r="AF249" i="19"/>
  <c r="AF222" i="19"/>
  <c r="AE222" i="19"/>
  <c r="AF211" i="19"/>
  <c r="AE211" i="19"/>
  <c r="AF199" i="19"/>
  <c r="AE199" i="19"/>
  <c r="AE267" i="19"/>
  <c r="AF267" i="19"/>
  <c r="AE247" i="19"/>
  <c r="AF247" i="19"/>
  <c r="AF210" i="19"/>
  <c r="AE210" i="19"/>
  <c r="AF242" i="19"/>
  <c r="AE242" i="19"/>
  <c r="AF229" i="19"/>
  <c r="AE229" i="19"/>
  <c r="AF221" i="19"/>
  <c r="AE221" i="19"/>
  <c r="AE262" i="19"/>
  <c r="AF262" i="19"/>
  <c r="AF254" i="19"/>
  <c r="AE254" i="19"/>
  <c r="AE243" i="19"/>
  <c r="AF243" i="19"/>
  <c r="AF214" i="19"/>
  <c r="AE214" i="19"/>
  <c r="AF201" i="19"/>
  <c r="AE201" i="19"/>
  <c r="AF257" i="19"/>
  <c r="AE257" i="19"/>
  <c r="AE251" i="19"/>
  <c r="AF251" i="19"/>
  <c r="AE237" i="19"/>
  <c r="AF237" i="19"/>
  <c r="AF202" i="19"/>
  <c r="AE202" i="19"/>
  <c r="AE231" i="19"/>
  <c r="AF231" i="19"/>
  <c r="AF200" i="19"/>
  <c r="AE200" i="19"/>
  <c r="AF204" i="19"/>
  <c r="AE204" i="19"/>
  <c r="AE268" i="19"/>
  <c r="AF268" i="19"/>
  <c r="AF260" i="19"/>
  <c r="AE260" i="19"/>
  <c r="AE252" i="19"/>
  <c r="AF252" i="19"/>
  <c r="AF248" i="19"/>
  <c r="AE248" i="19"/>
  <c r="AF226" i="19"/>
  <c r="AE226" i="19"/>
  <c r="AF261" i="19"/>
  <c r="AE261" i="19"/>
  <c r="AE238" i="19"/>
  <c r="AF238" i="19"/>
  <c r="AE225" i="19"/>
  <c r="AF225" i="19"/>
  <c r="AF259" i="19"/>
  <c r="AE259" i="19"/>
  <c r="AE253" i="19"/>
  <c r="AF253" i="19"/>
  <c r="AF244" i="19"/>
  <c r="AE244" i="19"/>
  <c r="AF220" i="19"/>
  <c r="AE220" i="19"/>
  <c r="AE207" i="19"/>
  <c r="AF207" i="19"/>
  <c r="AF272" i="19"/>
  <c r="AE272" i="19"/>
  <c r="AF255" i="19"/>
  <c r="AE255" i="19"/>
  <c r="AF250" i="19"/>
  <c r="AE250" i="19"/>
  <c r="AE246" i="19"/>
  <c r="AF246" i="19"/>
  <c r="AF239" i="19"/>
  <c r="AE239" i="19"/>
  <c r="AE227" i="19"/>
  <c r="AF227" i="19"/>
  <c r="AE217" i="19"/>
  <c r="AF217" i="19"/>
  <c r="AE208" i="19"/>
  <c r="AF208" i="19"/>
  <c r="AF203" i="19"/>
  <c r="AE203" i="19"/>
  <c r="AF263" i="19"/>
  <c r="AE263" i="19"/>
  <c r="AF269" i="19"/>
  <c r="AE269" i="19"/>
  <c r="AE273" i="19"/>
  <c r="AF273" i="19"/>
  <c r="AF256" i="19"/>
  <c r="AE256" i="19"/>
  <c r="AF240" i="19"/>
  <c r="AE240" i="19"/>
  <c r="AF232" i="19"/>
  <c r="AE232" i="19"/>
  <c r="AE224" i="19"/>
  <c r="AF224" i="19"/>
  <c r="AE198" i="19"/>
  <c r="AF198" i="19"/>
  <c r="M19" i="4"/>
  <c r="I19" i="4" s="1"/>
  <c r="M14" i="4"/>
  <c r="I14" i="4" s="1"/>
  <c r="M8" i="4"/>
  <c r="I8" i="4" s="1"/>
  <c r="M13" i="4"/>
  <c r="I13" i="4" s="1"/>
  <c r="M28" i="4"/>
  <c r="I28" i="4" s="1"/>
  <c r="M21" i="4"/>
  <c r="I21" i="4" s="1"/>
  <c r="M24" i="4"/>
  <c r="I24" i="4" s="1"/>
  <c r="M5" i="4"/>
  <c r="I5" i="4" s="1"/>
  <c r="M2" i="4"/>
  <c r="I2" i="4" s="1"/>
  <c r="M20" i="4"/>
  <c r="I20" i="4" s="1"/>
  <c r="M15" i="4"/>
  <c r="I15" i="4" s="1"/>
  <c r="M12" i="4"/>
  <c r="I12" i="4" s="1"/>
  <c r="M6" i="4"/>
  <c r="I6" i="4" s="1"/>
  <c r="M32" i="4"/>
  <c r="I32" i="4" s="1"/>
  <c r="M10" i="4"/>
  <c r="I10" i="4" s="1"/>
  <c r="M17" i="4"/>
  <c r="I17" i="4" s="1"/>
  <c r="M30" i="4"/>
  <c r="I30" i="4" s="1"/>
  <c r="M26" i="4"/>
  <c r="I26" i="4" s="1"/>
  <c r="M22" i="4"/>
  <c r="I22" i="4" s="1"/>
  <c r="M29" i="4"/>
  <c r="I29" i="4" s="1"/>
  <c r="M33" i="4"/>
  <c r="I33" i="4" s="1"/>
  <c r="M11" i="4"/>
  <c r="I11" i="4" s="1"/>
  <c r="M7" i="4"/>
  <c r="I7" i="4" s="1"/>
  <c r="M23" i="4"/>
  <c r="I23" i="4" s="1"/>
  <c r="M25" i="4"/>
  <c r="I25" i="4" s="1"/>
  <c r="M9" i="4"/>
  <c r="I9" i="4" s="1"/>
  <c r="M27" i="4"/>
  <c r="I27" i="4" s="1"/>
  <c r="M18" i="4"/>
  <c r="I18" i="4" s="1"/>
  <c r="M4" i="4"/>
  <c r="I4" i="4" s="1"/>
  <c r="M3" i="4"/>
  <c r="I3" i="4" s="1"/>
  <c r="M16" i="4"/>
  <c r="I16" i="4" s="1"/>
  <c r="M31" i="4"/>
  <c r="I31" i="4" s="1"/>
  <c r="S3" i="4"/>
  <c r="S2" i="4"/>
  <c r="X6" i="1"/>
  <c r="X3" i="1"/>
  <c r="Y21" i="1" l="1"/>
  <c r="Z21" i="1" s="1"/>
  <c r="Y20" i="1"/>
  <c r="Z20" i="1" s="1"/>
  <c r="Y19" i="1"/>
  <c r="Z19" i="1" s="1"/>
  <c r="Y18" i="1"/>
  <c r="Z18" i="1" s="1"/>
  <c r="Y17" i="1"/>
  <c r="Z17" i="1" s="1"/>
  <c r="Y16" i="1"/>
  <c r="Z16" i="1" s="1"/>
  <c r="Y15" i="1"/>
  <c r="Z15" i="1" s="1"/>
  <c r="W21" i="1"/>
  <c r="X21" i="1" s="1"/>
  <c r="W20" i="1"/>
  <c r="X20" i="1" s="1"/>
  <c r="W19" i="1"/>
  <c r="X19" i="1" s="1"/>
  <c r="W18" i="1"/>
  <c r="X18" i="1" s="1"/>
  <c r="W17" i="1"/>
  <c r="X17" i="1" s="1"/>
  <c r="W16" i="1"/>
  <c r="X16" i="1" s="1"/>
  <c r="W15" i="1"/>
  <c r="X15" i="1" s="1"/>
  <c r="W14" i="1"/>
  <c r="X14" i="1" s="1"/>
  <c r="V5" i="1"/>
  <c r="K128" i="2"/>
  <c r="K129" i="2" s="1"/>
  <c r="K126" i="2"/>
  <c r="K127" i="2" s="1"/>
  <c r="K124" i="2"/>
  <c r="K125" i="2" s="1"/>
  <c r="K122" i="2"/>
  <c r="K123" i="2" s="1"/>
  <c r="K120" i="2"/>
  <c r="K121" i="2" s="1"/>
  <c r="K118" i="2"/>
  <c r="K119" i="2" s="1"/>
  <c r="K116" i="2"/>
  <c r="K117" i="2" s="1"/>
  <c r="K114" i="2"/>
  <c r="K115" i="2" s="1"/>
  <c r="K112" i="2"/>
  <c r="K113" i="2" s="1"/>
  <c r="K110" i="2"/>
  <c r="K111" i="2" s="1"/>
  <c r="K108" i="2"/>
  <c r="K109" i="2" s="1"/>
  <c r="K106" i="2"/>
  <c r="K107" i="2" s="1"/>
  <c r="K104" i="2"/>
  <c r="K105" i="2" s="1"/>
  <c r="K102" i="2"/>
  <c r="K103" i="2" s="1"/>
  <c r="K100" i="2"/>
  <c r="K101" i="2" s="1"/>
  <c r="K98" i="2"/>
  <c r="K99" i="2" s="1"/>
  <c r="K96" i="2"/>
  <c r="K97" i="2" s="1"/>
  <c r="K94" i="2"/>
  <c r="K95" i="2" s="1"/>
  <c r="K92" i="2"/>
  <c r="K93" i="2" s="1"/>
  <c r="K90" i="2"/>
  <c r="K91" i="2" s="1"/>
  <c r="K88" i="2"/>
  <c r="K89" i="2" s="1"/>
  <c r="K86" i="2"/>
  <c r="K87" i="2" s="1"/>
  <c r="K84" i="2"/>
  <c r="K85" i="2" s="1"/>
  <c r="K82" i="2"/>
  <c r="K83" i="2" s="1"/>
  <c r="K80" i="2"/>
  <c r="K81" i="2" s="1"/>
  <c r="K78" i="2"/>
  <c r="K79" i="2" s="1"/>
  <c r="K76" i="2"/>
  <c r="K77" i="2" s="1"/>
  <c r="K74" i="2"/>
  <c r="K75" i="2" s="1"/>
  <c r="K72" i="2"/>
  <c r="K73" i="2" s="1"/>
  <c r="K70" i="2"/>
  <c r="K71" i="2" s="1"/>
  <c r="K68" i="2"/>
  <c r="K69" i="2" s="1"/>
  <c r="K66" i="2"/>
  <c r="K67" i="2" s="1"/>
  <c r="K64" i="2"/>
  <c r="K65" i="2" s="1"/>
  <c r="K62" i="2"/>
  <c r="K63" i="2" s="1"/>
  <c r="K60" i="2"/>
  <c r="K61" i="2" s="1"/>
  <c r="K58" i="2"/>
  <c r="K59" i="2" s="1"/>
  <c r="K56" i="2"/>
  <c r="K57" i="2" s="1"/>
  <c r="K54" i="2"/>
  <c r="K55" i="2" s="1"/>
  <c r="K52" i="2"/>
  <c r="K53" i="2" s="1"/>
  <c r="K50" i="2"/>
  <c r="K51" i="2" s="1"/>
  <c r="K48" i="2"/>
  <c r="K49" i="2" s="1"/>
  <c r="K46" i="2"/>
  <c r="K47" i="2" s="1"/>
  <c r="K44" i="2"/>
  <c r="K45" i="2" s="1"/>
  <c r="K42" i="2"/>
  <c r="K43" i="2" s="1"/>
  <c r="K40" i="2"/>
  <c r="K41" i="2" s="1"/>
  <c r="K38" i="2"/>
  <c r="K39" i="2" s="1"/>
  <c r="K36" i="2"/>
  <c r="K37" i="2" s="1"/>
  <c r="K34" i="2"/>
  <c r="K35" i="2" s="1"/>
  <c r="K32" i="2"/>
  <c r="K33" i="2" s="1"/>
  <c r="K30" i="2"/>
  <c r="K31" i="2" s="1"/>
  <c r="K28" i="2"/>
  <c r="K29" i="2" s="1"/>
  <c r="K26" i="2"/>
  <c r="K27" i="2" s="1"/>
  <c r="K24" i="2"/>
  <c r="K25" i="2" s="1"/>
  <c r="K22" i="2"/>
  <c r="K23" i="2" s="1"/>
  <c r="K20" i="2"/>
  <c r="K21" i="2" s="1"/>
  <c r="K18" i="2"/>
  <c r="K19" i="2" s="1"/>
  <c r="K16" i="2"/>
  <c r="K17" i="2" s="1"/>
  <c r="K14" i="2"/>
  <c r="K15" i="2" s="1"/>
  <c r="K12" i="2"/>
  <c r="K13" i="2" s="1"/>
  <c r="K10" i="2"/>
  <c r="K11" i="2" s="1"/>
  <c r="K8" i="2"/>
  <c r="K9" i="2" s="1"/>
  <c r="K6" i="2"/>
  <c r="K7" i="2" s="1"/>
  <c r="K4" i="2"/>
  <c r="K5" i="2" s="1"/>
  <c r="K2" i="2"/>
  <c r="K3" i="2" s="1"/>
  <c r="I128" i="2"/>
  <c r="I129" i="2" s="1"/>
  <c r="I126" i="2"/>
  <c r="I127" i="2" s="1"/>
  <c r="I124" i="2"/>
  <c r="I125" i="2" s="1"/>
  <c r="I122" i="2"/>
  <c r="I123" i="2" s="1"/>
  <c r="I120" i="2"/>
  <c r="I121" i="2" s="1"/>
  <c r="I118" i="2"/>
  <c r="I119" i="2" s="1"/>
  <c r="I116" i="2"/>
  <c r="I117" i="2" s="1"/>
  <c r="I114" i="2"/>
  <c r="I115" i="2" s="1"/>
  <c r="I112" i="2"/>
  <c r="I113" i="2" s="1"/>
  <c r="I110" i="2"/>
  <c r="I111" i="2" s="1"/>
  <c r="I108" i="2"/>
  <c r="I109" i="2" s="1"/>
  <c r="I106" i="2"/>
  <c r="I107" i="2" s="1"/>
  <c r="I104" i="2"/>
  <c r="I105" i="2" s="1"/>
  <c r="I102" i="2"/>
  <c r="I103" i="2" s="1"/>
  <c r="I100" i="2"/>
  <c r="I101" i="2" s="1"/>
  <c r="I98" i="2"/>
  <c r="I99" i="2" s="1"/>
  <c r="I96" i="2"/>
  <c r="I97" i="2" s="1"/>
  <c r="I94" i="2"/>
  <c r="I95" i="2" s="1"/>
  <c r="I92" i="2"/>
  <c r="I93" i="2" s="1"/>
  <c r="I90" i="2"/>
  <c r="I91" i="2" s="1"/>
  <c r="I88" i="2"/>
  <c r="I89" i="2" s="1"/>
  <c r="I86" i="2"/>
  <c r="I87" i="2" s="1"/>
  <c r="I84" i="2"/>
  <c r="I85" i="2" s="1"/>
  <c r="I82" i="2"/>
  <c r="I83" i="2" s="1"/>
  <c r="I80" i="2"/>
  <c r="I81" i="2" s="1"/>
  <c r="I78" i="2"/>
  <c r="I79" i="2" s="1"/>
  <c r="I76" i="2"/>
  <c r="I77" i="2" s="1"/>
  <c r="I74" i="2"/>
  <c r="I75" i="2" s="1"/>
  <c r="I72" i="2"/>
  <c r="I73" i="2" s="1"/>
  <c r="I70" i="2"/>
  <c r="I71" i="2" s="1"/>
  <c r="I68" i="2"/>
  <c r="I69" i="2" s="1"/>
  <c r="I66" i="2"/>
  <c r="I67" i="2" s="1"/>
  <c r="I64" i="2"/>
  <c r="I65" i="2" s="1"/>
  <c r="I62" i="2"/>
  <c r="I63" i="2" s="1"/>
  <c r="I60" i="2"/>
  <c r="I61" i="2" s="1"/>
  <c r="I58" i="2"/>
  <c r="I59" i="2" s="1"/>
  <c r="I56" i="2"/>
  <c r="I57" i="2" s="1"/>
  <c r="I54" i="2"/>
  <c r="I55" i="2" s="1"/>
  <c r="I52" i="2"/>
  <c r="I53" i="2" s="1"/>
  <c r="I50" i="2"/>
  <c r="I51" i="2" s="1"/>
  <c r="I48" i="2"/>
  <c r="I49" i="2" s="1"/>
  <c r="I46" i="2"/>
  <c r="I47" i="2" s="1"/>
  <c r="I44" i="2"/>
  <c r="I45" i="2" s="1"/>
  <c r="I42" i="2"/>
  <c r="I43" i="2" s="1"/>
  <c r="I40" i="2"/>
  <c r="I41" i="2" s="1"/>
  <c r="I38" i="2"/>
  <c r="I39" i="2" s="1"/>
  <c r="I36" i="2"/>
  <c r="I37" i="2" s="1"/>
  <c r="I34" i="2"/>
  <c r="I35" i="2" s="1"/>
  <c r="I32" i="2"/>
  <c r="I33" i="2" s="1"/>
  <c r="I30" i="2"/>
  <c r="I31" i="2" s="1"/>
  <c r="I28" i="2"/>
  <c r="I29" i="2" s="1"/>
  <c r="I26" i="2"/>
  <c r="I27" i="2" s="1"/>
  <c r="I24" i="2"/>
  <c r="I25" i="2" s="1"/>
  <c r="I22" i="2"/>
  <c r="I23" i="2" s="1"/>
  <c r="I20" i="2"/>
  <c r="I21" i="2" s="1"/>
  <c r="I18" i="2"/>
  <c r="I19" i="2" s="1"/>
  <c r="I16" i="2"/>
  <c r="I17" i="2" s="1"/>
  <c r="I14" i="2"/>
  <c r="I15" i="2" s="1"/>
  <c r="I12" i="2"/>
  <c r="I13" i="2" s="1"/>
  <c r="I10" i="2"/>
  <c r="I11" i="2" s="1"/>
  <c r="I8" i="2"/>
  <c r="I9" i="2" s="1"/>
  <c r="I6" i="2"/>
  <c r="I7" i="2" s="1"/>
  <c r="I4" i="2"/>
  <c r="I5" i="2" s="1"/>
  <c r="I2" i="2"/>
  <c r="I3" i="2" s="1"/>
  <c r="J129" i="2"/>
  <c r="L128" i="2" s="1"/>
  <c r="L129" i="2" s="1"/>
  <c r="J127" i="2"/>
  <c r="L126" i="2" s="1"/>
  <c r="L127" i="2" s="1"/>
  <c r="J125" i="2"/>
  <c r="L124" i="2" s="1"/>
  <c r="L125" i="2" s="1"/>
  <c r="J123" i="2"/>
  <c r="L122" i="2" s="1"/>
  <c r="L123" i="2" s="1"/>
  <c r="J121" i="2"/>
  <c r="L120" i="2" s="1"/>
  <c r="L121" i="2" s="1"/>
  <c r="J119" i="2"/>
  <c r="L118" i="2" s="1"/>
  <c r="L119" i="2" s="1"/>
  <c r="J117" i="2"/>
  <c r="L116" i="2" s="1"/>
  <c r="L117" i="2" s="1"/>
  <c r="J115" i="2"/>
  <c r="L114" i="2" s="1"/>
  <c r="L115" i="2" s="1"/>
  <c r="J113" i="2"/>
  <c r="L112" i="2" s="1"/>
  <c r="L113" i="2" s="1"/>
  <c r="J111" i="2"/>
  <c r="L110" i="2" s="1"/>
  <c r="L111" i="2" s="1"/>
  <c r="J109" i="2"/>
  <c r="L108" i="2" s="1"/>
  <c r="L109" i="2" s="1"/>
  <c r="J107" i="2"/>
  <c r="L106" i="2" s="1"/>
  <c r="L107" i="2" s="1"/>
  <c r="J105" i="2"/>
  <c r="L104" i="2" s="1"/>
  <c r="L105" i="2" s="1"/>
  <c r="J103" i="2"/>
  <c r="L102" i="2" s="1"/>
  <c r="L103" i="2" s="1"/>
  <c r="J101" i="2"/>
  <c r="L100" i="2" s="1"/>
  <c r="L101" i="2" s="1"/>
  <c r="J99" i="2"/>
  <c r="L98" i="2" s="1"/>
  <c r="L99" i="2" s="1"/>
  <c r="J97" i="2"/>
  <c r="L96" i="2" s="1"/>
  <c r="L97" i="2" s="1"/>
  <c r="J95" i="2"/>
  <c r="L94" i="2" s="1"/>
  <c r="L95" i="2" s="1"/>
  <c r="J93" i="2"/>
  <c r="L92" i="2" s="1"/>
  <c r="L93" i="2" s="1"/>
  <c r="J91" i="2"/>
  <c r="L90" i="2" s="1"/>
  <c r="L91" i="2" s="1"/>
  <c r="J89" i="2"/>
  <c r="L88" i="2" s="1"/>
  <c r="L89" i="2" s="1"/>
  <c r="J87" i="2"/>
  <c r="L86" i="2" s="1"/>
  <c r="L87" i="2" s="1"/>
  <c r="J85" i="2"/>
  <c r="L84" i="2" s="1"/>
  <c r="L85" i="2" s="1"/>
  <c r="J83" i="2"/>
  <c r="L82" i="2" s="1"/>
  <c r="L83" i="2" s="1"/>
  <c r="J81" i="2"/>
  <c r="L80" i="2" s="1"/>
  <c r="L81" i="2" s="1"/>
  <c r="J79" i="2"/>
  <c r="L78" i="2" s="1"/>
  <c r="L79" i="2" s="1"/>
  <c r="J77" i="2"/>
  <c r="L76" i="2" s="1"/>
  <c r="L77" i="2" s="1"/>
  <c r="J75" i="2"/>
  <c r="L74" i="2" s="1"/>
  <c r="L75" i="2" s="1"/>
  <c r="J73" i="2"/>
  <c r="L72" i="2" s="1"/>
  <c r="L73" i="2" s="1"/>
  <c r="J71" i="2"/>
  <c r="L70" i="2" s="1"/>
  <c r="L71" i="2" s="1"/>
  <c r="J69" i="2"/>
  <c r="L68" i="2" s="1"/>
  <c r="L69" i="2" s="1"/>
  <c r="J67" i="2"/>
  <c r="L66" i="2" s="1"/>
  <c r="L67" i="2" s="1"/>
  <c r="J65" i="2"/>
  <c r="L64" i="2" s="1"/>
  <c r="L65" i="2" s="1"/>
  <c r="J63" i="2"/>
  <c r="L62" i="2" s="1"/>
  <c r="L63" i="2" s="1"/>
  <c r="J61" i="2"/>
  <c r="L60" i="2" s="1"/>
  <c r="L61" i="2" s="1"/>
  <c r="J59" i="2"/>
  <c r="L58" i="2" s="1"/>
  <c r="L59" i="2" s="1"/>
  <c r="J57" i="2"/>
  <c r="L56" i="2" s="1"/>
  <c r="L57" i="2" s="1"/>
  <c r="J55" i="2"/>
  <c r="L54" i="2" s="1"/>
  <c r="L55" i="2" s="1"/>
  <c r="J53" i="2"/>
  <c r="L52" i="2" s="1"/>
  <c r="L53" i="2" s="1"/>
  <c r="J51" i="2"/>
  <c r="L50" i="2" s="1"/>
  <c r="L51" i="2" s="1"/>
  <c r="J49" i="2"/>
  <c r="L48" i="2" s="1"/>
  <c r="L49" i="2" s="1"/>
  <c r="J47" i="2"/>
  <c r="L46" i="2" s="1"/>
  <c r="L47" i="2" s="1"/>
  <c r="J45" i="2"/>
  <c r="L44" i="2" s="1"/>
  <c r="L45" i="2" s="1"/>
  <c r="J43" i="2"/>
  <c r="L42" i="2" s="1"/>
  <c r="L43" i="2" s="1"/>
  <c r="J41" i="2"/>
  <c r="L40" i="2" s="1"/>
  <c r="L41" i="2" s="1"/>
  <c r="J39" i="2"/>
  <c r="L38" i="2" s="1"/>
  <c r="L39" i="2" s="1"/>
  <c r="J37" i="2"/>
  <c r="L36" i="2" s="1"/>
  <c r="L37" i="2" s="1"/>
  <c r="J35" i="2"/>
  <c r="L34" i="2" s="1"/>
  <c r="L35" i="2" s="1"/>
  <c r="J33" i="2"/>
  <c r="L32" i="2" s="1"/>
  <c r="L33" i="2" s="1"/>
  <c r="J31" i="2"/>
  <c r="L30" i="2" s="1"/>
  <c r="L31" i="2" s="1"/>
  <c r="J29" i="2"/>
  <c r="L28" i="2" s="1"/>
  <c r="L29" i="2" s="1"/>
  <c r="J27" i="2"/>
  <c r="L26" i="2" s="1"/>
  <c r="L27" i="2" s="1"/>
  <c r="J25" i="2"/>
  <c r="L24" i="2" s="1"/>
  <c r="L25" i="2" s="1"/>
  <c r="J23" i="2"/>
  <c r="L22" i="2" s="1"/>
  <c r="L23" i="2" s="1"/>
  <c r="J21" i="2"/>
  <c r="L20" i="2" s="1"/>
  <c r="L21" i="2" s="1"/>
  <c r="J19" i="2"/>
  <c r="L18" i="2" s="1"/>
  <c r="L19" i="2" s="1"/>
  <c r="J17" i="2"/>
  <c r="L16" i="2" s="1"/>
  <c r="L17" i="2" s="1"/>
  <c r="J15" i="2"/>
  <c r="L14" i="2" s="1"/>
  <c r="L15" i="2" s="1"/>
  <c r="J13" i="2"/>
  <c r="L12" i="2" s="1"/>
  <c r="L13" i="2" s="1"/>
  <c r="J11" i="2"/>
  <c r="L10" i="2" s="1"/>
  <c r="L11" i="2" s="1"/>
  <c r="J9" i="2"/>
  <c r="L8" i="2" s="1"/>
  <c r="L9" i="2" s="1"/>
  <c r="J7" i="2"/>
  <c r="L6" i="2" s="1"/>
  <c r="L7" i="2" s="1"/>
  <c r="J5" i="2"/>
  <c r="L4" i="2" s="1"/>
  <c r="L5" i="2" s="1"/>
  <c r="J3" i="2"/>
  <c r="L2" i="2" s="1"/>
  <c r="L3" i="2" s="1"/>
  <c r="H126" i="2"/>
  <c r="H127" i="2" s="1"/>
  <c r="H128" i="2" s="1"/>
  <c r="H129" i="2" s="1"/>
  <c r="M129" i="2" s="1"/>
  <c r="H122" i="2"/>
  <c r="H123" i="2" s="1"/>
  <c r="H124" i="2" s="1"/>
  <c r="H125" i="2" s="1"/>
  <c r="M125" i="2" s="1"/>
  <c r="H118" i="2"/>
  <c r="H119" i="2" s="1"/>
  <c r="H120" i="2" s="1"/>
  <c r="H121" i="2" s="1"/>
  <c r="M121" i="2" s="1"/>
  <c r="H114" i="2"/>
  <c r="H115" i="2" s="1"/>
  <c r="H116" i="2" s="1"/>
  <c r="H117" i="2" s="1"/>
  <c r="M117" i="2" s="1"/>
  <c r="H110" i="2"/>
  <c r="H111" i="2" s="1"/>
  <c r="H112" i="2" s="1"/>
  <c r="H113" i="2" s="1"/>
  <c r="M113" i="2" s="1"/>
  <c r="H106" i="2"/>
  <c r="H107" i="2" s="1"/>
  <c r="H108" i="2" s="1"/>
  <c r="H109" i="2" s="1"/>
  <c r="M109" i="2" s="1"/>
  <c r="H102" i="2"/>
  <c r="H103" i="2" s="1"/>
  <c r="H104" i="2" s="1"/>
  <c r="H105" i="2" s="1"/>
  <c r="M105" i="2" s="1"/>
  <c r="H98" i="2"/>
  <c r="H99" i="2" s="1"/>
  <c r="H100" i="2" s="1"/>
  <c r="H101" i="2" s="1"/>
  <c r="M101" i="2" s="1"/>
  <c r="H94" i="2"/>
  <c r="H95" i="2" s="1"/>
  <c r="H96" i="2" s="1"/>
  <c r="H97" i="2" s="1"/>
  <c r="M97" i="2" s="1"/>
  <c r="H90" i="2"/>
  <c r="H91" i="2" s="1"/>
  <c r="H92" i="2" s="1"/>
  <c r="H93" i="2" s="1"/>
  <c r="M93" i="2" s="1"/>
  <c r="H86" i="2"/>
  <c r="H87" i="2" s="1"/>
  <c r="H88" i="2" s="1"/>
  <c r="H89" i="2" s="1"/>
  <c r="M89" i="2" s="1"/>
  <c r="H82" i="2"/>
  <c r="H83" i="2" s="1"/>
  <c r="H84" i="2" s="1"/>
  <c r="H85" i="2" s="1"/>
  <c r="M85" i="2" s="1"/>
  <c r="H78" i="2"/>
  <c r="H79" i="2" s="1"/>
  <c r="H80" i="2" s="1"/>
  <c r="H81" i="2" s="1"/>
  <c r="M81" i="2" s="1"/>
  <c r="H74" i="2"/>
  <c r="H75" i="2" s="1"/>
  <c r="H76" i="2" s="1"/>
  <c r="H77" i="2" s="1"/>
  <c r="M77" i="2" s="1"/>
  <c r="H70" i="2"/>
  <c r="H71" i="2" s="1"/>
  <c r="H72" i="2" s="1"/>
  <c r="H73" i="2" s="1"/>
  <c r="M73" i="2" s="1"/>
  <c r="H66" i="2"/>
  <c r="H67" i="2" s="1"/>
  <c r="H68" i="2" s="1"/>
  <c r="H69" i="2" s="1"/>
  <c r="M69" i="2" s="1"/>
  <c r="H62" i="2"/>
  <c r="H63" i="2" s="1"/>
  <c r="H64" i="2" s="1"/>
  <c r="H65" i="2" s="1"/>
  <c r="M65" i="2" s="1"/>
  <c r="H58" i="2"/>
  <c r="H59" i="2" s="1"/>
  <c r="H60" i="2" s="1"/>
  <c r="H61" i="2" s="1"/>
  <c r="M61" i="2" s="1"/>
  <c r="H54" i="2"/>
  <c r="H55" i="2" s="1"/>
  <c r="H56" i="2" s="1"/>
  <c r="H57" i="2" s="1"/>
  <c r="M57" i="2" s="1"/>
  <c r="H50" i="2"/>
  <c r="H51" i="2" s="1"/>
  <c r="H52" i="2" s="1"/>
  <c r="H53" i="2" s="1"/>
  <c r="M53" i="2" s="1"/>
  <c r="H46" i="2"/>
  <c r="H47" i="2" s="1"/>
  <c r="H48" i="2" s="1"/>
  <c r="H49" i="2" s="1"/>
  <c r="M49" i="2" s="1"/>
  <c r="H42" i="2"/>
  <c r="H43" i="2" s="1"/>
  <c r="H44" i="2" s="1"/>
  <c r="H45" i="2" s="1"/>
  <c r="M45" i="2" s="1"/>
  <c r="H38" i="2"/>
  <c r="H39" i="2" s="1"/>
  <c r="H40" i="2" s="1"/>
  <c r="H41" i="2" s="1"/>
  <c r="M41" i="2" s="1"/>
  <c r="H34" i="2"/>
  <c r="H35" i="2" s="1"/>
  <c r="H36" i="2" s="1"/>
  <c r="H37" i="2" s="1"/>
  <c r="M37" i="2" s="1"/>
  <c r="H30" i="2"/>
  <c r="H31" i="2" s="1"/>
  <c r="H32" i="2" s="1"/>
  <c r="H33" i="2" s="1"/>
  <c r="M33" i="2" s="1"/>
  <c r="H26" i="2"/>
  <c r="H27" i="2" s="1"/>
  <c r="H28" i="2" s="1"/>
  <c r="H29" i="2" s="1"/>
  <c r="M29" i="2" s="1"/>
  <c r="H22" i="2"/>
  <c r="H23" i="2" s="1"/>
  <c r="H24" i="2" s="1"/>
  <c r="H25" i="2" s="1"/>
  <c r="M25" i="2" s="1"/>
  <c r="H18" i="2"/>
  <c r="H19" i="2" s="1"/>
  <c r="H20" i="2" s="1"/>
  <c r="H21" i="2" s="1"/>
  <c r="M21" i="2" s="1"/>
  <c r="H14" i="2"/>
  <c r="H15" i="2" s="1"/>
  <c r="H16" i="2" s="1"/>
  <c r="H17" i="2" s="1"/>
  <c r="M17" i="2" s="1"/>
  <c r="H10" i="2"/>
  <c r="H11" i="2" s="1"/>
  <c r="H12" i="2" s="1"/>
  <c r="H13" i="2" s="1"/>
  <c r="M13" i="2" s="1"/>
  <c r="H6" i="2"/>
  <c r="H7" i="2" s="1"/>
  <c r="H8" i="2" s="1"/>
  <c r="H9" i="2" s="1"/>
  <c r="M9" i="2" s="1"/>
  <c r="H2" i="2"/>
  <c r="H3" i="2" s="1"/>
  <c r="H4" i="2" s="1"/>
  <c r="H5" i="2" s="1"/>
  <c r="M5" i="2" s="1"/>
  <c r="M84" i="2" l="1"/>
  <c r="M36" i="2"/>
  <c r="M52" i="2"/>
  <c r="M20" i="2"/>
  <c r="M60" i="2"/>
  <c r="M100" i="2"/>
  <c r="M28" i="2"/>
  <c r="M68" i="2"/>
  <c r="M116" i="2"/>
  <c r="M4" i="2"/>
  <c r="M92" i="2"/>
  <c r="X4" i="1"/>
  <c r="AA20" i="1"/>
  <c r="AA21" i="1"/>
  <c r="AA15" i="1"/>
  <c r="AA17" i="1"/>
  <c r="AA16" i="1"/>
  <c r="AA18" i="1"/>
  <c r="AA19" i="1"/>
  <c r="Y14" i="1"/>
  <c r="Z14" i="1" s="1"/>
  <c r="X5" i="1" s="1"/>
  <c r="M6" i="2"/>
  <c r="M14" i="2"/>
  <c r="M22" i="2"/>
  <c r="M30" i="2"/>
  <c r="M38" i="2"/>
  <c r="M46" i="2"/>
  <c r="M54" i="2"/>
  <c r="M62" i="2"/>
  <c r="M70" i="2"/>
  <c r="M78" i="2"/>
  <c r="M86" i="2"/>
  <c r="M94" i="2"/>
  <c r="M102" i="2"/>
  <c r="M110" i="2"/>
  <c r="M118" i="2"/>
  <c r="M126" i="2"/>
  <c r="M108" i="2"/>
  <c r="M7" i="2"/>
  <c r="M15" i="2"/>
  <c r="M23" i="2"/>
  <c r="M31" i="2"/>
  <c r="M39" i="2"/>
  <c r="M47" i="2"/>
  <c r="M55" i="2"/>
  <c r="M63" i="2"/>
  <c r="M71" i="2"/>
  <c r="M79" i="2"/>
  <c r="M87" i="2"/>
  <c r="M95" i="2"/>
  <c r="M103" i="2"/>
  <c r="M111" i="2"/>
  <c r="M119" i="2"/>
  <c r="M127" i="2"/>
  <c r="M8" i="2"/>
  <c r="M16" i="2"/>
  <c r="M24" i="2"/>
  <c r="M32" i="2"/>
  <c r="M40" i="2"/>
  <c r="M48" i="2"/>
  <c r="M56" i="2"/>
  <c r="M64" i="2"/>
  <c r="M72" i="2"/>
  <c r="M80" i="2"/>
  <c r="M88" i="2"/>
  <c r="M96" i="2"/>
  <c r="M104" i="2"/>
  <c r="M112" i="2"/>
  <c r="M120" i="2"/>
  <c r="M128" i="2"/>
  <c r="M12" i="2"/>
  <c r="M76" i="2"/>
  <c r="M124" i="2"/>
  <c r="M2" i="2"/>
  <c r="M10" i="2"/>
  <c r="M18" i="2"/>
  <c r="M26" i="2"/>
  <c r="M34" i="2"/>
  <c r="M42" i="2"/>
  <c r="M50" i="2"/>
  <c r="M58" i="2"/>
  <c r="M66" i="2"/>
  <c r="M74" i="2"/>
  <c r="M82" i="2"/>
  <c r="M90" i="2"/>
  <c r="M98" i="2"/>
  <c r="M106" i="2"/>
  <c r="M114" i="2"/>
  <c r="M122" i="2"/>
  <c r="M44" i="2"/>
  <c r="M3" i="2"/>
  <c r="M11" i="2"/>
  <c r="M19" i="2"/>
  <c r="M27" i="2"/>
  <c r="M35" i="2"/>
  <c r="M43" i="2"/>
  <c r="M51" i="2"/>
  <c r="M59" i="2"/>
  <c r="M67" i="2"/>
  <c r="M75" i="2"/>
  <c r="M83" i="2"/>
  <c r="M91" i="2"/>
  <c r="M99" i="2"/>
  <c r="M107" i="2"/>
  <c r="M115" i="2"/>
  <c r="M123" i="2"/>
  <c r="AA14" i="1" l="1"/>
  <c r="X2" i="1"/>
  <c r="I30" i="1" l="1"/>
  <c r="I33" i="1"/>
  <c r="I28" i="1"/>
  <c r="I32" i="1"/>
  <c r="I19" i="1"/>
  <c r="I15" i="1"/>
  <c r="I25" i="1"/>
  <c r="I5" i="1"/>
  <c r="I31" i="1"/>
  <c r="I26" i="1"/>
  <c r="I17" i="1"/>
  <c r="I11" i="1"/>
  <c r="I16" i="1"/>
  <c r="I20" i="1"/>
  <c r="I22" i="1"/>
  <c r="I14" i="1"/>
  <c r="I29" i="1"/>
  <c r="I7" i="1"/>
  <c r="I18" i="1"/>
  <c r="I8" i="1"/>
  <c r="I24" i="1"/>
  <c r="I23" i="1"/>
  <c r="I12" i="1"/>
  <c r="I3" i="1"/>
  <c r="I6" i="1"/>
  <c r="I10" i="1"/>
  <c r="I13" i="1" l="1"/>
  <c r="AB21" i="1"/>
  <c r="I4" i="1"/>
  <c r="AB20" i="1"/>
  <c r="I2" i="1"/>
  <c r="AB19" i="1"/>
  <c r="I27" i="1"/>
  <c r="AB16" i="1"/>
  <c r="I9" i="1"/>
  <c r="AB17" i="1"/>
  <c r="AB15" i="1"/>
  <c r="AB18" i="1"/>
  <c r="AB14" i="1" l="1"/>
  <c r="I21" i="1"/>
  <c r="J29" i="1" s="1"/>
  <c r="H18" i="1"/>
  <c r="H8" i="1"/>
  <c r="H11" i="1"/>
  <c r="H9" i="1"/>
  <c r="H20" i="1"/>
  <c r="H22" i="1"/>
  <c r="H16" i="1"/>
  <c r="H17" i="1"/>
  <c r="H24" i="1"/>
  <c r="H21" i="1"/>
  <c r="V6" i="1"/>
  <c r="V9" i="1"/>
  <c r="H25" i="1"/>
  <c r="H30" i="1"/>
  <c r="H15" i="1"/>
  <c r="H28" i="1"/>
  <c r="H31" i="1"/>
  <c r="H33" i="1"/>
  <c r="H26" i="1"/>
  <c r="H13" i="1"/>
  <c r="H32" i="1"/>
  <c r="H5" i="1"/>
  <c r="H19" i="1"/>
  <c r="H2" i="1"/>
  <c r="H27" i="1"/>
  <c r="H4" i="1"/>
  <c r="H14" i="1"/>
  <c r="H23" i="1"/>
  <c r="H7" i="1"/>
  <c r="H12" i="1"/>
  <c r="H29" i="1"/>
  <c r="H6" i="1"/>
  <c r="H3" i="1"/>
  <c r="H10" i="1"/>
  <c r="J13" i="1" l="1"/>
  <c r="J5" i="1"/>
  <c r="J9" i="1"/>
  <c r="J17" i="1"/>
  <c r="J27" i="1"/>
  <c r="J21" i="1"/>
  <c r="J4" i="1"/>
  <c r="J30" i="1"/>
  <c r="J10" i="1"/>
  <c r="J24" i="1"/>
  <c r="J12" i="1"/>
  <c r="J19" i="1"/>
  <c r="J15" i="1"/>
  <c r="J33" i="1"/>
  <c r="J26" i="1"/>
  <c r="J18" i="1"/>
  <c r="J11" i="1"/>
  <c r="J7" i="1"/>
  <c r="J31" i="1"/>
  <c r="J20" i="1"/>
  <c r="J25" i="1"/>
  <c r="J2" i="1"/>
  <c r="J6" i="1"/>
  <c r="J22" i="1"/>
  <c r="J32" i="1"/>
  <c r="J16" i="1"/>
  <c r="J14" i="1"/>
  <c r="J23" i="1"/>
  <c r="J28" i="1"/>
  <c r="J3" i="1"/>
  <c r="X9" i="1"/>
  <c r="J8" i="1"/>
  <c r="V8" i="1"/>
  <c r="K17" i="1" l="1"/>
  <c r="K25" i="1"/>
  <c r="K27" i="1"/>
  <c r="K30" i="1"/>
  <c r="R30" i="1" s="1"/>
  <c r="K15" i="1"/>
  <c r="R15" i="1" s="1"/>
  <c r="K28" i="1"/>
  <c r="R28" i="1" s="1"/>
  <c r="K31" i="1"/>
  <c r="K33" i="1"/>
  <c r="K2" i="1"/>
  <c r="K14" i="1"/>
  <c r="K23" i="1"/>
  <c r="R23" i="1" s="1"/>
  <c r="K7" i="1"/>
  <c r="K12" i="1"/>
  <c r="R12" i="1" s="1"/>
  <c r="K29" i="1"/>
  <c r="R29" i="1" s="1"/>
  <c r="K6" i="1"/>
  <c r="R6" i="1" s="1"/>
  <c r="K3" i="1"/>
  <c r="R3" i="1" s="1"/>
  <c r="K10" i="1"/>
  <c r="K18" i="1"/>
  <c r="K8" i="1"/>
  <c r="K11" i="1"/>
  <c r="K9" i="1"/>
  <c r="K20" i="1"/>
  <c r="R20" i="1" s="1"/>
  <c r="K22" i="1"/>
  <c r="R22" i="1" s="1"/>
  <c r="K16" i="1"/>
  <c r="R16" i="1" s="1"/>
  <c r="K24" i="1"/>
  <c r="K21" i="1"/>
  <c r="K26" i="1"/>
  <c r="R26" i="1" s="1"/>
  <c r="K13" i="1"/>
  <c r="K32" i="1"/>
  <c r="K5" i="1"/>
  <c r="R5" i="1" s="1"/>
  <c r="K19" i="1"/>
  <c r="R19" i="1" s="1"/>
  <c r="K4" i="1"/>
  <c r="R4" i="1" s="1"/>
  <c r="X8" i="1"/>
  <c r="R14" i="1"/>
  <c r="R7" i="1"/>
  <c r="R13" i="1"/>
  <c r="R25" i="1"/>
  <c r="R21" i="1"/>
  <c r="R32" i="1"/>
  <c r="R11" i="1"/>
  <c r="R8" i="1"/>
  <c r="R18" i="1"/>
  <c r="R2" i="1"/>
  <c r="R17" i="1"/>
  <c r="R31" i="1"/>
  <c r="R10" i="1"/>
  <c r="R9" i="1"/>
  <c r="R24" i="1"/>
  <c r="R27" i="1"/>
  <c r="Q6" i="1" l="1"/>
  <c r="L29" i="1"/>
  <c r="L25" i="1"/>
  <c r="L2" i="1"/>
  <c r="L6" i="1"/>
  <c r="L22" i="1"/>
  <c r="L32" i="1"/>
  <c r="L16" i="1"/>
  <c r="L14" i="1"/>
  <c r="L23" i="1"/>
  <c r="L3" i="1"/>
  <c r="L8" i="1"/>
  <c r="L13" i="1"/>
  <c r="L5" i="1"/>
  <c r="L9" i="1"/>
  <c r="L17" i="1"/>
  <c r="L27" i="1"/>
  <c r="L4" i="1"/>
  <c r="L30" i="1"/>
  <c r="L10" i="1"/>
  <c r="L12" i="1"/>
  <c r="L19" i="1"/>
  <c r="L33" i="1"/>
  <c r="L18" i="1"/>
  <c r="L7" i="1"/>
  <c r="L20" i="1"/>
  <c r="L28" i="1"/>
  <c r="L21" i="1"/>
  <c r="L24" i="1"/>
  <c r="L15" i="1"/>
  <c r="L26" i="1"/>
  <c r="L11" i="1"/>
  <c r="L31" i="1"/>
  <c r="A2" i="23"/>
  <c r="B2" i="23"/>
  <c r="N2" i="23"/>
  <c r="M2" i="23"/>
  <c r="K2" i="23"/>
  <c r="I2" i="23"/>
  <c r="G2" i="23"/>
  <c r="E2" i="23"/>
  <c r="C2" i="23"/>
  <c r="H2" i="23"/>
  <c r="L2" i="23"/>
  <c r="J2" i="23"/>
  <c r="F2" i="23"/>
  <c r="D2" i="23"/>
  <c r="Q19" i="1"/>
  <c r="Q25" i="1"/>
  <c r="Q26" i="1"/>
  <c r="Q17" i="1"/>
  <c r="Q28" i="1"/>
  <c r="Q20" i="1"/>
  <c r="Q29" i="1"/>
  <c r="Q22" i="1"/>
  <c r="Q31" i="1"/>
  <c r="Q16" i="1"/>
  <c r="Q23" i="1"/>
  <c r="Q12" i="1"/>
  <c r="Q11" i="1"/>
  <c r="Q24" i="1"/>
  <c r="Q3" i="1"/>
  <c r="Q10" i="1"/>
  <c r="Q5" i="1"/>
  <c r="Q18" i="1"/>
  <c r="Q2" i="1"/>
  <c r="Q33" i="1"/>
  <c r="Q21" i="1"/>
  <c r="Q4" i="1"/>
  <c r="Q32" i="1"/>
  <c r="Q30" i="1"/>
  <c r="Q7" i="1"/>
  <c r="Q15" i="1"/>
  <c r="Q27" i="1"/>
  <c r="Q9" i="1"/>
  <c r="Q14" i="1"/>
  <c r="Q8" i="1"/>
  <c r="Q13" i="1"/>
  <c r="V11" i="1" l="1"/>
  <c r="AB273" i="19"/>
  <c r="AA273" i="19"/>
  <c r="AB272" i="19"/>
  <c r="AA272" i="19"/>
  <c r="AB271" i="19"/>
  <c r="AA271" i="19"/>
  <c r="AB270" i="19"/>
  <c r="AA270" i="19"/>
  <c r="AB269" i="19"/>
  <c r="AA269" i="19"/>
  <c r="AB268" i="19"/>
  <c r="AA268" i="19"/>
  <c r="AB267" i="19"/>
  <c r="AA267" i="19"/>
  <c r="AB266" i="19"/>
  <c r="AA266" i="19"/>
  <c r="AB265" i="19"/>
  <c r="AA265" i="19"/>
  <c r="AB264" i="19"/>
  <c r="AA264" i="19"/>
  <c r="AB263" i="19"/>
  <c r="AA263" i="19"/>
  <c r="AB262" i="19"/>
  <c r="AA262" i="19"/>
  <c r="AB261" i="19"/>
  <c r="AA261" i="19"/>
  <c r="AB260" i="19"/>
  <c r="AA260" i="19"/>
  <c r="AB259" i="19"/>
  <c r="AA259" i="19"/>
  <c r="AB258" i="19"/>
  <c r="AA258" i="19"/>
  <c r="AB257" i="19"/>
  <c r="AA257" i="19"/>
  <c r="AB256" i="19"/>
  <c r="AA256" i="19"/>
  <c r="AB255" i="19"/>
  <c r="AA255" i="19"/>
  <c r="AB254" i="19"/>
  <c r="AA254" i="19"/>
  <c r="AB253" i="19"/>
  <c r="AA253" i="19"/>
  <c r="AB252" i="19"/>
  <c r="AA252" i="19"/>
  <c r="AB251" i="19"/>
  <c r="AA251" i="19"/>
  <c r="AB250" i="19"/>
  <c r="AA250" i="19"/>
  <c r="AB249" i="19"/>
  <c r="AA249" i="19"/>
  <c r="AB248" i="19"/>
  <c r="AA248" i="19"/>
  <c r="AB247" i="19"/>
  <c r="AA247" i="19"/>
  <c r="AB246" i="19"/>
  <c r="AA246" i="19"/>
  <c r="AB245" i="19"/>
  <c r="AA245" i="19"/>
  <c r="AB244" i="19"/>
  <c r="AA244" i="19"/>
  <c r="AB243" i="19"/>
  <c r="AA243" i="19"/>
  <c r="AB242" i="19"/>
  <c r="AA242" i="19"/>
  <c r="AB241" i="19"/>
  <c r="AA241" i="19"/>
  <c r="AB240" i="19"/>
  <c r="AA240" i="19"/>
  <c r="AB239" i="19"/>
  <c r="AA239" i="19"/>
  <c r="AB238" i="19"/>
  <c r="AA238" i="19"/>
  <c r="AB237" i="19"/>
  <c r="AA237" i="19"/>
  <c r="AB236" i="19"/>
  <c r="AA236" i="19"/>
  <c r="AB235" i="19"/>
  <c r="AA235" i="19"/>
  <c r="AB234" i="19"/>
  <c r="AA234" i="19"/>
  <c r="AB233" i="19"/>
  <c r="AA233" i="19"/>
  <c r="AB232" i="19"/>
  <c r="AA232" i="19"/>
  <c r="AB231" i="19"/>
  <c r="AA231" i="19"/>
  <c r="AB230" i="19"/>
  <c r="AA230" i="19"/>
  <c r="AB229" i="19"/>
  <c r="AA229" i="19"/>
  <c r="AB228" i="19"/>
  <c r="AA228" i="19"/>
  <c r="AB227" i="19"/>
  <c r="AA227" i="19"/>
  <c r="AB226" i="19"/>
  <c r="AA226" i="19"/>
  <c r="AB225" i="19"/>
  <c r="AA225" i="19"/>
  <c r="AB224" i="19"/>
  <c r="AA224" i="19"/>
  <c r="AB223" i="19"/>
  <c r="AA223" i="19"/>
  <c r="AB222" i="19"/>
  <c r="AA222" i="19"/>
  <c r="AB221" i="19"/>
  <c r="AA221" i="19"/>
  <c r="AB220" i="19"/>
  <c r="AA220" i="19"/>
  <c r="AB219" i="19"/>
  <c r="AA219" i="19"/>
  <c r="AB218" i="19"/>
  <c r="AA218" i="19"/>
  <c r="AB217" i="19"/>
  <c r="AA217" i="19"/>
  <c r="AB216" i="19"/>
  <c r="AA216" i="19"/>
  <c r="AB215" i="19"/>
  <c r="AA215" i="19"/>
  <c r="AB214" i="19"/>
  <c r="AA214" i="19"/>
  <c r="AB213" i="19"/>
  <c r="AA213" i="19"/>
  <c r="AB212" i="19"/>
  <c r="AA212" i="19"/>
  <c r="AB211" i="19"/>
  <c r="AA211" i="19"/>
  <c r="AB210" i="19"/>
  <c r="AA210" i="19"/>
  <c r="AB209" i="19"/>
  <c r="AA209" i="19"/>
  <c r="AB208" i="19"/>
  <c r="AA208" i="19"/>
  <c r="AB207" i="19"/>
  <c r="AA207" i="19"/>
  <c r="AB206" i="19"/>
  <c r="AA206" i="19"/>
  <c r="AB205" i="19"/>
  <c r="AA205" i="19"/>
  <c r="AB204" i="19"/>
  <c r="AA204" i="19"/>
  <c r="AB203" i="19"/>
  <c r="AA203" i="19"/>
  <c r="AB202" i="19"/>
  <c r="AA202" i="19"/>
  <c r="AB201" i="19"/>
  <c r="AA201" i="19"/>
  <c r="AB200" i="19"/>
  <c r="AA200" i="19"/>
  <c r="AB199" i="19"/>
  <c r="AA199" i="19"/>
  <c r="AB198" i="19"/>
  <c r="AA198" i="19"/>
  <c r="AB197" i="19"/>
  <c r="AA197" i="19"/>
  <c r="AB196" i="19"/>
  <c r="AA196" i="19"/>
  <c r="AB195" i="19"/>
  <c r="AA195" i="19"/>
  <c r="AB194" i="19"/>
  <c r="AA194" i="19"/>
  <c r="AB193" i="19"/>
  <c r="AA193" i="19"/>
  <c r="AB192" i="19"/>
  <c r="AA192" i="19"/>
  <c r="AB191" i="19"/>
  <c r="AA191" i="19"/>
  <c r="AB190" i="19"/>
  <c r="AA190" i="19"/>
  <c r="AB189" i="19"/>
  <c r="AA189" i="19"/>
  <c r="AB188" i="19"/>
  <c r="AA188" i="19"/>
  <c r="AB187" i="19"/>
  <c r="AA187" i="19"/>
  <c r="AB186" i="19"/>
  <c r="AA186" i="19"/>
  <c r="AB185" i="19"/>
  <c r="AA185" i="19"/>
  <c r="AB184" i="19"/>
  <c r="AA184" i="19"/>
  <c r="AB183" i="19"/>
  <c r="AA183" i="19"/>
  <c r="AB182" i="19"/>
  <c r="AA182" i="19"/>
  <c r="AB181" i="19"/>
  <c r="AA181" i="19"/>
  <c r="AB180" i="19"/>
  <c r="AA180" i="19"/>
  <c r="AB179" i="19"/>
  <c r="AA179" i="19"/>
  <c r="AB178" i="19"/>
  <c r="AA178" i="19"/>
  <c r="AB177" i="19"/>
  <c r="AA177" i="19"/>
  <c r="AB176" i="19"/>
  <c r="AA176" i="19"/>
  <c r="AB175" i="19"/>
  <c r="AA175" i="19"/>
  <c r="AB174" i="19"/>
  <c r="AA174" i="19"/>
  <c r="AB173" i="19"/>
  <c r="AA173" i="19"/>
  <c r="AB172" i="19"/>
  <c r="AA172" i="19"/>
  <c r="AB171" i="19"/>
  <c r="AA171" i="19"/>
  <c r="AB170" i="19"/>
  <c r="AA170" i="19"/>
  <c r="AB169" i="19"/>
  <c r="AA169" i="19"/>
  <c r="AB168" i="19"/>
  <c r="AA168" i="19"/>
  <c r="AB167" i="19"/>
  <c r="AA167" i="19"/>
  <c r="AB166" i="19"/>
  <c r="AA166" i="19"/>
  <c r="AB165" i="19"/>
  <c r="AA165" i="19"/>
  <c r="AB164" i="19"/>
  <c r="AA164" i="19"/>
  <c r="AB163" i="19"/>
  <c r="AA163" i="19"/>
  <c r="AB162" i="19"/>
  <c r="AA162" i="19"/>
  <c r="AB161" i="19"/>
  <c r="AA161" i="19"/>
  <c r="AB160" i="19"/>
  <c r="AA160" i="19"/>
  <c r="AB159" i="19"/>
  <c r="AA159" i="19"/>
  <c r="AB158" i="19"/>
  <c r="AA158" i="19"/>
  <c r="AB157" i="19"/>
  <c r="AA157" i="19"/>
  <c r="AB156" i="19"/>
  <c r="AA156" i="19"/>
  <c r="AB155" i="19"/>
  <c r="AA155" i="19"/>
  <c r="AB154" i="19"/>
  <c r="AA154" i="19"/>
  <c r="AB153" i="19"/>
  <c r="AA153" i="19"/>
  <c r="AB152" i="19"/>
  <c r="AA152" i="19"/>
  <c r="AB151" i="19"/>
  <c r="AA151" i="19"/>
  <c r="AB150" i="19"/>
  <c r="AA150" i="19"/>
  <c r="AB149" i="19"/>
  <c r="AA149" i="19"/>
  <c r="AB148" i="19"/>
  <c r="AA148" i="19"/>
  <c r="AB147" i="19"/>
  <c r="AA147" i="19"/>
  <c r="AB146" i="19"/>
  <c r="AA146" i="19"/>
  <c r="AB145" i="19"/>
  <c r="AA145" i="19"/>
  <c r="AB144" i="19"/>
  <c r="AA144" i="19"/>
  <c r="AB143" i="19"/>
  <c r="AA143" i="19"/>
  <c r="AB142" i="19"/>
  <c r="AA142" i="19"/>
  <c r="AB141" i="19"/>
  <c r="AA141" i="19"/>
  <c r="AB140" i="19"/>
  <c r="AA140" i="19"/>
  <c r="AB139" i="19"/>
  <c r="AA139" i="19"/>
  <c r="AB138" i="19"/>
  <c r="AA138" i="19"/>
  <c r="AB137" i="19"/>
  <c r="AA137" i="19"/>
  <c r="AB136" i="19"/>
  <c r="AA136" i="19"/>
  <c r="AB135" i="19"/>
  <c r="AA135" i="19"/>
  <c r="AB134" i="19"/>
  <c r="AA134" i="19"/>
  <c r="AB133" i="19"/>
  <c r="AA133" i="19"/>
  <c r="AB132" i="19"/>
  <c r="AA132" i="19"/>
  <c r="AB131" i="19"/>
  <c r="AA131" i="19"/>
  <c r="AB130" i="19"/>
  <c r="AA130" i="19"/>
  <c r="AB129" i="19"/>
  <c r="AA129" i="19"/>
  <c r="AB128" i="19"/>
  <c r="AA128" i="19"/>
  <c r="AB127" i="19"/>
  <c r="AA127" i="19"/>
  <c r="AB126" i="19"/>
  <c r="AA126" i="19"/>
  <c r="AB125" i="19"/>
  <c r="AA125" i="19"/>
  <c r="AB124" i="19"/>
  <c r="AA124" i="19"/>
  <c r="AB123" i="19"/>
  <c r="AA123" i="19"/>
  <c r="AB122" i="19"/>
  <c r="AA122" i="19"/>
  <c r="AB121" i="19"/>
  <c r="AA121" i="19"/>
  <c r="AB120" i="19"/>
  <c r="AA120" i="19"/>
  <c r="AB119" i="19"/>
  <c r="AA119" i="19"/>
  <c r="AB118" i="19"/>
  <c r="AA118" i="19"/>
  <c r="AB117" i="19"/>
  <c r="AA117" i="19"/>
  <c r="AB116" i="19"/>
  <c r="AA116" i="19"/>
  <c r="AB115" i="19"/>
  <c r="AA115" i="19"/>
  <c r="AB114" i="19"/>
  <c r="AA114" i="19"/>
  <c r="AB113" i="19"/>
  <c r="AA113" i="19"/>
  <c r="AB112" i="19"/>
  <c r="AA112" i="19"/>
  <c r="AB111" i="19"/>
  <c r="AA111" i="19"/>
  <c r="AB110" i="19"/>
  <c r="AA110" i="19"/>
  <c r="AB109" i="19"/>
  <c r="AA109" i="19"/>
  <c r="AB108" i="19"/>
  <c r="AA108" i="19"/>
  <c r="AB107" i="19"/>
  <c r="AA107" i="19"/>
  <c r="AB106" i="19"/>
  <c r="AA106" i="19"/>
  <c r="AB105" i="19"/>
  <c r="AA105" i="19"/>
  <c r="AB104" i="19"/>
  <c r="AA104" i="19"/>
  <c r="AB103" i="19"/>
  <c r="AA103" i="19"/>
  <c r="AB102" i="19"/>
  <c r="AA102" i="19"/>
  <c r="AB101" i="19"/>
  <c r="AA101" i="19"/>
  <c r="AB100" i="19"/>
  <c r="AA100" i="19"/>
  <c r="AB99" i="19"/>
  <c r="AA99" i="19"/>
  <c r="AB98" i="19"/>
  <c r="AA98" i="19"/>
  <c r="AB97" i="19"/>
  <c r="AA97" i="19"/>
  <c r="AB96" i="19"/>
  <c r="AA96" i="19"/>
  <c r="AB95" i="19"/>
  <c r="AA95" i="19"/>
  <c r="AB94" i="19"/>
  <c r="AA94" i="19"/>
  <c r="AB93" i="19"/>
  <c r="AA93" i="19"/>
  <c r="AB92" i="19"/>
  <c r="AA92" i="19"/>
  <c r="AB91" i="19"/>
  <c r="AA91" i="19"/>
  <c r="AB90" i="19"/>
  <c r="AA90" i="19"/>
  <c r="AB89" i="19"/>
  <c r="AA89" i="19"/>
  <c r="AB88" i="19"/>
  <c r="AA88" i="19"/>
  <c r="AB87" i="19"/>
  <c r="AA87" i="19"/>
  <c r="AB86" i="19"/>
  <c r="AA86" i="19"/>
  <c r="AB85" i="19"/>
  <c r="AA85" i="19"/>
  <c r="AB84" i="19"/>
  <c r="AA84" i="19"/>
  <c r="AB83" i="19"/>
  <c r="AA83" i="19"/>
  <c r="AB82" i="19"/>
  <c r="AA82" i="19"/>
  <c r="AB81" i="19"/>
  <c r="AA81" i="19"/>
  <c r="AB80" i="19"/>
  <c r="AA80" i="19"/>
  <c r="AB79" i="19"/>
  <c r="AA79" i="19"/>
  <c r="AB78" i="19"/>
  <c r="AA78" i="19"/>
  <c r="AB77" i="19"/>
  <c r="AA77" i="19"/>
  <c r="AB76" i="19"/>
  <c r="AA76" i="19"/>
  <c r="AB75" i="19"/>
  <c r="AA75" i="19"/>
  <c r="AB74" i="19"/>
  <c r="AA74" i="19"/>
  <c r="AB73" i="19"/>
  <c r="AA73" i="19"/>
  <c r="AB72" i="19"/>
  <c r="AA72" i="19"/>
  <c r="AB71" i="19"/>
  <c r="AA71" i="19"/>
  <c r="AB70" i="19"/>
  <c r="AA70" i="19"/>
  <c r="AB69" i="19"/>
  <c r="AA69" i="19"/>
  <c r="AB68" i="19"/>
  <c r="AA68" i="19"/>
  <c r="AB67" i="19"/>
  <c r="AA67" i="19"/>
  <c r="AB66" i="19"/>
  <c r="AA66" i="19"/>
  <c r="AB65" i="19"/>
  <c r="AA65" i="19"/>
  <c r="AB64" i="19"/>
  <c r="AA64" i="19"/>
  <c r="AB63" i="19"/>
  <c r="AA63" i="19"/>
  <c r="AB62" i="19"/>
  <c r="AA62" i="19"/>
  <c r="AB61" i="19"/>
  <c r="AA61" i="19"/>
  <c r="AB60" i="19"/>
  <c r="AA60" i="19"/>
  <c r="AB59" i="19"/>
  <c r="AA59" i="19"/>
  <c r="AB58" i="19"/>
  <c r="AA58" i="19"/>
  <c r="AB57" i="19"/>
  <c r="AA57" i="19"/>
  <c r="AB56" i="19"/>
  <c r="AA56" i="19"/>
  <c r="AB55" i="19"/>
  <c r="AA55" i="19"/>
  <c r="AB54" i="19"/>
  <c r="AA54" i="19"/>
  <c r="AB53" i="19"/>
  <c r="AA53" i="19"/>
  <c r="AB52" i="19"/>
  <c r="AA52" i="19"/>
  <c r="AB51" i="19"/>
  <c r="AA51" i="19"/>
  <c r="AB50" i="19"/>
  <c r="AA50" i="19"/>
  <c r="AB49" i="19"/>
  <c r="AA49" i="19"/>
  <c r="AB48" i="19"/>
  <c r="AA48" i="19"/>
  <c r="AB47" i="19"/>
  <c r="AA47" i="19"/>
  <c r="AB46" i="19"/>
  <c r="AA46" i="19"/>
  <c r="AB45" i="19"/>
  <c r="AA45" i="19"/>
  <c r="AB44" i="19"/>
  <c r="AA44" i="19"/>
  <c r="AB43" i="19"/>
  <c r="AA43" i="19"/>
  <c r="AB42" i="19"/>
  <c r="AA42" i="19"/>
  <c r="AB41" i="19"/>
  <c r="AA41" i="19"/>
  <c r="AB40" i="19"/>
  <c r="AA40" i="19"/>
  <c r="AB39" i="19"/>
  <c r="AA39" i="19"/>
  <c r="AB38" i="19"/>
  <c r="AA38" i="19"/>
  <c r="AB37" i="19"/>
  <c r="AA37" i="19"/>
  <c r="AB36" i="19"/>
  <c r="AA36" i="19"/>
  <c r="AB35" i="19"/>
  <c r="AA35" i="19"/>
  <c r="AB34" i="19"/>
  <c r="AA34" i="19"/>
  <c r="AB33" i="19"/>
  <c r="AA33" i="19"/>
  <c r="AB32" i="19"/>
  <c r="AA32" i="19"/>
  <c r="AB31" i="19"/>
  <c r="AA31" i="19"/>
  <c r="AB30" i="19"/>
  <c r="AA30" i="19"/>
  <c r="AB29" i="19"/>
  <c r="AA29" i="19"/>
  <c r="AB28" i="19"/>
  <c r="AA28" i="19"/>
  <c r="AB27" i="19"/>
  <c r="AA27" i="19"/>
  <c r="AB26" i="19"/>
  <c r="AA26" i="19"/>
  <c r="AB25" i="19"/>
  <c r="AA25" i="19"/>
  <c r="AB24" i="19"/>
  <c r="AA24" i="19"/>
  <c r="AB23" i="19"/>
  <c r="AA23" i="19"/>
  <c r="AB22" i="19"/>
  <c r="AA22" i="19"/>
  <c r="AB21" i="19"/>
  <c r="AA21" i="19"/>
  <c r="AB20" i="19"/>
  <c r="AA20" i="19"/>
  <c r="AB19" i="19"/>
  <c r="AA19" i="19"/>
  <c r="AB18" i="19"/>
  <c r="AA18" i="19"/>
  <c r="AB17" i="19"/>
  <c r="AA17" i="19"/>
  <c r="AB16" i="19"/>
  <c r="AA16" i="19"/>
  <c r="AB15" i="19"/>
  <c r="AA15" i="19"/>
  <c r="AB14" i="19"/>
  <c r="AA14" i="19"/>
  <c r="AB13" i="19"/>
  <c r="AA13" i="19"/>
  <c r="AB12" i="19"/>
  <c r="AA12" i="19"/>
  <c r="AB11" i="19"/>
  <c r="AA11" i="19"/>
  <c r="AB10" i="19"/>
  <c r="AA10" i="19"/>
  <c r="AB9" i="19"/>
  <c r="AA9" i="19"/>
  <c r="AB8" i="19"/>
  <c r="AA8" i="19"/>
  <c r="AB7" i="19"/>
  <c r="AA7" i="19"/>
  <c r="AB6" i="19"/>
  <c r="AA6" i="19"/>
  <c r="AB5" i="19"/>
  <c r="AA5" i="19"/>
  <c r="AB4" i="19"/>
  <c r="AA4" i="19"/>
  <c r="AB3" i="19"/>
  <c r="AA3" i="19"/>
  <c r="AB2" i="19"/>
  <c r="AA2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<sst xmlns="http://schemas.openxmlformats.org/spreadsheetml/2006/main" count="10713" uniqueCount="797">
  <si>
    <t>Tampa Bay Buccaneers</t>
  </si>
  <si>
    <t>Buccaneers</t>
  </si>
  <si>
    <t>MIA</t>
  </si>
  <si>
    <t>Dolphins</t>
  </si>
  <si>
    <t>Washington Commanders</t>
  </si>
  <si>
    <t>Commanders</t>
  </si>
  <si>
    <t>SFO</t>
  </si>
  <si>
    <t>49ers</t>
  </si>
  <si>
    <t>Seattle Seahawks</t>
  </si>
  <si>
    <t>Seahawks</t>
  </si>
  <si>
    <t>DET</t>
  </si>
  <si>
    <t>Lions</t>
  </si>
  <si>
    <t>Carolina Panthers</t>
  </si>
  <si>
    <t>Panthers</t>
  </si>
  <si>
    <t>DAL</t>
  </si>
  <si>
    <t>Cowboys</t>
  </si>
  <si>
    <t>Kansas City Chiefs</t>
  </si>
  <si>
    <t>Chiefs</t>
  </si>
  <si>
    <t>KAN</t>
  </si>
  <si>
    <t>Tennessee Titans</t>
  </si>
  <si>
    <t>Titans</t>
  </si>
  <si>
    <t>LAR</t>
  </si>
  <si>
    <t>Rams</t>
  </si>
  <si>
    <t>New York Jets</t>
  </si>
  <si>
    <t>Jets</t>
  </si>
  <si>
    <t>BUF</t>
  </si>
  <si>
    <t>Bills</t>
  </si>
  <si>
    <t>Arizona Cardinals</t>
  </si>
  <si>
    <t>Cardinals</t>
  </si>
  <si>
    <t>TAM</t>
  </si>
  <si>
    <t>San Francisco 49ers</t>
  </si>
  <si>
    <t>HOU</t>
  </si>
  <si>
    <t>Texans</t>
  </si>
  <si>
    <t>Houston Texans</t>
  </si>
  <si>
    <t>GNB</t>
  </si>
  <si>
    <t>Packers</t>
  </si>
  <si>
    <t>Jacksonville Jaguars</t>
  </si>
  <si>
    <t>Jaguars</t>
  </si>
  <si>
    <t>PHI</t>
  </si>
  <si>
    <t>Eagles</t>
  </si>
  <si>
    <t>Buffalo Bills</t>
  </si>
  <si>
    <t>WAS</t>
  </si>
  <si>
    <t>Indianapolis Colts</t>
  </si>
  <si>
    <t>Colts</t>
  </si>
  <si>
    <t>JAX</t>
  </si>
  <si>
    <t>New England Patriots</t>
  </si>
  <si>
    <t>Patriots</t>
  </si>
  <si>
    <t>BAL</t>
  </si>
  <si>
    <t>Ravens</t>
  </si>
  <si>
    <t>New York Giants</t>
  </si>
  <si>
    <t>Giants</t>
  </si>
  <si>
    <t>NOR</t>
  </si>
  <si>
    <t>Saints</t>
  </si>
  <si>
    <t>Cincinnati Bengals</t>
  </si>
  <si>
    <t>Bengals</t>
  </si>
  <si>
    <t>SEA</t>
  </si>
  <si>
    <t>Dallas Cowboys</t>
  </si>
  <si>
    <t>IND</t>
  </si>
  <si>
    <t>Minnesota Vikings</t>
  </si>
  <si>
    <t>Vikings</t>
  </si>
  <si>
    <t>LAC</t>
  </si>
  <si>
    <t>Chargers</t>
  </si>
  <si>
    <t>Miami Dolphins</t>
  </si>
  <si>
    <t>DEN</t>
  </si>
  <si>
    <t>Broncos</t>
  </si>
  <si>
    <t>Chicago Bears</t>
  </si>
  <si>
    <t>Bears</t>
  </si>
  <si>
    <t>CAR</t>
  </si>
  <si>
    <t>Los Angeles Chargers</t>
  </si>
  <si>
    <t>ATL</t>
  </si>
  <si>
    <t>Falcons</t>
  </si>
  <si>
    <t>New Orleans Saints</t>
  </si>
  <si>
    <t>CHI</t>
  </si>
  <si>
    <t>Pittsburgh Steelers</t>
  </si>
  <si>
    <t>Steelers</t>
  </si>
  <si>
    <t>MIN</t>
  </si>
  <si>
    <t>Baltimore Ravens</t>
  </si>
  <si>
    <t>CIN</t>
  </si>
  <si>
    <t>Atlanta Falcons</t>
  </si>
  <si>
    <t>NYJ</t>
  </si>
  <si>
    <t>Las Vegas Raiders</t>
  </si>
  <si>
    <t>Raiders</t>
  </si>
  <si>
    <t>NWE</t>
  </si>
  <si>
    <t>Cleveland Browns</t>
  </si>
  <si>
    <t>Browns</t>
  </si>
  <si>
    <t>PIT</t>
  </si>
  <si>
    <t>Detroit Lions</t>
  </si>
  <si>
    <t>LVR</t>
  </si>
  <si>
    <t>Green Bay Packers</t>
  </si>
  <si>
    <t>TEN</t>
  </si>
  <si>
    <t>Los Angeles Rams</t>
  </si>
  <si>
    <t>CLE</t>
  </si>
  <si>
    <t>Philadelphia Eagles</t>
  </si>
  <si>
    <t>ARI</t>
  </si>
  <si>
    <t>Denver Broncos</t>
  </si>
  <si>
    <t>NYG</t>
  </si>
  <si>
    <t>FUTURES</t>
  </si>
  <si>
    <t>Consensus</t>
  </si>
  <si>
    <t>https://www.actionnetwork.com/nfl/futures/win-totals-odds</t>
  </si>
  <si>
    <t>o8.5</t>
  </si>
  <si>
    <t>N/A</t>
  </si>
  <si>
    <r>
      <t>o8.5</t>
    </r>
    <r>
      <rPr>
        <b/>
        <sz val="14"/>
        <color rgb="FFA4A4AA"/>
        <rFont val="Segoe UI"/>
        <family val="2"/>
      </rPr>
      <t>+150</t>
    </r>
  </si>
  <si>
    <r>
      <t>o9.5</t>
    </r>
    <r>
      <rPr>
        <b/>
        <sz val="14"/>
        <color rgb="FFA4A4AA"/>
        <rFont val="Segoe UI"/>
        <family val="2"/>
      </rPr>
      <t>+215</t>
    </r>
  </si>
  <si>
    <r>
      <t>o7.5</t>
    </r>
    <r>
      <rPr>
        <b/>
        <sz val="14"/>
        <color rgb="FFA4A4AA"/>
        <rFont val="Segoe UI"/>
        <family val="2"/>
      </rPr>
      <t>-132</t>
    </r>
  </si>
  <si>
    <r>
      <t>o7.5</t>
    </r>
    <r>
      <rPr>
        <b/>
        <sz val="14"/>
        <color rgb="FFA4A4AA"/>
        <rFont val="Segoe UI"/>
        <family val="2"/>
      </rPr>
      <t>-136</t>
    </r>
  </si>
  <si>
    <t>Over</t>
  </si>
  <si>
    <r>
      <t>u8.5</t>
    </r>
    <r>
      <rPr>
        <b/>
        <sz val="14"/>
        <color rgb="FFA4A4AA"/>
        <rFont val="Segoe UI"/>
        <family val="2"/>
      </rPr>
      <t>-175</t>
    </r>
  </si>
  <si>
    <r>
      <t>u9.5</t>
    </r>
    <r>
      <rPr>
        <b/>
        <sz val="14"/>
        <color rgb="FFA4A4AA"/>
        <rFont val="Segoe UI"/>
        <family val="2"/>
      </rPr>
      <t>-275</t>
    </r>
  </si>
  <si>
    <r>
      <t>u7.5</t>
    </r>
    <r>
      <rPr>
        <b/>
        <sz val="14"/>
        <color rgb="FFA4A4AA"/>
        <rFont val="Segoe UI"/>
        <family val="2"/>
      </rPr>
      <t>+104</t>
    </r>
  </si>
  <si>
    <r>
      <t>u7.5</t>
    </r>
    <r>
      <rPr>
        <b/>
        <sz val="14"/>
        <color rgb="FFA4A4AA"/>
        <rFont val="Segoe UI"/>
        <family val="2"/>
      </rPr>
      <t>+112</t>
    </r>
  </si>
  <si>
    <t>u8.5</t>
  </si>
  <si>
    <t>Under</t>
  </si>
  <si>
    <t>o6.5</t>
  </si>
  <si>
    <r>
      <t>o6.5</t>
    </r>
    <r>
      <rPr>
        <b/>
        <sz val="14"/>
        <color rgb="FFA4A4AA"/>
        <rFont val="Segoe UI"/>
        <family val="2"/>
      </rPr>
      <t>-115</t>
    </r>
  </si>
  <si>
    <r>
      <t>o6.5</t>
    </r>
    <r>
      <rPr>
        <b/>
        <sz val="14"/>
        <color rgb="FFA4A4AA"/>
        <rFont val="Segoe UI"/>
        <family val="2"/>
      </rPr>
      <t>-130</t>
    </r>
  </si>
  <si>
    <r>
      <t>o6.5</t>
    </r>
    <r>
      <rPr>
        <b/>
        <sz val="14"/>
        <color rgb="FFA4A4AA"/>
        <rFont val="Segoe UI"/>
        <family val="2"/>
      </rPr>
      <t>-120</t>
    </r>
  </si>
  <si>
    <r>
      <t>o6.5</t>
    </r>
    <r>
      <rPr>
        <b/>
        <sz val="14"/>
        <color rgb="FFA4A4AA"/>
        <rFont val="Segoe UI"/>
        <family val="2"/>
      </rPr>
      <t>-121</t>
    </r>
  </si>
  <si>
    <r>
      <t>u6.5</t>
    </r>
    <r>
      <rPr>
        <b/>
        <sz val="14"/>
        <color rgb="FFA4A4AA"/>
        <rFont val="Segoe UI"/>
        <family val="2"/>
      </rPr>
      <t>-105</t>
    </r>
  </si>
  <si>
    <r>
      <t>u6.5</t>
    </r>
    <r>
      <rPr>
        <b/>
        <sz val="14"/>
        <color rgb="FFA4A4AA"/>
        <rFont val="Segoe UI"/>
        <family val="2"/>
      </rPr>
      <t>+110</t>
    </r>
  </si>
  <si>
    <r>
      <t>u6.5</t>
    </r>
    <r>
      <rPr>
        <b/>
        <sz val="14"/>
        <color rgb="FFA4A4AA"/>
        <rFont val="Segoe UI"/>
        <family val="2"/>
      </rPr>
      <t>-102</t>
    </r>
  </si>
  <si>
    <r>
      <t>u6.5</t>
    </r>
    <r>
      <rPr>
        <b/>
        <sz val="14"/>
        <color rgb="FFA4A4AA"/>
        <rFont val="Segoe UI"/>
        <family val="2"/>
      </rPr>
      <t>+100</t>
    </r>
  </si>
  <si>
    <t>u6.5</t>
  </si>
  <si>
    <t>o7.5</t>
  </si>
  <si>
    <r>
      <t>o8</t>
    </r>
    <r>
      <rPr>
        <b/>
        <sz val="14"/>
        <color rgb="FFA4A4AA"/>
        <rFont val="Segoe UI"/>
        <family val="2"/>
      </rPr>
      <t>-130</t>
    </r>
  </si>
  <si>
    <r>
      <t>o7.5</t>
    </r>
    <r>
      <rPr>
        <b/>
        <sz val="14"/>
        <color rgb="FFA4A4AA"/>
        <rFont val="Segoe UI"/>
        <family val="2"/>
      </rPr>
      <t>-150</t>
    </r>
  </si>
  <si>
    <r>
      <t>o7.5</t>
    </r>
    <r>
      <rPr>
        <b/>
        <sz val="14"/>
        <color rgb="FFA4A4AA"/>
        <rFont val="Segoe UI"/>
        <family val="2"/>
      </rPr>
      <t>-158</t>
    </r>
  </si>
  <si>
    <r>
      <t>o7.5</t>
    </r>
    <r>
      <rPr>
        <b/>
        <sz val="14"/>
        <color rgb="FFA4A4AA"/>
        <rFont val="Segoe UI"/>
        <family val="2"/>
      </rPr>
      <t>-152</t>
    </r>
  </si>
  <si>
    <r>
      <t>u8</t>
    </r>
    <r>
      <rPr>
        <b/>
        <sz val="14"/>
        <color rgb="FFA4A4AA"/>
        <rFont val="Segoe UI"/>
        <family val="2"/>
      </rPr>
      <t>+110</t>
    </r>
  </si>
  <si>
    <r>
      <t>u7.5</t>
    </r>
    <r>
      <rPr>
        <b/>
        <sz val="14"/>
        <color rgb="FFA4A4AA"/>
        <rFont val="Segoe UI"/>
        <family val="2"/>
      </rPr>
      <t>+130</t>
    </r>
  </si>
  <si>
    <r>
      <t>u7.5</t>
    </r>
    <r>
      <rPr>
        <b/>
        <sz val="14"/>
        <color rgb="FFA4A4AA"/>
        <rFont val="Segoe UI"/>
        <family val="2"/>
      </rPr>
      <t>+128</t>
    </r>
  </si>
  <si>
    <r>
      <t>u7.5</t>
    </r>
    <r>
      <rPr>
        <b/>
        <sz val="14"/>
        <color rgb="FFA4A4AA"/>
        <rFont val="Segoe UI"/>
        <family val="2"/>
      </rPr>
      <t>+125</t>
    </r>
  </si>
  <si>
    <t>u7.5</t>
  </si>
  <si>
    <t>o5</t>
  </si>
  <si>
    <r>
      <t>o5.5</t>
    </r>
    <r>
      <rPr>
        <b/>
        <sz val="14"/>
        <color rgb="FFA4A4AA"/>
        <rFont val="Segoe UI"/>
        <family val="2"/>
      </rPr>
      <t>-115</t>
    </r>
  </si>
  <si>
    <r>
      <t>o4.5</t>
    </r>
    <r>
      <rPr>
        <b/>
        <sz val="14"/>
        <color rgb="FFA4A4AA"/>
        <rFont val="Segoe UI"/>
        <family val="2"/>
      </rPr>
      <t>-225</t>
    </r>
  </si>
  <si>
    <r>
      <t>o5.5</t>
    </r>
    <r>
      <rPr>
        <b/>
        <sz val="14"/>
        <color rgb="FFA4A4AA"/>
        <rFont val="Segoe UI"/>
        <family val="2"/>
      </rPr>
      <t>-124</t>
    </r>
  </si>
  <si>
    <r>
      <t>o5.5</t>
    </r>
    <r>
      <rPr>
        <b/>
        <sz val="14"/>
        <color rgb="FFA4A4AA"/>
        <rFont val="Segoe UI"/>
        <family val="2"/>
      </rPr>
      <t>-118</t>
    </r>
  </si>
  <si>
    <r>
      <t>u5.5</t>
    </r>
    <r>
      <rPr>
        <b/>
        <sz val="14"/>
        <color rgb="FFA4A4AA"/>
        <rFont val="Segoe UI"/>
        <family val="2"/>
      </rPr>
      <t>-105</t>
    </r>
  </si>
  <si>
    <r>
      <t>u4.5</t>
    </r>
    <r>
      <rPr>
        <b/>
        <sz val="14"/>
        <color rgb="FFA4A4AA"/>
        <rFont val="Segoe UI"/>
        <family val="2"/>
      </rPr>
      <t>+180</t>
    </r>
  </si>
  <si>
    <r>
      <t>u5.5</t>
    </r>
    <r>
      <rPr>
        <b/>
        <sz val="14"/>
        <color rgb="FFA4A4AA"/>
        <rFont val="Segoe UI"/>
        <family val="2"/>
      </rPr>
      <t>+102</t>
    </r>
  </si>
  <si>
    <r>
      <t>u5.5</t>
    </r>
    <r>
      <rPr>
        <b/>
        <sz val="14"/>
        <color rgb="FFA4A4AA"/>
        <rFont val="Segoe UI"/>
        <family val="2"/>
      </rPr>
      <t>-104</t>
    </r>
  </si>
  <si>
    <t>u5</t>
  </si>
  <si>
    <t>o11.5</t>
  </si>
  <si>
    <r>
      <t>o11.5</t>
    </r>
    <r>
      <rPr>
        <b/>
        <sz val="14"/>
        <color rgb="FFA4A4AA"/>
        <rFont val="Segoe UI"/>
        <family val="2"/>
      </rPr>
      <t>-110</t>
    </r>
  </si>
  <si>
    <r>
      <t>o10.5</t>
    </r>
    <r>
      <rPr>
        <b/>
        <sz val="14"/>
        <color rgb="FFA4A4AA"/>
        <rFont val="Segoe UI"/>
        <family val="2"/>
      </rPr>
      <t>-245</t>
    </r>
  </si>
  <si>
    <r>
      <t>o11.5</t>
    </r>
    <r>
      <rPr>
        <b/>
        <sz val="14"/>
        <color rgb="FFA4A4AA"/>
        <rFont val="Segoe UI"/>
        <family val="2"/>
      </rPr>
      <t>-112</t>
    </r>
  </si>
  <si>
    <r>
      <t>o11.5</t>
    </r>
    <r>
      <rPr>
        <b/>
        <sz val="14"/>
        <color rgb="FFA4A4AA"/>
        <rFont val="Segoe UI"/>
        <family val="2"/>
      </rPr>
      <t>-118</t>
    </r>
  </si>
  <si>
    <r>
      <t>u11.5</t>
    </r>
    <r>
      <rPr>
        <b/>
        <sz val="14"/>
        <color rgb="FFA4A4AA"/>
        <rFont val="Segoe UI"/>
        <family val="2"/>
      </rPr>
      <t>-110</t>
    </r>
  </si>
  <si>
    <r>
      <t>u10.5</t>
    </r>
    <r>
      <rPr>
        <b/>
        <sz val="14"/>
        <color rgb="FFA4A4AA"/>
        <rFont val="Segoe UI"/>
        <family val="2"/>
      </rPr>
      <t>+190</t>
    </r>
  </si>
  <si>
    <r>
      <t>u11.5</t>
    </r>
    <r>
      <rPr>
        <b/>
        <sz val="14"/>
        <color rgb="FFA4A4AA"/>
        <rFont val="Segoe UI"/>
        <family val="2"/>
      </rPr>
      <t>-108</t>
    </r>
  </si>
  <si>
    <r>
      <t>u11.5</t>
    </r>
    <r>
      <rPr>
        <b/>
        <sz val="14"/>
        <color rgb="FFA4A4AA"/>
        <rFont val="Segoe UI"/>
        <family val="2"/>
      </rPr>
      <t>-104</t>
    </r>
  </si>
  <si>
    <t>u11.5</t>
  </si>
  <si>
    <r>
      <t>o6.5</t>
    </r>
    <r>
      <rPr>
        <b/>
        <sz val="14"/>
        <color rgb="FFA4A4AA"/>
        <rFont val="Segoe UI"/>
        <family val="2"/>
      </rPr>
      <t>+105</t>
    </r>
  </si>
  <si>
    <r>
      <t>o4.5</t>
    </r>
    <r>
      <rPr>
        <b/>
        <sz val="14"/>
        <color rgb="FFA4A4AA"/>
        <rFont val="Segoe UI"/>
        <family val="2"/>
      </rPr>
      <t>-290</t>
    </r>
  </si>
  <si>
    <r>
      <t>o6.5</t>
    </r>
    <r>
      <rPr>
        <b/>
        <sz val="14"/>
        <color rgb="FFA4A4AA"/>
        <rFont val="Segoe UI"/>
        <family val="2"/>
      </rPr>
      <t>+104</t>
    </r>
  </si>
  <si>
    <r>
      <t>o6.5</t>
    </r>
    <r>
      <rPr>
        <b/>
        <sz val="14"/>
        <color rgb="FFA4A4AA"/>
        <rFont val="Segoe UI"/>
        <family val="2"/>
      </rPr>
      <t>+110</t>
    </r>
  </si>
  <si>
    <r>
      <t>u6.5</t>
    </r>
    <r>
      <rPr>
        <b/>
        <sz val="14"/>
        <color rgb="FFA4A4AA"/>
        <rFont val="Segoe UI"/>
        <family val="2"/>
      </rPr>
      <t>-125</t>
    </r>
  </si>
  <si>
    <r>
      <t>u4.5</t>
    </r>
    <r>
      <rPr>
        <b/>
        <sz val="14"/>
        <color rgb="FFA4A4AA"/>
        <rFont val="Segoe UI"/>
        <family val="2"/>
      </rPr>
      <t>+220</t>
    </r>
  </si>
  <si>
    <r>
      <t>u6.5</t>
    </r>
    <r>
      <rPr>
        <b/>
        <sz val="14"/>
        <color rgb="FFA4A4AA"/>
        <rFont val="Segoe UI"/>
        <family val="2"/>
      </rPr>
      <t>-128</t>
    </r>
  </si>
  <si>
    <r>
      <t>u6.5</t>
    </r>
    <r>
      <rPr>
        <b/>
        <sz val="14"/>
        <color rgb="FFA4A4AA"/>
        <rFont val="Segoe UI"/>
        <family val="2"/>
      </rPr>
      <t>-134</t>
    </r>
  </si>
  <si>
    <t>o9.5</t>
  </si>
  <si>
    <r>
      <t>o10</t>
    </r>
    <r>
      <rPr>
        <b/>
        <sz val="14"/>
        <color rgb="FFA4A4AA"/>
        <rFont val="Segoe UI"/>
        <family val="2"/>
      </rPr>
      <t>+100</t>
    </r>
  </si>
  <si>
    <r>
      <t>o9.5</t>
    </r>
    <r>
      <rPr>
        <b/>
        <sz val="14"/>
        <color rgb="FFA4A4AA"/>
        <rFont val="Segoe UI"/>
        <family val="2"/>
      </rPr>
      <t>-155</t>
    </r>
  </si>
  <si>
    <r>
      <t>o9.5</t>
    </r>
    <r>
      <rPr>
        <b/>
        <sz val="14"/>
        <color rgb="FFA4A4AA"/>
        <rFont val="Segoe UI"/>
        <family val="2"/>
      </rPr>
      <t>-162</t>
    </r>
  </si>
  <si>
    <r>
      <t>u10</t>
    </r>
    <r>
      <rPr>
        <b/>
        <sz val="14"/>
        <color rgb="FFA4A4AA"/>
        <rFont val="Segoe UI"/>
        <family val="2"/>
      </rPr>
      <t>-120</t>
    </r>
  </si>
  <si>
    <r>
      <t>u9.5</t>
    </r>
    <r>
      <rPr>
        <b/>
        <sz val="14"/>
        <color rgb="FFA4A4AA"/>
        <rFont val="Segoe UI"/>
        <family val="2"/>
      </rPr>
      <t>+130</t>
    </r>
  </si>
  <si>
    <r>
      <t>u9.5</t>
    </r>
    <r>
      <rPr>
        <b/>
        <sz val="14"/>
        <color rgb="FFA4A4AA"/>
        <rFont val="Segoe UI"/>
        <family val="2"/>
      </rPr>
      <t>+132</t>
    </r>
  </si>
  <si>
    <r>
      <t>u9.5</t>
    </r>
    <r>
      <rPr>
        <b/>
        <sz val="14"/>
        <color rgb="FFA4A4AA"/>
        <rFont val="Segoe UI"/>
        <family val="2"/>
      </rPr>
      <t>+127</t>
    </r>
  </si>
  <si>
    <t>u9.5</t>
  </si>
  <si>
    <t>o7</t>
  </si>
  <si>
    <r>
      <t>o7</t>
    </r>
    <r>
      <rPr>
        <b/>
        <sz val="14"/>
        <color rgb="FFA4A4AA"/>
        <rFont val="Segoe UI"/>
        <family val="2"/>
      </rPr>
      <t>-125</t>
    </r>
  </si>
  <si>
    <r>
      <t>o6.5</t>
    </r>
    <r>
      <rPr>
        <b/>
        <sz val="14"/>
        <color rgb="FFA4A4AA"/>
        <rFont val="Segoe UI"/>
        <family val="2"/>
      </rPr>
      <t>-150</t>
    </r>
  </si>
  <si>
    <r>
      <t>o7.5</t>
    </r>
    <r>
      <rPr>
        <b/>
        <sz val="14"/>
        <color rgb="FFA4A4AA"/>
        <rFont val="Segoe UI"/>
        <family val="2"/>
      </rPr>
      <t>+124</t>
    </r>
  </si>
  <si>
    <r>
      <t>o6.5</t>
    </r>
    <r>
      <rPr>
        <b/>
        <sz val="14"/>
        <color rgb="FFA4A4AA"/>
        <rFont val="Segoe UI"/>
        <family val="2"/>
      </rPr>
      <t>-177</t>
    </r>
  </si>
  <si>
    <r>
      <t>u7</t>
    </r>
    <r>
      <rPr>
        <b/>
        <sz val="14"/>
        <color rgb="FFA4A4AA"/>
        <rFont val="Segoe UI"/>
        <family val="2"/>
      </rPr>
      <t>+105</t>
    </r>
  </si>
  <si>
    <r>
      <t>u6.5</t>
    </r>
    <r>
      <rPr>
        <b/>
        <sz val="14"/>
        <color rgb="FFA4A4AA"/>
        <rFont val="Segoe UI"/>
        <family val="2"/>
      </rPr>
      <t>+125</t>
    </r>
  </si>
  <si>
    <r>
      <t>u7.5</t>
    </r>
    <r>
      <rPr>
        <b/>
        <sz val="14"/>
        <color rgb="FFA4A4AA"/>
        <rFont val="Segoe UI"/>
        <family val="2"/>
      </rPr>
      <t>-152</t>
    </r>
  </si>
  <si>
    <r>
      <t>u6.5</t>
    </r>
    <r>
      <rPr>
        <b/>
        <sz val="14"/>
        <color rgb="FFA4A4AA"/>
        <rFont val="Segoe UI"/>
        <family val="2"/>
      </rPr>
      <t>+144</t>
    </r>
  </si>
  <si>
    <t>u7</t>
  </si>
  <si>
    <r>
      <t>o11</t>
    </r>
    <r>
      <rPr>
        <b/>
        <sz val="14"/>
        <color rgb="FFA4A4AA"/>
        <rFont val="Segoe UI"/>
        <family val="2"/>
      </rPr>
      <t>-135</t>
    </r>
  </si>
  <si>
    <r>
      <t>o11.5</t>
    </r>
    <r>
      <rPr>
        <b/>
        <sz val="14"/>
        <color rgb="FFA4A4AA"/>
        <rFont val="Segoe UI"/>
        <family val="2"/>
      </rPr>
      <t>+125</t>
    </r>
  </si>
  <si>
    <r>
      <t>o11.5</t>
    </r>
    <r>
      <rPr>
        <b/>
        <sz val="14"/>
        <color rgb="FFA4A4AA"/>
        <rFont val="Segoe UI"/>
        <family val="2"/>
      </rPr>
      <t>+116</t>
    </r>
  </si>
  <si>
    <r>
      <t>o11.5</t>
    </r>
    <r>
      <rPr>
        <b/>
        <sz val="14"/>
        <color rgb="FFA4A4AA"/>
        <rFont val="Segoe UI"/>
        <family val="2"/>
      </rPr>
      <t>+118</t>
    </r>
  </si>
  <si>
    <r>
      <t>u11</t>
    </r>
    <r>
      <rPr>
        <b/>
        <sz val="14"/>
        <color rgb="FFA4A4AA"/>
        <rFont val="Segoe UI"/>
        <family val="2"/>
      </rPr>
      <t>+115</t>
    </r>
  </si>
  <si>
    <r>
      <t>u11.5</t>
    </r>
    <r>
      <rPr>
        <b/>
        <sz val="14"/>
        <color rgb="FFA4A4AA"/>
        <rFont val="Segoe UI"/>
        <family val="2"/>
      </rPr>
      <t>-145</t>
    </r>
  </si>
  <si>
    <r>
      <t>u11.5</t>
    </r>
    <r>
      <rPr>
        <b/>
        <sz val="14"/>
        <color rgb="FFA4A4AA"/>
        <rFont val="Segoe UI"/>
        <family val="2"/>
      </rPr>
      <t>-142</t>
    </r>
  </si>
  <si>
    <r>
      <t>u11.5</t>
    </r>
    <r>
      <rPr>
        <b/>
        <sz val="14"/>
        <color rgb="FFA4A4AA"/>
        <rFont val="Segoe UI"/>
        <family val="2"/>
      </rPr>
      <t>-143</t>
    </r>
  </si>
  <si>
    <r>
      <t>o9.5</t>
    </r>
    <r>
      <rPr>
        <b/>
        <sz val="14"/>
        <color rgb="FFA4A4AA"/>
        <rFont val="Segoe UI"/>
        <family val="2"/>
      </rPr>
      <t>-140</t>
    </r>
  </si>
  <si>
    <r>
      <t>o9.5</t>
    </r>
    <r>
      <rPr>
        <b/>
        <sz val="14"/>
        <color rgb="FFA4A4AA"/>
        <rFont val="Segoe UI"/>
        <family val="2"/>
      </rPr>
      <t>-158</t>
    </r>
  </si>
  <si>
    <r>
      <t>o9.5</t>
    </r>
    <r>
      <rPr>
        <b/>
        <sz val="14"/>
        <color rgb="FFA4A4AA"/>
        <rFont val="Segoe UI"/>
        <family val="2"/>
      </rPr>
      <t>-152</t>
    </r>
  </si>
  <si>
    <r>
      <t>u9.5</t>
    </r>
    <r>
      <rPr>
        <b/>
        <sz val="14"/>
        <color rgb="FFA4A4AA"/>
        <rFont val="Segoe UI"/>
        <family val="2"/>
      </rPr>
      <t>+120</t>
    </r>
  </si>
  <si>
    <r>
      <t>u9.5</t>
    </r>
    <r>
      <rPr>
        <b/>
        <sz val="14"/>
        <color rgb="FFA4A4AA"/>
        <rFont val="Segoe UI"/>
        <family val="2"/>
      </rPr>
      <t>+128</t>
    </r>
  </si>
  <si>
    <r>
      <t>u9.5</t>
    </r>
    <r>
      <rPr>
        <b/>
        <sz val="14"/>
        <color rgb="FFA4A4AA"/>
        <rFont val="Segoe UI"/>
        <family val="2"/>
      </rPr>
      <t>+125</t>
    </r>
  </si>
  <si>
    <r>
      <t>o8.5</t>
    </r>
    <r>
      <rPr>
        <b/>
        <sz val="14"/>
        <color rgb="FFA4A4AA"/>
        <rFont val="Segoe UI"/>
        <family val="2"/>
      </rPr>
      <t>-120</t>
    </r>
  </si>
  <si>
    <r>
      <t>o8.5</t>
    </r>
    <r>
      <rPr>
        <b/>
        <sz val="14"/>
        <color rgb="FFA4A4AA"/>
        <rFont val="Segoe UI"/>
        <family val="2"/>
      </rPr>
      <t>-115</t>
    </r>
  </si>
  <si>
    <r>
      <t>u8.5</t>
    </r>
    <r>
      <rPr>
        <b/>
        <sz val="14"/>
        <color rgb="FFA4A4AA"/>
        <rFont val="Segoe UI"/>
        <family val="2"/>
      </rPr>
      <t>+100</t>
    </r>
  </si>
  <si>
    <r>
      <t>u8.5</t>
    </r>
    <r>
      <rPr>
        <b/>
        <sz val="14"/>
        <color rgb="FFA4A4AA"/>
        <rFont val="Segoe UI"/>
        <family val="2"/>
      </rPr>
      <t>-105</t>
    </r>
  </si>
  <si>
    <r>
      <t>u8.5</t>
    </r>
    <r>
      <rPr>
        <b/>
        <sz val="14"/>
        <color rgb="FFA4A4AA"/>
        <rFont val="Segoe UI"/>
        <family val="2"/>
      </rPr>
      <t>-106</t>
    </r>
  </si>
  <si>
    <t>o10.5</t>
  </si>
  <si>
    <r>
      <t>o10.5</t>
    </r>
    <r>
      <rPr>
        <b/>
        <sz val="14"/>
        <color rgb="FFA4A4AA"/>
        <rFont val="Segoe UI"/>
        <family val="2"/>
      </rPr>
      <t>+135</t>
    </r>
  </si>
  <si>
    <r>
      <t>o10.5</t>
    </r>
    <r>
      <rPr>
        <b/>
        <sz val="14"/>
        <color rgb="FFA4A4AA"/>
        <rFont val="Segoe UI"/>
        <family val="2"/>
      </rPr>
      <t>+130</t>
    </r>
  </si>
  <si>
    <r>
      <t>o10.5</t>
    </r>
    <r>
      <rPr>
        <b/>
        <sz val="14"/>
        <color rgb="FFA4A4AA"/>
        <rFont val="Segoe UI"/>
        <family val="2"/>
      </rPr>
      <t>+134</t>
    </r>
  </si>
  <si>
    <r>
      <t>u10.5</t>
    </r>
    <r>
      <rPr>
        <b/>
        <sz val="14"/>
        <color rgb="FFA4A4AA"/>
        <rFont val="Segoe UI"/>
        <family val="2"/>
      </rPr>
      <t>-160</t>
    </r>
  </si>
  <si>
    <r>
      <t>u10.5</t>
    </r>
    <r>
      <rPr>
        <b/>
        <sz val="14"/>
        <color rgb="FFA4A4AA"/>
        <rFont val="Segoe UI"/>
        <family val="2"/>
      </rPr>
      <t>-155</t>
    </r>
  </si>
  <si>
    <r>
      <t>u10.5</t>
    </r>
    <r>
      <rPr>
        <b/>
        <sz val="14"/>
        <color rgb="FFA4A4AA"/>
        <rFont val="Segoe UI"/>
        <family val="2"/>
      </rPr>
      <t>-164</t>
    </r>
  </si>
  <si>
    <r>
      <t>u9.5</t>
    </r>
    <r>
      <rPr>
        <b/>
        <sz val="14"/>
        <color rgb="FFA4A4AA"/>
        <rFont val="Segoe UI"/>
        <family val="2"/>
      </rPr>
      <t>+126</t>
    </r>
  </si>
  <si>
    <t>u10.5</t>
  </si>
  <si>
    <r>
      <t>o8.5</t>
    </r>
    <r>
      <rPr>
        <b/>
        <sz val="14"/>
        <color rgb="FFA4A4AA"/>
        <rFont val="Segoe UI"/>
        <family val="2"/>
      </rPr>
      <t>+110</t>
    </r>
  </si>
  <si>
    <r>
      <t>o8.5</t>
    </r>
    <r>
      <rPr>
        <b/>
        <sz val="14"/>
        <color rgb="FFA4A4AA"/>
        <rFont val="Segoe UI"/>
        <family val="2"/>
      </rPr>
      <t>+104</t>
    </r>
  </si>
  <si>
    <r>
      <t>o8.5</t>
    </r>
    <r>
      <rPr>
        <b/>
        <sz val="14"/>
        <color rgb="FFA4A4AA"/>
        <rFont val="Segoe UI"/>
        <family val="2"/>
      </rPr>
      <t>+105</t>
    </r>
  </si>
  <si>
    <r>
      <t>u8.5</t>
    </r>
    <r>
      <rPr>
        <b/>
        <sz val="14"/>
        <color rgb="FFA4A4AA"/>
        <rFont val="Segoe UI"/>
        <family val="2"/>
      </rPr>
      <t>-130</t>
    </r>
  </si>
  <si>
    <r>
      <t>u8.5</t>
    </r>
    <r>
      <rPr>
        <b/>
        <sz val="14"/>
        <color rgb="FFA4A4AA"/>
        <rFont val="Segoe UI"/>
        <family val="2"/>
      </rPr>
      <t>-128</t>
    </r>
  </si>
  <si>
    <r>
      <t>u8.5</t>
    </r>
    <r>
      <rPr>
        <b/>
        <sz val="14"/>
        <color rgb="FFA4A4AA"/>
        <rFont val="Segoe UI"/>
        <family val="2"/>
      </rPr>
      <t>-129</t>
    </r>
  </si>
  <si>
    <t>o4.5</t>
  </si>
  <si>
    <r>
      <t>o4.5</t>
    </r>
    <r>
      <rPr>
        <b/>
        <sz val="14"/>
        <color rgb="FFA4A4AA"/>
        <rFont val="Segoe UI"/>
        <family val="2"/>
      </rPr>
      <t>-115</t>
    </r>
  </si>
  <si>
    <r>
      <t>o9.5</t>
    </r>
    <r>
      <rPr>
        <b/>
        <sz val="14"/>
        <color rgb="FFA4A4AA"/>
        <rFont val="Segoe UI"/>
        <family val="2"/>
      </rPr>
      <t>+1000</t>
    </r>
  </si>
  <si>
    <r>
      <t>o4.5</t>
    </r>
    <r>
      <rPr>
        <b/>
        <sz val="14"/>
        <color rgb="FFA4A4AA"/>
        <rFont val="Segoe UI"/>
        <family val="2"/>
      </rPr>
      <t>-132</t>
    </r>
  </si>
  <si>
    <r>
      <t>o4.5</t>
    </r>
    <r>
      <rPr>
        <b/>
        <sz val="14"/>
        <color rgb="FFA4A4AA"/>
        <rFont val="Segoe UI"/>
        <family val="2"/>
      </rPr>
      <t>-125</t>
    </r>
  </si>
  <si>
    <r>
      <t>u4.5</t>
    </r>
    <r>
      <rPr>
        <b/>
        <sz val="14"/>
        <color rgb="FFA4A4AA"/>
        <rFont val="Segoe UI"/>
        <family val="2"/>
      </rPr>
      <t>-105</t>
    </r>
  </si>
  <si>
    <r>
      <t>u9.5</t>
    </r>
    <r>
      <rPr>
        <b/>
        <sz val="14"/>
        <color rgb="FFA4A4AA"/>
        <rFont val="Segoe UI"/>
        <family val="2"/>
      </rPr>
      <t>-2500</t>
    </r>
  </si>
  <si>
    <r>
      <t>u4.5</t>
    </r>
    <r>
      <rPr>
        <b/>
        <sz val="14"/>
        <color rgb="FFA4A4AA"/>
        <rFont val="Segoe UI"/>
        <family val="2"/>
      </rPr>
      <t>+106</t>
    </r>
  </si>
  <si>
    <r>
      <t>u4.5</t>
    </r>
    <r>
      <rPr>
        <b/>
        <sz val="14"/>
        <color rgb="FFA4A4AA"/>
        <rFont val="Segoe UI"/>
        <family val="2"/>
      </rPr>
      <t>+104</t>
    </r>
  </si>
  <si>
    <t>u4.5</t>
  </si>
  <si>
    <r>
      <t>o6.5</t>
    </r>
    <r>
      <rPr>
        <b/>
        <sz val="14"/>
        <color rgb="FFA4A4AA"/>
        <rFont val="Segoe UI"/>
        <family val="2"/>
      </rPr>
      <t>+120</t>
    </r>
  </si>
  <si>
    <r>
      <t>o6.5</t>
    </r>
    <r>
      <rPr>
        <b/>
        <sz val="14"/>
        <color rgb="FFA4A4AA"/>
        <rFont val="Segoe UI"/>
        <family val="2"/>
      </rPr>
      <t>+115</t>
    </r>
  </si>
  <si>
    <r>
      <t>u6.5</t>
    </r>
    <r>
      <rPr>
        <b/>
        <sz val="14"/>
        <color rgb="FFA4A4AA"/>
        <rFont val="Segoe UI"/>
        <family val="2"/>
      </rPr>
      <t>-140</t>
    </r>
  </si>
  <si>
    <r>
      <t>u6.5</t>
    </r>
    <r>
      <rPr>
        <b/>
        <sz val="14"/>
        <color rgb="FFA4A4AA"/>
        <rFont val="Segoe UI"/>
        <family val="2"/>
      </rPr>
      <t>-135</t>
    </r>
  </si>
  <si>
    <r>
      <t>u6.5</t>
    </r>
    <r>
      <rPr>
        <b/>
        <sz val="14"/>
        <color rgb="FFA4A4AA"/>
        <rFont val="Segoe UI"/>
        <family val="2"/>
      </rPr>
      <t>-150</t>
    </r>
  </si>
  <si>
    <r>
      <t>o10.5</t>
    </r>
    <r>
      <rPr>
        <b/>
        <sz val="14"/>
        <color rgb="FFA4A4AA"/>
        <rFont val="Segoe UI"/>
        <family val="2"/>
      </rPr>
      <t>-120</t>
    </r>
  </si>
  <si>
    <r>
      <t>o9.5</t>
    </r>
    <r>
      <rPr>
        <b/>
        <sz val="14"/>
        <color rgb="FFA4A4AA"/>
        <rFont val="Segoe UI"/>
        <family val="2"/>
      </rPr>
      <t>-250</t>
    </r>
  </si>
  <si>
    <r>
      <t>o10.5</t>
    </r>
    <r>
      <rPr>
        <b/>
        <sz val="14"/>
        <color rgb="FFA4A4AA"/>
        <rFont val="Segoe UI"/>
        <family val="2"/>
      </rPr>
      <t>-134</t>
    </r>
  </si>
  <si>
    <r>
      <t>u10.5</t>
    </r>
    <r>
      <rPr>
        <b/>
        <sz val="14"/>
        <color rgb="FFA4A4AA"/>
        <rFont val="Segoe UI"/>
        <family val="2"/>
      </rPr>
      <t>+100</t>
    </r>
  </si>
  <si>
    <r>
      <t>u9.5</t>
    </r>
    <r>
      <rPr>
        <b/>
        <sz val="14"/>
        <color rgb="FFA4A4AA"/>
        <rFont val="Segoe UI"/>
        <family val="2"/>
      </rPr>
      <t>+200</t>
    </r>
  </si>
  <si>
    <r>
      <t>u10.5</t>
    </r>
    <r>
      <rPr>
        <b/>
        <sz val="14"/>
        <color rgb="FFA4A4AA"/>
        <rFont val="Segoe UI"/>
        <family val="2"/>
      </rPr>
      <t>-102</t>
    </r>
  </si>
  <si>
    <r>
      <t>u10.5</t>
    </r>
    <r>
      <rPr>
        <b/>
        <sz val="14"/>
        <color rgb="FFA4A4AA"/>
        <rFont val="Segoe UI"/>
        <family val="2"/>
      </rPr>
      <t>+110</t>
    </r>
  </si>
  <si>
    <r>
      <t>o9.5</t>
    </r>
    <r>
      <rPr>
        <b/>
        <sz val="14"/>
        <color rgb="FFA4A4AA"/>
        <rFont val="Segoe UI"/>
        <family val="2"/>
      </rPr>
      <t>-150</t>
    </r>
  </si>
  <si>
    <r>
      <t>o10.5</t>
    </r>
    <r>
      <rPr>
        <b/>
        <sz val="14"/>
        <color rgb="FFA4A4AA"/>
        <rFont val="Segoe UI"/>
        <family val="2"/>
      </rPr>
      <t>+150</t>
    </r>
  </si>
  <si>
    <r>
      <t>o9.5</t>
    </r>
    <r>
      <rPr>
        <b/>
        <sz val="14"/>
        <color rgb="FFA4A4AA"/>
        <rFont val="Segoe UI"/>
        <family val="2"/>
      </rPr>
      <t>-144</t>
    </r>
  </si>
  <si>
    <r>
      <t>o10.5</t>
    </r>
    <r>
      <rPr>
        <b/>
        <sz val="14"/>
        <color rgb="FFA4A4AA"/>
        <rFont val="Segoe UI"/>
        <family val="2"/>
      </rPr>
      <t>+162</t>
    </r>
  </si>
  <si>
    <r>
      <t>u10.5</t>
    </r>
    <r>
      <rPr>
        <b/>
        <sz val="14"/>
        <color rgb="FFA4A4AA"/>
        <rFont val="Segoe UI"/>
        <family val="2"/>
      </rPr>
      <t>-180</t>
    </r>
  </si>
  <si>
    <r>
      <t>u9.5</t>
    </r>
    <r>
      <rPr>
        <b/>
        <sz val="14"/>
        <color rgb="FFA4A4AA"/>
        <rFont val="Segoe UI"/>
        <family val="2"/>
      </rPr>
      <t>+118</t>
    </r>
  </si>
  <si>
    <r>
      <t>u10.5</t>
    </r>
    <r>
      <rPr>
        <b/>
        <sz val="14"/>
        <color rgb="FFA4A4AA"/>
        <rFont val="Segoe UI"/>
        <family val="2"/>
      </rPr>
      <t>-200</t>
    </r>
  </si>
  <si>
    <r>
      <t>o7</t>
    </r>
    <r>
      <rPr>
        <b/>
        <sz val="14"/>
        <color rgb="FFA4A4AA"/>
        <rFont val="Segoe UI"/>
        <family val="2"/>
      </rPr>
      <t>+115</t>
    </r>
  </si>
  <si>
    <r>
      <t>o6.5</t>
    </r>
    <r>
      <rPr>
        <b/>
        <sz val="14"/>
        <color rgb="FFA4A4AA"/>
        <rFont val="Segoe UI"/>
        <family val="2"/>
      </rPr>
      <t>-140</t>
    </r>
  </si>
  <si>
    <r>
      <t>o7.5</t>
    </r>
    <r>
      <rPr>
        <b/>
        <sz val="14"/>
        <color rgb="FFA4A4AA"/>
        <rFont val="Segoe UI"/>
        <family val="2"/>
      </rPr>
      <t>+134</t>
    </r>
  </si>
  <si>
    <r>
      <t>o6.5</t>
    </r>
    <r>
      <rPr>
        <b/>
        <sz val="14"/>
        <color rgb="FFA4A4AA"/>
        <rFont val="Segoe UI"/>
        <family val="2"/>
      </rPr>
      <t>-155</t>
    </r>
  </si>
  <si>
    <r>
      <t>u7</t>
    </r>
    <r>
      <rPr>
        <b/>
        <sz val="14"/>
        <color rgb="FFA4A4AA"/>
        <rFont val="Segoe UI"/>
        <family val="2"/>
      </rPr>
      <t>-135</t>
    </r>
  </si>
  <si>
    <r>
      <t>u6.5</t>
    </r>
    <r>
      <rPr>
        <b/>
        <sz val="14"/>
        <color rgb="FFA4A4AA"/>
        <rFont val="Segoe UI"/>
        <family val="2"/>
      </rPr>
      <t>+120</t>
    </r>
  </si>
  <si>
    <r>
      <t>u7.5</t>
    </r>
    <r>
      <rPr>
        <b/>
        <sz val="14"/>
        <color rgb="FFA4A4AA"/>
        <rFont val="Segoe UI"/>
        <family val="2"/>
      </rPr>
      <t>-168</t>
    </r>
  </si>
  <si>
    <r>
      <t>u6.5</t>
    </r>
    <r>
      <rPr>
        <b/>
        <sz val="14"/>
        <color rgb="FFA4A4AA"/>
        <rFont val="Segoe UI"/>
        <family val="2"/>
      </rPr>
      <t>+127</t>
    </r>
  </si>
  <si>
    <r>
      <t>o10.5</t>
    </r>
    <r>
      <rPr>
        <b/>
        <sz val="14"/>
        <color rgb="FFA4A4AA"/>
        <rFont val="Segoe UI"/>
        <family val="2"/>
      </rPr>
      <t>+145</t>
    </r>
  </si>
  <si>
    <r>
      <t>o9.5</t>
    </r>
    <r>
      <rPr>
        <b/>
        <sz val="14"/>
        <color rgb="FFA4A4AA"/>
        <rFont val="Segoe UI"/>
        <family val="2"/>
      </rPr>
      <t>-134</t>
    </r>
  </si>
  <si>
    <r>
      <t>o9.5</t>
    </r>
    <r>
      <rPr>
        <b/>
        <sz val="14"/>
        <color rgb="FFA4A4AA"/>
        <rFont val="Segoe UI"/>
        <family val="2"/>
      </rPr>
      <t>-137</t>
    </r>
  </si>
  <si>
    <r>
      <t>u9.5</t>
    </r>
    <r>
      <rPr>
        <b/>
        <sz val="14"/>
        <color rgb="FFA4A4AA"/>
        <rFont val="Segoe UI"/>
        <family val="2"/>
      </rPr>
      <t>+110</t>
    </r>
  </si>
  <si>
    <r>
      <t>u9.5</t>
    </r>
    <r>
      <rPr>
        <b/>
        <sz val="14"/>
        <color rgb="FFA4A4AA"/>
        <rFont val="Segoe UI"/>
        <family val="2"/>
      </rPr>
      <t>+113</t>
    </r>
  </si>
  <si>
    <r>
      <t>o9</t>
    </r>
    <r>
      <rPr>
        <b/>
        <sz val="14"/>
        <color rgb="FFA4A4AA"/>
        <rFont val="Segoe UI"/>
        <family val="2"/>
      </rPr>
      <t>-110</t>
    </r>
  </si>
  <si>
    <r>
      <t>o8.5</t>
    </r>
    <r>
      <rPr>
        <b/>
        <sz val="14"/>
        <color rgb="FFA4A4AA"/>
        <rFont val="Segoe UI"/>
        <family val="2"/>
      </rPr>
      <t>-160</t>
    </r>
  </si>
  <si>
    <r>
      <t>o9.5</t>
    </r>
    <r>
      <rPr>
        <b/>
        <sz val="14"/>
        <color rgb="FFA4A4AA"/>
        <rFont val="Segoe UI"/>
        <family val="2"/>
      </rPr>
      <t>+125</t>
    </r>
  </si>
  <si>
    <r>
      <t>u9</t>
    </r>
    <r>
      <rPr>
        <b/>
        <sz val="14"/>
        <color rgb="FFA4A4AA"/>
        <rFont val="Segoe UI"/>
        <family val="2"/>
      </rPr>
      <t>-110</t>
    </r>
  </si>
  <si>
    <r>
      <t>u8.5</t>
    </r>
    <r>
      <rPr>
        <b/>
        <sz val="14"/>
        <color rgb="FFA4A4AA"/>
        <rFont val="Segoe UI"/>
        <family val="2"/>
      </rPr>
      <t>+130</t>
    </r>
  </si>
  <si>
    <r>
      <t>u9.5</t>
    </r>
    <r>
      <rPr>
        <b/>
        <sz val="14"/>
        <color rgb="FFA4A4AA"/>
        <rFont val="Segoe UI"/>
        <family val="2"/>
      </rPr>
      <t>-162</t>
    </r>
  </si>
  <si>
    <r>
      <t>o9</t>
    </r>
    <r>
      <rPr>
        <b/>
        <sz val="14"/>
        <color rgb="FFA4A4AA"/>
        <rFont val="Segoe UI"/>
        <family val="2"/>
      </rPr>
      <t>+115</t>
    </r>
  </si>
  <si>
    <r>
      <t>o8.5</t>
    </r>
    <r>
      <rPr>
        <b/>
        <sz val="14"/>
        <color rgb="FFA4A4AA"/>
        <rFont val="Segoe UI"/>
        <family val="2"/>
      </rPr>
      <t>-155</t>
    </r>
  </si>
  <si>
    <r>
      <t>o8.5</t>
    </r>
    <r>
      <rPr>
        <b/>
        <sz val="14"/>
        <color rgb="FFA4A4AA"/>
        <rFont val="Segoe UI"/>
        <family val="2"/>
      </rPr>
      <t>-128</t>
    </r>
  </si>
  <si>
    <r>
      <t>o8.5</t>
    </r>
    <r>
      <rPr>
        <b/>
        <sz val="14"/>
        <color rgb="FFA4A4AA"/>
        <rFont val="Segoe UI"/>
        <family val="2"/>
      </rPr>
      <t>-129</t>
    </r>
  </si>
  <si>
    <r>
      <t>u9</t>
    </r>
    <r>
      <rPr>
        <b/>
        <sz val="14"/>
        <color rgb="FFA4A4AA"/>
        <rFont val="Segoe UI"/>
        <family val="2"/>
      </rPr>
      <t>-135</t>
    </r>
  </si>
  <si>
    <r>
      <t>u8.5</t>
    </r>
    <r>
      <rPr>
        <b/>
        <sz val="14"/>
        <color rgb="FFA4A4AA"/>
        <rFont val="Segoe UI"/>
        <family val="2"/>
      </rPr>
      <t>+104</t>
    </r>
  </si>
  <si>
    <r>
      <t>u8.5</t>
    </r>
    <r>
      <rPr>
        <b/>
        <sz val="14"/>
        <color rgb="FFA4A4AA"/>
        <rFont val="Segoe UI"/>
        <family val="2"/>
      </rPr>
      <t>+105</t>
    </r>
  </si>
  <si>
    <r>
      <t>o7.5</t>
    </r>
    <r>
      <rPr>
        <b/>
        <sz val="14"/>
        <color rgb="FFA4A4AA"/>
        <rFont val="Segoe UI"/>
        <family val="2"/>
      </rPr>
      <t>-110</t>
    </r>
  </si>
  <si>
    <r>
      <t>o7.5</t>
    </r>
    <r>
      <rPr>
        <b/>
        <sz val="14"/>
        <color rgb="FFA4A4AA"/>
        <rFont val="Segoe UI"/>
        <family val="2"/>
      </rPr>
      <t>-120</t>
    </r>
  </si>
  <si>
    <r>
      <t>o7.5</t>
    </r>
    <r>
      <rPr>
        <b/>
        <sz val="14"/>
        <color rgb="FFA4A4AA"/>
        <rFont val="Segoe UI"/>
        <family val="2"/>
      </rPr>
      <t>-122</t>
    </r>
  </si>
  <si>
    <r>
      <t>o7.5</t>
    </r>
    <r>
      <rPr>
        <b/>
        <sz val="14"/>
        <color rgb="FFA4A4AA"/>
        <rFont val="Segoe UI"/>
        <family val="2"/>
      </rPr>
      <t>-118</t>
    </r>
  </si>
  <si>
    <r>
      <t>u7.5</t>
    </r>
    <r>
      <rPr>
        <b/>
        <sz val="14"/>
        <color rgb="FFA4A4AA"/>
        <rFont val="Segoe UI"/>
        <family val="2"/>
      </rPr>
      <t>-110</t>
    </r>
  </si>
  <si>
    <r>
      <t>u7.5</t>
    </r>
    <r>
      <rPr>
        <b/>
        <sz val="14"/>
        <color rgb="FFA4A4AA"/>
        <rFont val="Segoe UI"/>
        <family val="2"/>
      </rPr>
      <t>+100</t>
    </r>
  </si>
  <si>
    <r>
      <t>u7.5</t>
    </r>
    <r>
      <rPr>
        <b/>
        <sz val="14"/>
        <color rgb="FFA4A4AA"/>
        <rFont val="Segoe UI"/>
        <family val="2"/>
      </rPr>
      <t>-104</t>
    </r>
  </si>
  <si>
    <r>
      <t>o8.5</t>
    </r>
    <r>
      <rPr>
        <b/>
        <sz val="14"/>
        <color rgb="FFA4A4AA"/>
        <rFont val="Segoe UI"/>
        <family val="2"/>
      </rPr>
      <t>+130</t>
    </r>
  </si>
  <si>
    <r>
      <t>o7.5</t>
    </r>
    <r>
      <rPr>
        <b/>
        <sz val="14"/>
        <color rgb="FFA4A4AA"/>
        <rFont val="Segoe UI"/>
        <family val="2"/>
      </rPr>
      <t>-155</t>
    </r>
  </si>
  <si>
    <r>
      <t>o8.5</t>
    </r>
    <r>
      <rPr>
        <b/>
        <sz val="14"/>
        <color rgb="FFA4A4AA"/>
        <rFont val="Segoe UI"/>
        <family val="2"/>
      </rPr>
      <t>+136</t>
    </r>
  </si>
  <si>
    <r>
      <t>o8.5</t>
    </r>
    <r>
      <rPr>
        <b/>
        <sz val="14"/>
        <color rgb="FFA4A4AA"/>
        <rFont val="Segoe UI"/>
        <family val="2"/>
      </rPr>
      <t>+135</t>
    </r>
  </si>
  <si>
    <r>
      <t>u8.5</t>
    </r>
    <r>
      <rPr>
        <b/>
        <sz val="14"/>
        <color rgb="FFA4A4AA"/>
        <rFont val="Segoe UI"/>
        <family val="2"/>
      </rPr>
      <t>-160</t>
    </r>
  </si>
  <si>
    <r>
      <t>u8.5</t>
    </r>
    <r>
      <rPr>
        <b/>
        <sz val="14"/>
        <color rgb="FFA4A4AA"/>
        <rFont val="Segoe UI"/>
        <family val="2"/>
      </rPr>
      <t>-170</t>
    </r>
  </si>
  <si>
    <r>
      <t>u8.5</t>
    </r>
    <r>
      <rPr>
        <b/>
        <sz val="14"/>
        <color rgb="FFA4A4AA"/>
        <rFont val="Segoe UI"/>
        <family val="2"/>
      </rPr>
      <t>-167</t>
    </r>
  </si>
  <si>
    <r>
      <t>o10.5</t>
    </r>
    <r>
      <rPr>
        <b/>
        <sz val="14"/>
        <color rgb="FFA4A4AA"/>
        <rFont val="Segoe UI"/>
        <family val="2"/>
      </rPr>
      <t>-110</t>
    </r>
  </si>
  <si>
    <r>
      <t>o9.5</t>
    </r>
    <r>
      <rPr>
        <b/>
        <sz val="14"/>
        <color rgb="FFA4A4AA"/>
        <rFont val="Segoe UI"/>
        <family val="2"/>
      </rPr>
      <t>-245</t>
    </r>
  </si>
  <si>
    <r>
      <t>o10.5</t>
    </r>
    <r>
      <rPr>
        <b/>
        <sz val="14"/>
        <color rgb="FFA4A4AA"/>
        <rFont val="Segoe UI"/>
        <family val="2"/>
      </rPr>
      <t>-122</t>
    </r>
  </si>
  <si>
    <r>
      <t>o10.5</t>
    </r>
    <r>
      <rPr>
        <b/>
        <sz val="14"/>
        <color rgb="FFA4A4AA"/>
        <rFont val="Segoe UI"/>
        <family val="2"/>
      </rPr>
      <t>-125</t>
    </r>
  </si>
  <si>
    <r>
      <t>u10.5</t>
    </r>
    <r>
      <rPr>
        <b/>
        <sz val="14"/>
        <color rgb="FFA4A4AA"/>
        <rFont val="Segoe UI"/>
        <family val="2"/>
      </rPr>
      <t>-110</t>
    </r>
  </si>
  <si>
    <r>
      <t>u9.5</t>
    </r>
    <r>
      <rPr>
        <b/>
        <sz val="14"/>
        <color rgb="FFA4A4AA"/>
        <rFont val="Segoe UI"/>
        <family val="2"/>
      </rPr>
      <t>+185</t>
    </r>
  </si>
  <si>
    <r>
      <t>u10.5</t>
    </r>
    <r>
      <rPr>
        <b/>
        <sz val="14"/>
        <color rgb="FFA4A4AA"/>
        <rFont val="Segoe UI"/>
        <family val="2"/>
      </rPr>
      <t>+103</t>
    </r>
  </si>
  <si>
    <r>
      <t>o9.5</t>
    </r>
    <r>
      <rPr>
        <b/>
        <sz val="14"/>
        <color rgb="FFA4A4AA"/>
        <rFont val="Segoe UI"/>
        <family val="2"/>
      </rPr>
      <t>-154</t>
    </r>
  </si>
  <si>
    <r>
      <t>o9.5</t>
    </r>
    <r>
      <rPr>
        <b/>
        <sz val="14"/>
        <color rgb="FFA4A4AA"/>
        <rFont val="Segoe UI"/>
        <family val="2"/>
      </rPr>
      <t>-139</t>
    </r>
  </si>
  <si>
    <r>
      <t>u9.5</t>
    </r>
    <r>
      <rPr>
        <b/>
        <sz val="14"/>
        <color rgb="FFA4A4AA"/>
        <rFont val="Segoe UI"/>
        <family val="2"/>
      </rPr>
      <t>+124</t>
    </r>
  </si>
  <si>
    <r>
      <t>u9.5</t>
    </r>
    <r>
      <rPr>
        <b/>
        <sz val="14"/>
        <color rgb="FFA4A4AA"/>
        <rFont val="Segoe UI"/>
        <family val="2"/>
      </rPr>
      <t>+115</t>
    </r>
  </si>
  <si>
    <r>
      <t>o6.5</t>
    </r>
    <r>
      <rPr>
        <b/>
        <sz val="14"/>
        <color rgb="FFA4A4AA"/>
        <rFont val="Segoe UI"/>
        <family val="2"/>
      </rPr>
      <t>-134</t>
    </r>
  </si>
  <si>
    <r>
      <t>o8.5</t>
    </r>
    <r>
      <rPr>
        <b/>
        <sz val="14"/>
        <color rgb="FFA4A4AA"/>
        <rFont val="Segoe UI"/>
        <family val="2"/>
      </rPr>
      <t>-140</t>
    </r>
  </si>
  <si>
    <r>
      <t>o8.5</t>
    </r>
    <r>
      <rPr>
        <b/>
        <sz val="14"/>
        <color rgb="FFA4A4AA"/>
        <rFont val="Segoe UI"/>
        <family val="2"/>
      </rPr>
      <t>-135</t>
    </r>
  </si>
  <si>
    <r>
      <t>o8.5</t>
    </r>
    <r>
      <rPr>
        <b/>
        <sz val="14"/>
        <color rgb="FFA4A4AA"/>
        <rFont val="Segoe UI"/>
        <family val="2"/>
      </rPr>
      <t>-138</t>
    </r>
  </si>
  <si>
    <r>
      <t>o8.5</t>
    </r>
    <r>
      <rPr>
        <b/>
        <sz val="14"/>
        <color rgb="FFA4A4AA"/>
        <rFont val="Segoe UI"/>
        <family val="2"/>
      </rPr>
      <t>-139</t>
    </r>
  </si>
  <si>
    <r>
      <t>u8.5</t>
    </r>
    <r>
      <rPr>
        <b/>
        <sz val="14"/>
        <color rgb="FFA4A4AA"/>
        <rFont val="Segoe UI"/>
        <family val="2"/>
      </rPr>
      <t>+120</t>
    </r>
  </si>
  <si>
    <r>
      <t>u8.5</t>
    </r>
    <r>
      <rPr>
        <b/>
        <sz val="14"/>
        <color rgb="FFA4A4AA"/>
        <rFont val="Segoe UI"/>
        <family val="2"/>
      </rPr>
      <t>+115</t>
    </r>
  </si>
  <si>
    <r>
      <t>u8.5</t>
    </r>
    <r>
      <rPr>
        <b/>
        <sz val="14"/>
        <color rgb="FFA4A4AA"/>
        <rFont val="Segoe UI"/>
        <family val="2"/>
      </rPr>
      <t>+112</t>
    </r>
  </si>
  <si>
    <r>
      <t>o10.5</t>
    </r>
    <r>
      <rPr>
        <b/>
        <sz val="14"/>
        <color rgb="FFA4A4AA"/>
        <rFont val="Segoe UI"/>
        <family val="2"/>
      </rPr>
      <t>-140</t>
    </r>
  </si>
  <si>
    <r>
      <t>o10.5</t>
    </r>
    <r>
      <rPr>
        <b/>
        <sz val="14"/>
        <color rgb="FFA4A4AA"/>
        <rFont val="Segoe UI"/>
        <family val="2"/>
      </rPr>
      <t>-135</t>
    </r>
  </si>
  <si>
    <r>
      <t>o10.5</t>
    </r>
    <r>
      <rPr>
        <b/>
        <sz val="14"/>
        <color rgb="FFA4A4AA"/>
        <rFont val="Segoe UI"/>
        <family val="2"/>
      </rPr>
      <t>-132</t>
    </r>
  </si>
  <si>
    <r>
      <t>o10.5</t>
    </r>
    <r>
      <rPr>
        <b/>
        <sz val="14"/>
        <color rgb="FFA4A4AA"/>
        <rFont val="Segoe UI"/>
        <family val="2"/>
      </rPr>
      <t>-130</t>
    </r>
  </si>
  <si>
    <r>
      <t>u10.5</t>
    </r>
    <r>
      <rPr>
        <b/>
        <sz val="14"/>
        <color rgb="FFA4A4AA"/>
        <rFont val="Segoe UI"/>
        <family val="2"/>
      </rPr>
      <t>+120</t>
    </r>
  </si>
  <si>
    <r>
      <t>u10.5</t>
    </r>
    <r>
      <rPr>
        <b/>
        <sz val="14"/>
        <color rgb="FFA4A4AA"/>
        <rFont val="Segoe UI"/>
        <family val="2"/>
      </rPr>
      <t>+108</t>
    </r>
  </si>
  <si>
    <r>
      <t>u10.5</t>
    </r>
    <r>
      <rPr>
        <b/>
        <sz val="14"/>
        <color rgb="FFA4A4AA"/>
        <rFont val="Segoe UI"/>
        <family val="2"/>
      </rPr>
      <t>+107</t>
    </r>
  </si>
  <si>
    <r>
      <t>o9.5</t>
    </r>
    <r>
      <rPr>
        <b/>
        <sz val="14"/>
        <color rgb="FFA4A4AA"/>
        <rFont val="Segoe UI"/>
        <family val="2"/>
      </rPr>
      <t>-160</t>
    </r>
  </si>
  <si>
    <r>
      <t>o9.5</t>
    </r>
    <r>
      <rPr>
        <b/>
        <sz val="14"/>
        <color rgb="FFA4A4AA"/>
        <rFont val="Segoe UI"/>
        <family val="2"/>
      </rPr>
      <t>-138</t>
    </r>
  </si>
  <si>
    <r>
      <t>o9.5</t>
    </r>
    <r>
      <rPr>
        <b/>
        <sz val="14"/>
        <color rgb="FFA4A4AA"/>
        <rFont val="Segoe UI"/>
        <family val="2"/>
      </rPr>
      <t>-143</t>
    </r>
  </si>
  <si>
    <r>
      <t>u9.5</t>
    </r>
    <r>
      <rPr>
        <b/>
        <sz val="14"/>
        <color rgb="FFA4A4AA"/>
        <rFont val="Segoe UI"/>
        <family val="2"/>
      </rPr>
      <t>+135</t>
    </r>
  </si>
  <si>
    <r>
      <t>u10.5</t>
    </r>
    <r>
      <rPr>
        <b/>
        <sz val="14"/>
        <color rgb="FFA4A4AA"/>
        <rFont val="Segoe UI"/>
        <family val="2"/>
      </rPr>
      <t>-185</t>
    </r>
  </si>
  <si>
    <r>
      <t>u9.5</t>
    </r>
    <r>
      <rPr>
        <b/>
        <sz val="14"/>
        <color rgb="FFA4A4AA"/>
        <rFont val="Segoe UI"/>
        <family val="2"/>
      </rPr>
      <t>+112</t>
    </r>
  </si>
  <si>
    <r>
      <t>o8.5</t>
    </r>
    <r>
      <rPr>
        <b/>
        <sz val="14"/>
        <color rgb="FFA4A4AA"/>
        <rFont val="Segoe UI"/>
        <family val="2"/>
      </rPr>
      <t>-185</t>
    </r>
  </si>
  <si>
    <r>
      <t>o8.5</t>
    </r>
    <r>
      <rPr>
        <b/>
        <sz val="14"/>
        <color rgb="FFA4A4AA"/>
        <rFont val="Segoe UI"/>
        <family val="2"/>
      </rPr>
      <t>-162</t>
    </r>
  </si>
  <si>
    <r>
      <t>o8.5</t>
    </r>
    <r>
      <rPr>
        <b/>
        <sz val="14"/>
        <color rgb="FFA4A4AA"/>
        <rFont val="Segoe UI"/>
        <family val="2"/>
      </rPr>
      <t>-159</t>
    </r>
  </si>
  <si>
    <r>
      <t>u8.5</t>
    </r>
    <r>
      <rPr>
        <b/>
        <sz val="14"/>
        <color rgb="FFA4A4AA"/>
        <rFont val="Segoe UI"/>
        <family val="2"/>
      </rPr>
      <t>+155</t>
    </r>
  </si>
  <si>
    <r>
      <t>u8.5</t>
    </r>
    <r>
      <rPr>
        <b/>
        <sz val="14"/>
        <color rgb="FFA4A4AA"/>
        <rFont val="Segoe UI"/>
        <family val="2"/>
      </rPr>
      <t>+135</t>
    </r>
  </si>
  <si>
    <r>
      <t>u8.5</t>
    </r>
    <r>
      <rPr>
        <b/>
        <sz val="14"/>
        <color rgb="FFA4A4AA"/>
        <rFont val="Segoe UI"/>
        <family val="2"/>
      </rPr>
      <t>+132</t>
    </r>
  </si>
  <si>
    <r>
      <t>o10.5</t>
    </r>
    <r>
      <rPr>
        <b/>
        <sz val="14"/>
        <color rgb="FFA4A4AA"/>
        <rFont val="Segoe UI"/>
        <family val="2"/>
      </rPr>
      <t>-155</t>
    </r>
  </si>
  <si>
    <r>
      <t>o10.5</t>
    </r>
    <r>
      <rPr>
        <b/>
        <sz val="14"/>
        <color rgb="FFA4A4AA"/>
        <rFont val="Segoe UI"/>
        <family val="2"/>
      </rPr>
      <t>-148</t>
    </r>
  </si>
  <si>
    <r>
      <t>o10.5</t>
    </r>
    <r>
      <rPr>
        <b/>
        <sz val="14"/>
        <color rgb="FFA4A4AA"/>
        <rFont val="Segoe UI"/>
        <family val="2"/>
      </rPr>
      <t>-143</t>
    </r>
  </si>
  <si>
    <r>
      <t>u10.5</t>
    </r>
    <r>
      <rPr>
        <b/>
        <sz val="14"/>
        <color rgb="FFA4A4AA"/>
        <rFont val="Segoe UI"/>
        <family val="2"/>
      </rPr>
      <t>+132</t>
    </r>
  </si>
  <si>
    <r>
      <t>u10.5</t>
    </r>
    <r>
      <rPr>
        <b/>
        <sz val="14"/>
        <color rgb="FFA4A4AA"/>
        <rFont val="Segoe UI"/>
        <family val="2"/>
      </rPr>
      <t>+118</t>
    </r>
  </si>
  <si>
    <t>o6</t>
  </si>
  <si>
    <r>
      <t>o6</t>
    </r>
    <r>
      <rPr>
        <b/>
        <sz val="14"/>
        <color rgb="FFA4A4AA"/>
        <rFont val="Segoe UI"/>
        <family val="2"/>
      </rPr>
      <t>-140</t>
    </r>
  </si>
  <si>
    <r>
      <t>o6.5</t>
    </r>
    <r>
      <rPr>
        <b/>
        <sz val="14"/>
        <color rgb="FFA4A4AA"/>
        <rFont val="Segoe UI"/>
        <family val="2"/>
      </rPr>
      <t>+145</t>
    </r>
  </si>
  <si>
    <r>
      <t>o5.5</t>
    </r>
    <r>
      <rPr>
        <b/>
        <sz val="14"/>
        <color rgb="FFA4A4AA"/>
        <rFont val="Segoe UI"/>
        <family val="2"/>
      </rPr>
      <t>-142</t>
    </r>
  </si>
  <si>
    <r>
      <t>u6</t>
    </r>
    <r>
      <rPr>
        <b/>
        <sz val="14"/>
        <color rgb="FFA4A4AA"/>
        <rFont val="Segoe UI"/>
        <family val="2"/>
      </rPr>
      <t>+118</t>
    </r>
  </si>
  <si>
    <r>
      <t>u6.5</t>
    </r>
    <r>
      <rPr>
        <b/>
        <sz val="14"/>
        <color rgb="FFA4A4AA"/>
        <rFont val="Segoe UI"/>
        <family val="2"/>
      </rPr>
      <t>-175</t>
    </r>
  </si>
  <si>
    <r>
      <t>u5.5</t>
    </r>
    <r>
      <rPr>
        <b/>
        <sz val="14"/>
        <color rgb="FFA4A4AA"/>
        <rFont val="Segoe UI"/>
        <family val="2"/>
      </rPr>
      <t>+116</t>
    </r>
  </si>
  <si>
    <t>u6</t>
  </si>
  <si>
    <t>Team</t>
  </si>
  <si>
    <t>Division</t>
  </si>
  <si>
    <t>Vegas</t>
  </si>
  <si>
    <t>Athletic</t>
  </si>
  <si>
    <t>Gut Feeling</t>
  </si>
  <si>
    <t>New Score</t>
  </si>
  <si>
    <t>Avg</t>
  </si>
  <si>
    <t>VBD</t>
  </si>
  <si>
    <t>Avg I</t>
  </si>
  <si>
    <t>VBD I</t>
  </si>
  <si>
    <t>Exp.</t>
  </si>
  <si>
    <t>Exp. I</t>
  </si>
  <si>
    <t>Tier</t>
  </si>
  <si>
    <t>Drafted by</t>
  </si>
  <si>
    <t>Paid</t>
  </si>
  <si>
    <t>Value</t>
  </si>
  <si>
    <t>Value %</t>
  </si>
  <si>
    <t>Initial</t>
  </si>
  <si>
    <t>Inflation Adj.</t>
  </si>
  <si>
    <t>AFC North</t>
  </si>
  <si>
    <t>Budget</t>
  </si>
  <si>
    <t>Avg. Left</t>
  </si>
  <si>
    <t>NFC West</t>
  </si>
  <si>
    <t>Players</t>
  </si>
  <si>
    <t>NFC North</t>
  </si>
  <si>
    <t>Teams</t>
  </si>
  <si>
    <t>AFC East</t>
  </si>
  <si>
    <t>Total</t>
  </si>
  <si>
    <t>Baseline</t>
  </si>
  <si>
    <t>Multi</t>
  </si>
  <si>
    <t>NFC East</t>
  </si>
  <si>
    <t>Total VBD</t>
  </si>
  <si>
    <t>Total Wins</t>
  </si>
  <si>
    <t>Wins Left</t>
  </si>
  <si>
    <t>AFC West</t>
  </si>
  <si>
    <t>AFC South</t>
  </si>
  <si>
    <t>Inflation</t>
  </si>
  <si>
    <t>Player</t>
  </si>
  <si>
    <t>Drafted</t>
  </si>
  <si>
    <t>Rem</t>
  </si>
  <si>
    <t>Spent</t>
  </si>
  <si>
    <t>Max</t>
  </si>
  <si>
    <t>Proj.</t>
  </si>
  <si>
    <t>Sean</t>
  </si>
  <si>
    <t>Rich</t>
  </si>
  <si>
    <t>Tyler</t>
  </si>
  <si>
    <t>Niels</t>
  </si>
  <si>
    <t>Evan</t>
  </si>
  <si>
    <t>John</t>
  </si>
  <si>
    <t>Barry</t>
  </si>
  <si>
    <t>NFC South</t>
  </si>
  <si>
    <t>Leo</t>
  </si>
  <si>
    <t>Abb</t>
  </si>
  <si>
    <t>Season</t>
  </si>
  <si>
    <t>Original Rating</t>
  </si>
  <si>
    <t>Current Rating</t>
  </si>
  <si>
    <t>Win Total</t>
  </si>
  <si>
    <t>Total Result</t>
  </si>
  <si>
    <t>Projected SoS</t>
  </si>
  <si>
    <t>Proj Rank</t>
  </si>
  <si>
    <t>Played SoS</t>
  </si>
  <si>
    <t>Played Rank</t>
  </si>
  <si>
    <t>Avg. Opp. Rating</t>
  </si>
  <si>
    <t>Rank</t>
  </si>
  <si>
    <t>Week</t>
  </si>
  <si>
    <t>Active</t>
  </si>
  <si>
    <t>KC</t>
  </si>
  <si>
    <t>GB</t>
  </si>
  <si>
    <t>OAK</t>
  </si>
  <si>
    <t>TB</t>
  </si>
  <si>
    <t>NO</t>
  </si>
  <si>
    <t>NE</t>
  </si>
  <si>
    <t>SF</t>
  </si>
  <si>
    <t>Ab</t>
  </si>
  <si>
    <t>O/U</t>
  </si>
  <si>
    <t>Projected</t>
  </si>
  <si>
    <t>Round</t>
  </si>
  <si>
    <t>Wins</t>
  </si>
  <si>
    <t>Losses</t>
  </si>
  <si>
    <t>Ties</t>
  </si>
  <si>
    <t>Current Value</t>
  </si>
  <si>
    <t>New VOR</t>
  </si>
  <si>
    <t>Bye?</t>
  </si>
  <si>
    <t>Check</t>
  </si>
  <si>
    <t>W</t>
  </si>
  <si>
    <t>L</t>
  </si>
  <si>
    <t>T</t>
  </si>
  <si>
    <t>%</t>
  </si>
  <si>
    <t>Yes</t>
  </si>
  <si>
    <t>Liam</t>
  </si>
  <si>
    <t>LV</t>
  </si>
  <si>
    <t/>
  </si>
  <si>
    <t>No</t>
  </si>
  <si>
    <t>Old Season</t>
  </si>
  <si>
    <t>nfelo</t>
  </si>
  <si>
    <t>QB Adj</t>
  </si>
  <si>
    <t>WoW</t>
  </si>
  <si>
    <t>YTD</t>
  </si>
  <si>
    <t>Off Play</t>
  </si>
  <si>
    <t>Off Pass</t>
  </si>
  <si>
    <t>Off Rush</t>
  </si>
  <si>
    <t>Def Play</t>
  </si>
  <si>
    <t>Def Pass</t>
  </si>
  <si>
    <t>Def Rush</t>
  </si>
  <si>
    <t>EPA</t>
  </si>
  <si>
    <t>For</t>
  </si>
  <si>
    <t>Against</t>
  </si>
  <si>
    <t>Dif</t>
  </si>
  <si>
    <t>Pythag</t>
  </si>
  <si>
    <t>Elo</t>
  </si>
  <si>
    <t>Film</t>
  </si>
  <si>
    <t xml:space="preserve">Team </t>
  </si>
  <si>
    <t xml:space="preserve">W-L </t>
  </si>
  <si>
    <t xml:space="preserve">DAVE </t>
  </si>
  <si>
    <t xml:space="preserve">Mean Wins </t>
  </si>
  <si>
    <t xml:space="preserve">TOT </t>
  </si>
  <si>
    <t xml:space="preserve">#1 </t>
  </si>
  <si>
    <t xml:space="preserve">#2 </t>
  </si>
  <si>
    <t xml:space="preserve">#3 </t>
  </si>
  <si>
    <t xml:space="preserve">#4 </t>
  </si>
  <si>
    <t xml:space="preserve">#5 </t>
  </si>
  <si>
    <t xml:space="preserve">#6 </t>
  </si>
  <si>
    <t xml:space="preserve">#7 </t>
  </si>
  <si>
    <t xml:space="preserve">DIV </t>
  </si>
  <si>
    <t>WC</t>
  </si>
  <si>
    <t xml:space="preserve">WAS </t>
  </si>
  <si>
    <t xml:space="preserve">PHI </t>
  </si>
  <si>
    <t xml:space="preserve">DAL </t>
  </si>
  <si>
    <t xml:space="preserve">0-1 </t>
  </si>
  <si>
    <t xml:space="preserve">NYG </t>
  </si>
  <si>
    <t xml:space="preserve">GB </t>
  </si>
  <si>
    <t xml:space="preserve">DET </t>
  </si>
  <si>
    <t xml:space="preserve">MIN </t>
  </si>
  <si>
    <t xml:space="preserve">0-0 </t>
  </si>
  <si>
    <t xml:space="preserve">CHI </t>
  </si>
  <si>
    <t xml:space="preserve">TB </t>
  </si>
  <si>
    <t xml:space="preserve">ATL </t>
  </si>
  <si>
    <t xml:space="preserve">NO </t>
  </si>
  <si>
    <t xml:space="preserve">CAR </t>
  </si>
  <si>
    <t xml:space="preserve">SF </t>
  </si>
  <si>
    <t xml:space="preserve">LAR </t>
  </si>
  <si>
    <t xml:space="preserve">ARI </t>
  </si>
  <si>
    <t xml:space="preserve">SEA </t>
  </si>
  <si>
    <t xml:space="preserve">BUF </t>
  </si>
  <si>
    <t xml:space="preserve">NE </t>
  </si>
  <si>
    <t xml:space="preserve">NYJ </t>
  </si>
  <si>
    <t xml:space="preserve">MIA </t>
  </si>
  <si>
    <t xml:space="preserve">BAL </t>
  </si>
  <si>
    <t xml:space="preserve">CIN </t>
  </si>
  <si>
    <t xml:space="preserve">PIT </t>
  </si>
  <si>
    <t xml:space="preserve">CLE </t>
  </si>
  <si>
    <t xml:space="preserve">JAX </t>
  </si>
  <si>
    <t xml:space="preserve">IND </t>
  </si>
  <si>
    <t xml:space="preserve">HOU </t>
  </si>
  <si>
    <t xml:space="preserve">TEN </t>
  </si>
  <si>
    <t xml:space="preserve">KC </t>
  </si>
  <si>
    <t xml:space="preserve">LAC </t>
  </si>
  <si>
    <t xml:space="preserve">LV </t>
  </si>
  <si>
    <t xml:space="preserve">DEN </t>
  </si>
  <si>
    <t xml:space="preserve">0-2 </t>
  </si>
  <si>
    <t xml:space="preserve">0-3 </t>
  </si>
  <si>
    <t xml:space="preserve">0-4 </t>
  </si>
  <si>
    <t xml:space="preserve">0-5 </t>
  </si>
  <si>
    <t xml:space="preserve">0-6 </t>
  </si>
  <si>
    <t xml:space="preserve">0-7 </t>
  </si>
  <si>
    <t>W-L</t>
  </si>
  <si>
    <t>DAVE</t>
  </si>
  <si>
    <t>Mean Wins</t>
  </si>
  <si>
    <t>TOT</t>
  </si>
  <si>
    <t>#1</t>
  </si>
  <si>
    <t>#2</t>
  </si>
  <si>
    <t>#3</t>
  </si>
  <si>
    <t>#4</t>
  </si>
  <si>
    <t>#5</t>
  </si>
  <si>
    <t>#6</t>
  </si>
  <si>
    <t>#7</t>
  </si>
  <si>
    <t>DIV</t>
  </si>
  <si>
    <t xml:space="preserve">13-3 </t>
  </si>
  <si>
    <t>QB</t>
  </si>
  <si>
    <t>Starts</t>
  </si>
  <si>
    <t>Points</t>
  </si>
  <si>
    <t>Change (Week)</t>
  </si>
  <si>
    <t>Change (Year)</t>
  </si>
  <si>
    <t>/ DB</t>
  </si>
  <si>
    <t>Comp</t>
  </si>
  <si>
    <t>Atts</t>
  </si>
  <si>
    <t>Comp%</t>
  </si>
  <si>
    <t>CPOE</t>
  </si>
  <si>
    <t>Yards</t>
  </si>
  <si>
    <t>YPA</t>
  </si>
  <si>
    <t>TDs</t>
  </si>
  <si>
    <t>INTs</t>
  </si>
  <si>
    <t>Sacks</t>
  </si>
  <si>
    <t>Carries</t>
  </si>
  <si>
    <t>YPC</t>
  </si>
  <si>
    <t>TD%</t>
  </si>
  <si>
    <t>INT%</t>
  </si>
  <si>
    <t>TD%-INT%</t>
  </si>
  <si>
    <t>Success</t>
  </si>
  <si>
    <t>Passer Rtg</t>
  </si>
  <si>
    <t>ANY/A</t>
  </si>
  <si>
    <t>QB Elo</t>
  </si>
  <si>
    <t>QBR</t>
  </si>
  <si>
    <t>Rushing</t>
  </si>
  <si>
    <t>Inc</t>
  </si>
  <si>
    <t>Air Yards</t>
  </si>
  <si>
    <t>YAC</t>
  </si>
  <si>
    <t>Penalties</t>
  </si>
  <si>
    <t>aDOT</t>
  </si>
  <si>
    <t>vs Sticks</t>
  </si>
  <si>
    <t>CB</t>
  </si>
  <si>
    <t>CB Opps</t>
  </si>
  <si>
    <t>CB%</t>
  </si>
  <si>
    <t>WPA / DB</t>
  </si>
  <si>
    <t>Total WPA</t>
  </si>
  <si>
    <t>Last Name</t>
  </si>
  <si>
    <t>Rank Y</t>
  </si>
  <si>
    <t>Lamar Jackson</t>
  </si>
  <si>
    <t>Josh Allen</t>
  </si>
  <si>
    <t>Patrick Mahomes</t>
  </si>
  <si>
    <t>Jared Goff</t>
  </si>
  <si>
    <t>Jalen Hurts</t>
  </si>
  <si>
    <t>Dak Prescott</t>
  </si>
  <si>
    <t>Kyler Murray</t>
  </si>
  <si>
    <t>Joe Burrow</t>
  </si>
  <si>
    <t>Aaron Rodgers</t>
  </si>
  <si>
    <t>Baker Mayfield</t>
  </si>
  <si>
    <t>Brock Purdy</t>
  </si>
  <si>
    <t>Bo Nix</t>
  </si>
  <si>
    <t>Jayden Daniels</t>
  </si>
  <si>
    <t>Justin Herbert</t>
  </si>
  <si>
    <t>Russell Wilson</t>
  </si>
  <si>
    <t>Tua Tagovailoa</t>
  </si>
  <si>
    <t>Jordan Love</t>
  </si>
  <si>
    <t>Matthew Stafford</t>
  </si>
  <si>
    <t>Daniel Jones</t>
  </si>
  <si>
    <t>Justin Fields</t>
  </si>
  <si>
    <t>Drake Maye</t>
  </si>
  <si>
    <t>Trevor Lawrence</t>
  </si>
  <si>
    <t>Geno Smith</t>
  </si>
  <si>
    <t>Sam Darnold</t>
  </si>
  <si>
    <t>Caleb Williams</t>
  </si>
  <si>
    <t>Mac Jones</t>
  </si>
  <si>
    <t>Bryce Young</t>
  </si>
  <si>
    <t>Joe Flacco</t>
  </si>
  <si>
    <t>Michael Penix Jr.</t>
  </si>
  <si>
    <t>C.J. Stroud</t>
  </si>
  <si>
    <t>J.J. McCarthy</t>
  </si>
  <si>
    <t>Spencer Rattler</t>
  </si>
  <si>
    <t>Cam Ward</t>
  </si>
  <si>
    <t>Marcus Mariota</t>
  </si>
  <si>
    <t>Tyrod Taylor</t>
  </si>
  <si>
    <t>Jake Browning</t>
  </si>
  <si>
    <t>Carson Wentz</t>
  </si>
  <si>
    <t>Jaxson Dart</t>
  </si>
  <si>
    <t>Cooper Rush</t>
  </si>
  <si>
    <t>Dillon Gabriel</t>
  </si>
  <si>
    <t>Jacoby Brissett</t>
  </si>
  <si>
    <t>Kirk Cousins</t>
  </si>
  <si>
    <t>Tyler Huntley</t>
  </si>
  <si>
    <t>Andy Dalton</t>
  </si>
  <si>
    <t>Tyler Shough</t>
  </si>
  <si>
    <t>Davis Mills</t>
  </si>
  <si>
    <t>Jameis Winston</t>
  </si>
  <si>
    <t>Mason Rudolph</t>
  </si>
  <si>
    <t>Shedeur Sanders</t>
  </si>
  <si>
    <t>Max Brosmer</t>
  </si>
  <si>
    <t>Philip Rivers</t>
  </si>
  <si>
    <t>Kenny Pickett</t>
  </si>
  <si>
    <t>Brady Cook</t>
  </si>
  <si>
    <t>Gardner Minshew</t>
  </si>
  <si>
    <t>Quinn Ewers</t>
  </si>
  <si>
    <t>Malik Willis</t>
  </si>
  <si>
    <t>Chris Oladokun</t>
  </si>
  <si>
    <t>Josh Johnson</t>
  </si>
  <si>
    <t>TEAM</t>
  </si>
  <si>
    <t>TOT DVOA</t>
  </si>
  <si>
    <t>NON-ADJ VOA</t>
  </si>
  <si>
    <t>LAST WEEK</t>
  </si>
  <si>
    <t>Off DVOA</t>
  </si>
  <si>
    <t>Def DVOA</t>
  </si>
  <si>
    <t>ST DVOA</t>
  </si>
  <si>
    <t>Off VOA</t>
  </si>
  <si>
    <t>Def VOA</t>
  </si>
  <si>
    <t>ST VOA</t>
  </si>
  <si>
    <t>EST WINS</t>
  </si>
  <si>
    <t>WEI DVOA</t>
  </si>
  <si>
    <t>SCHED</t>
  </si>
  <si>
    <t>FUTURE</t>
  </si>
  <si>
    <t>VAR</t>
  </si>
  <si>
    <t>Year</t>
  </si>
  <si>
    <t>X</t>
  </si>
  <si>
    <t>0-1</t>
  </si>
  <si>
    <t>Day</t>
  </si>
  <si>
    <t>Date</t>
  </si>
  <si>
    <t>Time</t>
  </si>
  <si>
    <t>Winner/tie</t>
  </si>
  <si>
    <t>Loser/tie</t>
  </si>
  <si>
    <t>PtsW</t>
  </si>
  <si>
    <t>PtsL</t>
  </si>
  <si>
    <t>YdsW</t>
  </si>
  <si>
    <t>TOW</t>
  </si>
  <si>
    <t>YdsL</t>
  </si>
  <si>
    <t>TOL</t>
  </si>
  <si>
    <t>A</t>
  </si>
  <si>
    <t>B</t>
  </si>
  <si>
    <t>T1</t>
  </si>
  <si>
    <t>T2</t>
  </si>
  <si>
    <t>A H/A</t>
  </si>
  <si>
    <t>DC1</t>
  </si>
  <si>
    <t>DC2</t>
  </si>
  <si>
    <t>Match</t>
  </si>
  <si>
    <t>Played?</t>
  </si>
  <si>
    <t>C</t>
  </si>
  <si>
    <t>D</t>
  </si>
  <si>
    <t>Simulate</t>
  </si>
  <si>
    <t>EA</t>
  </si>
  <si>
    <t>EH</t>
  </si>
  <si>
    <t>RA</t>
  </si>
  <si>
    <t>RH</t>
  </si>
  <si>
    <t>RW</t>
  </si>
  <si>
    <t>RL</t>
  </si>
  <si>
    <t>Row</t>
  </si>
  <si>
    <t>Thu</t>
  </si>
  <si>
    <t>8:20PM</t>
  </si>
  <si>
    <t>boxscore</t>
  </si>
  <si>
    <t>Fri</t>
  </si>
  <si>
    <t>8:00PM</t>
  </si>
  <si>
    <t>Sun</t>
  </si>
  <si>
    <t>1:00PM</t>
  </si>
  <si>
    <t>@</t>
  </si>
  <si>
    <t>4:05PM</t>
  </si>
  <si>
    <t>4:25PM</t>
  </si>
  <si>
    <t>Mon</t>
  </si>
  <si>
    <t>8:15PM</t>
  </si>
  <si>
    <t>7:00PM</t>
  </si>
  <si>
    <t>10:00PM</t>
  </si>
  <si>
    <t>9:30AM</t>
  </si>
  <si>
    <t>7:15PM</t>
  </si>
  <si>
    <t>4:30PM</t>
  </si>
  <si>
    <t>3:00PM</t>
  </si>
  <si>
    <t>Sat</t>
  </si>
  <si>
    <t>5:00PM</t>
  </si>
  <si>
    <t>preview</t>
  </si>
  <si>
    <t>AD1</t>
  </si>
  <si>
    <t>AD2</t>
  </si>
  <si>
    <t>AD3</t>
  </si>
  <si>
    <t>AD4</t>
  </si>
  <si>
    <t>AW1</t>
  </si>
  <si>
    <t>AW2</t>
  </si>
  <si>
    <t>AW3</t>
  </si>
  <si>
    <t>ND1</t>
  </si>
  <si>
    <t>ND2</t>
  </si>
  <si>
    <t>ND3</t>
  </si>
  <si>
    <t>ND4</t>
  </si>
  <si>
    <t>NW1</t>
  </si>
  <si>
    <t>NW2</t>
  </si>
  <si>
    <t>NW3</t>
  </si>
  <si>
    <t>Jackson</t>
  </si>
  <si>
    <t>Sim Week</t>
  </si>
  <si>
    <t>Allen</t>
  </si>
  <si>
    <t>AW</t>
  </si>
  <si>
    <t>Std. Dev.</t>
  </si>
  <si>
    <t>Mahomes</t>
  </si>
  <si>
    <t>AN</t>
  </si>
  <si>
    <t>Goff</t>
  </si>
  <si>
    <t>Hurts</t>
  </si>
  <si>
    <t>AS</t>
  </si>
  <si>
    <t>Prescott</t>
  </si>
  <si>
    <t>Murray</t>
  </si>
  <si>
    <t>NS</t>
  </si>
  <si>
    <t>Burrow</t>
  </si>
  <si>
    <t>Rodgers</t>
  </si>
  <si>
    <t>NW</t>
  </si>
  <si>
    <t>Mayfield</t>
  </si>
  <si>
    <t>Purdy</t>
  </si>
  <si>
    <t>Nix</t>
  </si>
  <si>
    <t>Daniels</t>
  </si>
  <si>
    <t>NN</t>
  </si>
  <si>
    <t>Herbert</t>
  </si>
  <si>
    <t>Wilson</t>
  </si>
  <si>
    <t>AE</t>
  </si>
  <si>
    <t>Tagovailoa</t>
  </si>
  <si>
    <t>Love</t>
  </si>
  <si>
    <t>Stafford</t>
  </si>
  <si>
    <t>Jones</t>
  </si>
  <si>
    <t>Fields</t>
  </si>
  <si>
    <t>Maye</t>
  </si>
  <si>
    <t>Lawrence</t>
  </si>
  <si>
    <t>Smith</t>
  </si>
  <si>
    <t>Darnold</t>
  </si>
  <si>
    <t>Williams</t>
  </si>
  <si>
    <t>Young</t>
  </si>
  <si>
    <t>Flacco</t>
  </si>
  <si>
    <t>Penix</t>
  </si>
  <si>
    <t>Stroud</t>
  </si>
  <si>
    <t>McCarthy</t>
  </si>
  <si>
    <t>Rattler</t>
  </si>
  <si>
    <t>Ward</t>
  </si>
  <si>
    <t>Mariota</t>
  </si>
  <si>
    <t>Taylor</t>
  </si>
  <si>
    <t>Browning</t>
  </si>
  <si>
    <t>Wentz</t>
  </si>
  <si>
    <t>Dart</t>
  </si>
  <si>
    <t>Rush</t>
  </si>
  <si>
    <t>Gabriel</t>
  </si>
  <si>
    <t>Brissett</t>
  </si>
  <si>
    <t>Cousins</t>
  </si>
  <si>
    <t>Huntley</t>
  </si>
  <si>
    <t>Dalton</t>
  </si>
  <si>
    <t>Shough</t>
  </si>
  <si>
    <t>Winston</t>
  </si>
  <si>
    <t>Mills</t>
  </si>
  <si>
    <t>Sanders</t>
  </si>
  <si>
    <t>Rudolph</t>
  </si>
  <si>
    <t>Brosmer</t>
  </si>
  <si>
    <t>Rivers</t>
  </si>
  <si>
    <t>Cook</t>
  </si>
  <si>
    <t>Pickett</t>
  </si>
  <si>
    <t>Minshew</t>
  </si>
  <si>
    <t>Ewers</t>
  </si>
  <si>
    <t>Oladokun</t>
  </si>
  <si>
    <t>Johnson</t>
  </si>
  <si>
    <t>Willis</t>
  </si>
  <si>
    <t>City</t>
  </si>
  <si>
    <t>Latitude</t>
  </si>
  <si>
    <t>Longitude</t>
  </si>
  <si>
    <t>Glendale AZ</t>
  </si>
  <si>
    <t>Atlanta GA</t>
  </si>
  <si>
    <t>Baltimore MD</t>
  </si>
  <si>
    <t>Buffalo NY</t>
  </si>
  <si>
    <t>Charlotte NC</t>
  </si>
  <si>
    <t>Chicago IL</t>
  </si>
  <si>
    <t>Cincinnati OH</t>
  </si>
  <si>
    <t>Cleveland OH</t>
  </si>
  <si>
    <t>Arlington TX</t>
  </si>
  <si>
    <t>Denver CO</t>
  </si>
  <si>
    <t>Detroit MI</t>
  </si>
  <si>
    <t>Green Bay WI</t>
  </si>
  <si>
    <t>Houston TX</t>
  </si>
  <si>
    <t>Indianapolis IN</t>
  </si>
  <si>
    <t>Jacksonville FL</t>
  </si>
  <si>
    <t>Kansas City MO</t>
  </si>
  <si>
    <t>San Diego CA</t>
  </si>
  <si>
    <t>Los Angeles CA</t>
  </si>
  <si>
    <t>Las Vegas NV</t>
  </si>
  <si>
    <t>Miami Gardens FL</t>
  </si>
  <si>
    <t>Minneapolis MN</t>
  </si>
  <si>
    <t>Foxborough MA</t>
  </si>
  <si>
    <t>New Orleans LA</t>
  </si>
  <si>
    <t>New York NY</t>
  </si>
  <si>
    <t>East Rutherford NJ</t>
  </si>
  <si>
    <t>Philadelphia PA</t>
  </si>
  <si>
    <t>Pittsburgh PA</t>
  </si>
  <si>
    <t>Seattle WA</t>
  </si>
  <si>
    <t>Santa Clara CA</t>
  </si>
  <si>
    <t>Tampa FL</t>
  </si>
  <si>
    <t>Nashville TN</t>
  </si>
  <si>
    <t>Landover MD</t>
  </si>
  <si>
    <t>Bracket</t>
  </si>
  <si>
    <t>Spread</t>
  </si>
  <si>
    <t>CC</t>
  </si>
  <si>
    <t>SB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</si>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</sst>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\$#,##0;\-\$#,##0"/>
    <numFmt numFmtId="167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1D1D25"/>
      <name val="Segoe UI"/>
      <family val="2"/>
    </font>
    <font>
      <b/>
      <sz val="14"/>
      <color rgb="FFA4A4AA"/>
      <name val="Segoe UI"/>
      <family val="2"/>
    </font>
    <font>
      <u/>
      <sz val="11"/>
      <color theme="10"/>
      <name val="Calibri"/>
      <family val="2"/>
      <scheme val="minor"/>
    </font>
    <font>
      <b/>
      <sz val="14"/>
      <color rgb="FF818188"/>
      <name val="Segoe UI"/>
      <family val="2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F8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85">
    <xf numFmtId="0" fontId="0" fillId="0" borderId="0" xfId="0"/>
    <xf numFmtId="0" fontId="0" fillId="3" borderId="0" xfId="0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6" fillId="3" borderId="0" xfId="3" applyFill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4" borderId="6" xfId="0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166" fontId="3" fillId="0" borderId="2" xfId="1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66" fontId="3" fillId="0" borderId="8" xfId="1" applyNumberFormat="1" applyFont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165" fontId="3" fillId="0" borderId="5" xfId="2" applyNumberFormat="1" applyFont="1" applyBorder="1" applyAlignment="1">
      <alignment horizontal="left"/>
    </xf>
    <xf numFmtId="165" fontId="3" fillId="0" borderId="5" xfId="0" applyNumberFormat="1" applyFont="1" applyBorder="1" applyAlignment="1">
      <alignment horizontal="left"/>
    </xf>
    <xf numFmtId="165" fontId="3" fillId="0" borderId="8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5" fontId="3" fillId="0" borderId="6" xfId="1" applyNumberFormat="1" applyFont="1" applyBorder="1" applyAlignment="1">
      <alignment horizontal="left"/>
    </xf>
    <xf numFmtId="1" fontId="3" fillId="0" borderId="5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5" fontId="3" fillId="0" borderId="9" xfId="1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9" fontId="3" fillId="0" borderId="12" xfId="0" applyNumberFormat="1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6" fillId="0" borderId="0" xfId="3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165" fontId="3" fillId="4" borderId="6" xfId="0" applyNumberFormat="1" applyFont="1" applyFill="1" applyBorder="1" applyAlignment="1">
      <alignment horizontal="center"/>
    </xf>
    <xf numFmtId="164" fontId="3" fillId="4" borderId="6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65" fontId="3" fillId="4" borderId="9" xfId="0" applyNumberFormat="1" applyFont="1" applyFill="1" applyBorder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1" fontId="3" fillId="4" borderId="5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6" xfId="0" applyBorder="1"/>
    <xf numFmtId="164" fontId="0" fillId="0" borderId="6" xfId="1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7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9" borderId="0" xfId="0" applyFill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165" fontId="3" fillId="4" borderId="21" xfId="0" applyNumberFormat="1" applyFont="1" applyFill="1" applyBorder="1" applyAlignment="1">
      <alignment horizontal="center"/>
    </xf>
    <xf numFmtId="164" fontId="3" fillId="4" borderId="21" xfId="0" applyNumberFormat="1" applyFont="1" applyFill="1" applyBorder="1" applyAlignment="1">
      <alignment horizontal="center"/>
    </xf>
    <xf numFmtId="1" fontId="3" fillId="4" borderId="22" xfId="0" applyNumberFormat="1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2" fillId="7" borderId="27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64" fontId="0" fillId="0" borderId="21" xfId="1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  <xf numFmtId="0" fontId="0" fillId="0" borderId="11" xfId="0" applyBorder="1" applyAlignment="1">
      <alignment horizontal="left"/>
    </xf>
    <xf numFmtId="0" fontId="9" fillId="0" borderId="29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9" fillId="0" borderId="31" xfId="0" applyFont="1" applyBorder="1" applyAlignment="1">
      <alignment horizontal="left"/>
    </xf>
    <xf numFmtId="0" fontId="0" fillId="10" borderId="15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0" fillId="9" borderId="14" xfId="0" applyFill="1" applyBorder="1" applyAlignment="1">
      <alignment horizontal="left"/>
    </xf>
    <xf numFmtId="0" fontId="0" fillId="9" borderId="17" xfId="0" applyFill="1" applyBorder="1" applyAlignment="1">
      <alignment horizontal="left"/>
    </xf>
    <xf numFmtId="1" fontId="3" fillId="8" borderId="21" xfId="0" applyNumberFormat="1" applyFont="1" applyFill="1" applyBorder="1" applyAlignment="1">
      <alignment horizontal="center"/>
    </xf>
    <xf numFmtId="1" fontId="3" fillId="8" borderId="6" xfId="0" applyNumberFormat="1" applyFont="1" applyFill="1" applyBorder="1" applyAlignment="1">
      <alignment horizontal="center"/>
    </xf>
    <xf numFmtId="1" fontId="3" fillId="8" borderId="9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left"/>
    </xf>
    <xf numFmtId="17" fontId="0" fillId="0" borderId="0" xfId="0" applyNumberFormat="1"/>
    <xf numFmtId="10" fontId="0" fillId="0" borderId="0" xfId="0" applyNumberFormat="1"/>
    <xf numFmtId="16" fontId="0" fillId="0" borderId="0" xfId="0" applyNumberFormat="1"/>
    <xf numFmtId="0" fontId="0" fillId="9" borderId="15" xfId="0" applyFill="1" applyBorder="1" applyAlignment="1">
      <alignment horizontal="left"/>
    </xf>
    <xf numFmtId="0" fontId="0" fillId="8" borderId="14" xfId="0" applyFill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11" xfId="0" applyNumberFormat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165" fontId="0" fillId="0" borderId="30" xfId="0" applyNumberFormat="1" applyBorder="1" applyAlignment="1">
      <alignment horizontal="left"/>
    </xf>
    <xf numFmtId="0" fontId="0" fillId="9" borderId="31" xfId="0" applyFill="1" applyBorder="1" applyAlignment="1">
      <alignment horizontal="left"/>
    </xf>
    <xf numFmtId="0" fontId="0" fillId="8" borderId="29" xfId="0" applyFill="1" applyBorder="1" applyAlignment="1">
      <alignment horizontal="left"/>
    </xf>
    <xf numFmtId="14" fontId="0" fillId="0" borderId="0" xfId="0" applyNumberFormat="1"/>
    <xf numFmtId="0" fontId="0" fillId="8" borderId="0" xfId="0" applyFill="1" applyAlignment="1">
      <alignment horizontal="left"/>
    </xf>
    <xf numFmtId="0" fontId="0" fillId="8" borderId="30" xfId="0" applyFill="1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5" fontId="3" fillId="4" borderId="3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" fontId="3" fillId="8" borderId="3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0" fontId="3" fillId="4" borderId="34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165" fontId="3" fillId="4" borderId="35" xfId="0" applyNumberFormat="1" applyFont="1" applyFill="1" applyBorder="1" applyAlignment="1">
      <alignment horizontal="center"/>
    </xf>
    <xf numFmtId="164" fontId="3" fillId="4" borderId="35" xfId="0" applyNumberFormat="1" applyFont="1" applyFill="1" applyBorder="1" applyAlignment="1">
      <alignment horizontal="center"/>
    </xf>
    <xf numFmtId="1" fontId="3" fillId="8" borderId="35" xfId="0" applyNumberFormat="1" applyFont="1" applyFill="1" applyBorder="1" applyAlignment="1">
      <alignment horizontal="center"/>
    </xf>
    <xf numFmtId="1" fontId="3" fillId="4" borderId="36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9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10" borderId="0" xfId="0" applyFont="1" applyFill="1" applyAlignment="1">
      <alignment horizontal="left"/>
    </xf>
    <xf numFmtId="0" fontId="3" fillId="13" borderId="0" xfId="0" applyFont="1" applyFill="1" applyAlignment="1">
      <alignment horizontal="left"/>
    </xf>
    <xf numFmtId="14" fontId="3" fillId="13" borderId="0" xfId="0" applyNumberFormat="1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14" borderId="0" xfId="0" applyFont="1" applyFill="1" applyAlignment="1">
      <alignment horizontal="left"/>
    </xf>
    <xf numFmtId="0" fontId="3" fillId="9" borderId="0" xfId="0" applyFont="1" applyFill="1"/>
    <xf numFmtId="0" fontId="3" fillId="12" borderId="0" xfId="0" applyFont="1" applyFill="1"/>
    <xf numFmtId="0" fontId="9" fillId="0" borderId="17" xfId="0" applyFont="1" applyBorder="1" applyAlignment="1">
      <alignment horizontal="center"/>
    </xf>
    <xf numFmtId="0" fontId="10" fillId="16" borderId="28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10" fillId="15" borderId="27" xfId="0" applyFont="1" applyFill="1" applyBorder="1" applyAlignment="1">
      <alignment horizontal="center"/>
    </xf>
    <xf numFmtId="0" fontId="10" fillId="15" borderId="12" xfId="0" applyFont="1" applyFill="1" applyBorder="1" applyAlignment="1">
      <alignment horizontal="center"/>
    </xf>
    <xf numFmtId="0" fontId="10" fillId="17" borderId="27" xfId="0" applyFont="1" applyFill="1" applyBorder="1" applyAlignment="1">
      <alignment horizontal="center"/>
    </xf>
    <xf numFmtId="0" fontId="10" fillId="17" borderId="12" xfId="0" applyFont="1" applyFill="1" applyBorder="1" applyAlignment="1">
      <alignment horizontal="center"/>
    </xf>
    <xf numFmtId="9" fontId="0" fillId="0" borderId="0" xfId="2" applyFont="1"/>
    <xf numFmtId="10" fontId="9" fillId="0" borderId="28" xfId="2" applyNumberFormat="1" applyFon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0" fontId="0" fillId="0" borderId="30" xfId="2" applyNumberFormat="1" applyFont="1" applyBorder="1" applyAlignment="1">
      <alignment horizontal="center"/>
    </xf>
    <xf numFmtId="10" fontId="0" fillId="0" borderId="0" xfId="2" applyNumberFormat="1" applyFont="1"/>
    <xf numFmtId="10" fontId="0" fillId="0" borderId="0" xfId="2" applyNumberFormat="1" applyFont="1" applyBorder="1" applyAlignment="1">
      <alignment horizontal="center"/>
    </xf>
    <xf numFmtId="167" fontId="3" fillId="0" borderId="0" xfId="2" applyNumberFormat="1" applyFont="1"/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1" fillId="18" borderId="1" xfId="0" applyFont="1" applyFill="1" applyBorder="1" applyAlignment="1">
      <alignment horizontal="left"/>
    </xf>
    <xf numFmtId="0" fontId="11" fillId="18" borderId="3" xfId="0" applyFont="1" applyFill="1" applyBorder="1" applyAlignment="1">
      <alignment horizontal="left"/>
    </xf>
    <xf numFmtId="0" fontId="11" fillId="18" borderId="2" xfId="0" applyFont="1" applyFill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11" fillId="18" borderId="23" xfId="0" applyFont="1" applyFill="1" applyBorder="1" applyAlignment="1">
      <alignment horizontal="left"/>
    </xf>
    <xf numFmtId="0" fontId="11" fillId="18" borderId="25" xfId="0" applyFont="1" applyFill="1" applyBorder="1" applyAlignment="1">
      <alignment horizontal="left"/>
    </xf>
    <xf numFmtId="0" fontId="11" fillId="18" borderId="26" xfId="0" applyFont="1" applyFill="1" applyBorder="1" applyAlignment="1">
      <alignment horizontal="left"/>
    </xf>
    <xf numFmtId="0" fontId="3" fillId="19" borderId="28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3" fillId="18" borderId="0" xfId="0" applyFont="1" applyFill="1"/>
    <xf numFmtId="167" fontId="0" fillId="0" borderId="6" xfId="2" applyNumberFormat="1" applyFont="1" applyBorder="1"/>
    <xf numFmtId="10" fontId="0" fillId="0" borderId="30" xfId="2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10" fontId="0" fillId="0" borderId="11" xfId="2" applyNumberFormat="1" applyFont="1" applyFill="1" applyBorder="1" applyAlignment="1">
      <alignment horizontal="center"/>
    </xf>
    <xf numFmtId="164" fontId="0" fillId="0" borderId="21" xfId="1" applyNumberFormat="1" applyFont="1" applyFill="1" applyBorder="1" applyAlignment="1">
      <alignment horizontal="center"/>
    </xf>
    <xf numFmtId="164" fontId="0" fillId="0" borderId="6" xfId="1" applyNumberFormat="1" applyFont="1" applyFill="1" applyBorder="1" applyAlignment="1">
      <alignment horizontal="center"/>
    </xf>
    <xf numFmtId="164" fontId="0" fillId="0" borderId="9" xfId="1" applyNumberFormat="1" applyFont="1" applyFill="1" applyBorder="1" applyAlignment="1">
      <alignment horizontal="center"/>
    </xf>
    <xf numFmtId="18" fontId="3" fillId="0" borderId="0" xfId="0" applyNumberFormat="1" applyFont="1" applyAlignment="1">
      <alignment horizontal="left"/>
    </xf>
    <xf numFmtId="0" fontId="0" fillId="9" borderId="0" xfId="0" applyFill="1"/>
    <xf numFmtId="16" fontId="0" fillId="9" borderId="0" xfId="0" applyNumberFormat="1" applyFill="1"/>
    <xf numFmtId="10" fontId="0" fillId="9" borderId="0" xfId="0" applyNumberFormat="1" applyFill="1"/>
    <xf numFmtId="14" fontId="0" fillId="9" borderId="0" xfId="0" applyNumberFormat="1" applyFill="1"/>
    <xf numFmtId="0" fontId="3" fillId="9" borderId="29" xfId="0" applyFont="1" applyFill="1" applyBorder="1" applyAlignment="1">
      <alignment horizontal="left"/>
    </xf>
    <xf numFmtId="0" fontId="3" fillId="9" borderId="30" xfId="0" applyFont="1" applyFill="1" applyBorder="1" applyAlignment="1">
      <alignment horizontal="left"/>
    </xf>
    <xf numFmtId="165" fontId="3" fillId="9" borderId="30" xfId="0" applyNumberFormat="1" applyFont="1" applyFill="1" applyBorder="1" applyAlignment="1">
      <alignment horizontal="left"/>
    </xf>
    <xf numFmtId="0" fontId="3" fillId="9" borderId="14" xfId="0" applyFont="1" applyFill="1" applyBorder="1" applyAlignment="1">
      <alignment horizontal="left"/>
    </xf>
    <xf numFmtId="165" fontId="3" fillId="9" borderId="0" xfId="0" applyNumberFormat="1" applyFont="1" applyFill="1" applyAlignment="1">
      <alignment horizontal="left"/>
    </xf>
    <xf numFmtId="5" fontId="3" fillId="2" borderId="6" xfId="0" applyNumberFormat="1" applyFont="1" applyFill="1" applyBorder="1" applyAlignment="1">
      <alignment horizontal="center"/>
    </xf>
    <xf numFmtId="5" fontId="3" fillId="2" borderId="9" xfId="0" applyNumberFormat="1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165" fontId="3" fillId="5" borderId="6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5" fontId="3" fillId="0" borderId="6" xfId="0" applyNumberFormat="1" applyFont="1" applyBorder="1" applyAlignment="1">
      <alignment horizontal="center"/>
    </xf>
    <xf numFmtId="5" fontId="3" fillId="5" borderId="6" xfId="0" applyNumberFormat="1" applyFont="1" applyFill="1" applyBorder="1" applyAlignment="1">
      <alignment horizontal="center"/>
    </xf>
    <xf numFmtId="9" fontId="3" fillId="5" borderId="5" xfId="2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165" fontId="3" fillId="5" borderId="9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5" fontId="3" fillId="0" borderId="9" xfId="0" applyNumberFormat="1" applyFont="1" applyBorder="1" applyAlignment="1">
      <alignment horizontal="center"/>
    </xf>
    <xf numFmtId="5" fontId="3" fillId="5" borderId="9" xfId="0" applyNumberFormat="1" applyFont="1" applyFill="1" applyBorder="1" applyAlignment="1">
      <alignment horizontal="center"/>
    </xf>
    <xf numFmtId="9" fontId="3" fillId="5" borderId="8" xfId="2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" fillId="6" borderId="38" xfId="0" applyFont="1" applyFill="1" applyBorder="1" applyAlignment="1">
      <alignment horizontal="center"/>
    </xf>
    <xf numFmtId="0" fontId="2" fillId="6" borderId="39" xfId="0" applyFont="1" applyFill="1" applyBorder="1" applyAlignment="1">
      <alignment horizontal="center"/>
    </xf>
    <xf numFmtId="0" fontId="2" fillId="6" borderId="40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165" fontId="3" fillId="5" borderId="21" xfId="0" applyNumberFormat="1" applyFont="1" applyFill="1" applyBorder="1" applyAlignment="1">
      <alignment horizontal="center"/>
    </xf>
    <xf numFmtId="165" fontId="3" fillId="2" borderId="21" xfId="0" applyNumberFormat="1" applyFont="1" applyFill="1" applyBorder="1" applyAlignment="1">
      <alignment horizontal="center"/>
    </xf>
    <xf numFmtId="5" fontId="3" fillId="2" borderId="21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5" fontId="3" fillId="0" borderId="21" xfId="0" applyNumberFormat="1" applyFont="1" applyBorder="1" applyAlignment="1">
      <alignment horizontal="center"/>
    </xf>
    <xf numFmtId="5" fontId="3" fillId="5" borderId="21" xfId="0" applyNumberFormat="1" applyFont="1" applyFill="1" applyBorder="1" applyAlignment="1">
      <alignment horizontal="center"/>
    </xf>
    <xf numFmtId="9" fontId="3" fillId="5" borderId="22" xfId="2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165" fontId="3" fillId="5" borderId="3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5" fontId="3" fillId="2" borderId="3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5" fontId="3" fillId="0" borderId="3" xfId="0" applyNumberFormat="1" applyFont="1" applyBorder="1" applyAlignment="1">
      <alignment horizontal="center"/>
    </xf>
    <xf numFmtId="5" fontId="3" fillId="5" borderId="3" xfId="0" applyNumberFormat="1" applyFont="1" applyFill="1" applyBorder="1" applyAlignment="1">
      <alignment horizontal="center"/>
    </xf>
    <xf numFmtId="9" fontId="3" fillId="5" borderId="2" xfId="2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5" fontId="3" fillId="4" borderId="3" xfId="0" applyNumberFormat="1" applyFont="1" applyFill="1" applyBorder="1" applyAlignment="1">
      <alignment horizontal="center"/>
    </xf>
    <xf numFmtId="9" fontId="3" fillId="4" borderId="2" xfId="2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5" fontId="3" fillId="4" borderId="9" xfId="0" applyNumberFormat="1" applyFont="1" applyFill="1" applyBorder="1" applyAlignment="1">
      <alignment horizontal="center"/>
    </xf>
    <xf numFmtId="9" fontId="3" fillId="4" borderId="8" xfId="2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5" fontId="3" fillId="4" borderId="6" xfId="0" applyNumberFormat="1" applyFont="1" applyFill="1" applyBorder="1" applyAlignment="1">
      <alignment horizontal="center"/>
    </xf>
    <xf numFmtId="9" fontId="3" fillId="4" borderId="5" xfId="2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/>
    </xf>
    <xf numFmtId="0" fontId="8" fillId="12" borderId="9" xfId="0" applyFont="1" applyFill="1" applyBorder="1" applyAlignment="1">
      <alignment horizontal="center"/>
    </xf>
    <xf numFmtId="0" fontId="8" fillId="12" borderId="6" xfId="0" applyFont="1" applyFill="1" applyBorder="1" applyAlignment="1">
      <alignment horizontal="center"/>
    </xf>
    <xf numFmtId="0" fontId="8" fillId="20" borderId="6" xfId="0" applyFont="1" applyFill="1" applyBorder="1" applyAlignment="1">
      <alignment horizontal="center"/>
    </xf>
    <xf numFmtId="0" fontId="8" fillId="20" borderId="9" xfId="0" applyFont="1" applyFill="1" applyBorder="1" applyAlignment="1">
      <alignment horizontal="center"/>
    </xf>
    <xf numFmtId="0" fontId="8" fillId="20" borderId="3" xfId="0" applyFont="1" applyFill="1" applyBorder="1" applyAlignment="1">
      <alignment horizontal="center"/>
    </xf>
    <xf numFmtId="0" fontId="8" fillId="12" borderId="2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F9CA6B"/>
      </font>
      <fill>
        <patternFill>
          <bgColor theme="9" tint="-0.24994659260841701"/>
        </patternFill>
      </fill>
    </dxf>
    <dxf>
      <font>
        <color theme="0" tint="-4.9989318521683403E-2"/>
      </font>
      <fill>
        <patternFill>
          <bgColor theme="5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9CA6B"/>
      </font>
      <fill>
        <patternFill>
          <bgColor rgb="FF32451B"/>
        </patternFill>
      </fill>
    </dxf>
    <dxf>
      <font>
        <color theme="0" tint="-0.14996795556505021"/>
      </font>
      <fill>
        <patternFill>
          <bgColor rgb="FF255149"/>
        </patternFill>
      </fill>
    </dxf>
    <dxf>
      <font>
        <color rgb="FF000000"/>
      </font>
      <fill>
        <patternFill>
          <bgColor rgb="FF63BDC1"/>
        </patternFill>
      </fill>
    </dxf>
    <dxf>
      <font>
        <color rgb="FFC9BE7D"/>
      </font>
      <fill>
        <patternFill>
          <bgColor rgb="FFC00000"/>
        </patternFill>
      </fill>
    </dxf>
    <dxf>
      <font>
        <color theme="0"/>
      </font>
      <fill>
        <patternFill>
          <bgColor rgb="FF083EB8"/>
        </patternFill>
      </fill>
    </dxf>
    <dxf>
      <font>
        <color theme="0" tint="-0.14996795556505021"/>
      </font>
      <fill>
        <patternFill>
          <bgColor theme="2" tint="-0.749961851863155"/>
        </patternFill>
      </fill>
    </dxf>
    <dxf>
      <font>
        <color rgb="FFFF984B"/>
      </font>
      <fill>
        <patternFill>
          <bgColor theme="2" tint="-0.749961851863155"/>
        </patternFill>
      </fill>
    </dxf>
    <dxf>
      <font>
        <color theme="6" tint="-0.24994659260841701"/>
      </font>
      <fill>
        <patternFill>
          <bgColor theme="2" tint="-0.749961851863155"/>
        </patternFill>
      </fill>
    </dxf>
    <dxf>
      <font>
        <color rgb="FFF9CA6B"/>
      </font>
      <fill>
        <patternFill>
          <bgColor theme="4" tint="-0.499984740745262"/>
        </patternFill>
      </fill>
    </dxf>
    <dxf>
      <font>
        <color rgb="FFF9CA6B"/>
      </font>
      <fill>
        <patternFill>
          <bgColor rgb="FF0070C0"/>
        </patternFill>
      </fill>
    </dxf>
    <dxf>
      <font>
        <color rgb="FFC9BE7D"/>
      </font>
      <fill>
        <patternFill>
          <bgColor rgb="FFA20202"/>
        </patternFill>
      </fill>
    </dxf>
    <dxf>
      <font>
        <color theme="1"/>
      </font>
      <fill>
        <patternFill>
          <bgColor rgb="FFEEDF16"/>
        </patternFill>
      </fill>
    </dxf>
    <dxf>
      <font>
        <color rgb="FFF9CA6B"/>
      </font>
      <fill>
        <patternFill>
          <bgColor rgb="FF092753"/>
        </patternFill>
      </fill>
    </dxf>
    <dxf>
      <font>
        <color rgb="FFFF0000"/>
      </font>
      <fill>
        <patternFill>
          <bgColor rgb="FF04273E"/>
        </patternFill>
      </fill>
    </dxf>
    <dxf>
      <font>
        <color rgb="FFFF984B"/>
      </font>
      <fill>
        <patternFill>
          <bgColor rgb="FF053353"/>
        </patternFill>
      </fill>
    </dxf>
    <dxf>
      <font>
        <color rgb="FF4FD8F3"/>
      </font>
      <fill>
        <patternFill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CC00"/>
      <color rgb="FF1F4177"/>
      <color rgb="FF7E0418"/>
      <color rgb="FF234D27"/>
      <color rgb="FF326C38"/>
      <color rgb="FF650313"/>
      <color rgb="FF23777B"/>
      <color rgb="FF331C15"/>
      <color rgb="FFD7D3A5"/>
      <color rgb="FFA20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www.actionnetwork.com/nfl/odds/tennessee-titans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www.actionnetwork.com/nfl/odds/miami-dolphins" TargetMode="External"/><Relationship Id="rId63" Type="http://schemas.openxmlformats.org/officeDocument/2006/relationships/hyperlink" Target="https://www.actionnetwork.com/nfl/odds/cleveland-browns" TargetMode="External"/><Relationship Id="rId68" Type="http://schemas.openxmlformats.org/officeDocument/2006/relationships/image" Target="../media/image34.png"/><Relationship Id="rId16" Type="http://schemas.openxmlformats.org/officeDocument/2006/relationships/image" Target="../media/image8.png"/><Relationship Id="rId11" Type="http://schemas.openxmlformats.org/officeDocument/2006/relationships/hyperlink" Target="https://www.actionnetwork.com/nfl/odds/tampa-bay-buccaneers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www.actionnetwork.com/nfl/odds/new-england-patriots" TargetMode="External"/><Relationship Id="rId40" Type="http://schemas.openxmlformats.org/officeDocument/2006/relationships/image" Target="../media/image20.png"/><Relationship Id="rId45" Type="http://schemas.openxmlformats.org/officeDocument/2006/relationships/hyperlink" Target="https://www.actionnetwork.com/nfl/odds/minnesota-vikings" TargetMode="External"/><Relationship Id="rId53" Type="http://schemas.openxmlformats.org/officeDocument/2006/relationships/hyperlink" Target="https://www.actionnetwork.com/nfl/odds/new-orleans-saints" TargetMode="External"/><Relationship Id="rId58" Type="http://schemas.openxmlformats.org/officeDocument/2006/relationships/image" Target="../media/image29.png"/><Relationship Id="rId66" Type="http://schemas.openxmlformats.org/officeDocument/2006/relationships/image" Target="../media/image33.png"/><Relationship Id="rId74" Type="http://schemas.openxmlformats.org/officeDocument/2006/relationships/image" Target="../media/image37.png"/><Relationship Id="rId79" Type="http://schemas.openxmlformats.org/officeDocument/2006/relationships/hyperlink" Target="https://switchboard.actionnetwork.com/offers?bookId=71&amp;stateCode=world&amp;context=web-compareodds-futures-banner&amp;deviceId=1707d14b-9b76-4dc9-89c7-e65227760cf6" TargetMode="External"/><Relationship Id="rId5" Type="http://schemas.openxmlformats.org/officeDocument/2006/relationships/hyperlink" Target="https://switchboard.actionnetwork.com/offers?bookId=68&amp;stateCode=14&amp;context=web-compareodds-futures-banner" TargetMode="External"/><Relationship Id="rId61" Type="http://schemas.openxmlformats.org/officeDocument/2006/relationships/hyperlink" Target="https://www.actionnetwork.com/nfl/odds/las-vegas-raiders" TargetMode="External"/><Relationship Id="rId19" Type="http://schemas.openxmlformats.org/officeDocument/2006/relationships/hyperlink" Target="https://www.actionnetwork.com/nfl/odds/kansas-city-chiefs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www.actionnetwork.com/nfl/odds/san-francisco-49ers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www.actionnetwork.com/nfl/odds/indianapolis-colts" TargetMode="External"/><Relationship Id="rId43" Type="http://schemas.openxmlformats.org/officeDocument/2006/relationships/hyperlink" Target="https://www.actionnetwork.com/nfl/odds/dallas-cowboys" TargetMode="Externa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32.png"/><Relationship Id="rId69" Type="http://schemas.openxmlformats.org/officeDocument/2006/relationships/hyperlink" Target="https://www.actionnetwork.com/nfl/odds/los-angeles-rams" TargetMode="External"/><Relationship Id="rId77" Type="http://schemas.openxmlformats.org/officeDocument/2006/relationships/hyperlink" Target="https://switchboard.actionnetwork.com/offers?bookId=68&amp;stateCode=world&amp;context=web-compareodds-futures-banner&amp;deviceId=1707d14b-9b76-4dc9-89c7-e65227760cf6" TargetMode="External"/><Relationship Id="rId8" Type="http://schemas.openxmlformats.org/officeDocument/2006/relationships/image" Target="../media/image4.jpeg"/><Relationship Id="rId51" Type="http://schemas.openxmlformats.org/officeDocument/2006/relationships/hyperlink" Target="https://www.actionnetwork.com/nfl/odds/los-angeles-chargers" TargetMode="External"/><Relationship Id="rId72" Type="http://schemas.openxmlformats.org/officeDocument/2006/relationships/image" Target="../media/image36.png"/><Relationship Id="rId3" Type="http://schemas.openxmlformats.org/officeDocument/2006/relationships/hyperlink" Target="https://switchboard.actionnetwork.com/offers?bookId=123&amp;stateCode=14&amp;context=web-compareodds-futures-banner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www.actionnetwork.com/nfl/odds/carolina-panthers" TargetMode="External"/><Relationship Id="rId25" Type="http://schemas.openxmlformats.org/officeDocument/2006/relationships/hyperlink" Target="https://www.actionnetwork.com/nfl/odds/arizona-cardinals" TargetMode="External"/><Relationship Id="rId33" Type="http://schemas.openxmlformats.org/officeDocument/2006/relationships/hyperlink" Target="https://www.actionnetwork.com/nfl/odds/buffalo-bills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www.actionnetwork.com/nfl/odds/atlanta-falcons" TargetMode="External"/><Relationship Id="rId67" Type="http://schemas.openxmlformats.org/officeDocument/2006/relationships/hyperlink" Target="https://www.actionnetwork.com/nfl/odds/green-bay-packers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www.actionnetwork.com/nfl/odds/cincinnati-bengals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switchboard.actionnetwork.com/offers?bookId=79&amp;stateCode=world&amp;context=web-compareodds-futures-banner&amp;deviceId=1707d14b-9b76-4dc9-89c7-e65227760cf6" TargetMode="External"/><Relationship Id="rId1" Type="http://schemas.openxmlformats.org/officeDocument/2006/relationships/hyperlink" Target="https://switchboard.actionnetwork.com/offers?bookId=79&amp;stateCode=14&amp;context=web-compareodds-futures-banner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www.actionnetwork.com/nfl/odds/seattle-seahawks" TargetMode="External"/><Relationship Id="rId23" Type="http://schemas.openxmlformats.org/officeDocument/2006/relationships/hyperlink" Target="https://www.actionnetwork.com/nfl/odds/new-york-jets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www.actionnetwork.com/nfl/odds/chicago-bears" TargetMode="External"/><Relationship Id="rId57" Type="http://schemas.openxmlformats.org/officeDocument/2006/relationships/hyperlink" Target="https://www.actionnetwork.com/nfl/odds/baltimore-ravens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www.actionnetwork.com/nfl/odds/jacksonville-jaguars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www.actionnetwork.com/nfl/odds/detroit-lions" TargetMode="External"/><Relationship Id="rId73" Type="http://schemas.openxmlformats.org/officeDocument/2006/relationships/hyperlink" Target="https://www.actionnetwork.com/nfl/odds/denver-broncos" TargetMode="External"/><Relationship Id="rId78" Type="http://schemas.openxmlformats.org/officeDocument/2006/relationships/hyperlink" Target="https://switchboard.actionnetwork.com/offers?bookId=69&amp;stateCode=world&amp;context=web-compareodds-futures-banner&amp;deviceId=1707d14b-9b76-4dc9-89c7-e65227760cf6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switchboard.actionnetwork.com/offers?bookId=71&amp;stateCode=14&amp;context=web-compareodds-futures-banner" TargetMode="External"/><Relationship Id="rId13" Type="http://schemas.openxmlformats.org/officeDocument/2006/relationships/hyperlink" Target="https://www.actionnetwork.com/nfl/odds/washington-commanders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www.actionnetwork.com/nfl/odds/new-york-giants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www.actionnetwork.com/nfl/odds/pittsburgh-steelers" TargetMode="External"/><Relationship Id="rId76" Type="http://schemas.openxmlformats.org/officeDocument/2006/relationships/hyperlink" Target="https://switchboard.actionnetwork.com/offers?bookId=123&amp;stateCode=world&amp;context=web-compareodds-futures-banner&amp;deviceId=1707d14b-9b76-4dc9-89c7-e65227760cf6" TargetMode="External"/><Relationship Id="rId7" Type="http://schemas.openxmlformats.org/officeDocument/2006/relationships/hyperlink" Target="https://switchboard.actionnetwork.com/offers?bookId=69&amp;stateCode=14&amp;context=web-compareodds-futures-banner" TargetMode="External"/><Relationship Id="rId71" Type="http://schemas.openxmlformats.org/officeDocument/2006/relationships/hyperlink" Target="https://www.actionnetwork.com/nfl/odds/philadelphia-eagles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actionnetwork.com/nfl/odds/houston-texan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790575</xdr:colOff>
      <xdr:row>0</xdr:row>
      <xdr:rowOff>200025</xdr:rowOff>
    </xdr:to>
    <xdr:pic>
      <xdr:nvPicPr>
        <xdr:cNvPr id="150" name="Picture 149" descr="bet365 NJ logo">
          <a:hlinkClick xmlns:r="http://schemas.openxmlformats.org/officeDocument/2006/relationships" r:id="rId1" tooltip="bet365 NJ Sportsbook Odds and Betting Lines"/>
          <a:extLst>
            <a:ext uri="{FF2B5EF4-FFF2-40B4-BE49-F238E27FC236}">
              <a16:creationId xmlns:a16="http://schemas.microsoft.com/office/drawing/2014/main" id="{C61961AB-697C-2A9E-844E-B30AB7B02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0"/>
          <a:ext cx="7905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800100</xdr:colOff>
      <xdr:row>0</xdr:row>
      <xdr:rowOff>200025</xdr:rowOff>
    </xdr:to>
    <xdr:pic>
      <xdr:nvPicPr>
        <xdr:cNvPr id="151" name="Picture 150" descr="Caesars NJ logo">
          <a:hlinkClick xmlns:r="http://schemas.openxmlformats.org/officeDocument/2006/relationships" r:id="rId3" tooltip="Caesars NJ Sportsbook Odds and Betting Lines"/>
          <a:extLst>
            <a:ext uri="{FF2B5EF4-FFF2-40B4-BE49-F238E27FC236}">
              <a16:creationId xmlns:a16="http://schemas.microsoft.com/office/drawing/2014/main" id="{9BCE8390-CDF9-A99B-4D2B-3230B2C5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0"/>
          <a:ext cx="8001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800100</xdr:colOff>
      <xdr:row>0</xdr:row>
      <xdr:rowOff>200025</xdr:rowOff>
    </xdr:to>
    <xdr:pic>
      <xdr:nvPicPr>
        <xdr:cNvPr id="152" name="Picture 151" descr="DK NJ logo">
          <a:hlinkClick xmlns:r="http://schemas.openxmlformats.org/officeDocument/2006/relationships" r:id="rId5" tooltip="DK NJ Sportsbook Odds and Betting Lines"/>
          <a:extLst>
            <a:ext uri="{FF2B5EF4-FFF2-40B4-BE49-F238E27FC236}">
              <a16:creationId xmlns:a16="http://schemas.microsoft.com/office/drawing/2014/main" id="{7C8AA800-B6CF-985C-5A6D-C17A59095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0"/>
          <a:ext cx="8001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790575</xdr:colOff>
      <xdr:row>0</xdr:row>
      <xdr:rowOff>200025</xdr:rowOff>
    </xdr:to>
    <xdr:pic>
      <xdr:nvPicPr>
        <xdr:cNvPr id="153" name="Picture 152" descr="FanDuel NJ logo">
          <a:hlinkClick xmlns:r="http://schemas.openxmlformats.org/officeDocument/2006/relationships" r:id="rId7" tooltip="FanDuel NJ Sportsbook Odds and Betting Lines"/>
          <a:extLst>
            <a:ext uri="{FF2B5EF4-FFF2-40B4-BE49-F238E27FC236}">
              <a16:creationId xmlns:a16="http://schemas.microsoft.com/office/drawing/2014/main" id="{941F19E5-B840-6B1B-A6BC-62198C762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0"/>
          <a:ext cx="7905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800100</xdr:colOff>
      <xdr:row>0</xdr:row>
      <xdr:rowOff>200025</xdr:rowOff>
    </xdr:to>
    <xdr:pic>
      <xdr:nvPicPr>
        <xdr:cNvPr id="154" name="Picture 153" descr="BetRivers NJ logo">
          <a:hlinkClick xmlns:r="http://schemas.openxmlformats.org/officeDocument/2006/relationships" r:id="rId9" tooltip="BetRivers NJ Sportsbook Odds and Betting Lines"/>
          <a:extLst>
            <a:ext uri="{FF2B5EF4-FFF2-40B4-BE49-F238E27FC236}">
              <a16:creationId xmlns:a16="http://schemas.microsoft.com/office/drawing/2014/main" id="{636DFE0A-3563-E5D7-43D1-9351F5E9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0"/>
          <a:ext cx="8001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285750</xdr:colOff>
      <xdr:row>2</xdr:row>
      <xdr:rowOff>28575</xdr:rowOff>
    </xdr:to>
    <xdr:pic>
      <xdr:nvPicPr>
        <xdr:cNvPr id="155" name="Picture 154" descr="Tampa Bay Buccaneers Log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FEB8C91-4516-6518-FBC2-3D695472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285750</xdr:colOff>
      <xdr:row>6</xdr:row>
      <xdr:rowOff>28575</xdr:rowOff>
    </xdr:to>
    <xdr:pic>
      <xdr:nvPicPr>
        <xdr:cNvPr id="156" name="Picture 155" descr="Washington Commanders Log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DF18952-DB02-1E54-C392-30F45A418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285750</xdr:colOff>
      <xdr:row>10</xdr:row>
      <xdr:rowOff>28575</xdr:rowOff>
    </xdr:to>
    <xdr:pic>
      <xdr:nvPicPr>
        <xdr:cNvPr id="157" name="Picture 156" descr="Seattle Seahawks Logo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70F5E67-7188-4812-A1D3-F7094E8A2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4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285750</xdr:colOff>
      <xdr:row>14</xdr:row>
      <xdr:rowOff>28575</xdr:rowOff>
    </xdr:to>
    <xdr:pic>
      <xdr:nvPicPr>
        <xdr:cNvPr id="158" name="Picture 157" descr="Carolina Panthers Logo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E0E31A4-9DE9-21F4-88D5-6C645195B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3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285750</xdr:colOff>
      <xdr:row>18</xdr:row>
      <xdr:rowOff>28575</xdr:rowOff>
    </xdr:to>
    <xdr:pic>
      <xdr:nvPicPr>
        <xdr:cNvPr id="159" name="Picture 158" descr="Kansas City Chiefs Logo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BC3CEDF-5B2D-67EF-2F11-94D2F343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1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285750</xdr:colOff>
      <xdr:row>22</xdr:row>
      <xdr:rowOff>28575</xdr:rowOff>
    </xdr:to>
    <xdr:pic>
      <xdr:nvPicPr>
        <xdr:cNvPr id="160" name="Picture 159" descr="Tennessee Titans Logo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A8DD4AA-956A-76F8-FF44-6AC84941D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0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285750</xdr:colOff>
      <xdr:row>26</xdr:row>
      <xdr:rowOff>28575</xdr:rowOff>
    </xdr:to>
    <xdr:pic>
      <xdr:nvPicPr>
        <xdr:cNvPr id="161" name="Picture 160" descr="New York Jets Logo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07951AF-C0C7-0B74-759C-8C8438CBD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9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285750</xdr:colOff>
      <xdr:row>30</xdr:row>
      <xdr:rowOff>28575</xdr:rowOff>
    </xdr:to>
    <xdr:pic>
      <xdr:nvPicPr>
        <xdr:cNvPr id="162" name="Picture 161" descr="Arizona Cardinals Logo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A1856833-0D4D-5FCE-CA75-C77B0867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8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285750</xdr:colOff>
      <xdr:row>34</xdr:row>
      <xdr:rowOff>28575</xdr:rowOff>
    </xdr:to>
    <xdr:pic>
      <xdr:nvPicPr>
        <xdr:cNvPr id="163" name="Picture 162" descr="San Francisco 49ers Logo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CD0311AC-7E93-7E91-3BC6-3B3CBA79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6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285750</xdr:colOff>
      <xdr:row>38</xdr:row>
      <xdr:rowOff>28575</xdr:rowOff>
    </xdr:to>
    <xdr:pic>
      <xdr:nvPicPr>
        <xdr:cNvPr id="164" name="Picture 163" descr="Houston Texans Logo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8F651777-D2F4-5748-F41C-F3C476022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5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285750</xdr:colOff>
      <xdr:row>42</xdr:row>
      <xdr:rowOff>28575</xdr:rowOff>
    </xdr:to>
    <xdr:pic>
      <xdr:nvPicPr>
        <xdr:cNvPr id="165" name="Picture 164" descr="Jacksonville Jaguars Logo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A7188C98-7E9D-7502-BA0D-5B67A4F0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44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285750</xdr:colOff>
      <xdr:row>46</xdr:row>
      <xdr:rowOff>28575</xdr:rowOff>
    </xdr:to>
    <xdr:pic>
      <xdr:nvPicPr>
        <xdr:cNvPr id="166" name="Picture 165" descr="Buffalo Bills Logo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6F6E6B-A7FF-EC05-C82A-075231FAB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72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285750</xdr:colOff>
      <xdr:row>50</xdr:row>
      <xdr:rowOff>28575</xdr:rowOff>
    </xdr:to>
    <xdr:pic>
      <xdr:nvPicPr>
        <xdr:cNvPr id="167" name="Picture 166" descr="Indianapolis Colts Logo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E34039C0-89E9-12B2-EAE8-28E0B4DBA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01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285750</xdr:colOff>
      <xdr:row>54</xdr:row>
      <xdr:rowOff>28575</xdr:rowOff>
    </xdr:to>
    <xdr:pic>
      <xdr:nvPicPr>
        <xdr:cNvPr id="168" name="Picture 167" descr="New England Patriots Logo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379547DB-01EF-B608-02E1-3155FD246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30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285750</xdr:colOff>
      <xdr:row>58</xdr:row>
      <xdr:rowOff>28575</xdr:rowOff>
    </xdr:to>
    <xdr:pic>
      <xdr:nvPicPr>
        <xdr:cNvPr id="169" name="Picture 168" descr="New York Giants Logo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AEDBCA9A-649C-3226-DE26-F73827779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8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285750</xdr:colOff>
      <xdr:row>62</xdr:row>
      <xdr:rowOff>28575</xdr:rowOff>
    </xdr:to>
    <xdr:pic>
      <xdr:nvPicPr>
        <xdr:cNvPr id="170" name="Picture 169" descr="Cincinnati Bengals Logo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C2C64EBD-A939-149A-A361-AB3ECF7A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285750</xdr:colOff>
      <xdr:row>66</xdr:row>
      <xdr:rowOff>28575</xdr:rowOff>
    </xdr:to>
    <xdr:pic>
      <xdr:nvPicPr>
        <xdr:cNvPr id="171" name="Picture 170" descr="Dallas Cowboys Logo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58C954AF-5BF3-5AC0-AEF3-578CEEA7C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285750</xdr:colOff>
      <xdr:row>70</xdr:row>
      <xdr:rowOff>28575</xdr:rowOff>
    </xdr:to>
    <xdr:pic>
      <xdr:nvPicPr>
        <xdr:cNvPr id="172" name="Picture 171" descr="Minnesota Vikings Logo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32CDBD58-62A8-7777-3BCB-BA4F74B20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45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285750</xdr:colOff>
      <xdr:row>74</xdr:row>
      <xdr:rowOff>28575</xdr:rowOff>
    </xdr:to>
    <xdr:pic>
      <xdr:nvPicPr>
        <xdr:cNvPr id="173" name="Picture 172" descr="Miami Dolphins Logo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43E5CDF9-A32F-B6CD-570F-374E86F29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7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285750</xdr:colOff>
      <xdr:row>78</xdr:row>
      <xdr:rowOff>28575</xdr:rowOff>
    </xdr:to>
    <xdr:pic>
      <xdr:nvPicPr>
        <xdr:cNvPr id="174" name="Picture 173" descr="Chicago Bears Logo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17E7D0B7-1DAB-BB87-E2B1-2B27597C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02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285750</xdr:colOff>
      <xdr:row>82</xdr:row>
      <xdr:rowOff>28575</xdr:rowOff>
    </xdr:to>
    <xdr:pic>
      <xdr:nvPicPr>
        <xdr:cNvPr id="175" name="Picture 174" descr="Los Angeles Chargers Logo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214973C1-BC98-582D-0CCD-3558AE0CF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31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285750</xdr:colOff>
      <xdr:row>86</xdr:row>
      <xdr:rowOff>28575</xdr:rowOff>
    </xdr:to>
    <xdr:pic>
      <xdr:nvPicPr>
        <xdr:cNvPr id="176" name="Picture 175" descr="New Orleans Saints Logo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572C946F-AC98-2FD0-AE78-AA493D535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59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285750</xdr:colOff>
      <xdr:row>90</xdr:row>
      <xdr:rowOff>28575</xdr:rowOff>
    </xdr:to>
    <xdr:pic>
      <xdr:nvPicPr>
        <xdr:cNvPr id="177" name="Picture 176" descr="Pittsburgh Steelers Logo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65E7EC0-7BF0-943F-F2C0-93F99998E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88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285750</xdr:colOff>
      <xdr:row>94</xdr:row>
      <xdr:rowOff>28575</xdr:rowOff>
    </xdr:to>
    <xdr:pic>
      <xdr:nvPicPr>
        <xdr:cNvPr id="178" name="Picture 177" descr="Baltimore Ravens Logo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57F5FE1A-B520-7950-C21F-92EF6EFBD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17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285750</xdr:colOff>
      <xdr:row>98</xdr:row>
      <xdr:rowOff>28575</xdr:rowOff>
    </xdr:to>
    <xdr:pic>
      <xdr:nvPicPr>
        <xdr:cNvPr id="179" name="Picture 178" descr="Atlanta Falcons Logo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F38A10C8-12AB-8D33-0BDB-87B172A7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45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285750</xdr:colOff>
      <xdr:row>102</xdr:row>
      <xdr:rowOff>28575</xdr:rowOff>
    </xdr:to>
    <xdr:pic>
      <xdr:nvPicPr>
        <xdr:cNvPr id="180" name="Picture 179" descr="Las Vegas Raiders Logo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DF1F5F5F-55E8-6728-19AB-091738EAE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74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285750</xdr:colOff>
      <xdr:row>106</xdr:row>
      <xdr:rowOff>28575</xdr:rowOff>
    </xdr:to>
    <xdr:pic>
      <xdr:nvPicPr>
        <xdr:cNvPr id="181" name="Picture 180" descr="Cleveland Browns Logo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FA4FC445-E739-D42E-AAD6-E6F49FAE6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03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285750</xdr:colOff>
      <xdr:row>110</xdr:row>
      <xdr:rowOff>28575</xdr:rowOff>
    </xdr:to>
    <xdr:pic>
      <xdr:nvPicPr>
        <xdr:cNvPr id="182" name="Picture 181" descr="Detroit Lions Logo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492AE07-A264-1E2C-54DA-DA55187A1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3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285750</xdr:colOff>
      <xdr:row>114</xdr:row>
      <xdr:rowOff>28575</xdr:rowOff>
    </xdr:to>
    <xdr:pic>
      <xdr:nvPicPr>
        <xdr:cNvPr id="183" name="Picture 182" descr="Green Bay Packers Logo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27F190F-9239-462B-8EA1-38F5D5AE4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60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285750</xdr:colOff>
      <xdr:row>118</xdr:row>
      <xdr:rowOff>28575</xdr:rowOff>
    </xdr:to>
    <xdr:pic>
      <xdr:nvPicPr>
        <xdr:cNvPr id="184" name="Picture 183" descr="Los Angeles Rams Logo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247C22B-F1E0-8322-FE2F-E5428688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89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285750</xdr:colOff>
      <xdr:row>122</xdr:row>
      <xdr:rowOff>28575</xdr:rowOff>
    </xdr:to>
    <xdr:pic>
      <xdr:nvPicPr>
        <xdr:cNvPr id="185" name="Picture 184" descr="Philadelphia Eagles Logo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2D47EE7D-3BEC-75FD-A23E-BBD4B55E9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18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285750</xdr:colOff>
      <xdr:row>126</xdr:row>
      <xdr:rowOff>28575</xdr:rowOff>
    </xdr:to>
    <xdr:pic>
      <xdr:nvPicPr>
        <xdr:cNvPr id="186" name="Picture 185" descr="Denver Broncos Logo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D7A7125-E4DC-5F91-89B5-401A98434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4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790575</xdr:colOff>
      <xdr:row>0</xdr:row>
      <xdr:rowOff>200025</xdr:rowOff>
    </xdr:to>
    <xdr:pic>
      <xdr:nvPicPr>
        <xdr:cNvPr id="135" name="Picture 134" descr="bet365 NJ logo">
          <a:hlinkClick xmlns:r="http://schemas.openxmlformats.org/officeDocument/2006/relationships" r:id="rId75" tooltip="bet365 NJ Sportsbook Odds and Betting Lines"/>
          <a:extLst>
            <a:ext uri="{FF2B5EF4-FFF2-40B4-BE49-F238E27FC236}">
              <a16:creationId xmlns:a16="http://schemas.microsoft.com/office/drawing/2014/main" id="{EB73CC24-048C-A684-8477-FFB66FA4B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0"/>
          <a:ext cx="7905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800100</xdr:colOff>
      <xdr:row>0</xdr:row>
      <xdr:rowOff>200025</xdr:rowOff>
    </xdr:to>
    <xdr:pic>
      <xdr:nvPicPr>
        <xdr:cNvPr id="136" name="Picture 135" descr="Caesars NJ logo">
          <a:hlinkClick xmlns:r="http://schemas.openxmlformats.org/officeDocument/2006/relationships" r:id="rId76" tooltip="Caesars NJ Sportsbook Odds and Betting Lines"/>
          <a:extLst>
            <a:ext uri="{FF2B5EF4-FFF2-40B4-BE49-F238E27FC236}">
              <a16:creationId xmlns:a16="http://schemas.microsoft.com/office/drawing/2014/main" id="{E0F6EA90-CC8B-271E-3516-EFB221063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0"/>
          <a:ext cx="8001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800100</xdr:colOff>
      <xdr:row>0</xdr:row>
      <xdr:rowOff>200025</xdr:rowOff>
    </xdr:to>
    <xdr:pic>
      <xdr:nvPicPr>
        <xdr:cNvPr id="137" name="Picture 136" descr="DK NJ logo">
          <a:hlinkClick xmlns:r="http://schemas.openxmlformats.org/officeDocument/2006/relationships" r:id="rId77" tooltip="DK NJ Sportsbook Odds and Betting Lines"/>
          <a:extLst>
            <a:ext uri="{FF2B5EF4-FFF2-40B4-BE49-F238E27FC236}">
              <a16:creationId xmlns:a16="http://schemas.microsoft.com/office/drawing/2014/main" id="{73144F61-AEB5-FED1-ED92-9F52878D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0"/>
          <a:ext cx="8001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790575</xdr:colOff>
      <xdr:row>0</xdr:row>
      <xdr:rowOff>200025</xdr:rowOff>
    </xdr:to>
    <xdr:pic>
      <xdr:nvPicPr>
        <xdr:cNvPr id="138" name="Picture 137" descr="FanDuel NJ logo">
          <a:hlinkClick xmlns:r="http://schemas.openxmlformats.org/officeDocument/2006/relationships" r:id="rId78" tooltip="FanDuel NJ Sportsbook Odds and Betting Lines"/>
          <a:extLst>
            <a:ext uri="{FF2B5EF4-FFF2-40B4-BE49-F238E27FC236}">
              <a16:creationId xmlns:a16="http://schemas.microsoft.com/office/drawing/2014/main" id="{E5A32C2A-A436-D108-45D5-AE9E3818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0"/>
          <a:ext cx="7905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800100</xdr:colOff>
      <xdr:row>0</xdr:row>
      <xdr:rowOff>200025</xdr:rowOff>
    </xdr:to>
    <xdr:pic>
      <xdr:nvPicPr>
        <xdr:cNvPr id="139" name="Picture 138" descr="BetRivers NJ logo">
          <a:hlinkClick xmlns:r="http://schemas.openxmlformats.org/officeDocument/2006/relationships" r:id="rId79" tooltip="BetRivers NJ Sportsbook Odds and Betting Lines"/>
          <a:extLst>
            <a:ext uri="{FF2B5EF4-FFF2-40B4-BE49-F238E27FC236}">
              <a16:creationId xmlns:a16="http://schemas.microsoft.com/office/drawing/2014/main" id="{5DA9989D-C2AE-5B42-BBC5-75770AF7A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0"/>
          <a:ext cx="8001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285750</xdr:colOff>
      <xdr:row>2</xdr:row>
      <xdr:rowOff>28575</xdr:rowOff>
    </xdr:to>
    <xdr:pic>
      <xdr:nvPicPr>
        <xdr:cNvPr id="140" name="Picture 139" descr="Tampa Bay Buccaneers Log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F07FB1F-8940-BC57-43AD-9993F0612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285750</xdr:colOff>
      <xdr:row>6</xdr:row>
      <xdr:rowOff>28575</xdr:rowOff>
    </xdr:to>
    <xdr:pic>
      <xdr:nvPicPr>
        <xdr:cNvPr id="141" name="Picture 140" descr="Washington Commanders Log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63CA66D-164F-CF5D-56E4-66BA2D419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5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285750</xdr:colOff>
      <xdr:row>10</xdr:row>
      <xdr:rowOff>28575</xdr:rowOff>
    </xdr:to>
    <xdr:pic>
      <xdr:nvPicPr>
        <xdr:cNvPr id="142" name="Picture 141" descr="Seattle Seahawks Logo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0EF5E30-6423-26BB-2020-B60C43D6C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4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285750</xdr:colOff>
      <xdr:row>14</xdr:row>
      <xdr:rowOff>28575</xdr:rowOff>
    </xdr:to>
    <xdr:pic>
      <xdr:nvPicPr>
        <xdr:cNvPr id="143" name="Picture 142" descr="Carolina Panthers Logo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2395AB6-3063-3CD9-767C-E5B243FE4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3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285750</xdr:colOff>
      <xdr:row>18</xdr:row>
      <xdr:rowOff>28575</xdr:rowOff>
    </xdr:to>
    <xdr:pic>
      <xdr:nvPicPr>
        <xdr:cNvPr id="144" name="Picture 143" descr="Kansas City Chiefs Logo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52BAE38-EA33-4383-B580-32FAE76B8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1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285750</xdr:colOff>
      <xdr:row>22</xdr:row>
      <xdr:rowOff>28575</xdr:rowOff>
    </xdr:to>
    <xdr:pic>
      <xdr:nvPicPr>
        <xdr:cNvPr id="145" name="Picture 144" descr="Tennessee Titans Logo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08BA500-5266-6671-744E-6AA2B1E2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0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285750</xdr:colOff>
      <xdr:row>26</xdr:row>
      <xdr:rowOff>28575</xdr:rowOff>
    </xdr:to>
    <xdr:pic>
      <xdr:nvPicPr>
        <xdr:cNvPr id="146" name="Picture 145" descr="New York Jets Logo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8A0AB329-CA5F-3FAB-27F9-92371AA4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9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285750</xdr:colOff>
      <xdr:row>30</xdr:row>
      <xdr:rowOff>28575</xdr:rowOff>
    </xdr:to>
    <xdr:pic>
      <xdr:nvPicPr>
        <xdr:cNvPr id="147" name="Picture 146" descr="Arizona Cardinals Logo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EC1C36F-83C3-FB16-FF47-F74FEFEE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8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285750</xdr:colOff>
      <xdr:row>34</xdr:row>
      <xdr:rowOff>28575</xdr:rowOff>
    </xdr:to>
    <xdr:pic>
      <xdr:nvPicPr>
        <xdr:cNvPr id="148" name="Picture 147" descr="San Francisco 49ers Logo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831DA7A-48EC-2383-35DC-4A8165CB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86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285750</xdr:colOff>
      <xdr:row>38</xdr:row>
      <xdr:rowOff>28575</xdr:rowOff>
    </xdr:to>
    <xdr:pic>
      <xdr:nvPicPr>
        <xdr:cNvPr id="149" name="Picture 148" descr="Houston Texans Logo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B91E676E-C3F0-F999-54BA-E9DDD4429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15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285750</xdr:colOff>
      <xdr:row>42</xdr:row>
      <xdr:rowOff>28575</xdr:rowOff>
    </xdr:to>
    <xdr:pic>
      <xdr:nvPicPr>
        <xdr:cNvPr id="187" name="Picture 186" descr="Jacksonville Jaguars Logo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D236335F-742B-0183-3444-BF524A6E0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44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285750</xdr:colOff>
      <xdr:row>46</xdr:row>
      <xdr:rowOff>28575</xdr:rowOff>
    </xdr:to>
    <xdr:pic>
      <xdr:nvPicPr>
        <xdr:cNvPr id="188" name="Picture 187" descr="Buffalo Bills Logo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FC6395CD-986C-AA65-72C4-255FFCF4A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72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285750</xdr:colOff>
      <xdr:row>50</xdr:row>
      <xdr:rowOff>28575</xdr:rowOff>
    </xdr:to>
    <xdr:pic>
      <xdr:nvPicPr>
        <xdr:cNvPr id="189" name="Picture 188" descr="Indianapolis Colts Logo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1C325FF2-0732-B0BF-E1D4-1816F941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01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285750</xdr:colOff>
      <xdr:row>54</xdr:row>
      <xdr:rowOff>28575</xdr:rowOff>
    </xdr:to>
    <xdr:pic>
      <xdr:nvPicPr>
        <xdr:cNvPr id="190" name="Picture 189" descr="New England Patriots Logo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188503B0-A155-F414-A50F-4DCD4DC3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30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285750</xdr:colOff>
      <xdr:row>58</xdr:row>
      <xdr:rowOff>28575</xdr:rowOff>
    </xdr:to>
    <xdr:pic>
      <xdr:nvPicPr>
        <xdr:cNvPr id="191" name="Picture 190" descr="New York Giants Logo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CB95D5EE-6B4F-D808-0805-EDB992E6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8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285750</xdr:colOff>
      <xdr:row>62</xdr:row>
      <xdr:rowOff>28575</xdr:rowOff>
    </xdr:to>
    <xdr:pic>
      <xdr:nvPicPr>
        <xdr:cNvPr id="192" name="Picture 191" descr="Cincinnati Bengals Logo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D471D1C1-D30E-BFD0-4B13-98632967B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285750</xdr:colOff>
      <xdr:row>66</xdr:row>
      <xdr:rowOff>28575</xdr:rowOff>
    </xdr:to>
    <xdr:pic>
      <xdr:nvPicPr>
        <xdr:cNvPr id="193" name="Picture 192" descr="Dallas Cowboys Logo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8ED78E4-B65D-F635-4B48-788657A6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6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285750</xdr:colOff>
      <xdr:row>70</xdr:row>
      <xdr:rowOff>28575</xdr:rowOff>
    </xdr:to>
    <xdr:pic>
      <xdr:nvPicPr>
        <xdr:cNvPr id="194" name="Picture 193" descr="Minnesota Vikings Logo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CE5475AA-4699-04B0-45BF-BA69D321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45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285750</xdr:colOff>
      <xdr:row>74</xdr:row>
      <xdr:rowOff>28575</xdr:rowOff>
    </xdr:to>
    <xdr:pic>
      <xdr:nvPicPr>
        <xdr:cNvPr id="195" name="Picture 194" descr="Miami Dolphins Logo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BB47A810-EEE2-5BE4-0DCD-5539A8D6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73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285750</xdr:colOff>
      <xdr:row>78</xdr:row>
      <xdr:rowOff>28575</xdr:rowOff>
    </xdr:to>
    <xdr:pic>
      <xdr:nvPicPr>
        <xdr:cNvPr id="196" name="Picture 195" descr="Chicago Bears Logo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FCC6EA86-C517-AF72-39D4-147EE105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02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285750</xdr:colOff>
      <xdr:row>82</xdr:row>
      <xdr:rowOff>28575</xdr:rowOff>
    </xdr:to>
    <xdr:pic>
      <xdr:nvPicPr>
        <xdr:cNvPr id="197" name="Picture 196" descr="Los Angeles Chargers Logo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26425328-3E2B-8326-2808-DB8FF49B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31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285750</xdr:colOff>
      <xdr:row>86</xdr:row>
      <xdr:rowOff>28575</xdr:rowOff>
    </xdr:to>
    <xdr:pic>
      <xdr:nvPicPr>
        <xdr:cNvPr id="198" name="Picture 197" descr="New Orleans Saints Logo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D0E51B88-04E6-F191-B928-3FAC8CBD3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59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285750</xdr:colOff>
      <xdr:row>90</xdr:row>
      <xdr:rowOff>28575</xdr:rowOff>
    </xdr:to>
    <xdr:pic>
      <xdr:nvPicPr>
        <xdr:cNvPr id="199" name="Picture 198" descr="Pittsburgh Steelers Logo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18984D12-960E-8B34-5592-BF574E32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885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285750</xdr:colOff>
      <xdr:row>94</xdr:row>
      <xdr:rowOff>28575</xdr:rowOff>
    </xdr:to>
    <xdr:pic>
      <xdr:nvPicPr>
        <xdr:cNvPr id="200" name="Picture 199" descr="Baltimore Ravens Logo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226E1E2-7789-CA40-18E5-862DA0448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172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285750</xdr:colOff>
      <xdr:row>98</xdr:row>
      <xdr:rowOff>28575</xdr:rowOff>
    </xdr:to>
    <xdr:pic>
      <xdr:nvPicPr>
        <xdr:cNvPr id="201" name="Picture 200" descr="Atlanta Falcons Logo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8D208BDC-17F6-D105-DBB4-A2ACD5A1F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9459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285750</xdr:colOff>
      <xdr:row>102</xdr:row>
      <xdr:rowOff>28575</xdr:rowOff>
    </xdr:to>
    <xdr:pic>
      <xdr:nvPicPr>
        <xdr:cNvPr id="202" name="Picture 201" descr="Las Vegas Raiders Logo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AEB470F1-0390-B23D-1437-AA6B3D0B5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746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285750</xdr:colOff>
      <xdr:row>106</xdr:row>
      <xdr:rowOff>28575</xdr:rowOff>
    </xdr:to>
    <xdr:pic>
      <xdr:nvPicPr>
        <xdr:cNvPr id="203" name="Picture 202" descr="Cleveland Browns Logo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F4D30109-133D-CC50-920C-373C7CE1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033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285750</xdr:colOff>
      <xdr:row>110</xdr:row>
      <xdr:rowOff>28575</xdr:rowOff>
    </xdr:to>
    <xdr:pic>
      <xdr:nvPicPr>
        <xdr:cNvPr id="204" name="Picture 203" descr="Detroit Lions Logo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EA683EC9-5651-BB07-999C-4BA99004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320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285750</xdr:colOff>
      <xdr:row>114</xdr:row>
      <xdr:rowOff>28575</xdr:rowOff>
    </xdr:to>
    <xdr:pic>
      <xdr:nvPicPr>
        <xdr:cNvPr id="205" name="Picture 204" descr="Green Bay Packers Logo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63F05E3A-81B0-F93E-C956-02B6D59EE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607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285750</xdr:colOff>
      <xdr:row>118</xdr:row>
      <xdr:rowOff>28575</xdr:rowOff>
    </xdr:to>
    <xdr:pic>
      <xdr:nvPicPr>
        <xdr:cNvPr id="206" name="Picture 205" descr="Los Angeles Rams Logo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E93C0DD8-BA9B-A4C8-FA0C-5B8F09B5C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894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285750</xdr:colOff>
      <xdr:row>122</xdr:row>
      <xdr:rowOff>28575</xdr:rowOff>
    </xdr:to>
    <xdr:pic>
      <xdr:nvPicPr>
        <xdr:cNvPr id="207" name="Picture 206" descr="Philadelphia Eagles Logo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9D19D54A-5C5B-43A9-6C3C-9652B696D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181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285750</xdr:colOff>
      <xdr:row>126</xdr:row>
      <xdr:rowOff>28575</xdr:rowOff>
    </xdr:to>
    <xdr:pic>
      <xdr:nvPicPr>
        <xdr:cNvPr id="208" name="Picture 207" descr="Denver Broncos Logo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DF84573-325C-10C9-1A47-0ECAA6CEE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46875"/>
          <a:ext cx="2857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ctionnetwork.com/nfl/odds/indianapolis-colts" TargetMode="External"/><Relationship Id="rId21" Type="http://schemas.openxmlformats.org/officeDocument/2006/relationships/hyperlink" Target="https://www.actionnetwork.com/nfl/odds/houston-texans" TargetMode="External"/><Relationship Id="rId34" Type="http://schemas.openxmlformats.org/officeDocument/2006/relationships/hyperlink" Target="https://www.actionnetwork.com/nfl/odds/dallas-cowboys" TargetMode="External"/><Relationship Id="rId42" Type="http://schemas.openxmlformats.org/officeDocument/2006/relationships/hyperlink" Target="https://www.actionnetwork.com/nfl/odds/los-angeles-chargers" TargetMode="External"/><Relationship Id="rId47" Type="http://schemas.openxmlformats.org/officeDocument/2006/relationships/hyperlink" Target="https://www.actionnetwork.com/nfl/odds/pittsburgh-steelers" TargetMode="External"/><Relationship Id="rId50" Type="http://schemas.openxmlformats.org/officeDocument/2006/relationships/hyperlink" Target="https://www.actionnetwork.com/nfl/odds/atlanta-falcons" TargetMode="External"/><Relationship Id="rId55" Type="http://schemas.openxmlformats.org/officeDocument/2006/relationships/hyperlink" Target="https://www.actionnetwork.com/nfl/odds/cleveland-browns" TargetMode="External"/><Relationship Id="rId63" Type="http://schemas.openxmlformats.org/officeDocument/2006/relationships/hyperlink" Target="https://www.actionnetwork.com/nfl/odds/philadelphia-eagles" TargetMode="External"/><Relationship Id="rId7" Type="http://schemas.openxmlformats.org/officeDocument/2006/relationships/hyperlink" Target="https://www.actionnetwork.com/nfl/odds/seattle-seahawks" TargetMode="External"/><Relationship Id="rId2" Type="http://schemas.openxmlformats.org/officeDocument/2006/relationships/hyperlink" Target="https://www.actionnetwork.com/nfl/odds/tampa-bay-buccaneers" TargetMode="External"/><Relationship Id="rId16" Type="http://schemas.openxmlformats.org/officeDocument/2006/relationships/hyperlink" Target="https://www.actionnetwork.com/nfl/odds/arizona-cardinals" TargetMode="External"/><Relationship Id="rId29" Type="http://schemas.openxmlformats.org/officeDocument/2006/relationships/hyperlink" Target="https://www.actionnetwork.com/nfl/odds/new-england-patriots" TargetMode="External"/><Relationship Id="rId11" Type="http://schemas.openxmlformats.org/officeDocument/2006/relationships/hyperlink" Target="https://www.actionnetwork.com/nfl/odds/kansas-city-chiefs" TargetMode="External"/><Relationship Id="rId24" Type="http://schemas.openxmlformats.org/officeDocument/2006/relationships/hyperlink" Target="https://www.actionnetwork.com/nfl/odds/buffalo-bills" TargetMode="External"/><Relationship Id="rId32" Type="http://schemas.openxmlformats.org/officeDocument/2006/relationships/hyperlink" Target="https://www.actionnetwork.com/nfl/odds/cincinnati-bengals" TargetMode="External"/><Relationship Id="rId37" Type="http://schemas.openxmlformats.org/officeDocument/2006/relationships/hyperlink" Target="https://www.actionnetwork.com/nfl/odds/minnesota-vikings" TargetMode="External"/><Relationship Id="rId40" Type="http://schemas.openxmlformats.org/officeDocument/2006/relationships/hyperlink" Target="https://www.actionnetwork.com/nfl/odds/chicago-bears" TargetMode="External"/><Relationship Id="rId45" Type="http://schemas.openxmlformats.org/officeDocument/2006/relationships/hyperlink" Target="https://www.actionnetwork.com/nfl/odds/new-orleans-saints" TargetMode="External"/><Relationship Id="rId53" Type="http://schemas.openxmlformats.org/officeDocument/2006/relationships/hyperlink" Target="https://www.actionnetwork.com/nfl/odds/las-vegas-raiders" TargetMode="External"/><Relationship Id="rId58" Type="http://schemas.openxmlformats.org/officeDocument/2006/relationships/hyperlink" Target="https://www.actionnetwork.com/nfl/odds/green-bay-packers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www.actionnetwork.com/nfl/odds/washington-commanders" TargetMode="External"/><Relationship Id="rId61" Type="http://schemas.openxmlformats.org/officeDocument/2006/relationships/hyperlink" Target="https://www.actionnetwork.com/nfl/odds/los-angeles-rams" TargetMode="External"/><Relationship Id="rId19" Type="http://schemas.openxmlformats.org/officeDocument/2006/relationships/hyperlink" Target="https://www.actionnetwork.com/nfl/odds/san-francisco-49ers" TargetMode="External"/><Relationship Id="rId14" Type="http://schemas.openxmlformats.org/officeDocument/2006/relationships/hyperlink" Target="https://www.actionnetwork.com/nfl/odds/new-york-jets" TargetMode="External"/><Relationship Id="rId22" Type="http://schemas.openxmlformats.org/officeDocument/2006/relationships/hyperlink" Target="https://www.actionnetwork.com/nfl/odds/jacksonville-jaguars" TargetMode="External"/><Relationship Id="rId27" Type="http://schemas.openxmlformats.org/officeDocument/2006/relationships/hyperlink" Target="https://www.actionnetwork.com/nfl/odds/indianapolis-colts" TargetMode="External"/><Relationship Id="rId30" Type="http://schemas.openxmlformats.org/officeDocument/2006/relationships/hyperlink" Target="https://www.actionnetwork.com/nfl/odds/new-york-giants" TargetMode="External"/><Relationship Id="rId35" Type="http://schemas.openxmlformats.org/officeDocument/2006/relationships/hyperlink" Target="https://www.actionnetwork.com/nfl/odds/dallas-cowboys" TargetMode="External"/><Relationship Id="rId43" Type="http://schemas.openxmlformats.org/officeDocument/2006/relationships/hyperlink" Target="https://www.actionnetwork.com/nfl/odds/los-angeles-chargers" TargetMode="External"/><Relationship Id="rId48" Type="http://schemas.openxmlformats.org/officeDocument/2006/relationships/hyperlink" Target="https://www.actionnetwork.com/nfl/odds/baltimore-ravens" TargetMode="External"/><Relationship Id="rId56" Type="http://schemas.openxmlformats.org/officeDocument/2006/relationships/hyperlink" Target="https://www.actionnetwork.com/nfl/odds/detroit-lions" TargetMode="External"/><Relationship Id="rId64" Type="http://schemas.openxmlformats.org/officeDocument/2006/relationships/hyperlink" Target="https://www.actionnetwork.com/nfl/odds/denver-broncos" TargetMode="External"/><Relationship Id="rId8" Type="http://schemas.openxmlformats.org/officeDocument/2006/relationships/hyperlink" Target="https://www.actionnetwork.com/nfl/odds/carolina-panthers" TargetMode="External"/><Relationship Id="rId51" Type="http://schemas.openxmlformats.org/officeDocument/2006/relationships/hyperlink" Target="https://www.actionnetwork.com/nfl/odds/atlanta-falcons" TargetMode="External"/><Relationship Id="rId3" Type="http://schemas.openxmlformats.org/officeDocument/2006/relationships/hyperlink" Target="https://www.actionnetwork.com/nfl/odds/tampa-bay-buccaneers" TargetMode="External"/><Relationship Id="rId12" Type="http://schemas.openxmlformats.org/officeDocument/2006/relationships/hyperlink" Target="https://www.actionnetwork.com/nfl/odds/tennessee-titans" TargetMode="External"/><Relationship Id="rId17" Type="http://schemas.openxmlformats.org/officeDocument/2006/relationships/hyperlink" Target="https://www.actionnetwork.com/nfl/odds/arizona-cardinals" TargetMode="External"/><Relationship Id="rId25" Type="http://schemas.openxmlformats.org/officeDocument/2006/relationships/hyperlink" Target="https://www.actionnetwork.com/nfl/odds/buffalo-bills" TargetMode="External"/><Relationship Id="rId33" Type="http://schemas.openxmlformats.org/officeDocument/2006/relationships/hyperlink" Target="https://www.actionnetwork.com/nfl/odds/cincinnati-bengals" TargetMode="External"/><Relationship Id="rId38" Type="http://schemas.openxmlformats.org/officeDocument/2006/relationships/hyperlink" Target="https://www.actionnetwork.com/nfl/odds/miami-dolphins" TargetMode="External"/><Relationship Id="rId46" Type="http://schemas.openxmlformats.org/officeDocument/2006/relationships/hyperlink" Target="https://www.actionnetwork.com/nfl/odds/pittsburgh-steelers" TargetMode="External"/><Relationship Id="rId59" Type="http://schemas.openxmlformats.org/officeDocument/2006/relationships/hyperlink" Target="https://www.actionnetwork.com/nfl/odds/green-bay-packers" TargetMode="External"/><Relationship Id="rId67" Type="http://schemas.openxmlformats.org/officeDocument/2006/relationships/drawing" Target="../drawings/drawing1.xml"/><Relationship Id="rId20" Type="http://schemas.openxmlformats.org/officeDocument/2006/relationships/hyperlink" Target="https://www.actionnetwork.com/nfl/odds/houston-texans" TargetMode="External"/><Relationship Id="rId41" Type="http://schemas.openxmlformats.org/officeDocument/2006/relationships/hyperlink" Target="https://www.actionnetwork.com/nfl/odds/chicago-bears" TargetMode="External"/><Relationship Id="rId54" Type="http://schemas.openxmlformats.org/officeDocument/2006/relationships/hyperlink" Target="https://www.actionnetwork.com/nfl/odds/cleveland-browns" TargetMode="External"/><Relationship Id="rId62" Type="http://schemas.openxmlformats.org/officeDocument/2006/relationships/hyperlink" Target="https://www.actionnetwork.com/nfl/odds/philadelphia-eagles" TargetMode="External"/><Relationship Id="rId1" Type="http://schemas.openxmlformats.org/officeDocument/2006/relationships/hyperlink" Target="https://www.actionnetwork.com/nfl/futures/win-totals-odds" TargetMode="External"/><Relationship Id="rId6" Type="http://schemas.openxmlformats.org/officeDocument/2006/relationships/hyperlink" Target="https://www.actionnetwork.com/nfl/odds/seattle-seahawks" TargetMode="External"/><Relationship Id="rId15" Type="http://schemas.openxmlformats.org/officeDocument/2006/relationships/hyperlink" Target="https://www.actionnetwork.com/nfl/odds/new-york-jets" TargetMode="External"/><Relationship Id="rId23" Type="http://schemas.openxmlformats.org/officeDocument/2006/relationships/hyperlink" Target="https://www.actionnetwork.com/nfl/odds/jacksonville-jaguars" TargetMode="External"/><Relationship Id="rId28" Type="http://schemas.openxmlformats.org/officeDocument/2006/relationships/hyperlink" Target="https://www.actionnetwork.com/nfl/odds/new-england-patriots" TargetMode="External"/><Relationship Id="rId36" Type="http://schemas.openxmlformats.org/officeDocument/2006/relationships/hyperlink" Target="https://www.actionnetwork.com/nfl/odds/minnesota-vikings" TargetMode="External"/><Relationship Id="rId49" Type="http://schemas.openxmlformats.org/officeDocument/2006/relationships/hyperlink" Target="https://www.actionnetwork.com/nfl/odds/baltimore-ravens" TargetMode="External"/><Relationship Id="rId57" Type="http://schemas.openxmlformats.org/officeDocument/2006/relationships/hyperlink" Target="https://www.actionnetwork.com/nfl/odds/detroit-lions" TargetMode="External"/><Relationship Id="rId10" Type="http://schemas.openxmlformats.org/officeDocument/2006/relationships/hyperlink" Target="https://www.actionnetwork.com/nfl/odds/kansas-city-chiefs" TargetMode="External"/><Relationship Id="rId31" Type="http://schemas.openxmlformats.org/officeDocument/2006/relationships/hyperlink" Target="https://www.actionnetwork.com/nfl/odds/new-york-giants" TargetMode="External"/><Relationship Id="rId44" Type="http://schemas.openxmlformats.org/officeDocument/2006/relationships/hyperlink" Target="https://www.actionnetwork.com/nfl/odds/new-orleans-saints" TargetMode="External"/><Relationship Id="rId52" Type="http://schemas.openxmlformats.org/officeDocument/2006/relationships/hyperlink" Target="https://www.actionnetwork.com/nfl/odds/las-vegas-raiders" TargetMode="External"/><Relationship Id="rId60" Type="http://schemas.openxmlformats.org/officeDocument/2006/relationships/hyperlink" Target="https://www.actionnetwork.com/nfl/odds/los-angeles-rams" TargetMode="External"/><Relationship Id="rId65" Type="http://schemas.openxmlformats.org/officeDocument/2006/relationships/hyperlink" Target="https://www.actionnetwork.com/nfl/odds/denver-broncos" TargetMode="External"/><Relationship Id="rId4" Type="http://schemas.openxmlformats.org/officeDocument/2006/relationships/hyperlink" Target="https://www.actionnetwork.com/nfl/odds/washington-commanders" TargetMode="External"/><Relationship Id="rId9" Type="http://schemas.openxmlformats.org/officeDocument/2006/relationships/hyperlink" Target="https://www.actionnetwork.com/nfl/odds/carolina-panthers" TargetMode="External"/><Relationship Id="rId13" Type="http://schemas.openxmlformats.org/officeDocument/2006/relationships/hyperlink" Target="https://www.actionnetwork.com/nfl/odds/tennessee-titans" TargetMode="External"/><Relationship Id="rId18" Type="http://schemas.openxmlformats.org/officeDocument/2006/relationships/hyperlink" Target="https://www.actionnetwork.com/nfl/odds/san-francisco-49ers" TargetMode="External"/><Relationship Id="rId39" Type="http://schemas.openxmlformats.org/officeDocument/2006/relationships/hyperlink" Target="https://www.actionnetwork.com/nfl/odds/miami-dolphin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CC46-DE4F-4D42-ACDF-3C740D55899B}">
  <dimension ref="A1:E32"/>
  <sheetViews>
    <sheetView workbookViewId="0">
      <selection activeCell="D22" sqref="D22:E32"/>
    </sheetView>
  </sheetViews>
  <sheetFormatPr defaultRowHeight="15" x14ac:dyDescent="0.25"/>
  <cols>
    <col min="1" max="1" width="24.140625" bestFit="1" customWidth="1"/>
    <col min="2" max="2" width="12.7109375" bestFit="1" customWidth="1"/>
  </cols>
  <sheetData>
    <row r="1" spans="1:5" x14ac:dyDescent="0.25">
      <c r="A1" t="s">
        <v>0</v>
      </c>
      <c r="B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D3" t="s">
        <v>10</v>
      </c>
      <c r="E3" t="s">
        <v>11</v>
      </c>
    </row>
    <row r="4" spans="1:5" x14ac:dyDescent="0.25">
      <c r="A4" t="s">
        <v>12</v>
      </c>
      <c r="B4" t="s">
        <v>13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D5" t="s">
        <v>18</v>
      </c>
      <c r="E5" t="s">
        <v>17</v>
      </c>
    </row>
    <row r="6" spans="1:5" x14ac:dyDescent="0.25">
      <c r="A6" t="s">
        <v>19</v>
      </c>
      <c r="B6" t="s">
        <v>20</v>
      </c>
      <c r="D6" t="s">
        <v>21</v>
      </c>
      <c r="E6" t="s">
        <v>22</v>
      </c>
    </row>
    <row r="7" spans="1:5" x14ac:dyDescent="0.25">
      <c r="A7" t="s">
        <v>23</v>
      </c>
      <c r="B7" t="s">
        <v>24</v>
      </c>
      <c r="D7" t="s">
        <v>25</v>
      </c>
      <c r="E7" t="s">
        <v>26</v>
      </c>
    </row>
    <row r="8" spans="1:5" x14ac:dyDescent="0.25">
      <c r="A8" t="s">
        <v>27</v>
      </c>
      <c r="B8" t="s">
        <v>28</v>
      </c>
      <c r="D8" t="s">
        <v>29</v>
      </c>
      <c r="E8" t="s">
        <v>1</v>
      </c>
    </row>
    <row r="9" spans="1:5" x14ac:dyDescent="0.25">
      <c r="A9" t="s">
        <v>30</v>
      </c>
      <c r="B9" t="s">
        <v>7</v>
      </c>
      <c r="D9" t="s">
        <v>31</v>
      </c>
      <c r="E9" t="s">
        <v>32</v>
      </c>
    </row>
    <row r="10" spans="1:5" x14ac:dyDescent="0.25">
      <c r="A10" t="s">
        <v>33</v>
      </c>
      <c r="B10" t="s">
        <v>32</v>
      </c>
      <c r="D10" t="s">
        <v>34</v>
      </c>
      <c r="E10" t="s">
        <v>35</v>
      </c>
    </row>
    <row r="11" spans="1:5" x14ac:dyDescent="0.25">
      <c r="A11" t="s">
        <v>36</v>
      </c>
      <c r="B11" t="s">
        <v>37</v>
      </c>
      <c r="D11" t="s">
        <v>38</v>
      </c>
      <c r="E11" t="s">
        <v>39</v>
      </c>
    </row>
    <row r="12" spans="1:5" x14ac:dyDescent="0.25">
      <c r="A12" t="s">
        <v>40</v>
      </c>
      <c r="B12" t="s">
        <v>26</v>
      </c>
      <c r="D12" t="s">
        <v>41</v>
      </c>
      <c r="E12" t="s">
        <v>5</v>
      </c>
    </row>
    <row r="13" spans="1:5" x14ac:dyDescent="0.25">
      <c r="A13" t="s">
        <v>42</v>
      </c>
      <c r="B13" t="s">
        <v>43</v>
      </c>
      <c r="D13" t="s">
        <v>44</v>
      </c>
      <c r="E13" t="s">
        <v>37</v>
      </c>
    </row>
    <row r="14" spans="1:5" x14ac:dyDescent="0.25">
      <c r="A14" t="s">
        <v>45</v>
      </c>
      <c r="B14" t="s">
        <v>46</v>
      </c>
      <c r="D14" t="s">
        <v>47</v>
      </c>
      <c r="E14" t="s">
        <v>48</v>
      </c>
    </row>
    <row r="15" spans="1:5" x14ac:dyDescent="0.25">
      <c r="A15" t="s">
        <v>49</v>
      </c>
      <c r="B15" t="s">
        <v>50</v>
      </c>
      <c r="D15" t="s">
        <v>51</v>
      </c>
      <c r="E15" t="s">
        <v>52</v>
      </c>
    </row>
    <row r="16" spans="1:5" x14ac:dyDescent="0.25">
      <c r="A16" t="s">
        <v>53</v>
      </c>
      <c r="B16" t="s">
        <v>54</v>
      </c>
      <c r="D16" t="s">
        <v>55</v>
      </c>
      <c r="E16" t="s">
        <v>9</v>
      </c>
    </row>
    <row r="17" spans="1:5" x14ac:dyDescent="0.25">
      <c r="A17" t="s">
        <v>56</v>
      </c>
      <c r="B17" t="s">
        <v>15</v>
      </c>
      <c r="D17" t="s">
        <v>57</v>
      </c>
      <c r="E17" t="s">
        <v>43</v>
      </c>
    </row>
    <row r="18" spans="1:5" x14ac:dyDescent="0.25">
      <c r="A18" t="s">
        <v>58</v>
      </c>
      <c r="B18" t="s">
        <v>59</v>
      </c>
      <c r="D18" t="s">
        <v>60</v>
      </c>
      <c r="E18" t="s">
        <v>61</v>
      </c>
    </row>
    <row r="19" spans="1:5" x14ac:dyDescent="0.25">
      <c r="A19" t="s">
        <v>62</v>
      </c>
      <c r="B19" t="s">
        <v>3</v>
      </c>
      <c r="D19" t="s">
        <v>63</v>
      </c>
      <c r="E19" t="s">
        <v>64</v>
      </c>
    </row>
    <row r="20" spans="1:5" x14ac:dyDescent="0.25">
      <c r="A20" t="s">
        <v>65</v>
      </c>
      <c r="B20" t="s">
        <v>66</v>
      </c>
      <c r="D20" t="s">
        <v>67</v>
      </c>
      <c r="E20" t="s">
        <v>13</v>
      </c>
    </row>
    <row r="21" spans="1:5" x14ac:dyDescent="0.25">
      <c r="A21" t="s">
        <v>68</v>
      </c>
      <c r="B21" t="s">
        <v>61</v>
      </c>
      <c r="D21" t="s">
        <v>69</v>
      </c>
      <c r="E21" t="s">
        <v>70</v>
      </c>
    </row>
    <row r="22" spans="1:5" x14ac:dyDescent="0.25">
      <c r="A22" t="s">
        <v>71</v>
      </c>
      <c r="B22" t="s">
        <v>52</v>
      </c>
      <c r="D22" t="s">
        <v>72</v>
      </c>
      <c r="E22" t="s">
        <v>66</v>
      </c>
    </row>
    <row r="23" spans="1:5" x14ac:dyDescent="0.25">
      <c r="A23" t="s">
        <v>73</v>
      </c>
      <c r="B23" t="s">
        <v>74</v>
      </c>
      <c r="D23" t="s">
        <v>75</v>
      </c>
      <c r="E23" t="s">
        <v>59</v>
      </c>
    </row>
    <row r="24" spans="1:5" x14ac:dyDescent="0.25">
      <c r="A24" t="s">
        <v>76</v>
      </c>
      <c r="B24" t="s">
        <v>48</v>
      </c>
      <c r="D24" t="s">
        <v>77</v>
      </c>
      <c r="E24" t="s">
        <v>54</v>
      </c>
    </row>
    <row r="25" spans="1:5" x14ac:dyDescent="0.25">
      <c r="A25" t="s">
        <v>78</v>
      </c>
      <c r="B25" t="s">
        <v>70</v>
      </c>
      <c r="D25" t="s">
        <v>79</v>
      </c>
      <c r="E25" t="s">
        <v>24</v>
      </c>
    </row>
    <row r="26" spans="1:5" x14ac:dyDescent="0.25">
      <c r="A26" t="s">
        <v>80</v>
      </c>
      <c r="B26" t="s">
        <v>81</v>
      </c>
      <c r="D26" t="s">
        <v>82</v>
      </c>
      <c r="E26" t="s">
        <v>46</v>
      </c>
    </row>
    <row r="27" spans="1:5" x14ac:dyDescent="0.25">
      <c r="A27" t="s">
        <v>83</v>
      </c>
      <c r="B27" t="s">
        <v>84</v>
      </c>
      <c r="D27" t="s">
        <v>85</v>
      </c>
      <c r="E27" t="s">
        <v>74</v>
      </c>
    </row>
    <row r="28" spans="1:5" x14ac:dyDescent="0.25">
      <c r="A28" t="s">
        <v>86</v>
      </c>
      <c r="B28" t="s">
        <v>11</v>
      </c>
      <c r="D28" t="s">
        <v>87</v>
      </c>
      <c r="E28" t="s">
        <v>81</v>
      </c>
    </row>
    <row r="29" spans="1:5" x14ac:dyDescent="0.25">
      <c r="A29" t="s">
        <v>88</v>
      </c>
      <c r="B29" t="s">
        <v>35</v>
      </c>
      <c r="D29" t="s">
        <v>89</v>
      </c>
      <c r="E29" t="s">
        <v>20</v>
      </c>
    </row>
    <row r="30" spans="1:5" x14ac:dyDescent="0.25">
      <c r="A30" t="s">
        <v>90</v>
      </c>
      <c r="B30" t="s">
        <v>22</v>
      </c>
      <c r="D30" t="s">
        <v>91</v>
      </c>
      <c r="E30" t="s">
        <v>84</v>
      </c>
    </row>
    <row r="31" spans="1:5" x14ac:dyDescent="0.25">
      <c r="A31" t="s">
        <v>92</v>
      </c>
      <c r="B31" t="s">
        <v>39</v>
      </c>
      <c r="D31" t="s">
        <v>93</v>
      </c>
      <c r="E31" t="s">
        <v>28</v>
      </c>
    </row>
    <row r="32" spans="1:5" x14ac:dyDescent="0.25">
      <c r="A32" t="s">
        <v>94</v>
      </c>
      <c r="B32" t="s">
        <v>64</v>
      </c>
      <c r="D32" t="s">
        <v>95</v>
      </c>
      <c r="E3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B311-28E7-4E06-B9E4-257F2EDBE37D}">
  <dimension ref="A1:M129"/>
  <sheetViews>
    <sheetView topLeftCell="A31" workbookViewId="0">
      <selection activeCell="D22" sqref="D22:E32"/>
    </sheetView>
  </sheetViews>
  <sheetFormatPr defaultRowHeight="15" x14ac:dyDescent="0.25"/>
  <cols>
    <col min="1" max="1" width="25.5703125" bestFit="1" customWidth="1"/>
    <col min="2" max="2" width="14.85546875" bestFit="1" customWidth="1"/>
    <col min="3" max="7" width="14.85546875" customWidth="1"/>
    <col min="8" max="8" width="24.140625" bestFit="1" customWidth="1"/>
    <col min="9" max="9" width="5.5703125" bestFit="1" customWidth="1"/>
    <col min="10" max="11" width="6.42578125" bestFit="1" customWidth="1"/>
    <col min="12" max="12" width="4.7109375" bestFit="1" customWidth="1"/>
    <col min="13" max="13" width="12.7109375" bestFit="1" customWidth="1"/>
  </cols>
  <sheetData>
    <row r="1" spans="1:13" ht="20.25" x14ac:dyDescent="0.25">
      <c r="A1" s="2" t="s">
        <v>96</v>
      </c>
      <c r="B1" s="3" t="s">
        <v>97</v>
      </c>
      <c r="C1" s="3"/>
      <c r="D1" s="3"/>
      <c r="E1" s="3"/>
      <c r="F1" s="3"/>
      <c r="G1" s="3"/>
      <c r="H1" s="31" t="s">
        <v>98</v>
      </c>
    </row>
    <row r="2" spans="1:13" ht="20.25" x14ac:dyDescent="0.25">
      <c r="A2" s="2"/>
      <c r="B2" s="281" t="s">
        <v>99</v>
      </c>
      <c r="C2" s="282" t="s">
        <v>100</v>
      </c>
      <c r="D2" s="281" t="s">
        <v>101</v>
      </c>
      <c r="E2" s="281" t="s">
        <v>102</v>
      </c>
      <c r="F2" s="281" t="s">
        <v>103</v>
      </c>
      <c r="G2" s="281" t="s">
        <v>104</v>
      </c>
      <c r="H2" s="7" t="str">
        <f>A3</f>
        <v>Tampa Bay Buccaneers</v>
      </c>
      <c r="I2" s="8">
        <f>_xlfn.NUMBERVALUE(RIGHT(B2,LEN(B2)-1))</f>
        <v>8.5</v>
      </c>
      <c r="J2" s="7" t="s">
        <v>105</v>
      </c>
      <c r="K2" s="7" t="str">
        <f>J2</f>
        <v>Over</v>
      </c>
      <c r="L2" s="7">
        <f>J3</f>
        <v>150</v>
      </c>
      <c r="M2" s="6" t="str">
        <f>INDEX('Index A'!$B$1:$B$32,MATCH($H2,'Index A'!$A$1:$A$32,0))</f>
        <v>Buccaneers</v>
      </c>
    </row>
    <row r="3" spans="1:13" ht="20.25" x14ac:dyDescent="0.25">
      <c r="A3" s="4" t="s">
        <v>0</v>
      </c>
      <c r="B3" s="32">
        <v>150</v>
      </c>
      <c r="C3" s="282" t="s">
        <v>100</v>
      </c>
      <c r="D3" s="281" t="s">
        <v>106</v>
      </c>
      <c r="E3" s="281" t="s">
        <v>107</v>
      </c>
      <c r="F3" s="281" t="s">
        <v>108</v>
      </c>
      <c r="G3" s="281" t="s">
        <v>109</v>
      </c>
      <c r="H3" s="7" t="str">
        <f>H2</f>
        <v>Tampa Bay Buccaneers</v>
      </c>
      <c r="I3" s="8">
        <f>I2</f>
        <v>8.5</v>
      </c>
      <c r="J3" s="7">
        <f>B3</f>
        <v>150</v>
      </c>
      <c r="K3" s="7" t="str">
        <f>K2</f>
        <v>Over</v>
      </c>
      <c r="L3" s="7">
        <f>L2</f>
        <v>150</v>
      </c>
      <c r="M3" s="6" t="str">
        <f>INDEX('Index A'!$B$1:$B$32,MATCH($H3,'Index A'!$A$1:$A$32,0))</f>
        <v>Buccaneers</v>
      </c>
    </row>
    <row r="4" spans="1:13" ht="20.25" x14ac:dyDescent="0.25">
      <c r="A4" s="1"/>
      <c r="B4" s="281" t="s">
        <v>110</v>
      </c>
      <c r="C4" s="5"/>
      <c r="D4" s="5"/>
      <c r="E4" s="5"/>
      <c r="F4" s="5"/>
      <c r="G4" s="5"/>
      <c r="H4" s="7" t="str">
        <f t="shared" ref="H4:H5" si="0">H3</f>
        <v>Tampa Bay Buccaneers</v>
      </c>
      <c r="I4" s="8">
        <f>_xlfn.NUMBERVALUE(RIGHT(B4,LEN(B4)-1))</f>
        <v>8.5</v>
      </c>
      <c r="J4" s="7" t="s">
        <v>111</v>
      </c>
      <c r="K4" s="7" t="str">
        <f t="shared" ref="K4" si="1">J4</f>
        <v>Under</v>
      </c>
      <c r="L4" s="7">
        <f t="shared" ref="L4" si="2">J5</f>
        <v>-175</v>
      </c>
      <c r="M4" s="6" t="str">
        <f>INDEX('Index A'!$B$1:$B$32,MATCH($H4,'Index A'!$A$1:$A$32,0))</f>
        <v>Buccaneers</v>
      </c>
    </row>
    <row r="5" spans="1:13" ht="20.25" x14ac:dyDescent="0.25">
      <c r="A5" s="4"/>
      <c r="B5" s="32">
        <v>-175</v>
      </c>
      <c r="C5" s="5"/>
      <c r="D5" s="5"/>
      <c r="E5" s="5"/>
      <c r="F5" s="5"/>
      <c r="G5" s="5"/>
      <c r="H5" s="7" t="str">
        <f t="shared" si="0"/>
        <v>Tampa Bay Buccaneers</v>
      </c>
      <c r="I5" s="8">
        <f>I4</f>
        <v>8.5</v>
      </c>
      <c r="J5" s="7">
        <f>B5</f>
        <v>-175</v>
      </c>
      <c r="K5" s="7" t="str">
        <f t="shared" ref="K5" si="3">K4</f>
        <v>Under</v>
      </c>
      <c r="L5" s="7">
        <f t="shared" ref="L5" si="4">L4</f>
        <v>-175</v>
      </c>
      <c r="M5" s="6" t="str">
        <f>INDEX('Index A'!$B$1:$B$32,MATCH($H5,'Index A'!$A$1:$A$32,0))</f>
        <v>Buccaneers</v>
      </c>
    </row>
    <row r="6" spans="1:13" ht="20.25" x14ac:dyDescent="0.25">
      <c r="A6" s="2"/>
      <c r="B6" s="281" t="s">
        <v>112</v>
      </c>
      <c r="C6" s="282" t="s">
        <v>100</v>
      </c>
      <c r="D6" s="281" t="s">
        <v>113</v>
      </c>
      <c r="E6" s="281" t="s">
        <v>114</v>
      </c>
      <c r="F6" s="281" t="s">
        <v>115</v>
      </c>
      <c r="G6" s="281" t="s">
        <v>116</v>
      </c>
      <c r="H6" s="7" t="str">
        <f>A7</f>
        <v>Washington Commanders</v>
      </c>
      <c r="I6" s="8">
        <f>_xlfn.NUMBERVALUE(RIGHT(B6,LEN(B6)-1))</f>
        <v>6.5</v>
      </c>
      <c r="J6" s="7" t="s">
        <v>105</v>
      </c>
      <c r="K6" s="7" t="str">
        <f t="shared" ref="K6" si="5">J6</f>
        <v>Over</v>
      </c>
      <c r="L6" s="7">
        <f t="shared" ref="L6" si="6">J7</f>
        <v>-130</v>
      </c>
      <c r="M6" s="6" t="str">
        <f>INDEX('Index A'!$B$1:$B$32,MATCH($H6,'Index A'!$A$1:$A$32,0))</f>
        <v>Commanders</v>
      </c>
    </row>
    <row r="7" spans="1:13" ht="20.25" x14ac:dyDescent="0.25">
      <c r="A7" s="4" t="s">
        <v>4</v>
      </c>
      <c r="B7" s="32">
        <v>-130</v>
      </c>
      <c r="C7" s="282" t="s">
        <v>100</v>
      </c>
      <c r="D7" s="281" t="s">
        <v>117</v>
      </c>
      <c r="E7" s="281" t="s">
        <v>118</v>
      </c>
      <c r="F7" s="281" t="s">
        <v>119</v>
      </c>
      <c r="G7" s="281" t="s">
        <v>120</v>
      </c>
      <c r="H7" s="7" t="str">
        <f t="shared" ref="H7:H69" si="7">H6</f>
        <v>Washington Commanders</v>
      </c>
      <c r="I7" s="8">
        <f t="shared" ref="I7" si="8">I6</f>
        <v>6.5</v>
      </c>
      <c r="J7" s="7">
        <f>B7</f>
        <v>-130</v>
      </c>
      <c r="K7" s="7" t="str">
        <f t="shared" ref="K7" si="9">K6</f>
        <v>Over</v>
      </c>
      <c r="L7" s="7">
        <f t="shared" ref="L7" si="10">L6</f>
        <v>-130</v>
      </c>
      <c r="M7" s="6" t="str">
        <f>INDEX('Index A'!$B$1:$B$32,MATCH($H7,'Index A'!$A$1:$A$32,0))</f>
        <v>Commanders</v>
      </c>
    </row>
    <row r="8" spans="1:13" ht="20.25" x14ac:dyDescent="0.25">
      <c r="A8" s="1"/>
      <c r="B8" s="281" t="s">
        <v>121</v>
      </c>
      <c r="C8" s="5"/>
      <c r="D8" s="5"/>
      <c r="E8" s="5"/>
      <c r="F8" s="5"/>
      <c r="G8" s="5"/>
      <c r="H8" s="7" t="str">
        <f t="shared" si="7"/>
        <v>Washington Commanders</v>
      </c>
      <c r="I8" s="8">
        <f>_xlfn.NUMBERVALUE(RIGHT(B8,LEN(B8)-1))</f>
        <v>6.5</v>
      </c>
      <c r="J8" s="7" t="s">
        <v>111</v>
      </c>
      <c r="K8" s="7" t="str">
        <f t="shared" ref="K8" si="11">J8</f>
        <v>Under</v>
      </c>
      <c r="L8" s="7">
        <f t="shared" ref="L8" si="12">J9</f>
        <v>110</v>
      </c>
      <c r="M8" s="6" t="str">
        <f>INDEX('Index A'!$B$1:$B$32,MATCH($H8,'Index A'!$A$1:$A$32,0))</f>
        <v>Commanders</v>
      </c>
    </row>
    <row r="9" spans="1:13" ht="20.25" x14ac:dyDescent="0.25">
      <c r="A9" s="4"/>
      <c r="B9" s="32">
        <v>110</v>
      </c>
      <c r="C9" s="5"/>
      <c r="D9" s="5"/>
      <c r="E9" s="5"/>
      <c r="F9" s="5"/>
      <c r="G9" s="5"/>
      <c r="H9" s="7" t="str">
        <f t="shared" si="7"/>
        <v>Washington Commanders</v>
      </c>
      <c r="I9" s="8">
        <f t="shared" ref="I9" si="13">I8</f>
        <v>6.5</v>
      </c>
      <c r="J9" s="7">
        <f>B9</f>
        <v>110</v>
      </c>
      <c r="K9" s="7" t="str">
        <f t="shared" ref="K9" si="14">K8</f>
        <v>Under</v>
      </c>
      <c r="L9" s="7">
        <f t="shared" ref="L9" si="15">L8</f>
        <v>110</v>
      </c>
      <c r="M9" s="6" t="str">
        <f>INDEX('Index A'!$B$1:$B$32,MATCH($H9,'Index A'!$A$1:$A$32,0))</f>
        <v>Commanders</v>
      </c>
    </row>
    <row r="10" spans="1:13" ht="20.25" x14ac:dyDescent="0.25">
      <c r="A10" s="2"/>
      <c r="B10" s="281" t="s">
        <v>122</v>
      </c>
      <c r="C10" s="282" t="s">
        <v>100</v>
      </c>
      <c r="D10" s="281" t="s">
        <v>123</v>
      </c>
      <c r="E10" s="281" t="s">
        <v>124</v>
      </c>
      <c r="F10" s="281" t="s">
        <v>125</v>
      </c>
      <c r="G10" s="281" t="s">
        <v>126</v>
      </c>
      <c r="H10" s="7" t="str">
        <f>A11</f>
        <v>Seattle Seahawks</v>
      </c>
      <c r="I10" s="8">
        <f>_xlfn.NUMBERVALUE(RIGHT(B10,LEN(B10)-1))</f>
        <v>7.5</v>
      </c>
      <c r="J10" s="7" t="s">
        <v>105</v>
      </c>
      <c r="K10" s="7" t="str">
        <f t="shared" ref="K10" si="16">J10</f>
        <v>Over</v>
      </c>
      <c r="L10" s="7">
        <f t="shared" ref="L10" si="17">J11</f>
        <v>-158</v>
      </c>
      <c r="M10" s="6" t="str">
        <f>INDEX('Index A'!$B$1:$B$32,MATCH($H10,'Index A'!$A$1:$A$32,0))</f>
        <v>Seahawks</v>
      </c>
    </row>
    <row r="11" spans="1:13" ht="20.25" x14ac:dyDescent="0.25">
      <c r="A11" s="4" t="s">
        <v>8</v>
      </c>
      <c r="B11" s="32">
        <v>-158</v>
      </c>
      <c r="C11" s="282" t="s">
        <v>100</v>
      </c>
      <c r="D11" s="281" t="s">
        <v>127</v>
      </c>
      <c r="E11" s="281" t="s">
        <v>128</v>
      </c>
      <c r="F11" s="281" t="s">
        <v>129</v>
      </c>
      <c r="G11" s="281" t="s">
        <v>130</v>
      </c>
      <c r="H11" s="7" t="str">
        <f t="shared" ref="H11" si="18">H10</f>
        <v>Seattle Seahawks</v>
      </c>
      <c r="I11" s="8">
        <f t="shared" ref="I11" si="19">I10</f>
        <v>7.5</v>
      </c>
      <c r="J11" s="7">
        <f>B11</f>
        <v>-158</v>
      </c>
      <c r="K11" s="7" t="str">
        <f t="shared" ref="K11" si="20">K10</f>
        <v>Over</v>
      </c>
      <c r="L11" s="7">
        <f t="shared" ref="L11" si="21">L10</f>
        <v>-158</v>
      </c>
      <c r="M11" s="6" t="str">
        <f>INDEX('Index A'!$B$1:$B$32,MATCH($H11,'Index A'!$A$1:$A$32,0))</f>
        <v>Seahawks</v>
      </c>
    </row>
    <row r="12" spans="1:13" ht="20.25" x14ac:dyDescent="0.25">
      <c r="A12" s="1"/>
      <c r="B12" s="281" t="s">
        <v>131</v>
      </c>
      <c r="C12" s="5"/>
      <c r="D12" s="5"/>
      <c r="E12" s="5"/>
      <c r="F12" s="5"/>
      <c r="G12" s="5"/>
      <c r="H12" s="7" t="str">
        <f t="shared" si="7"/>
        <v>Seattle Seahawks</v>
      </c>
      <c r="I12" s="8">
        <f>_xlfn.NUMBERVALUE(RIGHT(B12,LEN(B12)-1))</f>
        <v>7.5</v>
      </c>
      <c r="J12" s="7" t="s">
        <v>111</v>
      </c>
      <c r="K12" s="7" t="str">
        <f t="shared" ref="K12" si="22">J12</f>
        <v>Under</v>
      </c>
      <c r="L12" s="7">
        <f t="shared" ref="L12" si="23">J13</f>
        <v>130</v>
      </c>
      <c r="M12" s="6" t="str">
        <f>INDEX('Index A'!$B$1:$B$32,MATCH($H12,'Index A'!$A$1:$A$32,0))</f>
        <v>Seahawks</v>
      </c>
    </row>
    <row r="13" spans="1:13" ht="20.25" x14ac:dyDescent="0.25">
      <c r="A13" s="4"/>
      <c r="B13" s="32">
        <v>130</v>
      </c>
      <c r="C13" s="5"/>
      <c r="D13" s="5"/>
      <c r="E13" s="5"/>
      <c r="F13" s="5"/>
      <c r="G13" s="5"/>
      <c r="H13" s="7" t="str">
        <f t="shared" si="7"/>
        <v>Seattle Seahawks</v>
      </c>
      <c r="I13" s="8">
        <f t="shared" ref="I13" si="24">I12</f>
        <v>7.5</v>
      </c>
      <c r="J13" s="7">
        <f>B13</f>
        <v>130</v>
      </c>
      <c r="K13" s="7" t="str">
        <f t="shared" ref="K13" si="25">K12</f>
        <v>Under</v>
      </c>
      <c r="L13" s="7">
        <f t="shared" ref="L13" si="26">L12</f>
        <v>130</v>
      </c>
      <c r="M13" s="6" t="str">
        <f>INDEX('Index A'!$B$1:$B$32,MATCH($H13,'Index A'!$A$1:$A$32,0))</f>
        <v>Seahawks</v>
      </c>
    </row>
    <row r="14" spans="1:13" ht="20.25" x14ac:dyDescent="0.25">
      <c r="A14" s="2"/>
      <c r="B14" s="281" t="s">
        <v>132</v>
      </c>
      <c r="C14" s="282" t="s">
        <v>100</v>
      </c>
      <c r="D14" s="281" t="s">
        <v>133</v>
      </c>
      <c r="E14" s="281" t="s">
        <v>134</v>
      </c>
      <c r="F14" s="281" t="s">
        <v>135</v>
      </c>
      <c r="G14" s="281" t="s">
        <v>136</v>
      </c>
      <c r="H14" s="7" t="str">
        <f>A15</f>
        <v>Carolina Panthers</v>
      </c>
      <c r="I14" s="8">
        <f>_xlfn.NUMBERVALUE(RIGHT(B14,LEN(B14)-1))</f>
        <v>5</v>
      </c>
      <c r="J14" s="7" t="s">
        <v>105</v>
      </c>
      <c r="K14" s="7" t="str">
        <f t="shared" ref="K14" si="27">J14</f>
        <v>Over</v>
      </c>
      <c r="L14" s="7">
        <f t="shared" ref="L14" si="28">J15</f>
        <v>-159</v>
      </c>
      <c r="M14" s="6" t="str">
        <f>INDEX('Index A'!$B$1:$B$32,MATCH($H14,'Index A'!$A$1:$A$32,0))</f>
        <v>Panthers</v>
      </c>
    </row>
    <row r="15" spans="1:13" ht="20.25" x14ac:dyDescent="0.25">
      <c r="A15" s="4" t="s">
        <v>12</v>
      </c>
      <c r="B15" s="32">
        <v>-159</v>
      </c>
      <c r="C15" s="282" t="s">
        <v>100</v>
      </c>
      <c r="D15" s="281" t="s">
        <v>137</v>
      </c>
      <c r="E15" s="281" t="s">
        <v>138</v>
      </c>
      <c r="F15" s="281" t="s">
        <v>139</v>
      </c>
      <c r="G15" s="281" t="s">
        <v>140</v>
      </c>
      <c r="H15" s="7" t="str">
        <f t="shared" ref="H15" si="29">H14</f>
        <v>Carolina Panthers</v>
      </c>
      <c r="I15" s="8">
        <f t="shared" ref="I15" si="30">I14</f>
        <v>5</v>
      </c>
      <c r="J15" s="7">
        <f>B15</f>
        <v>-159</v>
      </c>
      <c r="K15" s="7" t="str">
        <f t="shared" ref="K15" si="31">K14</f>
        <v>Over</v>
      </c>
      <c r="L15" s="7">
        <f t="shared" ref="L15" si="32">L14</f>
        <v>-159</v>
      </c>
      <c r="M15" s="6" t="str">
        <f>INDEX('Index A'!$B$1:$B$32,MATCH($H15,'Index A'!$A$1:$A$32,0))</f>
        <v>Panthers</v>
      </c>
    </row>
    <row r="16" spans="1:13" ht="20.25" x14ac:dyDescent="0.25">
      <c r="A16" s="1"/>
      <c r="B16" s="281" t="s">
        <v>141</v>
      </c>
      <c r="C16" s="5"/>
      <c r="D16" s="5"/>
      <c r="E16" s="5"/>
      <c r="F16" s="5"/>
      <c r="G16" s="5"/>
      <c r="H16" s="7" t="str">
        <f t="shared" si="7"/>
        <v>Carolina Panthers</v>
      </c>
      <c r="I16" s="8">
        <f>_xlfn.NUMBERVALUE(RIGHT(B16,LEN(B16)-1))</f>
        <v>5</v>
      </c>
      <c r="J16" s="7" t="s">
        <v>111</v>
      </c>
      <c r="K16" s="7" t="str">
        <f t="shared" ref="K16" si="33">J16</f>
        <v>Under</v>
      </c>
      <c r="L16" s="7">
        <f t="shared" ref="L16" si="34">J17</f>
        <v>137</v>
      </c>
      <c r="M16" s="6" t="str">
        <f>INDEX('Index A'!$B$1:$B$32,MATCH($H16,'Index A'!$A$1:$A$32,0))</f>
        <v>Panthers</v>
      </c>
    </row>
    <row r="17" spans="1:13" ht="20.25" x14ac:dyDescent="0.25">
      <c r="A17" s="4"/>
      <c r="B17" s="32">
        <v>137</v>
      </c>
      <c r="C17" s="5"/>
      <c r="D17" s="5"/>
      <c r="E17" s="5"/>
      <c r="F17" s="5"/>
      <c r="G17" s="5"/>
      <c r="H17" s="7" t="str">
        <f t="shared" si="7"/>
        <v>Carolina Panthers</v>
      </c>
      <c r="I17" s="8">
        <f t="shared" ref="I17" si="35">I16</f>
        <v>5</v>
      </c>
      <c r="J17" s="7">
        <f>B17</f>
        <v>137</v>
      </c>
      <c r="K17" s="7" t="str">
        <f t="shared" ref="K17" si="36">K16</f>
        <v>Under</v>
      </c>
      <c r="L17" s="7">
        <f t="shared" ref="L17" si="37">L16</f>
        <v>137</v>
      </c>
      <c r="M17" s="6" t="str">
        <f>INDEX('Index A'!$B$1:$B$32,MATCH($H17,'Index A'!$A$1:$A$32,0))</f>
        <v>Panthers</v>
      </c>
    </row>
    <row r="18" spans="1:13" ht="20.25" x14ac:dyDescent="0.25">
      <c r="A18" s="2"/>
      <c r="B18" s="281" t="s">
        <v>142</v>
      </c>
      <c r="C18" s="282" t="s">
        <v>100</v>
      </c>
      <c r="D18" s="281" t="s">
        <v>143</v>
      </c>
      <c r="E18" s="281" t="s">
        <v>144</v>
      </c>
      <c r="F18" s="281" t="s">
        <v>145</v>
      </c>
      <c r="G18" s="281" t="s">
        <v>146</v>
      </c>
      <c r="H18" s="7" t="str">
        <f>A19</f>
        <v>Kansas City Chiefs</v>
      </c>
      <c r="I18" s="8">
        <f>_xlfn.NUMBERVALUE(RIGHT(B18,LEN(B18)-1))</f>
        <v>11.5</v>
      </c>
      <c r="J18" s="7" t="s">
        <v>105</v>
      </c>
      <c r="K18" s="7" t="str">
        <f t="shared" ref="K18" si="38">J18</f>
        <v>Over</v>
      </c>
      <c r="L18" s="7">
        <f t="shared" ref="L18" si="39">J19</f>
        <v>-110</v>
      </c>
      <c r="M18" s="6" t="str">
        <f>INDEX('Index A'!$B$1:$B$32,MATCH($H18,'Index A'!$A$1:$A$32,0))</f>
        <v>Chiefs</v>
      </c>
    </row>
    <row r="19" spans="1:13" ht="20.25" x14ac:dyDescent="0.25">
      <c r="A19" s="4" t="s">
        <v>16</v>
      </c>
      <c r="B19" s="32">
        <v>-110</v>
      </c>
      <c r="C19" s="282" t="s">
        <v>100</v>
      </c>
      <c r="D19" s="281" t="s">
        <v>147</v>
      </c>
      <c r="E19" s="281" t="s">
        <v>148</v>
      </c>
      <c r="F19" s="281" t="s">
        <v>149</v>
      </c>
      <c r="G19" s="281" t="s">
        <v>150</v>
      </c>
      <c r="H19" s="7" t="str">
        <f t="shared" ref="H19" si="40">H18</f>
        <v>Kansas City Chiefs</v>
      </c>
      <c r="I19" s="8">
        <f t="shared" ref="I19" si="41">I18</f>
        <v>11.5</v>
      </c>
      <c r="J19" s="7">
        <f>B19</f>
        <v>-110</v>
      </c>
      <c r="K19" s="7" t="str">
        <f t="shared" ref="K19" si="42">K18</f>
        <v>Over</v>
      </c>
      <c r="L19" s="7">
        <f t="shared" ref="L19" si="43">L18</f>
        <v>-110</v>
      </c>
      <c r="M19" s="6" t="str">
        <f>INDEX('Index A'!$B$1:$B$32,MATCH($H19,'Index A'!$A$1:$A$32,0))</f>
        <v>Chiefs</v>
      </c>
    </row>
    <row r="20" spans="1:13" ht="20.25" x14ac:dyDescent="0.25">
      <c r="A20" s="1"/>
      <c r="B20" s="281" t="s">
        <v>151</v>
      </c>
      <c r="C20" s="5"/>
      <c r="D20" s="5"/>
      <c r="E20" s="5"/>
      <c r="F20" s="5"/>
      <c r="G20" s="5"/>
      <c r="H20" s="7" t="str">
        <f t="shared" si="7"/>
        <v>Kansas City Chiefs</v>
      </c>
      <c r="I20" s="8">
        <f>_xlfn.NUMBERVALUE(RIGHT(B20,LEN(B20)-1))</f>
        <v>11.5</v>
      </c>
      <c r="J20" s="7" t="s">
        <v>111</v>
      </c>
      <c r="K20" s="7" t="str">
        <f t="shared" ref="K20" si="44">J20</f>
        <v>Under</v>
      </c>
      <c r="L20" s="7">
        <f t="shared" ref="L20" si="45">J21</f>
        <v>-105</v>
      </c>
      <c r="M20" s="6" t="str">
        <f>INDEX('Index A'!$B$1:$B$32,MATCH($H20,'Index A'!$A$1:$A$32,0))</f>
        <v>Chiefs</v>
      </c>
    </row>
    <row r="21" spans="1:13" ht="20.25" x14ac:dyDescent="0.25">
      <c r="A21" s="4"/>
      <c r="B21" s="32">
        <v>-105</v>
      </c>
      <c r="C21" s="5"/>
      <c r="D21" s="5"/>
      <c r="E21" s="5"/>
      <c r="F21" s="5"/>
      <c r="G21" s="5"/>
      <c r="H21" s="7" t="str">
        <f t="shared" si="7"/>
        <v>Kansas City Chiefs</v>
      </c>
      <c r="I21" s="8">
        <f t="shared" ref="I21" si="46">I20</f>
        <v>11.5</v>
      </c>
      <c r="J21" s="7">
        <f>B21</f>
        <v>-105</v>
      </c>
      <c r="K21" s="7" t="str">
        <f t="shared" ref="K21" si="47">K20</f>
        <v>Under</v>
      </c>
      <c r="L21" s="7">
        <f t="shared" ref="L21" si="48">L20</f>
        <v>-105</v>
      </c>
      <c r="M21" s="6" t="str">
        <f>INDEX('Index A'!$B$1:$B$32,MATCH($H21,'Index A'!$A$1:$A$32,0))</f>
        <v>Chiefs</v>
      </c>
    </row>
    <row r="22" spans="1:13" ht="20.25" x14ac:dyDescent="0.25">
      <c r="A22" s="2"/>
      <c r="B22" s="281" t="s">
        <v>112</v>
      </c>
      <c r="C22" s="282" t="s">
        <v>100</v>
      </c>
      <c r="D22" s="281" t="s">
        <v>152</v>
      </c>
      <c r="E22" s="281" t="s">
        <v>153</v>
      </c>
      <c r="F22" s="281" t="s">
        <v>154</v>
      </c>
      <c r="G22" s="281" t="s">
        <v>155</v>
      </c>
      <c r="H22" s="7" t="str">
        <f>A23</f>
        <v>Tennessee Titans</v>
      </c>
      <c r="I22" s="8">
        <f>_xlfn.NUMBERVALUE(RIGHT(B22,LEN(B22)-1))</f>
        <v>6.5</v>
      </c>
      <c r="J22" s="7" t="s">
        <v>105</v>
      </c>
      <c r="K22" s="7" t="str">
        <f t="shared" ref="K22" si="49">J22</f>
        <v>Over</v>
      </c>
      <c r="L22" s="7">
        <f t="shared" ref="L22" si="50">J23</f>
        <v>104</v>
      </c>
      <c r="M22" s="6" t="str">
        <f>INDEX('Index A'!$B$1:$B$32,MATCH($H22,'Index A'!$A$1:$A$32,0))</f>
        <v>Titans</v>
      </c>
    </row>
    <row r="23" spans="1:13" ht="20.25" x14ac:dyDescent="0.25">
      <c r="A23" s="4" t="s">
        <v>19</v>
      </c>
      <c r="B23" s="32">
        <v>104</v>
      </c>
      <c r="C23" s="282" t="s">
        <v>100</v>
      </c>
      <c r="D23" s="281" t="s">
        <v>156</v>
      </c>
      <c r="E23" s="281" t="s">
        <v>157</v>
      </c>
      <c r="F23" s="281" t="s">
        <v>158</v>
      </c>
      <c r="G23" s="281" t="s">
        <v>159</v>
      </c>
      <c r="H23" s="7" t="str">
        <f t="shared" ref="H23" si="51">H22</f>
        <v>Tennessee Titans</v>
      </c>
      <c r="I23" s="8">
        <f t="shared" ref="I23" si="52">I22</f>
        <v>6.5</v>
      </c>
      <c r="J23" s="7">
        <f>B23</f>
        <v>104</v>
      </c>
      <c r="K23" s="7" t="str">
        <f t="shared" ref="K23" si="53">K22</f>
        <v>Over</v>
      </c>
      <c r="L23" s="7">
        <f t="shared" ref="L23" si="54">L22</f>
        <v>104</v>
      </c>
      <c r="M23" s="6" t="str">
        <f>INDEX('Index A'!$B$1:$B$32,MATCH($H23,'Index A'!$A$1:$A$32,0))</f>
        <v>Titans</v>
      </c>
    </row>
    <row r="24" spans="1:13" ht="20.25" x14ac:dyDescent="0.25">
      <c r="A24" s="1"/>
      <c r="B24" s="281" t="s">
        <v>121</v>
      </c>
      <c r="C24" s="5"/>
      <c r="D24" s="5"/>
      <c r="E24" s="5"/>
      <c r="F24" s="5"/>
      <c r="G24" s="5"/>
      <c r="H24" s="7" t="str">
        <f t="shared" si="7"/>
        <v>Tennessee Titans</v>
      </c>
      <c r="I24" s="8">
        <f>_xlfn.NUMBERVALUE(RIGHT(B24,LEN(B24)-1))</f>
        <v>6.5</v>
      </c>
      <c r="J24" s="7" t="s">
        <v>111</v>
      </c>
      <c r="K24" s="7" t="str">
        <f t="shared" ref="K24" si="55">J24</f>
        <v>Under</v>
      </c>
      <c r="L24" s="7">
        <f t="shared" ref="L24" si="56">J25</f>
        <v>-125</v>
      </c>
      <c r="M24" s="6" t="str">
        <f>INDEX('Index A'!$B$1:$B$32,MATCH($H24,'Index A'!$A$1:$A$32,0))</f>
        <v>Titans</v>
      </c>
    </row>
    <row r="25" spans="1:13" ht="20.25" x14ac:dyDescent="0.25">
      <c r="A25" s="4"/>
      <c r="B25" s="32">
        <v>-125</v>
      </c>
      <c r="C25" s="5"/>
      <c r="D25" s="5"/>
      <c r="E25" s="5"/>
      <c r="F25" s="5"/>
      <c r="G25" s="5"/>
      <c r="H25" s="7" t="str">
        <f t="shared" si="7"/>
        <v>Tennessee Titans</v>
      </c>
      <c r="I25" s="8">
        <f t="shared" ref="I25" si="57">I24</f>
        <v>6.5</v>
      </c>
      <c r="J25" s="7">
        <f>B25</f>
        <v>-125</v>
      </c>
      <c r="K25" s="7" t="str">
        <f t="shared" ref="K25" si="58">K24</f>
        <v>Under</v>
      </c>
      <c r="L25" s="7">
        <f t="shared" ref="L25" si="59">L24</f>
        <v>-125</v>
      </c>
      <c r="M25" s="6" t="str">
        <f>INDEX('Index A'!$B$1:$B$32,MATCH($H25,'Index A'!$A$1:$A$32,0))</f>
        <v>Titans</v>
      </c>
    </row>
    <row r="26" spans="1:13" ht="20.25" x14ac:dyDescent="0.25">
      <c r="A26" s="2"/>
      <c r="B26" s="281" t="s">
        <v>160</v>
      </c>
      <c r="C26" s="282" t="s">
        <v>100</v>
      </c>
      <c r="D26" s="281" t="s">
        <v>161</v>
      </c>
      <c r="E26" s="281" t="s">
        <v>162</v>
      </c>
      <c r="F26" s="281" t="s">
        <v>163</v>
      </c>
      <c r="G26" s="281" t="s">
        <v>162</v>
      </c>
      <c r="H26" s="7" t="str">
        <f>A27</f>
        <v>New York Jets</v>
      </c>
      <c r="I26" s="8">
        <f>_xlfn.NUMBERVALUE(RIGHT(B26,LEN(B26)-1))</f>
        <v>9.5</v>
      </c>
      <c r="J26" s="7" t="s">
        <v>105</v>
      </c>
      <c r="K26" s="7" t="str">
        <f t="shared" ref="K26" si="60">J26</f>
        <v>Over</v>
      </c>
      <c r="L26" s="7">
        <f t="shared" ref="L26" si="61">J27</f>
        <v>-162</v>
      </c>
      <c r="M26" s="6" t="str">
        <f>INDEX('Index A'!$B$1:$B$32,MATCH($H26,'Index A'!$A$1:$A$32,0))</f>
        <v>Jets</v>
      </c>
    </row>
    <row r="27" spans="1:13" ht="20.25" x14ac:dyDescent="0.25">
      <c r="A27" s="4" t="s">
        <v>23</v>
      </c>
      <c r="B27" s="32">
        <v>-162</v>
      </c>
      <c r="C27" s="282" t="s">
        <v>100</v>
      </c>
      <c r="D27" s="281" t="s">
        <v>164</v>
      </c>
      <c r="E27" s="281" t="s">
        <v>165</v>
      </c>
      <c r="F27" s="281" t="s">
        <v>166</v>
      </c>
      <c r="G27" s="281" t="s">
        <v>167</v>
      </c>
      <c r="H27" s="7" t="str">
        <f t="shared" ref="H27" si="62">H26</f>
        <v>New York Jets</v>
      </c>
      <c r="I27" s="8">
        <f t="shared" ref="I27" si="63">I26</f>
        <v>9.5</v>
      </c>
      <c r="J27" s="7">
        <f>B27</f>
        <v>-162</v>
      </c>
      <c r="K27" s="7" t="str">
        <f t="shared" ref="K27" si="64">K26</f>
        <v>Over</v>
      </c>
      <c r="L27" s="7">
        <f t="shared" ref="L27" si="65">L26</f>
        <v>-162</v>
      </c>
      <c r="M27" s="6" t="str">
        <f>INDEX('Index A'!$B$1:$B$32,MATCH($H27,'Index A'!$A$1:$A$32,0))</f>
        <v>Jets</v>
      </c>
    </row>
    <row r="28" spans="1:13" ht="20.25" x14ac:dyDescent="0.25">
      <c r="A28" s="1"/>
      <c r="B28" s="281" t="s">
        <v>168</v>
      </c>
      <c r="C28" s="5"/>
      <c r="D28" s="5"/>
      <c r="E28" s="5"/>
      <c r="F28" s="5"/>
      <c r="G28" s="5"/>
      <c r="H28" s="7" t="str">
        <f t="shared" si="7"/>
        <v>New York Jets</v>
      </c>
      <c r="I28" s="8">
        <f>_xlfn.NUMBERVALUE(RIGHT(B28,LEN(B28)-1))</f>
        <v>9.5</v>
      </c>
      <c r="J28" s="7" t="s">
        <v>111</v>
      </c>
      <c r="K28" s="7" t="str">
        <f t="shared" ref="K28" si="66">J28</f>
        <v>Under</v>
      </c>
      <c r="L28" s="7">
        <f t="shared" ref="L28" si="67">J29</f>
        <v>132</v>
      </c>
      <c r="M28" s="6" t="str">
        <f>INDEX('Index A'!$B$1:$B$32,MATCH($H28,'Index A'!$A$1:$A$32,0))</f>
        <v>Jets</v>
      </c>
    </row>
    <row r="29" spans="1:13" ht="20.25" x14ac:dyDescent="0.25">
      <c r="A29" s="4"/>
      <c r="B29" s="32">
        <v>132</v>
      </c>
      <c r="C29" s="5"/>
      <c r="D29" s="5"/>
      <c r="E29" s="5"/>
      <c r="F29" s="5"/>
      <c r="G29" s="5"/>
      <c r="H29" s="7" t="str">
        <f t="shared" si="7"/>
        <v>New York Jets</v>
      </c>
      <c r="I29" s="8">
        <f t="shared" ref="I29" si="68">I28</f>
        <v>9.5</v>
      </c>
      <c r="J29" s="7">
        <f>B29</f>
        <v>132</v>
      </c>
      <c r="K29" s="7" t="str">
        <f t="shared" ref="K29" si="69">K28</f>
        <v>Under</v>
      </c>
      <c r="L29" s="7">
        <f t="shared" ref="L29" si="70">L28</f>
        <v>132</v>
      </c>
      <c r="M29" s="6" t="str">
        <f>INDEX('Index A'!$B$1:$B$32,MATCH($H29,'Index A'!$A$1:$A$32,0))</f>
        <v>Jets</v>
      </c>
    </row>
    <row r="30" spans="1:13" ht="20.25" x14ac:dyDescent="0.25">
      <c r="A30" s="2"/>
      <c r="B30" s="281" t="s">
        <v>169</v>
      </c>
      <c r="C30" s="282" t="s">
        <v>100</v>
      </c>
      <c r="D30" s="281" t="s">
        <v>170</v>
      </c>
      <c r="E30" s="281" t="s">
        <v>171</v>
      </c>
      <c r="F30" s="281" t="s">
        <v>172</v>
      </c>
      <c r="G30" s="281" t="s">
        <v>173</v>
      </c>
      <c r="H30" s="7" t="str">
        <f>A31</f>
        <v>Arizona Cardinals</v>
      </c>
      <c r="I30" s="8">
        <f>_xlfn.NUMBERVALUE(RIGHT(B30,LEN(B30)-1))</f>
        <v>7</v>
      </c>
      <c r="J30" s="7" t="s">
        <v>105</v>
      </c>
      <c r="K30" s="7" t="str">
        <f t="shared" ref="K30" si="71">J30</f>
        <v>Over</v>
      </c>
      <c r="L30" s="7">
        <f t="shared" ref="L30" si="72">J31</f>
        <v>-125</v>
      </c>
      <c r="M30" s="6" t="str">
        <f>INDEX('Index A'!$B$1:$B$32,MATCH($H30,'Index A'!$A$1:$A$32,0))</f>
        <v>Cardinals</v>
      </c>
    </row>
    <row r="31" spans="1:13" ht="20.25" x14ac:dyDescent="0.25">
      <c r="A31" s="4" t="s">
        <v>27</v>
      </c>
      <c r="B31" s="32">
        <v>-125</v>
      </c>
      <c r="C31" s="282" t="s">
        <v>100</v>
      </c>
      <c r="D31" s="281" t="s">
        <v>174</v>
      </c>
      <c r="E31" s="281" t="s">
        <v>175</v>
      </c>
      <c r="F31" s="281" t="s">
        <v>176</v>
      </c>
      <c r="G31" s="281" t="s">
        <v>177</v>
      </c>
      <c r="H31" s="7" t="str">
        <f t="shared" ref="H31" si="73">H30</f>
        <v>Arizona Cardinals</v>
      </c>
      <c r="I31" s="8">
        <f t="shared" ref="I31" si="74">I30</f>
        <v>7</v>
      </c>
      <c r="J31" s="7">
        <f>B31</f>
        <v>-125</v>
      </c>
      <c r="K31" s="7" t="str">
        <f t="shared" ref="K31" si="75">K30</f>
        <v>Over</v>
      </c>
      <c r="L31" s="7">
        <f t="shared" ref="L31" si="76">L30</f>
        <v>-125</v>
      </c>
      <c r="M31" s="6" t="str">
        <f>INDEX('Index A'!$B$1:$B$32,MATCH($H31,'Index A'!$A$1:$A$32,0))</f>
        <v>Cardinals</v>
      </c>
    </row>
    <row r="32" spans="1:13" ht="20.25" x14ac:dyDescent="0.25">
      <c r="A32" s="1"/>
      <c r="B32" s="281" t="s">
        <v>178</v>
      </c>
      <c r="C32" s="5"/>
      <c r="D32" s="5"/>
      <c r="E32" s="5"/>
      <c r="F32" s="5"/>
      <c r="G32" s="5"/>
      <c r="H32" s="7" t="str">
        <f t="shared" si="7"/>
        <v>Arizona Cardinals</v>
      </c>
      <c r="I32" s="8">
        <f>_xlfn.NUMBERVALUE(RIGHT(B32,LEN(B32)-1))</f>
        <v>7</v>
      </c>
      <c r="J32" s="7" t="s">
        <v>111</v>
      </c>
      <c r="K32" s="7" t="str">
        <f t="shared" ref="K32" si="77">J32</f>
        <v>Under</v>
      </c>
      <c r="L32" s="7">
        <f t="shared" ref="L32" si="78">J33</f>
        <v>105</v>
      </c>
      <c r="M32" s="6" t="str">
        <f>INDEX('Index A'!$B$1:$B$32,MATCH($H32,'Index A'!$A$1:$A$32,0))</f>
        <v>Cardinals</v>
      </c>
    </row>
    <row r="33" spans="1:13" ht="20.25" x14ac:dyDescent="0.25">
      <c r="A33" s="4"/>
      <c r="B33" s="32">
        <v>105</v>
      </c>
      <c r="C33" s="5"/>
      <c r="D33" s="5"/>
      <c r="E33" s="5"/>
      <c r="F33" s="5"/>
      <c r="G33" s="5"/>
      <c r="H33" s="7" t="str">
        <f t="shared" si="7"/>
        <v>Arizona Cardinals</v>
      </c>
      <c r="I33" s="8">
        <f t="shared" ref="I33" si="79">I32</f>
        <v>7</v>
      </c>
      <c r="J33" s="7">
        <f>B33</f>
        <v>105</v>
      </c>
      <c r="K33" s="7" t="str">
        <f t="shared" ref="K33" si="80">K32</f>
        <v>Under</v>
      </c>
      <c r="L33" s="7">
        <f t="shared" ref="L33" si="81">L32</f>
        <v>105</v>
      </c>
      <c r="M33" s="6" t="str">
        <f>INDEX('Index A'!$B$1:$B$32,MATCH($H33,'Index A'!$A$1:$A$32,0))</f>
        <v>Cardinals</v>
      </c>
    </row>
    <row r="34" spans="1:13" ht="20.25" x14ac:dyDescent="0.25">
      <c r="A34" s="2"/>
      <c r="B34" s="281" t="s">
        <v>142</v>
      </c>
      <c r="C34" s="282" t="s">
        <v>100</v>
      </c>
      <c r="D34" s="281" t="s">
        <v>179</v>
      </c>
      <c r="E34" s="281" t="s">
        <v>180</v>
      </c>
      <c r="F34" s="281" t="s">
        <v>181</v>
      </c>
      <c r="G34" s="281" t="s">
        <v>182</v>
      </c>
      <c r="H34" s="7" t="str">
        <f>A35</f>
        <v>San Francisco 49ers</v>
      </c>
      <c r="I34" s="8">
        <f>_xlfn.NUMBERVALUE(RIGHT(B34,LEN(B34)-1))</f>
        <v>11.5</v>
      </c>
      <c r="J34" s="7" t="s">
        <v>105</v>
      </c>
      <c r="K34" s="7" t="str">
        <f t="shared" ref="K34" si="82">J34</f>
        <v>Over</v>
      </c>
      <c r="L34" s="7">
        <f t="shared" ref="L34" si="83">J35</f>
        <v>125</v>
      </c>
      <c r="M34" s="6" t="str">
        <f>INDEX('Index A'!$B$1:$B$32,MATCH($H34,'Index A'!$A$1:$A$32,0))</f>
        <v>49ers</v>
      </c>
    </row>
    <row r="35" spans="1:13" ht="20.25" x14ac:dyDescent="0.25">
      <c r="A35" s="4" t="s">
        <v>30</v>
      </c>
      <c r="B35" s="32">
        <v>125</v>
      </c>
      <c r="C35" s="282" t="s">
        <v>100</v>
      </c>
      <c r="D35" s="281" t="s">
        <v>183</v>
      </c>
      <c r="E35" s="281" t="s">
        <v>184</v>
      </c>
      <c r="F35" s="281" t="s">
        <v>185</v>
      </c>
      <c r="G35" s="281" t="s">
        <v>186</v>
      </c>
      <c r="H35" s="7" t="str">
        <f t="shared" ref="H35" si="84">H34</f>
        <v>San Francisco 49ers</v>
      </c>
      <c r="I35" s="8">
        <f t="shared" ref="I35" si="85">I34</f>
        <v>11.5</v>
      </c>
      <c r="J35" s="7">
        <f>B35</f>
        <v>125</v>
      </c>
      <c r="K35" s="7" t="str">
        <f t="shared" ref="K35" si="86">K34</f>
        <v>Over</v>
      </c>
      <c r="L35" s="7">
        <f t="shared" ref="L35" si="87">L34</f>
        <v>125</v>
      </c>
      <c r="M35" s="6" t="str">
        <f>INDEX('Index A'!$B$1:$B$32,MATCH($H35,'Index A'!$A$1:$A$32,0))</f>
        <v>49ers</v>
      </c>
    </row>
    <row r="36" spans="1:13" ht="20.25" x14ac:dyDescent="0.25">
      <c r="A36" s="1"/>
      <c r="B36" s="281" t="s">
        <v>151</v>
      </c>
      <c r="C36" s="5"/>
      <c r="D36" s="5"/>
      <c r="E36" s="5"/>
      <c r="F36" s="5"/>
      <c r="G36" s="5"/>
      <c r="H36" s="7" t="str">
        <f t="shared" si="7"/>
        <v>San Francisco 49ers</v>
      </c>
      <c r="I36" s="8">
        <f>_xlfn.NUMBERVALUE(RIGHT(B36,LEN(B36)-1))</f>
        <v>11.5</v>
      </c>
      <c r="J36" s="7" t="s">
        <v>111</v>
      </c>
      <c r="K36" s="7" t="str">
        <f t="shared" ref="K36" si="88">J36</f>
        <v>Under</v>
      </c>
      <c r="L36" s="7">
        <f t="shared" ref="L36" si="89">J37</f>
        <v>-145</v>
      </c>
      <c r="M36" s="6" t="str">
        <f>INDEX('Index A'!$B$1:$B$32,MATCH($H36,'Index A'!$A$1:$A$32,0))</f>
        <v>49ers</v>
      </c>
    </row>
    <row r="37" spans="1:13" ht="20.25" x14ac:dyDescent="0.25">
      <c r="A37" s="4"/>
      <c r="B37" s="32">
        <v>-145</v>
      </c>
      <c r="C37" s="5"/>
      <c r="D37" s="5"/>
      <c r="E37" s="5"/>
      <c r="F37" s="5"/>
      <c r="G37" s="5"/>
      <c r="H37" s="7" t="str">
        <f t="shared" si="7"/>
        <v>San Francisco 49ers</v>
      </c>
      <c r="I37" s="8">
        <f t="shared" ref="I37" si="90">I36</f>
        <v>11.5</v>
      </c>
      <c r="J37" s="7">
        <f>B37</f>
        <v>-145</v>
      </c>
      <c r="K37" s="7" t="str">
        <f t="shared" ref="K37" si="91">K36</f>
        <v>Under</v>
      </c>
      <c r="L37" s="7">
        <f t="shared" ref="L37" si="92">L36</f>
        <v>-145</v>
      </c>
      <c r="M37" s="6" t="str">
        <f>INDEX('Index A'!$B$1:$B$32,MATCH($H37,'Index A'!$A$1:$A$32,0))</f>
        <v>49ers</v>
      </c>
    </row>
    <row r="38" spans="1:13" ht="20.25" x14ac:dyDescent="0.25">
      <c r="A38" s="2"/>
      <c r="B38" s="281" t="s">
        <v>160</v>
      </c>
      <c r="C38" s="282" t="s">
        <v>100</v>
      </c>
      <c r="D38" s="281" t="s">
        <v>187</v>
      </c>
      <c r="E38" s="281" t="s">
        <v>187</v>
      </c>
      <c r="F38" s="281" t="s">
        <v>188</v>
      </c>
      <c r="G38" s="281" t="s">
        <v>189</v>
      </c>
      <c r="H38" s="7" t="str">
        <f>A39</f>
        <v>Houston Texans</v>
      </c>
      <c r="I38" s="8">
        <f>_xlfn.NUMBERVALUE(RIGHT(B38,LEN(B38)-1))</f>
        <v>9.5</v>
      </c>
      <c r="J38" s="7" t="s">
        <v>105</v>
      </c>
      <c r="K38" s="7" t="str">
        <f t="shared" ref="K38" si="93">J38</f>
        <v>Over</v>
      </c>
      <c r="L38" s="7">
        <f t="shared" ref="L38" si="94">J39</f>
        <v>-140</v>
      </c>
      <c r="M38" s="6" t="str">
        <f>INDEX('Index A'!$B$1:$B$32,MATCH($H38,'Index A'!$A$1:$A$32,0))</f>
        <v>Texans</v>
      </c>
    </row>
    <row r="39" spans="1:13" ht="20.25" x14ac:dyDescent="0.25">
      <c r="A39" s="4" t="s">
        <v>33</v>
      </c>
      <c r="B39" s="32">
        <v>-140</v>
      </c>
      <c r="C39" s="282" t="s">
        <v>100</v>
      </c>
      <c r="D39" s="281" t="s">
        <v>190</v>
      </c>
      <c r="E39" s="281" t="s">
        <v>190</v>
      </c>
      <c r="F39" s="281" t="s">
        <v>191</v>
      </c>
      <c r="G39" s="281" t="s">
        <v>192</v>
      </c>
      <c r="H39" s="7" t="str">
        <f t="shared" ref="H39" si="95">H38</f>
        <v>Houston Texans</v>
      </c>
      <c r="I39" s="8">
        <f t="shared" ref="I39" si="96">I38</f>
        <v>9.5</v>
      </c>
      <c r="J39" s="7">
        <f>B39</f>
        <v>-140</v>
      </c>
      <c r="K39" s="7" t="str">
        <f t="shared" ref="K39" si="97">K38</f>
        <v>Over</v>
      </c>
      <c r="L39" s="7">
        <f t="shared" ref="L39" si="98">L38</f>
        <v>-140</v>
      </c>
      <c r="M39" s="6" t="str">
        <f>INDEX('Index A'!$B$1:$B$32,MATCH($H39,'Index A'!$A$1:$A$32,0))</f>
        <v>Texans</v>
      </c>
    </row>
    <row r="40" spans="1:13" ht="20.25" x14ac:dyDescent="0.25">
      <c r="A40" s="1"/>
      <c r="B40" s="281" t="s">
        <v>168</v>
      </c>
      <c r="C40" s="5"/>
      <c r="D40" s="5"/>
      <c r="E40" s="5"/>
      <c r="F40" s="5"/>
      <c r="G40" s="5"/>
      <c r="H40" s="7" t="str">
        <f t="shared" si="7"/>
        <v>Houston Texans</v>
      </c>
      <c r="I40" s="8">
        <f>_xlfn.NUMBERVALUE(RIGHT(B40,LEN(B40)-1))</f>
        <v>9.5</v>
      </c>
      <c r="J40" s="7" t="s">
        <v>111</v>
      </c>
      <c r="K40" s="7" t="str">
        <f t="shared" ref="K40" si="99">J40</f>
        <v>Under</v>
      </c>
      <c r="L40" s="7">
        <f t="shared" ref="L40" si="100">J41</f>
        <v>120</v>
      </c>
      <c r="M40" s="6" t="str">
        <f>INDEX('Index A'!$B$1:$B$32,MATCH($H40,'Index A'!$A$1:$A$32,0))</f>
        <v>Texans</v>
      </c>
    </row>
    <row r="41" spans="1:13" ht="20.25" x14ac:dyDescent="0.25">
      <c r="A41" s="4"/>
      <c r="B41" s="32">
        <v>120</v>
      </c>
      <c r="C41" s="5"/>
      <c r="D41" s="5"/>
      <c r="E41" s="5"/>
      <c r="F41" s="5"/>
      <c r="G41" s="5"/>
      <c r="H41" s="7" t="str">
        <f t="shared" si="7"/>
        <v>Houston Texans</v>
      </c>
      <c r="I41" s="8">
        <f t="shared" ref="I41" si="101">I40</f>
        <v>9.5</v>
      </c>
      <c r="J41" s="7">
        <f>B41</f>
        <v>120</v>
      </c>
      <c r="K41" s="7" t="str">
        <f t="shared" ref="K41" si="102">K40</f>
        <v>Under</v>
      </c>
      <c r="L41" s="7">
        <f t="shared" ref="L41" si="103">L40</f>
        <v>120</v>
      </c>
      <c r="M41" s="6" t="str">
        <f>INDEX('Index A'!$B$1:$B$32,MATCH($H41,'Index A'!$A$1:$A$32,0))</f>
        <v>Texans</v>
      </c>
    </row>
    <row r="42" spans="1:13" ht="20.25" x14ac:dyDescent="0.25">
      <c r="A42" s="2"/>
      <c r="B42" s="281" t="s">
        <v>99</v>
      </c>
      <c r="C42" s="282" t="s">
        <v>100</v>
      </c>
      <c r="D42" s="281" t="s">
        <v>193</v>
      </c>
      <c r="E42" s="281" t="s">
        <v>193</v>
      </c>
      <c r="F42" s="281" t="s">
        <v>194</v>
      </c>
      <c r="G42" s="281" t="s">
        <v>194</v>
      </c>
      <c r="H42" s="7" t="str">
        <f>A43</f>
        <v>Jacksonville Jaguars</v>
      </c>
      <c r="I42" s="8">
        <f>_xlfn.NUMBERVALUE(RIGHT(B42,LEN(B42)-1))</f>
        <v>8.5</v>
      </c>
      <c r="J42" s="7" t="s">
        <v>105</v>
      </c>
      <c r="K42" s="7" t="str">
        <f t="shared" ref="K42" si="104">J42</f>
        <v>Over</v>
      </c>
      <c r="L42" s="7">
        <f t="shared" ref="L42" si="105">J43</f>
        <v>-120</v>
      </c>
      <c r="M42" s="6" t="str">
        <f>INDEX('Index A'!$B$1:$B$32,MATCH($H42,'Index A'!$A$1:$A$32,0))</f>
        <v>Jaguars</v>
      </c>
    </row>
    <row r="43" spans="1:13" ht="20.25" x14ac:dyDescent="0.25">
      <c r="A43" s="4" t="s">
        <v>36</v>
      </c>
      <c r="B43" s="32">
        <v>-120</v>
      </c>
      <c r="C43" s="282" t="s">
        <v>100</v>
      </c>
      <c r="D43" s="281" t="s">
        <v>195</v>
      </c>
      <c r="E43" s="281" t="s">
        <v>195</v>
      </c>
      <c r="F43" s="281" t="s">
        <v>196</v>
      </c>
      <c r="G43" s="281" t="s">
        <v>197</v>
      </c>
      <c r="H43" s="7" t="str">
        <f t="shared" ref="H43" si="106">H42</f>
        <v>Jacksonville Jaguars</v>
      </c>
      <c r="I43" s="8">
        <f t="shared" ref="I43" si="107">I42</f>
        <v>8.5</v>
      </c>
      <c r="J43" s="7">
        <f>B43</f>
        <v>-120</v>
      </c>
      <c r="K43" s="7" t="str">
        <f t="shared" ref="K43" si="108">K42</f>
        <v>Over</v>
      </c>
      <c r="L43" s="7">
        <f t="shared" ref="L43" si="109">L42</f>
        <v>-120</v>
      </c>
      <c r="M43" s="6" t="str">
        <f>INDEX('Index A'!$B$1:$B$32,MATCH($H43,'Index A'!$A$1:$A$32,0))</f>
        <v>Jaguars</v>
      </c>
    </row>
    <row r="44" spans="1:13" ht="20.25" x14ac:dyDescent="0.25">
      <c r="A44" s="1"/>
      <c r="B44" s="281" t="s">
        <v>110</v>
      </c>
      <c r="C44" s="5"/>
      <c r="D44" s="5"/>
      <c r="E44" s="5"/>
      <c r="F44" s="5"/>
      <c r="G44" s="5"/>
      <c r="H44" s="7" t="str">
        <f t="shared" si="7"/>
        <v>Jacksonville Jaguars</v>
      </c>
      <c r="I44" s="8">
        <f>_xlfn.NUMBERVALUE(RIGHT(B44,LEN(B44)-1))</f>
        <v>8.5</v>
      </c>
      <c r="J44" s="7" t="s">
        <v>111</v>
      </c>
      <c r="K44" s="7" t="str">
        <f t="shared" ref="K44" si="110">J44</f>
        <v>Under</v>
      </c>
      <c r="L44" s="7">
        <f t="shared" ref="L44" si="111">J45</f>
        <v>100</v>
      </c>
      <c r="M44" s="6" t="str">
        <f>INDEX('Index A'!$B$1:$B$32,MATCH($H44,'Index A'!$A$1:$A$32,0))</f>
        <v>Jaguars</v>
      </c>
    </row>
    <row r="45" spans="1:13" ht="20.25" x14ac:dyDescent="0.25">
      <c r="A45" s="4"/>
      <c r="B45" s="32">
        <v>100</v>
      </c>
      <c r="C45" s="5"/>
      <c r="D45" s="5"/>
      <c r="E45" s="5"/>
      <c r="F45" s="5"/>
      <c r="G45" s="5"/>
      <c r="H45" s="7" t="str">
        <f t="shared" si="7"/>
        <v>Jacksonville Jaguars</v>
      </c>
      <c r="I45" s="8">
        <f t="shared" ref="I45" si="112">I44</f>
        <v>8.5</v>
      </c>
      <c r="J45" s="7">
        <f>B45</f>
        <v>100</v>
      </c>
      <c r="K45" s="7" t="str">
        <f t="shared" ref="K45" si="113">K44</f>
        <v>Under</v>
      </c>
      <c r="L45" s="7">
        <f t="shared" ref="L45" si="114">L44</f>
        <v>100</v>
      </c>
      <c r="M45" s="6" t="str">
        <f>INDEX('Index A'!$B$1:$B$32,MATCH($H45,'Index A'!$A$1:$A$32,0))</f>
        <v>Jaguars</v>
      </c>
    </row>
    <row r="46" spans="1:13" ht="20.25" x14ac:dyDescent="0.25">
      <c r="A46" s="2"/>
      <c r="B46" s="281" t="s">
        <v>198</v>
      </c>
      <c r="C46" s="282" t="s">
        <v>100</v>
      </c>
      <c r="D46" s="281" t="s">
        <v>199</v>
      </c>
      <c r="E46" s="281" t="s">
        <v>200</v>
      </c>
      <c r="F46" s="281" t="s">
        <v>201</v>
      </c>
      <c r="G46" s="281" t="s">
        <v>162</v>
      </c>
      <c r="H46" s="7" t="str">
        <f>A47</f>
        <v>Buffalo Bills</v>
      </c>
      <c r="I46" s="8">
        <f>_xlfn.NUMBERVALUE(RIGHT(B46,LEN(B46)-1))</f>
        <v>10.5</v>
      </c>
      <c r="J46" s="7" t="s">
        <v>105</v>
      </c>
      <c r="K46" s="7" t="str">
        <f t="shared" ref="K46" si="115">J46</f>
        <v>Over</v>
      </c>
      <c r="L46" s="7">
        <f t="shared" ref="L46" si="116">J47</f>
        <v>130</v>
      </c>
      <c r="M46" s="6" t="str">
        <f>INDEX('Index A'!$B$1:$B$32,MATCH($H46,'Index A'!$A$1:$A$32,0))</f>
        <v>Bills</v>
      </c>
    </row>
    <row r="47" spans="1:13" ht="20.25" x14ac:dyDescent="0.25">
      <c r="A47" s="4" t="s">
        <v>40</v>
      </c>
      <c r="B47" s="32">
        <v>130</v>
      </c>
      <c r="C47" s="282" t="s">
        <v>100</v>
      </c>
      <c r="D47" s="281" t="s">
        <v>202</v>
      </c>
      <c r="E47" s="281" t="s">
        <v>203</v>
      </c>
      <c r="F47" s="281" t="s">
        <v>204</v>
      </c>
      <c r="G47" s="281" t="s">
        <v>205</v>
      </c>
      <c r="H47" s="7" t="str">
        <f t="shared" ref="H47" si="117">H46</f>
        <v>Buffalo Bills</v>
      </c>
      <c r="I47" s="8">
        <f t="shared" ref="I47" si="118">I46</f>
        <v>10.5</v>
      </c>
      <c r="J47" s="7">
        <f>B47</f>
        <v>130</v>
      </c>
      <c r="K47" s="7" t="str">
        <f t="shared" ref="K47" si="119">K46</f>
        <v>Over</v>
      </c>
      <c r="L47" s="7">
        <f t="shared" ref="L47" si="120">L46</f>
        <v>130</v>
      </c>
      <c r="M47" s="6" t="str">
        <f>INDEX('Index A'!$B$1:$B$32,MATCH($H47,'Index A'!$A$1:$A$32,0))</f>
        <v>Bills</v>
      </c>
    </row>
    <row r="48" spans="1:13" ht="20.25" x14ac:dyDescent="0.25">
      <c r="A48" s="1"/>
      <c r="B48" s="281" t="s">
        <v>206</v>
      </c>
      <c r="C48" s="5"/>
      <c r="D48" s="5"/>
      <c r="E48" s="5"/>
      <c r="F48" s="5"/>
      <c r="G48" s="5"/>
      <c r="H48" s="7" t="str">
        <f t="shared" si="7"/>
        <v>Buffalo Bills</v>
      </c>
      <c r="I48" s="8">
        <f>_xlfn.NUMBERVALUE(RIGHT(B48,LEN(B48)-1))</f>
        <v>10.5</v>
      </c>
      <c r="J48" s="7" t="s">
        <v>111</v>
      </c>
      <c r="K48" s="7" t="str">
        <f t="shared" ref="K48" si="121">J48</f>
        <v>Under</v>
      </c>
      <c r="L48" s="7">
        <f t="shared" ref="L48" si="122">J49</f>
        <v>-155</v>
      </c>
      <c r="M48" s="6" t="str">
        <f>INDEX('Index A'!$B$1:$B$32,MATCH($H48,'Index A'!$A$1:$A$32,0))</f>
        <v>Bills</v>
      </c>
    </row>
    <row r="49" spans="1:13" ht="20.25" x14ac:dyDescent="0.25">
      <c r="A49" s="4"/>
      <c r="B49" s="32">
        <v>-155</v>
      </c>
      <c r="C49" s="5"/>
      <c r="D49" s="5"/>
      <c r="E49" s="5"/>
      <c r="F49" s="5"/>
      <c r="G49" s="5"/>
      <c r="H49" s="7" t="str">
        <f t="shared" si="7"/>
        <v>Buffalo Bills</v>
      </c>
      <c r="I49" s="8">
        <f t="shared" ref="I49" si="123">I48</f>
        <v>10.5</v>
      </c>
      <c r="J49" s="7">
        <f>B49</f>
        <v>-155</v>
      </c>
      <c r="K49" s="7" t="str">
        <f t="shared" ref="K49" si="124">K48</f>
        <v>Under</v>
      </c>
      <c r="L49" s="7">
        <f t="shared" ref="L49" si="125">L48</f>
        <v>-155</v>
      </c>
      <c r="M49" s="6" t="str">
        <f>INDEX('Index A'!$B$1:$B$32,MATCH($H49,'Index A'!$A$1:$A$32,0))</f>
        <v>Bills</v>
      </c>
    </row>
    <row r="50" spans="1:13" ht="20.25" x14ac:dyDescent="0.25">
      <c r="A50" s="2"/>
      <c r="B50" s="281" t="s">
        <v>99</v>
      </c>
      <c r="C50" s="282" t="s">
        <v>100</v>
      </c>
      <c r="D50" s="281" t="s">
        <v>207</v>
      </c>
      <c r="E50" s="281" t="s">
        <v>207</v>
      </c>
      <c r="F50" s="281" t="s">
        <v>208</v>
      </c>
      <c r="G50" s="281" t="s">
        <v>209</v>
      </c>
      <c r="H50" s="7" t="str">
        <f>A51</f>
        <v>Indianapolis Colts</v>
      </c>
      <c r="I50" s="8">
        <f>_xlfn.NUMBERVALUE(RIGHT(B50,LEN(B50)-1))</f>
        <v>8.5</v>
      </c>
      <c r="J50" s="7" t="s">
        <v>105</v>
      </c>
      <c r="K50" s="7" t="str">
        <f t="shared" ref="K50" si="126">J50</f>
        <v>Over</v>
      </c>
      <c r="L50" s="7">
        <f t="shared" ref="L50" si="127">J51</f>
        <v>110</v>
      </c>
      <c r="M50" s="6" t="str">
        <f>INDEX('Index A'!$B$1:$B$32,MATCH($H50,'Index A'!$A$1:$A$32,0))</f>
        <v>Colts</v>
      </c>
    </row>
    <row r="51" spans="1:13" ht="20.25" x14ac:dyDescent="0.25">
      <c r="A51" s="4" t="s">
        <v>42</v>
      </c>
      <c r="B51" s="32">
        <v>110</v>
      </c>
      <c r="C51" s="282" t="s">
        <v>100</v>
      </c>
      <c r="D51" s="281" t="s">
        <v>210</v>
      </c>
      <c r="E51" s="281" t="s">
        <v>210</v>
      </c>
      <c r="F51" s="281" t="s">
        <v>211</v>
      </c>
      <c r="G51" s="281" t="s">
        <v>212</v>
      </c>
      <c r="H51" s="7" t="str">
        <f t="shared" ref="H51" si="128">H50</f>
        <v>Indianapolis Colts</v>
      </c>
      <c r="I51" s="8">
        <f t="shared" ref="I51" si="129">I50</f>
        <v>8.5</v>
      </c>
      <c r="J51" s="7">
        <f>B51</f>
        <v>110</v>
      </c>
      <c r="K51" s="7" t="str">
        <f t="shared" ref="K51" si="130">K50</f>
        <v>Over</v>
      </c>
      <c r="L51" s="7">
        <f t="shared" ref="L51" si="131">L50</f>
        <v>110</v>
      </c>
      <c r="M51" s="6" t="str">
        <f>INDEX('Index A'!$B$1:$B$32,MATCH($H51,'Index A'!$A$1:$A$32,0))</f>
        <v>Colts</v>
      </c>
    </row>
    <row r="52" spans="1:13" ht="20.25" x14ac:dyDescent="0.25">
      <c r="A52" s="1"/>
      <c r="B52" s="281" t="s">
        <v>110</v>
      </c>
      <c r="C52" s="5"/>
      <c r="D52" s="5"/>
      <c r="E52" s="5"/>
      <c r="F52" s="5"/>
      <c r="G52" s="5"/>
      <c r="H52" s="7" t="str">
        <f t="shared" si="7"/>
        <v>Indianapolis Colts</v>
      </c>
      <c r="I52" s="8">
        <f>_xlfn.NUMBERVALUE(RIGHT(B52,LEN(B52)-1))</f>
        <v>8.5</v>
      </c>
      <c r="J52" s="7" t="s">
        <v>111</v>
      </c>
      <c r="K52" s="7" t="str">
        <f t="shared" ref="K52" si="132">J52</f>
        <v>Under</v>
      </c>
      <c r="L52" s="7">
        <f t="shared" ref="L52" si="133">J53</f>
        <v>-130</v>
      </c>
      <c r="M52" s="6" t="str">
        <f>INDEX('Index A'!$B$1:$B$32,MATCH($H52,'Index A'!$A$1:$A$32,0))</f>
        <v>Colts</v>
      </c>
    </row>
    <row r="53" spans="1:13" ht="20.25" x14ac:dyDescent="0.25">
      <c r="A53" s="4"/>
      <c r="B53" s="32">
        <v>-130</v>
      </c>
      <c r="C53" s="5"/>
      <c r="D53" s="5"/>
      <c r="E53" s="5"/>
      <c r="F53" s="5"/>
      <c r="G53" s="5"/>
      <c r="H53" s="7" t="str">
        <f t="shared" si="7"/>
        <v>Indianapolis Colts</v>
      </c>
      <c r="I53" s="8">
        <f t="shared" ref="I53" si="134">I52</f>
        <v>8.5</v>
      </c>
      <c r="J53" s="7">
        <f>B53</f>
        <v>-130</v>
      </c>
      <c r="K53" s="7" t="str">
        <f t="shared" ref="K53" si="135">K52</f>
        <v>Under</v>
      </c>
      <c r="L53" s="7">
        <f t="shared" ref="L53" si="136">L52</f>
        <v>-130</v>
      </c>
      <c r="M53" s="6" t="str">
        <f>INDEX('Index A'!$B$1:$B$32,MATCH($H53,'Index A'!$A$1:$A$32,0))</f>
        <v>Colts</v>
      </c>
    </row>
    <row r="54" spans="1:13" ht="20.25" x14ac:dyDescent="0.25">
      <c r="A54" s="2"/>
      <c r="B54" s="281" t="s">
        <v>213</v>
      </c>
      <c r="C54" s="282" t="s">
        <v>100</v>
      </c>
      <c r="D54" s="281" t="s">
        <v>214</v>
      </c>
      <c r="E54" s="281" t="s">
        <v>215</v>
      </c>
      <c r="F54" s="281" t="s">
        <v>216</v>
      </c>
      <c r="G54" s="281" t="s">
        <v>217</v>
      </c>
      <c r="H54" s="7" t="str">
        <f>A55</f>
        <v>New England Patriots</v>
      </c>
      <c r="I54" s="8">
        <f>_xlfn.NUMBERVALUE(RIGHT(B54,LEN(B54)-1))</f>
        <v>4.5</v>
      </c>
      <c r="J54" s="7" t="s">
        <v>105</v>
      </c>
      <c r="K54" s="7" t="str">
        <f t="shared" ref="K54" si="137">J54</f>
        <v>Over</v>
      </c>
      <c r="L54" s="7">
        <f t="shared" ref="L54" si="138">J55</f>
        <v>-135</v>
      </c>
      <c r="M54" s="6" t="str">
        <f>INDEX('Index A'!$B$1:$B$32,MATCH($H54,'Index A'!$A$1:$A$32,0))</f>
        <v>Patriots</v>
      </c>
    </row>
    <row r="55" spans="1:13" ht="20.25" x14ac:dyDescent="0.25">
      <c r="A55" s="4" t="s">
        <v>45</v>
      </c>
      <c r="B55" s="32">
        <v>-135</v>
      </c>
      <c r="C55" s="282" t="s">
        <v>100</v>
      </c>
      <c r="D55" s="281" t="s">
        <v>218</v>
      </c>
      <c r="E55" s="281" t="s">
        <v>219</v>
      </c>
      <c r="F55" s="281" t="s">
        <v>220</v>
      </c>
      <c r="G55" s="281" t="s">
        <v>221</v>
      </c>
      <c r="H55" s="7" t="str">
        <f t="shared" ref="H55" si="139">H54</f>
        <v>New England Patriots</v>
      </c>
      <c r="I55" s="8">
        <f t="shared" ref="I55" si="140">I54</f>
        <v>4.5</v>
      </c>
      <c r="J55" s="7">
        <f>B55</f>
        <v>-135</v>
      </c>
      <c r="K55" s="7" t="str">
        <f t="shared" ref="K55" si="141">K54</f>
        <v>Over</v>
      </c>
      <c r="L55" s="7">
        <f t="shared" ref="L55" si="142">L54</f>
        <v>-135</v>
      </c>
      <c r="M55" s="6" t="str">
        <f>INDEX('Index A'!$B$1:$B$32,MATCH($H55,'Index A'!$A$1:$A$32,0))</f>
        <v>Patriots</v>
      </c>
    </row>
    <row r="56" spans="1:13" ht="20.25" x14ac:dyDescent="0.25">
      <c r="A56" s="1"/>
      <c r="B56" s="281" t="s">
        <v>222</v>
      </c>
      <c r="C56" s="5"/>
      <c r="D56" s="5"/>
      <c r="E56" s="5"/>
      <c r="F56" s="5"/>
      <c r="G56" s="5"/>
      <c r="H56" s="7" t="str">
        <f t="shared" si="7"/>
        <v>New England Patriots</v>
      </c>
      <c r="I56" s="8">
        <f>_xlfn.NUMBERVALUE(RIGHT(B56,LEN(B56)-1))</f>
        <v>4.5</v>
      </c>
      <c r="J56" s="7" t="s">
        <v>111</v>
      </c>
      <c r="K56" s="7" t="str">
        <f t="shared" ref="K56" si="143">J56</f>
        <v>Under</v>
      </c>
      <c r="L56" s="7">
        <f t="shared" ref="L56" si="144">J57</f>
        <v>110</v>
      </c>
      <c r="M56" s="6" t="str">
        <f>INDEX('Index A'!$B$1:$B$32,MATCH($H56,'Index A'!$A$1:$A$32,0))</f>
        <v>Patriots</v>
      </c>
    </row>
    <row r="57" spans="1:13" ht="20.25" x14ac:dyDescent="0.25">
      <c r="A57" s="4"/>
      <c r="B57" s="32">
        <v>110</v>
      </c>
      <c r="C57" s="5"/>
      <c r="D57" s="5"/>
      <c r="E57" s="5"/>
      <c r="F57" s="5"/>
      <c r="G57" s="5"/>
      <c r="H57" s="7" t="str">
        <f t="shared" si="7"/>
        <v>New England Patriots</v>
      </c>
      <c r="I57" s="8">
        <f t="shared" ref="I57" si="145">I56</f>
        <v>4.5</v>
      </c>
      <c r="J57" s="7">
        <f>B57</f>
        <v>110</v>
      </c>
      <c r="K57" s="7" t="str">
        <f t="shared" ref="K57" si="146">K56</f>
        <v>Under</v>
      </c>
      <c r="L57" s="7">
        <f t="shared" ref="L57" si="147">L56</f>
        <v>110</v>
      </c>
      <c r="M57" s="6" t="str">
        <f>INDEX('Index A'!$B$1:$B$32,MATCH($H57,'Index A'!$A$1:$A$32,0))</f>
        <v>Patriots</v>
      </c>
    </row>
    <row r="58" spans="1:13" ht="20.25" x14ac:dyDescent="0.25">
      <c r="A58" s="2"/>
      <c r="B58" s="281" t="s">
        <v>112</v>
      </c>
      <c r="C58" s="282" t="s">
        <v>100</v>
      </c>
      <c r="D58" s="281" t="s">
        <v>223</v>
      </c>
      <c r="E58" s="281" t="s">
        <v>224</v>
      </c>
      <c r="F58" s="281" t="s">
        <v>154</v>
      </c>
      <c r="G58" s="281" t="s">
        <v>223</v>
      </c>
      <c r="H58" s="7" t="str">
        <f>A59</f>
        <v>New York Giants</v>
      </c>
      <c r="I58" s="8">
        <f>_xlfn.NUMBERVALUE(RIGHT(B58,LEN(B58)-1))</f>
        <v>6.5</v>
      </c>
      <c r="J58" s="7" t="s">
        <v>105</v>
      </c>
      <c r="K58" s="7" t="str">
        <f t="shared" ref="K58" si="148">J58</f>
        <v>Over</v>
      </c>
      <c r="L58" s="7">
        <f t="shared" ref="L58" si="149">J59</f>
        <v>115</v>
      </c>
      <c r="M58" s="6" t="str">
        <f>INDEX('Index A'!$B$1:$B$32,MATCH($H58,'Index A'!$A$1:$A$32,0))</f>
        <v>Giants</v>
      </c>
    </row>
    <row r="59" spans="1:13" ht="20.25" x14ac:dyDescent="0.25">
      <c r="A59" s="4" t="s">
        <v>49</v>
      </c>
      <c r="B59" s="32">
        <v>115</v>
      </c>
      <c r="C59" s="282" t="s">
        <v>100</v>
      </c>
      <c r="D59" s="281" t="s">
        <v>225</v>
      </c>
      <c r="E59" s="281" t="s">
        <v>226</v>
      </c>
      <c r="F59" s="281" t="s">
        <v>158</v>
      </c>
      <c r="G59" s="281" t="s">
        <v>227</v>
      </c>
      <c r="H59" s="7" t="str">
        <f t="shared" ref="H59" si="150">H58</f>
        <v>New York Giants</v>
      </c>
      <c r="I59" s="8">
        <f t="shared" ref="I59" si="151">I58</f>
        <v>6.5</v>
      </c>
      <c r="J59" s="7">
        <f>B59</f>
        <v>115</v>
      </c>
      <c r="K59" s="7" t="str">
        <f t="shared" ref="K59" si="152">K58</f>
        <v>Over</v>
      </c>
      <c r="L59" s="7">
        <f t="shared" ref="L59" si="153">L58</f>
        <v>115</v>
      </c>
      <c r="M59" s="6" t="str">
        <f>INDEX('Index A'!$B$1:$B$32,MATCH($H59,'Index A'!$A$1:$A$32,0))</f>
        <v>Giants</v>
      </c>
    </row>
    <row r="60" spans="1:13" ht="20.25" x14ac:dyDescent="0.25">
      <c r="A60" s="1"/>
      <c r="B60" s="281" t="s">
        <v>121</v>
      </c>
      <c r="C60" s="5"/>
      <c r="D60" s="5"/>
      <c r="E60" s="5"/>
      <c r="F60" s="5"/>
      <c r="G60" s="5"/>
      <c r="H60" s="7" t="str">
        <f t="shared" si="7"/>
        <v>New York Giants</v>
      </c>
      <c r="I60" s="8">
        <f>_xlfn.NUMBERVALUE(RIGHT(B60,LEN(B60)-1))</f>
        <v>6.5</v>
      </c>
      <c r="J60" s="7" t="s">
        <v>111</v>
      </c>
      <c r="K60" s="7" t="str">
        <f t="shared" ref="K60" si="154">J60</f>
        <v>Under</v>
      </c>
      <c r="L60" s="7">
        <f t="shared" ref="L60" si="155">J61</f>
        <v>-135</v>
      </c>
      <c r="M60" s="6" t="str">
        <f>INDEX('Index A'!$B$1:$B$32,MATCH($H60,'Index A'!$A$1:$A$32,0))</f>
        <v>Giants</v>
      </c>
    </row>
    <row r="61" spans="1:13" ht="20.25" x14ac:dyDescent="0.25">
      <c r="A61" s="4"/>
      <c r="B61" s="32">
        <v>-135</v>
      </c>
      <c r="C61" s="5"/>
      <c r="D61" s="5"/>
      <c r="E61" s="5"/>
      <c r="F61" s="5"/>
      <c r="G61" s="5"/>
      <c r="H61" s="7" t="str">
        <f t="shared" si="7"/>
        <v>New York Giants</v>
      </c>
      <c r="I61" s="8">
        <f t="shared" ref="I61" si="156">I60</f>
        <v>6.5</v>
      </c>
      <c r="J61" s="7">
        <f>B61</f>
        <v>-135</v>
      </c>
      <c r="K61" s="7" t="str">
        <f t="shared" ref="K61" si="157">K60</f>
        <v>Under</v>
      </c>
      <c r="L61" s="7">
        <f t="shared" ref="L61" si="158">L60</f>
        <v>-135</v>
      </c>
      <c r="M61" s="6" t="str">
        <f>INDEX('Index A'!$B$1:$B$32,MATCH($H61,'Index A'!$A$1:$A$32,0))</f>
        <v>Giants</v>
      </c>
    </row>
    <row r="62" spans="1:13" ht="20.25" x14ac:dyDescent="0.25">
      <c r="A62" s="2"/>
      <c r="B62" s="281" t="s">
        <v>198</v>
      </c>
      <c r="C62" s="282" t="s">
        <v>100</v>
      </c>
      <c r="D62" s="281" t="s">
        <v>228</v>
      </c>
      <c r="E62" s="281" t="s">
        <v>229</v>
      </c>
      <c r="F62" s="281" t="s">
        <v>228</v>
      </c>
      <c r="G62" s="281" t="s">
        <v>230</v>
      </c>
      <c r="H62" s="7" t="str">
        <f>A63</f>
        <v>Cincinnati Bengals</v>
      </c>
      <c r="I62" s="8">
        <f>_xlfn.NUMBERVALUE(RIGHT(B62,LEN(B62)-1))</f>
        <v>10.5</v>
      </c>
      <c r="J62" s="7" t="s">
        <v>105</v>
      </c>
      <c r="K62" s="7" t="str">
        <f t="shared" ref="K62" si="159">J62</f>
        <v>Over</v>
      </c>
      <c r="L62" s="7">
        <f t="shared" ref="L62" si="160">J63</f>
        <v>-120</v>
      </c>
      <c r="M62" s="6" t="str">
        <f>INDEX('Index A'!$B$1:$B$32,MATCH($H62,'Index A'!$A$1:$A$32,0))</f>
        <v>Bengals</v>
      </c>
    </row>
    <row r="63" spans="1:13" ht="20.25" x14ac:dyDescent="0.25">
      <c r="A63" s="4" t="s">
        <v>53</v>
      </c>
      <c r="B63" s="32">
        <v>-120</v>
      </c>
      <c r="C63" s="282" t="s">
        <v>100</v>
      </c>
      <c r="D63" s="281" t="s">
        <v>231</v>
      </c>
      <c r="E63" s="281" t="s">
        <v>232</v>
      </c>
      <c r="F63" s="281" t="s">
        <v>233</v>
      </c>
      <c r="G63" s="281" t="s">
        <v>234</v>
      </c>
      <c r="H63" s="7" t="str">
        <f t="shared" ref="H63" si="161">H62</f>
        <v>Cincinnati Bengals</v>
      </c>
      <c r="I63" s="8">
        <f t="shared" ref="I63" si="162">I62</f>
        <v>10.5</v>
      </c>
      <c r="J63" s="7">
        <f>B63</f>
        <v>-120</v>
      </c>
      <c r="K63" s="7" t="str">
        <f t="shared" ref="K63" si="163">K62</f>
        <v>Over</v>
      </c>
      <c r="L63" s="7">
        <f t="shared" ref="L63" si="164">L62</f>
        <v>-120</v>
      </c>
      <c r="M63" s="6" t="str">
        <f>INDEX('Index A'!$B$1:$B$32,MATCH($H63,'Index A'!$A$1:$A$32,0))</f>
        <v>Bengals</v>
      </c>
    </row>
    <row r="64" spans="1:13" ht="20.25" x14ac:dyDescent="0.25">
      <c r="A64" s="1"/>
      <c r="B64" s="281" t="s">
        <v>206</v>
      </c>
      <c r="C64" s="5"/>
      <c r="D64" s="5"/>
      <c r="E64" s="5"/>
      <c r="F64" s="5"/>
      <c r="G64" s="5"/>
      <c r="H64" s="7" t="str">
        <f t="shared" si="7"/>
        <v>Cincinnati Bengals</v>
      </c>
      <c r="I64" s="8">
        <f>_xlfn.NUMBERVALUE(RIGHT(B64,LEN(B64)-1))</f>
        <v>10.5</v>
      </c>
      <c r="J64" s="7" t="s">
        <v>111</v>
      </c>
      <c r="K64" s="7" t="str">
        <f t="shared" ref="K64" si="165">J64</f>
        <v>Under</v>
      </c>
      <c r="L64" s="7">
        <f t="shared" ref="L64" si="166">J65</f>
        <v>100</v>
      </c>
      <c r="M64" s="6" t="str">
        <f>INDEX('Index A'!$B$1:$B$32,MATCH($H64,'Index A'!$A$1:$A$32,0))</f>
        <v>Bengals</v>
      </c>
    </row>
    <row r="65" spans="1:13" ht="20.25" x14ac:dyDescent="0.25">
      <c r="A65" s="4"/>
      <c r="B65" s="32">
        <v>100</v>
      </c>
      <c r="C65" s="5"/>
      <c r="D65" s="5"/>
      <c r="E65" s="5"/>
      <c r="F65" s="5"/>
      <c r="G65" s="5"/>
      <c r="H65" s="7" t="str">
        <f t="shared" si="7"/>
        <v>Cincinnati Bengals</v>
      </c>
      <c r="I65" s="8">
        <f t="shared" ref="I65" si="167">I64</f>
        <v>10.5</v>
      </c>
      <c r="J65" s="7">
        <f>B65</f>
        <v>100</v>
      </c>
      <c r="K65" s="7" t="str">
        <f t="shared" ref="K65" si="168">K64</f>
        <v>Under</v>
      </c>
      <c r="L65" s="7">
        <f t="shared" ref="L65" si="169">L64</f>
        <v>100</v>
      </c>
      <c r="M65" s="6" t="str">
        <f>INDEX('Index A'!$B$1:$B$32,MATCH($H65,'Index A'!$A$1:$A$32,0))</f>
        <v>Bengals</v>
      </c>
    </row>
    <row r="66" spans="1:13" ht="20.25" x14ac:dyDescent="0.25">
      <c r="A66" s="2"/>
      <c r="B66" s="281" t="s">
        <v>160</v>
      </c>
      <c r="C66" s="282" t="s">
        <v>100</v>
      </c>
      <c r="D66" s="281" t="s">
        <v>235</v>
      </c>
      <c r="E66" s="281" t="s">
        <v>236</v>
      </c>
      <c r="F66" s="281" t="s">
        <v>237</v>
      </c>
      <c r="G66" s="281" t="s">
        <v>238</v>
      </c>
      <c r="H66" s="7" t="str">
        <f>A67</f>
        <v>Dallas Cowboys</v>
      </c>
      <c r="I66" s="8">
        <f>_xlfn.NUMBERVALUE(RIGHT(B66,LEN(B66)-1))</f>
        <v>9.5</v>
      </c>
      <c r="J66" s="7" t="s">
        <v>105</v>
      </c>
      <c r="K66" s="7" t="str">
        <f t="shared" ref="K66" si="170">J66</f>
        <v>Over</v>
      </c>
      <c r="L66" s="7">
        <f t="shared" ref="L66" si="171">J67</f>
        <v>-150</v>
      </c>
      <c r="M66" s="6" t="str">
        <f>INDEX('Index A'!$B$1:$B$32,MATCH($H66,'Index A'!$A$1:$A$32,0))</f>
        <v>Cowboys</v>
      </c>
    </row>
    <row r="67" spans="1:13" ht="20.25" x14ac:dyDescent="0.25">
      <c r="A67" s="4" t="s">
        <v>56</v>
      </c>
      <c r="B67" s="32">
        <v>-150</v>
      </c>
      <c r="C67" s="282" t="s">
        <v>100</v>
      </c>
      <c r="D67" s="281" t="s">
        <v>192</v>
      </c>
      <c r="E67" s="281" t="s">
        <v>239</v>
      </c>
      <c r="F67" s="281" t="s">
        <v>240</v>
      </c>
      <c r="G67" s="281" t="s">
        <v>241</v>
      </c>
      <c r="H67" s="7" t="str">
        <f t="shared" ref="H67" si="172">H66</f>
        <v>Dallas Cowboys</v>
      </c>
      <c r="I67" s="8">
        <f t="shared" ref="I67" si="173">I66</f>
        <v>9.5</v>
      </c>
      <c r="J67" s="7">
        <f>B67</f>
        <v>-150</v>
      </c>
      <c r="K67" s="7" t="str">
        <f t="shared" ref="K67" si="174">K66</f>
        <v>Over</v>
      </c>
      <c r="L67" s="7">
        <f t="shared" ref="L67" si="175">L66</f>
        <v>-150</v>
      </c>
      <c r="M67" s="6" t="str">
        <f>INDEX('Index A'!$B$1:$B$32,MATCH($H67,'Index A'!$A$1:$A$32,0))</f>
        <v>Cowboys</v>
      </c>
    </row>
    <row r="68" spans="1:13" ht="20.25" x14ac:dyDescent="0.25">
      <c r="A68" s="1"/>
      <c r="B68" s="281" t="s">
        <v>168</v>
      </c>
      <c r="C68" s="5"/>
      <c r="D68" s="5"/>
      <c r="E68" s="5"/>
      <c r="F68" s="5"/>
      <c r="G68" s="5"/>
      <c r="H68" s="7" t="str">
        <f t="shared" si="7"/>
        <v>Dallas Cowboys</v>
      </c>
      <c r="I68" s="8">
        <f>_xlfn.NUMBERVALUE(RIGHT(B68,LEN(B68)-1))</f>
        <v>9.5</v>
      </c>
      <c r="J68" s="7" t="s">
        <v>111</v>
      </c>
      <c r="K68" s="7" t="str">
        <f t="shared" ref="K68" si="176">J68</f>
        <v>Under</v>
      </c>
      <c r="L68" s="7">
        <f t="shared" ref="L68" si="177">J69</f>
        <v>125</v>
      </c>
      <c r="M68" s="6" t="str">
        <f>INDEX('Index A'!$B$1:$B$32,MATCH($H68,'Index A'!$A$1:$A$32,0))</f>
        <v>Cowboys</v>
      </c>
    </row>
    <row r="69" spans="1:13" ht="20.25" x14ac:dyDescent="0.25">
      <c r="A69" s="4"/>
      <c r="B69" s="32">
        <v>125</v>
      </c>
      <c r="C69" s="5"/>
      <c r="D69" s="5"/>
      <c r="E69" s="5"/>
      <c r="F69" s="5"/>
      <c r="G69" s="5"/>
      <c r="H69" s="7" t="str">
        <f t="shared" si="7"/>
        <v>Dallas Cowboys</v>
      </c>
      <c r="I69" s="8">
        <f t="shared" ref="I69" si="178">I68</f>
        <v>9.5</v>
      </c>
      <c r="J69" s="7">
        <f>B69</f>
        <v>125</v>
      </c>
      <c r="K69" s="7" t="str">
        <f t="shared" ref="K69" si="179">K68</f>
        <v>Under</v>
      </c>
      <c r="L69" s="7">
        <f t="shared" ref="L69" si="180">L68</f>
        <v>125</v>
      </c>
      <c r="M69" s="6" t="str">
        <f>INDEX('Index A'!$B$1:$B$32,MATCH($H69,'Index A'!$A$1:$A$32,0))</f>
        <v>Cowboys</v>
      </c>
    </row>
    <row r="70" spans="1:13" ht="20.25" x14ac:dyDescent="0.25">
      <c r="A70" s="2"/>
      <c r="B70" s="281" t="s">
        <v>112</v>
      </c>
      <c r="C70" s="282" t="s">
        <v>100</v>
      </c>
      <c r="D70" s="281" t="s">
        <v>242</v>
      </c>
      <c r="E70" s="281" t="s">
        <v>243</v>
      </c>
      <c r="F70" s="281" t="s">
        <v>244</v>
      </c>
      <c r="G70" s="281" t="s">
        <v>245</v>
      </c>
      <c r="H70" s="7" t="str">
        <f>A71</f>
        <v>Minnesota Vikings</v>
      </c>
      <c r="I70" s="8">
        <f>_xlfn.NUMBERVALUE(RIGHT(B70,LEN(B70)-1))</f>
        <v>6.5</v>
      </c>
      <c r="J70" s="7" t="s">
        <v>105</v>
      </c>
      <c r="K70" s="7" t="str">
        <f t="shared" ref="K70" si="181">J70</f>
        <v>Over</v>
      </c>
      <c r="L70" s="7">
        <f t="shared" ref="L70" si="182">J71</f>
        <v>-150</v>
      </c>
      <c r="M70" s="6" t="str">
        <f>INDEX('Index A'!$B$1:$B$32,MATCH($H70,'Index A'!$A$1:$A$32,0))</f>
        <v>Vikings</v>
      </c>
    </row>
    <row r="71" spans="1:13" ht="20.25" x14ac:dyDescent="0.25">
      <c r="A71" s="4" t="s">
        <v>58</v>
      </c>
      <c r="B71" s="32">
        <v>-150</v>
      </c>
      <c r="C71" s="282" t="s">
        <v>100</v>
      </c>
      <c r="D71" s="281" t="s">
        <v>246</v>
      </c>
      <c r="E71" s="281" t="s">
        <v>247</v>
      </c>
      <c r="F71" s="281" t="s">
        <v>248</v>
      </c>
      <c r="G71" s="281" t="s">
        <v>249</v>
      </c>
      <c r="H71" s="7" t="str">
        <f t="shared" ref="H71:H129" si="183">H70</f>
        <v>Minnesota Vikings</v>
      </c>
      <c r="I71" s="8">
        <f t="shared" ref="I71" si="184">I70</f>
        <v>6.5</v>
      </c>
      <c r="J71" s="7">
        <f>B71</f>
        <v>-150</v>
      </c>
      <c r="K71" s="7" t="str">
        <f t="shared" ref="K71" si="185">K70</f>
        <v>Over</v>
      </c>
      <c r="L71" s="7">
        <f t="shared" ref="L71" si="186">L70</f>
        <v>-150</v>
      </c>
      <c r="M71" s="6" t="str">
        <f>INDEX('Index A'!$B$1:$B$32,MATCH($H71,'Index A'!$A$1:$A$32,0))</f>
        <v>Vikings</v>
      </c>
    </row>
    <row r="72" spans="1:13" ht="20.25" x14ac:dyDescent="0.25">
      <c r="A72" s="1"/>
      <c r="B72" s="281" t="s">
        <v>121</v>
      </c>
      <c r="C72" s="5"/>
      <c r="D72" s="5"/>
      <c r="E72" s="5"/>
      <c r="F72" s="5"/>
      <c r="G72" s="5"/>
      <c r="H72" s="7" t="str">
        <f t="shared" si="183"/>
        <v>Minnesota Vikings</v>
      </c>
      <c r="I72" s="8">
        <f>_xlfn.NUMBERVALUE(RIGHT(B72,LEN(B72)-1))</f>
        <v>6.5</v>
      </c>
      <c r="J72" s="7" t="s">
        <v>111</v>
      </c>
      <c r="K72" s="7" t="str">
        <f t="shared" ref="K72" si="187">J72</f>
        <v>Under</v>
      </c>
      <c r="L72" s="7">
        <f t="shared" ref="L72" si="188">J73</f>
        <v>125</v>
      </c>
      <c r="M72" s="6" t="str">
        <f>INDEX('Index A'!$B$1:$B$32,MATCH($H72,'Index A'!$A$1:$A$32,0))</f>
        <v>Vikings</v>
      </c>
    </row>
    <row r="73" spans="1:13" ht="20.25" x14ac:dyDescent="0.25">
      <c r="A73" s="4"/>
      <c r="B73" s="32">
        <v>125</v>
      </c>
      <c r="C73" s="5"/>
      <c r="D73" s="5"/>
      <c r="E73" s="5"/>
      <c r="F73" s="5"/>
      <c r="G73" s="5"/>
      <c r="H73" s="7" t="str">
        <f t="shared" si="183"/>
        <v>Minnesota Vikings</v>
      </c>
      <c r="I73" s="8">
        <f t="shared" ref="I73" si="189">I72</f>
        <v>6.5</v>
      </c>
      <c r="J73" s="7">
        <f>B73</f>
        <v>125</v>
      </c>
      <c r="K73" s="7" t="str">
        <f t="shared" ref="K73" si="190">K72</f>
        <v>Under</v>
      </c>
      <c r="L73" s="7">
        <f t="shared" ref="L73" si="191">L72</f>
        <v>125</v>
      </c>
      <c r="M73" s="6" t="str">
        <f>INDEX('Index A'!$B$1:$B$32,MATCH($H73,'Index A'!$A$1:$A$32,0))</f>
        <v>Vikings</v>
      </c>
    </row>
    <row r="74" spans="1:13" ht="20.25" x14ac:dyDescent="0.25">
      <c r="A74" s="2"/>
      <c r="B74" s="281" t="s">
        <v>160</v>
      </c>
      <c r="C74" s="282" t="s">
        <v>100</v>
      </c>
      <c r="D74" s="281" t="s">
        <v>187</v>
      </c>
      <c r="E74" s="281" t="s">
        <v>250</v>
      </c>
      <c r="F74" s="281" t="s">
        <v>251</v>
      </c>
      <c r="G74" s="281" t="s">
        <v>252</v>
      </c>
      <c r="H74" s="7" t="str">
        <f>A75</f>
        <v>Miami Dolphins</v>
      </c>
      <c r="I74" s="8">
        <f>_xlfn.NUMBERVALUE(RIGHT(B74,LEN(B74)-1))</f>
        <v>9.5</v>
      </c>
      <c r="J74" s="7" t="s">
        <v>105</v>
      </c>
      <c r="K74" s="7" t="str">
        <f t="shared" ref="K74" si="192">J74</f>
        <v>Over</v>
      </c>
      <c r="L74" s="7">
        <f t="shared" ref="L74" si="193">J75</f>
        <v>-140</v>
      </c>
      <c r="M74" s="6" t="str">
        <f>INDEX('Index A'!$B$1:$B$32,MATCH($H74,'Index A'!$A$1:$A$32,0))</f>
        <v>Dolphins</v>
      </c>
    </row>
    <row r="75" spans="1:13" ht="20.25" x14ac:dyDescent="0.25">
      <c r="A75" s="4" t="s">
        <v>62</v>
      </c>
      <c r="B75" s="32">
        <v>-140</v>
      </c>
      <c r="C75" s="282" t="s">
        <v>100</v>
      </c>
      <c r="D75" s="281" t="s">
        <v>240</v>
      </c>
      <c r="E75" s="281" t="s">
        <v>239</v>
      </c>
      <c r="F75" s="281" t="s">
        <v>253</v>
      </c>
      <c r="G75" s="281" t="s">
        <v>254</v>
      </c>
      <c r="H75" s="7" t="str">
        <f t="shared" ref="H75" si="194">H74</f>
        <v>Miami Dolphins</v>
      </c>
      <c r="I75" s="8">
        <f t="shared" ref="I75" si="195">I74</f>
        <v>9.5</v>
      </c>
      <c r="J75" s="7">
        <f>B75</f>
        <v>-140</v>
      </c>
      <c r="K75" s="7" t="str">
        <f t="shared" ref="K75" si="196">K74</f>
        <v>Over</v>
      </c>
      <c r="L75" s="7">
        <f t="shared" ref="L75" si="197">L74</f>
        <v>-140</v>
      </c>
      <c r="M75" s="6" t="str">
        <f>INDEX('Index A'!$B$1:$B$32,MATCH($H75,'Index A'!$A$1:$A$32,0))</f>
        <v>Dolphins</v>
      </c>
    </row>
    <row r="76" spans="1:13" ht="20.25" x14ac:dyDescent="0.25">
      <c r="A76" s="1"/>
      <c r="B76" s="281" t="s">
        <v>168</v>
      </c>
      <c r="C76" s="5"/>
      <c r="D76" s="5"/>
      <c r="E76" s="5"/>
      <c r="F76" s="5"/>
      <c r="G76" s="5"/>
      <c r="H76" s="7" t="str">
        <f t="shared" si="183"/>
        <v>Miami Dolphins</v>
      </c>
      <c r="I76" s="8">
        <f>_xlfn.NUMBERVALUE(RIGHT(B76,LEN(B76)-1))</f>
        <v>9.5</v>
      </c>
      <c r="J76" s="7" t="s">
        <v>111</v>
      </c>
      <c r="K76" s="7" t="str">
        <f t="shared" ref="K76" si="198">J76</f>
        <v>Under</v>
      </c>
      <c r="L76" s="7">
        <f t="shared" ref="L76" si="199">J77</f>
        <v>118</v>
      </c>
      <c r="M76" s="6" t="str">
        <f>INDEX('Index A'!$B$1:$B$32,MATCH($H76,'Index A'!$A$1:$A$32,0))</f>
        <v>Dolphins</v>
      </c>
    </row>
    <row r="77" spans="1:13" ht="20.25" x14ac:dyDescent="0.25">
      <c r="A77" s="4"/>
      <c r="B77" s="32">
        <v>118</v>
      </c>
      <c r="C77" s="5"/>
      <c r="D77" s="5"/>
      <c r="E77" s="5"/>
      <c r="F77" s="5"/>
      <c r="G77" s="5"/>
      <c r="H77" s="7" t="str">
        <f t="shared" si="183"/>
        <v>Miami Dolphins</v>
      </c>
      <c r="I77" s="8">
        <f t="shared" ref="I77" si="200">I76</f>
        <v>9.5</v>
      </c>
      <c r="J77" s="7">
        <f>B77</f>
        <v>118</v>
      </c>
      <c r="K77" s="7" t="str">
        <f t="shared" ref="K77" si="201">K76</f>
        <v>Under</v>
      </c>
      <c r="L77" s="7">
        <f t="shared" ref="L77" si="202">L76</f>
        <v>118</v>
      </c>
      <c r="M77" s="6" t="str">
        <f>INDEX('Index A'!$B$1:$B$32,MATCH($H77,'Index A'!$A$1:$A$32,0))</f>
        <v>Dolphins</v>
      </c>
    </row>
    <row r="78" spans="1:13" ht="20.25" x14ac:dyDescent="0.25">
      <c r="A78" s="2"/>
      <c r="B78" s="281" t="s">
        <v>99</v>
      </c>
      <c r="C78" s="282" t="s">
        <v>100</v>
      </c>
      <c r="D78" s="281" t="s">
        <v>255</v>
      </c>
      <c r="E78" s="281" t="s">
        <v>256</v>
      </c>
      <c r="F78" s="281" t="s">
        <v>256</v>
      </c>
      <c r="G78" s="281" t="s">
        <v>257</v>
      </c>
      <c r="H78" s="7" t="str">
        <f>A79</f>
        <v>Chicago Bears</v>
      </c>
      <c r="I78" s="8">
        <f>_xlfn.NUMBERVALUE(RIGHT(B78,LEN(B78)-1))</f>
        <v>8.5</v>
      </c>
      <c r="J78" s="7" t="s">
        <v>105</v>
      </c>
      <c r="K78" s="7" t="str">
        <f t="shared" ref="K78" si="203">J78</f>
        <v>Over</v>
      </c>
      <c r="L78" s="7">
        <f t="shared" ref="L78" si="204">J79</f>
        <v>-160</v>
      </c>
      <c r="M78" s="6" t="str">
        <f>INDEX('Index A'!$B$1:$B$32,MATCH($H78,'Index A'!$A$1:$A$32,0))</f>
        <v>Bears</v>
      </c>
    </row>
    <row r="79" spans="1:13" ht="20.25" x14ac:dyDescent="0.25">
      <c r="A79" s="4" t="s">
        <v>65</v>
      </c>
      <c r="B79" s="32">
        <v>-160</v>
      </c>
      <c r="C79" s="282" t="s">
        <v>100</v>
      </c>
      <c r="D79" s="281" t="s">
        <v>258</v>
      </c>
      <c r="E79" s="281" t="s">
        <v>259</v>
      </c>
      <c r="F79" s="281" t="s">
        <v>259</v>
      </c>
      <c r="G79" s="281" t="s">
        <v>260</v>
      </c>
      <c r="H79" s="7" t="str">
        <f t="shared" ref="H79" si="205">H78</f>
        <v>Chicago Bears</v>
      </c>
      <c r="I79" s="8">
        <f t="shared" ref="I79" si="206">I78</f>
        <v>8.5</v>
      </c>
      <c r="J79" s="7">
        <f>B79</f>
        <v>-160</v>
      </c>
      <c r="K79" s="7" t="str">
        <f t="shared" ref="K79" si="207">K78</f>
        <v>Over</v>
      </c>
      <c r="L79" s="7">
        <f t="shared" ref="L79" si="208">L78</f>
        <v>-160</v>
      </c>
      <c r="M79" s="6" t="str">
        <f>INDEX('Index A'!$B$1:$B$32,MATCH($H79,'Index A'!$A$1:$A$32,0))</f>
        <v>Bears</v>
      </c>
    </row>
    <row r="80" spans="1:13" ht="20.25" x14ac:dyDescent="0.25">
      <c r="A80" s="1"/>
      <c r="B80" s="281" t="s">
        <v>110</v>
      </c>
      <c r="C80" s="5"/>
      <c r="D80" s="5"/>
      <c r="E80" s="5"/>
      <c r="F80" s="5"/>
      <c r="G80" s="5"/>
      <c r="H80" s="7" t="str">
        <f t="shared" si="183"/>
        <v>Chicago Bears</v>
      </c>
      <c r="I80" s="8">
        <f>_xlfn.NUMBERVALUE(RIGHT(B80,LEN(B80)-1))</f>
        <v>8.5</v>
      </c>
      <c r="J80" s="7" t="s">
        <v>111</v>
      </c>
      <c r="K80" s="7" t="str">
        <f t="shared" ref="K80" si="209">J80</f>
        <v>Under</v>
      </c>
      <c r="L80" s="7">
        <f t="shared" ref="L80" si="210">J81</f>
        <v>130</v>
      </c>
      <c r="M80" s="6" t="str">
        <f>INDEX('Index A'!$B$1:$B$32,MATCH($H80,'Index A'!$A$1:$A$32,0))</f>
        <v>Bears</v>
      </c>
    </row>
    <row r="81" spans="1:13" ht="20.25" x14ac:dyDescent="0.25">
      <c r="A81" s="4"/>
      <c r="B81" s="32">
        <v>130</v>
      </c>
      <c r="C81" s="5"/>
      <c r="D81" s="5"/>
      <c r="E81" s="5"/>
      <c r="F81" s="5"/>
      <c r="G81" s="5"/>
      <c r="H81" s="7" t="str">
        <f t="shared" si="183"/>
        <v>Chicago Bears</v>
      </c>
      <c r="I81" s="8">
        <f t="shared" ref="I81" si="211">I80</f>
        <v>8.5</v>
      </c>
      <c r="J81" s="7">
        <f>B81</f>
        <v>130</v>
      </c>
      <c r="K81" s="7" t="str">
        <f t="shared" ref="K81" si="212">K80</f>
        <v>Under</v>
      </c>
      <c r="L81" s="7">
        <f t="shared" ref="L81" si="213">L80</f>
        <v>130</v>
      </c>
      <c r="M81" s="6" t="str">
        <f>INDEX('Index A'!$B$1:$B$32,MATCH($H81,'Index A'!$A$1:$A$32,0))</f>
        <v>Bears</v>
      </c>
    </row>
    <row r="82" spans="1:13" ht="20.25" x14ac:dyDescent="0.25">
      <c r="A82" s="2"/>
      <c r="B82" s="281" t="s">
        <v>99</v>
      </c>
      <c r="C82" s="282" t="s">
        <v>100</v>
      </c>
      <c r="D82" s="281" t="s">
        <v>261</v>
      </c>
      <c r="E82" s="281" t="s">
        <v>262</v>
      </c>
      <c r="F82" s="281" t="s">
        <v>263</v>
      </c>
      <c r="G82" s="281" t="s">
        <v>264</v>
      </c>
      <c r="H82" s="7" t="str">
        <f>A83</f>
        <v>Los Angeles Chargers</v>
      </c>
      <c r="I82" s="8">
        <f>_xlfn.NUMBERVALUE(RIGHT(B82,LEN(B82)-1))</f>
        <v>8.5</v>
      </c>
      <c r="J82" s="7" t="s">
        <v>105</v>
      </c>
      <c r="K82" s="7" t="str">
        <f t="shared" ref="K82" si="214">J82</f>
        <v>Over</v>
      </c>
      <c r="L82" s="7">
        <f t="shared" ref="L82" si="215">J83</f>
        <v>-155</v>
      </c>
      <c r="M82" s="6" t="str">
        <f>INDEX('Index A'!$B$1:$B$32,MATCH($H82,'Index A'!$A$1:$A$32,0))</f>
        <v>Chargers</v>
      </c>
    </row>
    <row r="83" spans="1:13" ht="20.25" x14ac:dyDescent="0.25">
      <c r="A83" s="4" t="s">
        <v>68</v>
      </c>
      <c r="B83" s="32">
        <v>-155</v>
      </c>
      <c r="C83" s="282" t="s">
        <v>100</v>
      </c>
      <c r="D83" s="281" t="s">
        <v>265</v>
      </c>
      <c r="E83" s="281" t="s">
        <v>259</v>
      </c>
      <c r="F83" s="281" t="s">
        <v>266</v>
      </c>
      <c r="G83" s="281" t="s">
        <v>267</v>
      </c>
      <c r="H83" s="7" t="str">
        <f t="shared" ref="H83" si="216">H82</f>
        <v>Los Angeles Chargers</v>
      </c>
      <c r="I83" s="8">
        <f t="shared" ref="I83" si="217">I82</f>
        <v>8.5</v>
      </c>
      <c r="J83" s="7">
        <f>B83</f>
        <v>-155</v>
      </c>
      <c r="K83" s="7" t="str">
        <f t="shared" ref="K83" si="218">K82</f>
        <v>Over</v>
      </c>
      <c r="L83" s="7">
        <f t="shared" ref="L83" si="219">L82</f>
        <v>-155</v>
      </c>
      <c r="M83" s="6" t="str">
        <f>INDEX('Index A'!$B$1:$B$32,MATCH($H83,'Index A'!$A$1:$A$32,0))</f>
        <v>Chargers</v>
      </c>
    </row>
    <row r="84" spans="1:13" ht="20.25" x14ac:dyDescent="0.25">
      <c r="A84" s="1"/>
      <c r="B84" s="281" t="s">
        <v>110</v>
      </c>
      <c r="C84" s="5"/>
      <c r="D84" s="5"/>
      <c r="E84" s="5"/>
      <c r="F84" s="5"/>
      <c r="G84" s="5"/>
      <c r="H84" s="7" t="str">
        <f t="shared" si="183"/>
        <v>Los Angeles Chargers</v>
      </c>
      <c r="I84" s="8">
        <f>_xlfn.NUMBERVALUE(RIGHT(B84,LEN(B84)-1))</f>
        <v>8.5</v>
      </c>
      <c r="J84" s="7" t="s">
        <v>111</v>
      </c>
      <c r="K84" s="7" t="str">
        <f t="shared" ref="K84" si="220">J84</f>
        <v>Under</v>
      </c>
      <c r="L84" s="7">
        <f t="shared" ref="L84" si="221">J85</f>
        <v>130</v>
      </c>
      <c r="M84" s="6" t="str">
        <f>INDEX('Index A'!$B$1:$B$32,MATCH($H84,'Index A'!$A$1:$A$32,0))</f>
        <v>Chargers</v>
      </c>
    </row>
    <row r="85" spans="1:13" ht="20.25" x14ac:dyDescent="0.25">
      <c r="A85" s="4"/>
      <c r="B85" s="32">
        <v>130</v>
      </c>
      <c r="C85" s="5"/>
      <c r="D85" s="5"/>
      <c r="E85" s="5"/>
      <c r="F85" s="5"/>
      <c r="G85" s="5"/>
      <c r="H85" s="7" t="str">
        <f t="shared" si="183"/>
        <v>Los Angeles Chargers</v>
      </c>
      <c r="I85" s="8">
        <f t="shared" ref="I85" si="222">I84</f>
        <v>8.5</v>
      </c>
      <c r="J85" s="7">
        <f>B85</f>
        <v>130</v>
      </c>
      <c r="K85" s="7" t="str">
        <f t="shared" ref="K85" si="223">K84</f>
        <v>Under</v>
      </c>
      <c r="L85" s="7">
        <f t="shared" ref="L85" si="224">L84</f>
        <v>130</v>
      </c>
      <c r="M85" s="6" t="str">
        <f>INDEX('Index A'!$B$1:$B$32,MATCH($H85,'Index A'!$A$1:$A$32,0))</f>
        <v>Chargers</v>
      </c>
    </row>
    <row r="86" spans="1:13" ht="20.25" x14ac:dyDescent="0.25">
      <c r="A86" s="2"/>
      <c r="B86" s="281" t="s">
        <v>122</v>
      </c>
      <c r="C86" s="282" t="s">
        <v>100</v>
      </c>
      <c r="D86" s="281" t="s">
        <v>268</v>
      </c>
      <c r="E86" s="281" t="s">
        <v>269</v>
      </c>
      <c r="F86" s="281" t="s">
        <v>270</v>
      </c>
      <c r="G86" s="281" t="s">
        <v>271</v>
      </c>
      <c r="H86" s="7" t="str">
        <f>A87</f>
        <v>New Orleans Saints</v>
      </c>
      <c r="I86" s="8">
        <f>_xlfn.NUMBERVALUE(RIGHT(B86,LEN(B86)-1))</f>
        <v>7.5</v>
      </c>
      <c r="J86" s="7" t="s">
        <v>105</v>
      </c>
      <c r="K86" s="7" t="str">
        <f t="shared" ref="K86" si="225">J86</f>
        <v>Over</v>
      </c>
      <c r="L86" s="7">
        <f t="shared" ref="L86" si="226">J87</f>
        <v>-120</v>
      </c>
      <c r="M86" s="6" t="str">
        <f>INDEX('Index A'!$B$1:$B$32,MATCH($H86,'Index A'!$A$1:$A$32,0))</f>
        <v>Saints</v>
      </c>
    </row>
    <row r="87" spans="1:13" ht="20.25" x14ac:dyDescent="0.25">
      <c r="A87" s="4" t="s">
        <v>71</v>
      </c>
      <c r="B87" s="32">
        <v>-120</v>
      </c>
      <c r="C87" s="282" t="s">
        <v>100</v>
      </c>
      <c r="D87" s="281" t="s">
        <v>272</v>
      </c>
      <c r="E87" s="281" t="s">
        <v>273</v>
      </c>
      <c r="F87" s="281" t="s">
        <v>273</v>
      </c>
      <c r="G87" s="281" t="s">
        <v>274</v>
      </c>
      <c r="H87" s="7" t="str">
        <f t="shared" ref="H87" si="227">H86</f>
        <v>New Orleans Saints</v>
      </c>
      <c r="I87" s="8">
        <f t="shared" ref="I87" si="228">I86</f>
        <v>7.5</v>
      </c>
      <c r="J87" s="7">
        <f>B87</f>
        <v>-120</v>
      </c>
      <c r="K87" s="7" t="str">
        <f t="shared" ref="K87" si="229">K86</f>
        <v>Over</v>
      </c>
      <c r="L87" s="7">
        <f t="shared" ref="L87" si="230">L86</f>
        <v>-120</v>
      </c>
      <c r="M87" s="6" t="str">
        <f>INDEX('Index A'!$B$1:$B$32,MATCH($H87,'Index A'!$A$1:$A$32,0))</f>
        <v>Saints</v>
      </c>
    </row>
    <row r="88" spans="1:13" ht="20.25" x14ac:dyDescent="0.25">
      <c r="A88" s="1"/>
      <c r="B88" s="281" t="s">
        <v>131</v>
      </c>
      <c r="C88" s="5"/>
      <c r="D88" s="5"/>
      <c r="E88" s="5"/>
      <c r="F88" s="5"/>
      <c r="G88" s="5"/>
      <c r="H88" s="7" t="str">
        <f t="shared" si="183"/>
        <v>New Orleans Saints</v>
      </c>
      <c r="I88" s="8">
        <f>_xlfn.NUMBERVALUE(RIGHT(B88,LEN(B88)-1))</f>
        <v>7.5</v>
      </c>
      <c r="J88" s="7" t="s">
        <v>111</v>
      </c>
      <c r="K88" s="7" t="str">
        <f t="shared" ref="K88" si="231">J88</f>
        <v>Under</v>
      </c>
      <c r="L88" s="7">
        <f t="shared" ref="L88" si="232">J89</f>
        <v>100</v>
      </c>
      <c r="M88" s="6" t="str">
        <f>INDEX('Index A'!$B$1:$B$32,MATCH($H88,'Index A'!$A$1:$A$32,0))</f>
        <v>Saints</v>
      </c>
    </row>
    <row r="89" spans="1:13" ht="20.25" x14ac:dyDescent="0.25">
      <c r="A89" s="4"/>
      <c r="B89" s="32">
        <v>100</v>
      </c>
      <c r="C89" s="5"/>
      <c r="D89" s="5"/>
      <c r="E89" s="5"/>
      <c r="F89" s="5"/>
      <c r="G89" s="5"/>
      <c r="H89" s="7" t="str">
        <f t="shared" si="183"/>
        <v>New Orleans Saints</v>
      </c>
      <c r="I89" s="8">
        <f t="shared" ref="I89" si="233">I88</f>
        <v>7.5</v>
      </c>
      <c r="J89" s="7">
        <f>B89</f>
        <v>100</v>
      </c>
      <c r="K89" s="7" t="str">
        <f t="shared" ref="K89" si="234">K88</f>
        <v>Under</v>
      </c>
      <c r="L89" s="7">
        <f t="shared" ref="L89" si="235">L88</f>
        <v>100</v>
      </c>
      <c r="M89" s="6" t="str">
        <f>INDEX('Index A'!$B$1:$B$32,MATCH($H89,'Index A'!$A$1:$A$32,0))</f>
        <v>Saints</v>
      </c>
    </row>
    <row r="90" spans="1:13" ht="20.25" x14ac:dyDescent="0.25">
      <c r="A90" s="2"/>
      <c r="B90" s="281" t="s">
        <v>99</v>
      </c>
      <c r="C90" s="282" t="s">
        <v>100</v>
      </c>
      <c r="D90" s="281" t="s">
        <v>275</v>
      </c>
      <c r="E90" s="281" t="s">
        <v>276</v>
      </c>
      <c r="F90" s="281" t="s">
        <v>277</v>
      </c>
      <c r="G90" s="281" t="s">
        <v>278</v>
      </c>
      <c r="H90" s="7" t="str">
        <f>A91</f>
        <v>Pittsburgh Steelers</v>
      </c>
      <c r="I90" s="8">
        <f>_xlfn.NUMBERVALUE(RIGHT(B90,LEN(B90)-1))</f>
        <v>8.5</v>
      </c>
      <c r="J90" s="7" t="s">
        <v>105</v>
      </c>
      <c r="K90" s="7" t="str">
        <f t="shared" ref="K90" si="236">J90</f>
        <v>Over</v>
      </c>
      <c r="L90" s="7">
        <f t="shared" ref="L90" si="237">J91</f>
        <v>125</v>
      </c>
      <c r="M90" s="6" t="str">
        <f>INDEX('Index A'!$B$1:$B$32,MATCH($H90,'Index A'!$A$1:$A$32,0))</f>
        <v>Steelers</v>
      </c>
    </row>
    <row r="91" spans="1:13" ht="20.25" x14ac:dyDescent="0.25">
      <c r="A91" s="4" t="s">
        <v>73</v>
      </c>
      <c r="B91" s="32">
        <v>125</v>
      </c>
      <c r="C91" s="282" t="s">
        <v>100</v>
      </c>
      <c r="D91" s="281" t="s">
        <v>279</v>
      </c>
      <c r="E91" s="281" t="s">
        <v>130</v>
      </c>
      <c r="F91" s="281" t="s">
        <v>280</v>
      </c>
      <c r="G91" s="281" t="s">
        <v>281</v>
      </c>
      <c r="H91" s="7" t="str">
        <f t="shared" ref="H91" si="238">H90</f>
        <v>Pittsburgh Steelers</v>
      </c>
      <c r="I91" s="8">
        <f t="shared" ref="I91" si="239">I90</f>
        <v>8.5</v>
      </c>
      <c r="J91" s="7">
        <f>B91</f>
        <v>125</v>
      </c>
      <c r="K91" s="7" t="str">
        <f t="shared" ref="K91" si="240">K90</f>
        <v>Over</v>
      </c>
      <c r="L91" s="7">
        <f t="shared" ref="L91" si="241">L90</f>
        <v>125</v>
      </c>
      <c r="M91" s="6" t="str">
        <f>INDEX('Index A'!$B$1:$B$32,MATCH($H91,'Index A'!$A$1:$A$32,0))</f>
        <v>Steelers</v>
      </c>
    </row>
    <row r="92" spans="1:13" ht="20.25" x14ac:dyDescent="0.25">
      <c r="A92" s="1"/>
      <c r="B92" s="281" t="s">
        <v>110</v>
      </c>
      <c r="C92" s="5"/>
      <c r="D92" s="5"/>
      <c r="E92" s="5"/>
      <c r="F92" s="5"/>
      <c r="G92" s="5"/>
      <c r="H92" s="7" t="str">
        <f t="shared" si="183"/>
        <v>Pittsburgh Steelers</v>
      </c>
      <c r="I92" s="8">
        <f>_xlfn.NUMBERVALUE(RIGHT(B92,LEN(B92)-1))</f>
        <v>8.5</v>
      </c>
      <c r="J92" s="7" t="s">
        <v>111</v>
      </c>
      <c r="K92" s="7" t="str">
        <f t="shared" ref="K92" si="242">J92</f>
        <v>Under</v>
      </c>
      <c r="L92" s="7">
        <f t="shared" ref="L92" si="243">J93</f>
        <v>-155</v>
      </c>
      <c r="M92" s="6" t="str">
        <f>INDEX('Index A'!$B$1:$B$32,MATCH($H92,'Index A'!$A$1:$A$32,0))</f>
        <v>Steelers</v>
      </c>
    </row>
    <row r="93" spans="1:13" ht="20.25" x14ac:dyDescent="0.25">
      <c r="A93" s="4"/>
      <c r="B93" s="32">
        <v>-155</v>
      </c>
      <c r="C93" s="5"/>
      <c r="D93" s="5"/>
      <c r="E93" s="5"/>
      <c r="F93" s="5"/>
      <c r="G93" s="5"/>
      <c r="H93" s="7" t="str">
        <f t="shared" si="183"/>
        <v>Pittsburgh Steelers</v>
      </c>
      <c r="I93" s="8">
        <f t="shared" ref="I93" si="244">I92</f>
        <v>8.5</v>
      </c>
      <c r="J93" s="7">
        <f>B93</f>
        <v>-155</v>
      </c>
      <c r="K93" s="7" t="str">
        <f t="shared" ref="K93" si="245">K92</f>
        <v>Under</v>
      </c>
      <c r="L93" s="7">
        <f t="shared" ref="L93" si="246">L92</f>
        <v>-155</v>
      </c>
      <c r="M93" s="6" t="str">
        <f>INDEX('Index A'!$B$1:$B$32,MATCH($H93,'Index A'!$A$1:$A$32,0))</f>
        <v>Steelers</v>
      </c>
    </row>
    <row r="94" spans="1:13" ht="20.25" x14ac:dyDescent="0.25">
      <c r="A94" s="2"/>
      <c r="B94" s="281" t="s">
        <v>198</v>
      </c>
      <c r="C94" s="282" t="s">
        <v>100</v>
      </c>
      <c r="D94" s="281" t="s">
        <v>282</v>
      </c>
      <c r="E94" s="281" t="s">
        <v>283</v>
      </c>
      <c r="F94" s="281" t="s">
        <v>284</v>
      </c>
      <c r="G94" s="281" t="s">
        <v>285</v>
      </c>
      <c r="H94" s="7" t="str">
        <f>A95</f>
        <v>Baltimore Ravens</v>
      </c>
      <c r="I94" s="8">
        <f>_xlfn.NUMBERVALUE(RIGHT(B94,LEN(B94)-1))</f>
        <v>10.5</v>
      </c>
      <c r="J94" s="7" t="s">
        <v>105</v>
      </c>
      <c r="K94" s="7" t="str">
        <f t="shared" ref="K94" si="247">J94</f>
        <v>Over</v>
      </c>
      <c r="L94" s="7">
        <f t="shared" ref="L94" si="248">J95</f>
        <v>-110</v>
      </c>
      <c r="M94" s="6" t="str">
        <f>INDEX('Index A'!$B$1:$B$32,MATCH($H94,'Index A'!$A$1:$A$32,0))</f>
        <v>Ravens</v>
      </c>
    </row>
    <row r="95" spans="1:13" ht="20.25" x14ac:dyDescent="0.25">
      <c r="A95" s="4" t="s">
        <v>76</v>
      </c>
      <c r="B95" s="32">
        <v>-110</v>
      </c>
      <c r="C95" s="282" t="s">
        <v>100</v>
      </c>
      <c r="D95" s="281" t="s">
        <v>286</v>
      </c>
      <c r="E95" s="281" t="s">
        <v>287</v>
      </c>
      <c r="F95" s="281" t="s">
        <v>231</v>
      </c>
      <c r="G95" s="281" t="s">
        <v>288</v>
      </c>
      <c r="H95" s="7" t="str">
        <f t="shared" ref="H95" si="249">H94</f>
        <v>Baltimore Ravens</v>
      </c>
      <c r="I95" s="8">
        <f t="shared" ref="I95" si="250">I94</f>
        <v>10.5</v>
      </c>
      <c r="J95" s="7">
        <f>B95</f>
        <v>-110</v>
      </c>
      <c r="K95" s="7" t="str">
        <f t="shared" ref="K95" si="251">K94</f>
        <v>Over</v>
      </c>
      <c r="L95" s="7">
        <f t="shared" ref="L95" si="252">L94</f>
        <v>-110</v>
      </c>
      <c r="M95" s="6" t="str">
        <f>INDEX('Index A'!$B$1:$B$32,MATCH($H95,'Index A'!$A$1:$A$32,0))</f>
        <v>Ravens</v>
      </c>
    </row>
    <row r="96" spans="1:13" ht="20.25" x14ac:dyDescent="0.25">
      <c r="A96" s="1"/>
      <c r="B96" s="281" t="s">
        <v>206</v>
      </c>
      <c r="C96" s="5"/>
      <c r="D96" s="5"/>
      <c r="E96" s="5"/>
      <c r="F96" s="5"/>
      <c r="G96" s="5"/>
      <c r="H96" s="7" t="str">
        <f t="shared" si="183"/>
        <v>Baltimore Ravens</v>
      </c>
      <c r="I96" s="8">
        <f>_xlfn.NUMBERVALUE(RIGHT(B96,LEN(B96)-1))</f>
        <v>10.5</v>
      </c>
      <c r="J96" s="7" t="s">
        <v>111</v>
      </c>
      <c r="K96" s="7" t="str">
        <f t="shared" ref="K96" si="253">J96</f>
        <v>Under</v>
      </c>
      <c r="L96" s="7">
        <f t="shared" ref="L96" si="254">J97</f>
        <v>100</v>
      </c>
      <c r="M96" s="6" t="str">
        <f>INDEX('Index A'!$B$1:$B$32,MATCH($H96,'Index A'!$A$1:$A$32,0))</f>
        <v>Ravens</v>
      </c>
    </row>
    <row r="97" spans="1:13" ht="20.25" x14ac:dyDescent="0.25">
      <c r="A97" s="4"/>
      <c r="B97" s="32">
        <v>100</v>
      </c>
      <c r="C97" s="5"/>
      <c r="D97" s="5"/>
      <c r="E97" s="5"/>
      <c r="F97" s="5"/>
      <c r="G97" s="5"/>
      <c r="H97" s="7" t="str">
        <f t="shared" si="183"/>
        <v>Baltimore Ravens</v>
      </c>
      <c r="I97" s="8">
        <f t="shared" ref="I97" si="255">I96</f>
        <v>10.5</v>
      </c>
      <c r="J97" s="7">
        <f>B97</f>
        <v>100</v>
      </c>
      <c r="K97" s="7" t="str">
        <f t="shared" ref="K97" si="256">K96</f>
        <v>Under</v>
      </c>
      <c r="L97" s="7">
        <f t="shared" ref="L97" si="257">L96</f>
        <v>100</v>
      </c>
      <c r="M97" s="6" t="str">
        <f>INDEX('Index A'!$B$1:$B$32,MATCH($H97,'Index A'!$A$1:$A$32,0))</f>
        <v>Ravens</v>
      </c>
    </row>
    <row r="98" spans="1:13" ht="20.25" x14ac:dyDescent="0.25">
      <c r="A98" s="2"/>
      <c r="B98" s="281" t="s">
        <v>160</v>
      </c>
      <c r="C98" s="282" t="s">
        <v>100</v>
      </c>
      <c r="D98" s="281" t="s">
        <v>235</v>
      </c>
      <c r="E98" s="281" t="s">
        <v>235</v>
      </c>
      <c r="F98" s="281" t="s">
        <v>289</v>
      </c>
      <c r="G98" s="281" t="s">
        <v>290</v>
      </c>
      <c r="H98" s="7" t="str">
        <f>A99</f>
        <v>Atlanta Falcons</v>
      </c>
      <c r="I98" s="8">
        <f>_xlfn.NUMBERVALUE(RIGHT(B98,LEN(B98)-1))</f>
        <v>9.5</v>
      </c>
      <c r="J98" s="7" t="s">
        <v>105</v>
      </c>
      <c r="K98" s="7" t="str">
        <f t="shared" ref="K98" si="258">J98</f>
        <v>Over</v>
      </c>
      <c r="L98" s="7">
        <f t="shared" ref="L98" si="259">J99</f>
        <v>-150</v>
      </c>
      <c r="M98" s="6" t="str">
        <f>INDEX('Index A'!$B$1:$B$32,MATCH($H98,'Index A'!$A$1:$A$32,0))</f>
        <v>Falcons</v>
      </c>
    </row>
    <row r="99" spans="1:13" ht="20.25" x14ac:dyDescent="0.25">
      <c r="A99" s="4" t="s">
        <v>78</v>
      </c>
      <c r="B99" s="32">
        <v>-150</v>
      </c>
      <c r="C99" s="282" t="s">
        <v>100</v>
      </c>
      <c r="D99" s="281" t="s">
        <v>192</v>
      </c>
      <c r="E99" s="281" t="s">
        <v>192</v>
      </c>
      <c r="F99" s="281" t="s">
        <v>291</v>
      </c>
      <c r="G99" s="281" t="s">
        <v>292</v>
      </c>
      <c r="H99" s="7" t="str">
        <f t="shared" ref="H99" si="260">H98</f>
        <v>Atlanta Falcons</v>
      </c>
      <c r="I99" s="8">
        <f t="shared" ref="I99" si="261">I98</f>
        <v>9.5</v>
      </c>
      <c r="J99" s="7">
        <f>B99</f>
        <v>-150</v>
      </c>
      <c r="K99" s="7" t="str">
        <f t="shared" ref="K99" si="262">K98</f>
        <v>Over</v>
      </c>
      <c r="L99" s="7">
        <f t="shared" ref="L99" si="263">L98</f>
        <v>-150</v>
      </c>
      <c r="M99" s="6" t="str">
        <f>INDEX('Index A'!$B$1:$B$32,MATCH($H99,'Index A'!$A$1:$A$32,0))</f>
        <v>Falcons</v>
      </c>
    </row>
    <row r="100" spans="1:13" ht="20.25" x14ac:dyDescent="0.25">
      <c r="A100" s="1"/>
      <c r="B100" s="281" t="s">
        <v>168</v>
      </c>
      <c r="C100" s="5"/>
      <c r="D100" s="5"/>
      <c r="E100" s="5"/>
      <c r="F100" s="5"/>
      <c r="G100" s="5"/>
      <c r="H100" s="7" t="str">
        <f t="shared" si="183"/>
        <v>Atlanta Falcons</v>
      </c>
      <c r="I100" s="8">
        <f>_xlfn.NUMBERVALUE(RIGHT(B100,LEN(B100)-1))</f>
        <v>9.5</v>
      </c>
      <c r="J100" s="7" t="s">
        <v>111</v>
      </c>
      <c r="K100" s="7" t="str">
        <f t="shared" ref="K100" si="264">J100</f>
        <v>Under</v>
      </c>
      <c r="L100" s="7">
        <f t="shared" ref="L100" si="265">J101</f>
        <v>125</v>
      </c>
      <c r="M100" s="6" t="str">
        <f>INDEX('Index A'!$B$1:$B$32,MATCH($H100,'Index A'!$A$1:$A$32,0))</f>
        <v>Falcons</v>
      </c>
    </row>
    <row r="101" spans="1:13" ht="20.25" x14ac:dyDescent="0.25">
      <c r="A101" s="4"/>
      <c r="B101" s="32">
        <v>125</v>
      </c>
      <c r="C101" s="5"/>
      <c r="D101" s="5"/>
      <c r="E101" s="5"/>
      <c r="F101" s="5"/>
      <c r="G101" s="5"/>
      <c r="H101" s="7" t="str">
        <f t="shared" si="183"/>
        <v>Atlanta Falcons</v>
      </c>
      <c r="I101" s="8">
        <f t="shared" ref="I101" si="266">I100</f>
        <v>9.5</v>
      </c>
      <c r="J101" s="7">
        <f>B101</f>
        <v>125</v>
      </c>
      <c r="K101" s="7" t="str">
        <f t="shared" ref="K101" si="267">K100</f>
        <v>Under</v>
      </c>
      <c r="L101" s="7">
        <f t="shared" ref="L101" si="268">L100</f>
        <v>125</v>
      </c>
      <c r="M101" s="6" t="str">
        <f>INDEX('Index A'!$B$1:$B$32,MATCH($H101,'Index A'!$A$1:$A$32,0))</f>
        <v>Falcons</v>
      </c>
    </row>
    <row r="102" spans="1:13" ht="20.25" x14ac:dyDescent="0.25">
      <c r="A102" s="2"/>
      <c r="B102" s="281" t="s">
        <v>112</v>
      </c>
      <c r="C102" s="282" t="s">
        <v>100</v>
      </c>
      <c r="D102" s="281" t="s">
        <v>245</v>
      </c>
      <c r="E102" s="281" t="s">
        <v>114</v>
      </c>
      <c r="F102" s="281" t="s">
        <v>293</v>
      </c>
      <c r="G102" s="281" t="s">
        <v>293</v>
      </c>
      <c r="H102" s="7" t="str">
        <f>A103</f>
        <v>Las Vegas Raiders</v>
      </c>
      <c r="I102" s="8">
        <f>_xlfn.NUMBERVALUE(RIGHT(B102,LEN(B102)-1))</f>
        <v>6.5</v>
      </c>
      <c r="J102" s="7" t="s">
        <v>105</v>
      </c>
      <c r="K102" s="7" t="str">
        <f t="shared" ref="K102" si="269">J102</f>
        <v>Over</v>
      </c>
      <c r="L102" s="7">
        <f t="shared" ref="L102" si="270">J103</f>
        <v>-134</v>
      </c>
      <c r="M102" s="6" t="str">
        <f>INDEX('Index A'!$B$1:$B$32,MATCH($H102,'Index A'!$A$1:$A$32,0))</f>
        <v>Raiders</v>
      </c>
    </row>
    <row r="103" spans="1:13" ht="20.25" x14ac:dyDescent="0.25">
      <c r="A103" s="4" t="s">
        <v>80</v>
      </c>
      <c r="B103" s="32">
        <v>-134</v>
      </c>
      <c r="C103" s="282" t="s">
        <v>100</v>
      </c>
      <c r="D103" s="281" t="s">
        <v>175</v>
      </c>
      <c r="E103" s="281" t="s">
        <v>118</v>
      </c>
      <c r="F103" s="281" t="s">
        <v>118</v>
      </c>
      <c r="G103" s="281" t="s">
        <v>118</v>
      </c>
      <c r="H103" s="7" t="str">
        <f t="shared" ref="H103" si="271">H102</f>
        <v>Las Vegas Raiders</v>
      </c>
      <c r="I103" s="8">
        <f t="shared" ref="I103" si="272">I102</f>
        <v>6.5</v>
      </c>
      <c r="J103" s="7">
        <f>B103</f>
        <v>-134</v>
      </c>
      <c r="K103" s="7" t="str">
        <f t="shared" ref="K103" si="273">K102</f>
        <v>Over</v>
      </c>
      <c r="L103" s="7">
        <f t="shared" ref="L103" si="274">L102</f>
        <v>-134</v>
      </c>
      <c r="M103" s="6" t="str">
        <f>INDEX('Index A'!$B$1:$B$32,MATCH($H103,'Index A'!$A$1:$A$32,0))</f>
        <v>Raiders</v>
      </c>
    </row>
    <row r="104" spans="1:13" ht="20.25" x14ac:dyDescent="0.25">
      <c r="A104" s="1"/>
      <c r="B104" s="281" t="s">
        <v>121</v>
      </c>
      <c r="C104" s="5"/>
      <c r="D104" s="5"/>
      <c r="E104" s="5"/>
      <c r="F104" s="5"/>
      <c r="G104" s="5"/>
      <c r="H104" s="7" t="str">
        <f t="shared" si="183"/>
        <v>Las Vegas Raiders</v>
      </c>
      <c r="I104" s="8">
        <f>_xlfn.NUMBERVALUE(RIGHT(B104,LEN(B104)-1))</f>
        <v>6.5</v>
      </c>
      <c r="J104" s="7" t="s">
        <v>111</v>
      </c>
      <c r="K104" s="7" t="str">
        <f t="shared" ref="K104" si="275">J104</f>
        <v>Under</v>
      </c>
      <c r="L104" s="7">
        <f t="shared" ref="L104" si="276">J105</f>
        <v>110</v>
      </c>
      <c r="M104" s="6" t="str">
        <f>INDEX('Index A'!$B$1:$B$32,MATCH($H104,'Index A'!$A$1:$A$32,0))</f>
        <v>Raiders</v>
      </c>
    </row>
    <row r="105" spans="1:13" ht="20.25" x14ac:dyDescent="0.25">
      <c r="A105" s="4"/>
      <c r="B105" s="32">
        <v>110</v>
      </c>
      <c r="C105" s="5"/>
      <c r="D105" s="5"/>
      <c r="E105" s="5"/>
      <c r="F105" s="5"/>
      <c r="G105" s="5"/>
      <c r="H105" s="7" t="str">
        <f t="shared" si="183"/>
        <v>Las Vegas Raiders</v>
      </c>
      <c r="I105" s="8">
        <f t="shared" ref="I105" si="277">I104</f>
        <v>6.5</v>
      </c>
      <c r="J105" s="7">
        <f>B105</f>
        <v>110</v>
      </c>
      <c r="K105" s="7" t="str">
        <f t="shared" ref="K105" si="278">K104</f>
        <v>Under</v>
      </c>
      <c r="L105" s="7">
        <f t="shared" ref="L105" si="279">L104</f>
        <v>110</v>
      </c>
      <c r="M105" s="6" t="str">
        <f>INDEX('Index A'!$B$1:$B$32,MATCH($H105,'Index A'!$A$1:$A$32,0))</f>
        <v>Raiders</v>
      </c>
    </row>
    <row r="106" spans="1:13" ht="20.25" x14ac:dyDescent="0.25">
      <c r="A106" s="2"/>
      <c r="B106" s="281" t="s">
        <v>99</v>
      </c>
      <c r="C106" s="282" t="s">
        <v>100</v>
      </c>
      <c r="D106" s="281" t="s">
        <v>294</v>
      </c>
      <c r="E106" s="281" t="s">
        <v>295</v>
      </c>
      <c r="F106" s="281" t="s">
        <v>296</v>
      </c>
      <c r="G106" s="281" t="s">
        <v>297</v>
      </c>
      <c r="H106" s="7" t="str">
        <f>A107</f>
        <v>Cleveland Browns</v>
      </c>
      <c r="I106" s="8">
        <f>_xlfn.NUMBERVALUE(RIGHT(B106,LEN(B106)-1))</f>
        <v>8.5</v>
      </c>
      <c r="J106" s="7" t="s">
        <v>105</v>
      </c>
      <c r="K106" s="7" t="str">
        <f t="shared" ref="K106" si="280">J106</f>
        <v>Over</v>
      </c>
      <c r="L106" s="7">
        <f t="shared" ref="L106" si="281">J107</f>
        <v>-138</v>
      </c>
      <c r="M106" s="6" t="str">
        <f>INDEX('Index A'!$B$1:$B$32,MATCH($H106,'Index A'!$A$1:$A$32,0))</f>
        <v>Browns</v>
      </c>
    </row>
    <row r="107" spans="1:13" ht="20.25" x14ac:dyDescent="0.25">
      <c r="A107" s="4" t="s">
        <v>83</v>
      </c>
      <c r="B107" s="32">
        <v>-138</v>
      </c>
      <c r="C107" s="282" t="s">
        <v>100</v>
      </c>
      <c r="D107" s="281" t="s">
        <v>298</v>
      </c>
      <c r="E107" s="281" t="s">
        <v>299</v>
      </c>
      <c r="F107" s="281" t="s">
        <v>300</v>
      </c>
      <c r="G107" s="281" t="s">
        <v>299</v>
      </c>
      <c r="H107" s="7" t="str">
        <f t="shared" ref="H107" si="282">H106</f>
        <v>Cleveland Browns</v>
      </c>
      <c r="I107" s="8">
        <f t="shared" ref="I107" si="283">I106</f>
        <v>8.5</v>
      </c>
      <c r="J107" s="7">
        <f>B107</f>
        <v>-138</v>
      </c>
      <c r="K107" s="7" t="str">
        <f t="shared" ref="K107" si="284">K106</f>
        <v>Over</v>
      </c>
      <c r="L107" s="7">
        <f t="shared" ref="L107" si="285">L106</f>
        <v>-138</v>
      </c>
      <c r="M107" s="6" t="str">
        <f>INDEX('Index A'!$B$1:$B$32,MATCH($H107,'Index A'!$A$1:$A$32,0))</f>
        <v>Browns</v>
      </c>
    </row>
    <row r="108" spans="1:13" ht="20.25" x14ac:dyDescent="0.25">
      <c r="A108" s="1"/>
      <c r="B108" s="281" t="s">
        <v>110</v>
      </c>
      <c r="C108" s="5"/>
      <c r="D108" s="5"/>
      <c r="E108" s="5"/>
      <c r="F108" s="5"/>
      <c r="G108" s="5"/>
      <c r="H108" s="7" t="str">
        <f t="shared" si="183"/>
        <v>Cleveland Browns</v>
      </c>
      <c r="I108" s="8">
        <f>_xlfn.NUMBERVALUE(RIGHT(B108,LEN(B108)-1))</f>
        <v>8.5</v>
      </c>
      <c r="J108" s="7" t="s">
        <v>111</v>
      </c>
      <c r="K108" s="7" t="str">
        <f t="shared" ref="K108" si="286">J108</f>
        <v>Under</v>
      </c>
      <c r="L108" s="7">
        <f t="shared" ref="L108" si="287">J109</f>
        <v>115</v>
      </c>
      <c r="M108" s="6" t="str">
        <f>INDEX('Index A'!$B$1:$B$32,MATCH($H108,'Index A'!$A$1:$A$32,0))</f>
        <v>Browns</v>
      </c>
    </row>
    <row r="109" spans="1:13" ht="20.25" x14ac:dyDescent="0.25">
      <c r="A109" s="4"/>
      <c r="B109" s="32">
        <v>115</v>
      </c>
      <c r="C109" s="5"/>
      <c r="D109" s="5"/>
      <c r="E109" s="5"/>
      <c r="F109" s="5"/>
      <c r="G109" s="5"/>
      <c r="H109" s="7" t="str">
        <f t="shared" si="183"/>
        <v>Cleveland Browns</v>
      </c>
      <c r="I109" s="8">
        <f t="shared" ref="I109" si="288">I108</f>
        <v>8.5</v>
      </c>
      <c r="J109" s="7">
        <f>B109</f>
        <v>115</v>
      </c>
      <c r="K109" s="7" t="str">
        <f t="shared" ref="K109" si="289">K108</f>
        <v>Under</v>
      </c>
      <c r="L109" s="7">
        <f t="shared" ref="L109" si="290">L108</f>
        <v>115</v>
      </c>
      <c r="M109" s="6" t="str">
        <f>INDEX('Index A'!$B$1:$B$32,MATCH($H109,'Index A'!$A$1:$A$32,0))</f>
        <v>Browns</v>
      </c>
    </row>
    <row r="110" spans="1:13" ht="20.25" x14ac:dyDescent="0.25">
      <c r="A110" s="2"/>
      <c r="B110" s="281" t="s">
        <v>198</v>
      </c>
      <c r="C110" s="282" t="s">
        <v>100</v>
      </c>
      <c r="D110" s="281" t="s">
        <v>301</v>
      </c>
      <c r="E110" s="281" t="s">
        <v>302</v>
      </c>
      <c r="F110" s="281" t="s">
        <v>303</v>
      </c>
      <c r="G110" s="281" t="s">
        <v>304</v>
      </c>
      <c r="H110" s="7" t="str">
        <f>A111</f>
        <v>Detroit Lions</v>
      </c>
      <c r="I110" s="8">
        <f>_xlfn.NUMBERVALUE(RIGHT(B110,LEN(B110)-1))</f>
        <v>10.5</v>
      </c>
      <c r="J110" s="7" t="s">
        <v>105</v>
      </c>
      <c r="K110" s="7" t="str">
        <f t="shared" ref="K110" si="291">J110</f>
        <v>Over</v>
      </c>
      <c r="L110" s="7">
        <f t="shared" ref="L110" si="292">J111</f>
        <v>-135</v>
      </c>
      <c r="M110" s="6" t="str">
        <f>INDEX('Index A'!$B$1:$B$32,MATCH($H110,'Index A'!$A$1:$A$32,0))</f>
        <v>Lions</v>
      </c>
    </row>
    <row r="111" spans="1:13" ht="20.25" x14ac:dyDescent="0.25">
      <c r="A111" s="4" t="s">
        <v>86</v>
      </c>
      <c r="B111" s="32">
        <v>-135</v>
      </c>
      <c r="C111" s="282" t="s">
        <v>100</v>
      </c>
      <c r="D111" s="281" t="s">
        <v>305</v>
      </c>
      <c r="E111" s="281" t="s">
        <v>234</v>
      </c>
      <c r="F111" s="281" t="s">
        <v>306</v>
      </c>
      <c r="G111" s="281" t="s">
        <v>307</v>
      </c>
      <c r="H111" s="7" t="str">
        <f t="shared" ref="H111" si="293">H110</f>
        <v>Detroit Lions</v>
      </c>
      <c r="I111" s="8">
        <f t="shared" ref="I111" si="294">I110</f>
        <v>10.5</v>
      </c>
      <c r="J111" s="7">
        <f>B111</f>
        <v>-135</v>
      </c>
      <c r="K111" s="7" t="str">
        <f t="shared" ref="K111" si="295">K110</f>
        <v>Over</v>
      </c>
      <c r="L111" s="7">
        <f t="shared" ref="L111" si="296">L110</f>
        <v>-135</v>
      </c>
      <c r="M111" s="6" t="str">
        <f>INDEX('Index A'!$B$1:$B$32,MATCH($H111,'Index A'!$A$1:$A$32,0))</f>
        <v>Lions</v>
      </c>
    </row>
    <row r="112" spans="1:13" ht="20.25" x14ac:dyDescent="0.25">
      <c r="A112" s="1"/>
      <c r="B112" s="281" t="s">
        <v>206</v>
      </c>
      <c r="C112" s="5"/>
      <c r="D112" s="5"/>
      <c r="E112" s="5"/>
      <c r="F112" s="5"/>
      <c r="G112" s="5"/>
      <c r="H112" s="7" t="str">
        <f t="shared" si="183"/>
        <v>Detroit Lions</v>
      </c>
      <c r="I112" s="8">
        <f>_xlfn.NUMBERVALUE(RIGHT(B112,LEN(B112)-1))</f>
        <v>10.5</v>
      </c>
      <c r="J112" s="7" t="s">
        <v>111</v>
      </c>
      <c r="K112" s="7" t="str">
        <f t="shared" ref="K112" si="297">J112</f>
        <v>Under</v>
      </c>
      <c r="L112" s="7">
        <f t="shared" ref="L112" si="298">J113</f>
        <v>110</v>
      </c>
      <c r="M112" s="6" t="str">
        <f>INDEX('Index A'!$B$1:$B$32,MATCH($H112,'Index A'!$A$1:$A$32,0))</f>
        <v>Lions</v>
      </c>
    </row>
    <row r="113" spans="1:13" ht="20.25" x14ac:dyDescent="0.25">
      <c r="A113" s="4"/>
      <c r="B113" s="32">
        <v>110</v>
      </c>
      <c r="C113" s="5"/>
      <c r="D113" s="5"/>
      <c r="E113" s="5"/>
      <c r="F113" s="5"/>
      <c r="G113" s="5"/>
      <c r="H113" s="7" t="str">
        <f t="shared" si="183"/>
        <v>Detroit Lions</v>
      </c>
      <c r="I113" s="8">
        <f t="shared" ref="I113" si="299">I112</f>
        <v>10.5</v>
      </c>
      <c r="J113" s="7">
        <f>B113</f>
        <v>110</v>
      </c>
      <c r="K113" s="7" t="str">
        <f t="shared" ref="K113" si="300">K112</f>
        <v>Under</v>
      </c>
      <c r="L113" s="7">
        <f t="shared" ref="L113" si="301">L112</f>
        <v>110</v>
      </c>
      <c r="M113" s="6" t="str">
        <f>INDEX('Index A'!$B$1:$B$32,MATCH($H113,'Index A'!$A$1:$A$32,0))</f>
        <v>Lions</v>
      </c>
    </row>
    <row r="114" spans="1:13" ht="20.25" x14ac:dyDescent="0.25">
      <c r="A114" s="2"/>
      <c r="B114" s="281" t="s">
        <v>160</v>
      </c>
      <c r="C114" s="282" t="s">
        <v>100</v>
      </c>
      <c r="D114" s="281" t="s">
        <v>308</v>
      </c>
      <c r="E114" s="281" t="s">
        <v>236</v>
      </c>
      <c r="F114" s="281" t="s">
        <v>309</v>
      </c>
      <c r="G114" s="281" t="s">
        <v>310</v>
      </c>
      <c r="H114" s="7" t="str">
        <f>A115</f>
        <v>Green Bay Packers</v>
      </c>
      <c r="I114" s="8">
        <f>_xlfn.NUMBERVALUE(RIGHT(B114,LEN(B114)-1))</f>
        <v>9.5</v>
      </c>
      <c r="J114" s="7" t="s">
        <v>105</v>
      </c>
      <c r="K114" s="7" t="str">
        <f t="shared" ref="K114" si="302">J114</f>
        <v>Over</v>
      </c>
      <c r="L114" s="7">
        <f t="shared" ref="L114" si="303">J115</f>
        <v>-160</v>
      </c>
      <c r="M114" s="6" t="str">
        <f>INDEX('Index A'!$B$1:$B$32,MATCH($H114,'Index A'!$A$1:$A$32,0))</f>
        <v>Packers</v>
      </c>
    </row>
    <row r="115" spans="1:13" ht="20.25" x14ac:dyDescent="0.25">
      <c r="A115" s="4" t="s">
        <v>88</v>
      </c>
      <c r="B115" s="32">
        <v>-160</v>
      </c>
      <c r="C115" s="282" t="s">
        <v>100</v>
      </c>
      <c r="D115" s="281" t="s">
        <v>311</v>
      </c>
      <c r="E115" s="281" t="s">
        <v>312</v>
      </c>
      <c r="F115" s="281" t="s">
        <v>313</v>
      </c>
      <c r="G115" s="281" t="s">
        <v>240</v>
      </c>
      <c r="H115" s="7" t="str">
        <f t="shared" ref="H115" si="304">H114</f>
        <v>Green Bay Packers</v>
      </c>
      <c r="I115" s="8">
        <f t="shared" ref="I115" si="305">I114</f>
        <v>9.5</v>
      </c>
      <c r="J115" s="7">
        <f>B115</f>
        <v>-160</v>
      </c>
      <c r="K115" s="7" t="str">
        <f t="shared" ref="K115" si="306">K114</f>
        <v>Over</v>
      </c>
      <c r="L115" s="7">
        <f t="shared" ref="L115" si="307">L114</f>
        <v>-160</v>
      </c>
      <c r="M115" s="6" t="str">
        <f>INDEX('Index A'!$B$1:$B$32,MATCH($H115,'Index A'!$A$1:$A$32,0))</f>
        <v>Packers</v>
      </c>
    </row>
    <row r="116" spans="1:13" ht="20.25" x14ac:dyDescent="0.25">
      <c r="A116" s="1"/>
      <c r="B116" s="281" t="s">
        <v>168</v>
      </c>
      <c r="C116" s="5"/>
      <c r="D116" s="5"/>
      <c r="E116" s="5"/>
      <c r="F116" s="5"/>
      <c r="G116" s="5"/>
      <c r="H116" s="7" t="str">
        <f t="shared" si="183"/>
        <v>Green Bay Packers</v>
      </c>
      <c r="I116" s="8">
        <f>_xlfn.NUMBERVALUE(RIGHT(B116,LEN(B116)-1))</f>
        <v>9.5</v>
      </c>
      <c r="J116" s="7" t="s">
        <v>111</v>
      </c>
      <c r="K116" s="7" t="str">
        <f t="shared" ref="K116" si="308">J116</f>
        <v>Under</v>
      </c>
      <c r="L116" s="7">
        <f t="shared" ref="L116" si="309">J117</f>
        <v>135</v>
      </c>
      <c r="M116" s="6" t="str">
        <f>INDEX('Index A'!$B$1:$B$32,MATCH($H116,'Index A'!$A$1:$A$32,0))</f>
        <v>Packers</v>
      </c>
    </row>
    <row r="117" spans="1:13" ht="20.25" x14ac:dyDescent="0.25">
      <c r="A117" s="4"/>
      <c r="B117" s="32">
        <v>135</v>
      </c>
      <c r="C117" s="5"/>
      <c r="D117" s="5"/>
      <c r="E117" s="5"/>
      <c r="F117" s="5"/>
      <c r="G117" s="5"/>
      <c r="H117" s="7" t="str">
        <f t="shared" si="183"/>
        <v>Green Bay Packers</v>
      </c>
      <c r="I117" s="8">
        <f t="shared" ref="I117" si="310">I116</f>
        <v>9.5</v>
      </c>
      <c r="J117" s="7">
        <f>B117</f>
        <v>135</v>
      </c>
      <c r="K117" s="7" t="str">
        <f t="shared" ref="K117" si="311">K116</f>
        <v>Under</v>
      </c>
      <c r="L117" s="7">
        <f t="shared" ref="L117" si="312">L116</f>
        <v>135</v>
      </c>
      <c r="M117" s="6" t="str">
        <f>INDEX('Index A'!$B$1:$B$32,MATCH($H117,'Index A'!$A$1:$A$32,0))</f>
        <v>Packers</v>
      </c>
    </row>
    <row r="118" spans="1:13" ht="20.25" x14ac:dyDescent="0.25">
      <c r="A118" s="2"/>
      <c r="B118" s="281" t="s">
        <v>99</v>
      </c>
      <c r="C118" s="282" t="s">
        <v>100</v>
      </c>
      <c r="D118" s="281" t="s">
        <v>314</v>
      </c>
      <c r="E118" s="281" t="s">
        <v>256</v>
      </c>
      <c r="F118" s="281" t="s">
        <v>315</v>
      </c>
      <c r="G118" s="281" t="s">
        <v>316</v>
      </c>
      <c r="H118" s="7" t="str">
        <f>A119</f>
        <v>Los Angeles Rams</v>
      </c>
      <c r="I118" s="8">
        <f>_xlfn.NUMBERVALUE(RIGHT(B118,LEN(B118)-1))</f>
        <v>8.5</v>
      </c>
      <c r="J118" s="7" t="s">
        <v>105</v>
      </c>
      <c r="K118" s="7" t="str">
        <f t="shared" ref="K118" si="313">J118</f>
        <v>Over</v>
      </c>
      <c r="L118" s="7">
        <f t="shared" ref="L118" si="314">J119</f>
        <v>-160</v>
      </c>
      <c r="M118" s="6" t="str">
        <f>INDEX('Index A'!$B$1:$B$32,MATCH($H118,'Index A'!$A$1:$A$32,0))</f>
        <v>Rams</v>
      </c>
    </row>
    <row r="119" spans="1:13" ht="20.25" x14ac:dyDescent="0.25">
      <c r="A119" s="4" t="s">
        <v>90</v>
      </c>
      <c r="B119" s="32">
        <v>-160</v>
      </c>
      <c r="C119" s="282" t="s">
        <v>100</v>
      </c>
      <c r="D119" s="281" t="s">
        <v>317</v>
      </c>
      <c r="E119" s="281" t="s">
        <v>318</v>
      </c>
      <c r="F119" s="281" t="s">
        <v>319</v>
      </c>
      <c r="G119" s="281" t="s">
        <v>259</v>
      </c>
      <c r="H119" s="7" t="str">
        <f t="shared" ref="H119" si="315">H118</f>
        <v>Los Angeles Rams</v>
      </c>
      <c r="I119" s="8">
        <f t="shared" ref="I119" si="316">I118</f>
        <v>8.5</v>
      </c>
      <c r="J119" s="7">
        <f>B119</f>
        <v>-160</v>
      </c>
      <c r="K119" s="7" t="str">
        <f t="shared" ref="K119" si="317">K118</f>
        <v>Over</v>
      </c>
      <c r="L119" s="7">
        <f t="shared" ref="L119" si="318">L118</f>
        <v>-160</v>
      </c>
      <c r="M119" s="6" t="str">
        <f>INDEX('Index A'!$B$1:$B$32,MATCH($H119,'Index A'!$A$1:$A$32,0))</f>
        <v>Rams</v>
      </c>
    </row>
    <row r="120" spans="1:13" ht="20.25" x14ac:dyDescent="0.25">
      <c r="A120" s="1"/>
      <c r="B120" s="281" t="s">
        <v>110</v>
      </c>
      <c r="C120" s="5"/>
      <c r="D120" s="5"/>
      <c r="E120" s="5"/>
      <c r="F120" s="5"/>
      <c r="G120" s="5"/>
      <c r="H120" s="7" t="str">
        <f t="shared" si="183"/>
        <v>Los Angeles Rams</v>
      </c>
      <c r="I120" s="8">
        <f>_xlfn.NUMBERVALUE(RIGHT(B120,LEN(B120)-1))</f>
        <v>8.5</v>
      </c>
      <c r="J120" s="7" t="s">
        <v>111</v>
      </c>
      <c r="K120" s="7" t="str">
        <f t="shared" ref="K120" si="319">J120</f>
        <v>Under</v>
      </c>
      <c r="L120" s="7">
        <f t="shared" ref="L120" si="320">J121</f>
        <v>135</v>
      </c>
      <c r="M120" s="6" t="str">
        <f>INDEX('Index A'!$B$1:$B$32,MATCH($H120,'Index A'!$A$1:$A$32,0))</f>
        <v>Rams</v>
      </c>
    </row>
    <row r="121" spans="1:13" ht="20.25" x14ac:dyDescent="0.25">
      <c r="A121" s="4"/>
      <c r="B121" s="32">
        <v>135</v>
      </c>
      <c r="C121" s="5"/>
      <c r="D121" s="5"/>
      <c r="E121" s="5"/>
      <c r="F121" s="5"/>
      <c r="G121" s="5"/>
      <c r="H121" s="7" t="str">
        <f t="shared" si="183"/>
        <v>Los Angeles Rams</v>
      </c>
      <c r="I121" s="8">
        <f t="shared" ref="I121" si="321">I120</f>
        <v>8.5</v>
      </c>
      <c r="J121" s="7">
        <f>B121</f>
        <v>135</v>
      </c>
      <c r="K121" s="7" t="str">
        <f t="shared" ref="K121" si="322">K120</f>
        <v>Under</v>
      </c>
      <c r="L121" s="7">
        <f t="shared" ref="L121" si="323">L120</f>
        <v>135</v>
      </c>
      <c r="M121" s="6" t="str">
        <f>INDEX('Index A'!$B$1:$B$32,MATCH($H121,'Index A'!$A$1:$A$32,0))</f>
        <v>Rams</v>
      </c>
    </row>
    <row r="122" spans="1:13" ht="20.25" x14ac:dyDescent="0.25">
      <c r="A122" s="2"/>
      <c r="B122" s="281" t="s">
        <v>198</v>
      </c>
      <c r="C122" s="282" t="s">
        <v>100</v>
      </c>
      <c r="D122" s="281" t="s">
        <v>320</v>
      </c>
      <c r="E122" s="281" t="s">
        <v>304</v>
      </c>
      <c r="F122" s="281" t="s">
        <v>321</v>
      </c>
      <c r="G122" s="281" t="s">
        <v>322</v>
      </c>
      <c r="H122" s="7" t="str">
        <f>A123</f>
        <v>Philadelphia Eagles</v>
      </c>
      <c r="I122" s="8">
        <f>_xlfn.NUMBERVALUE(RIGHT(B122,LEN(B122)-1))</f>
        <v>10.5</v>
      </c>
      <c r="J122" s="7" t="s">
        <v>105</v>
      </c>
      <c r="K122" s="7" t="str">
        <f t="shared" ref="K122" si="324">J122</f>
        <v>Over</v>
      </c>
      <c r="L122" s="7">
        <f t="shared" ref="L122" si="325">J123</f>
        <v>-145</v>
      </c>
      <c r="M122" s="6" t="str">
        <f>INDEX('Index A'!$B$1:$B$32,MATCH($H122,'Index A'!$A$1:$A$32,0))</f>
        <v>Eagles</v>
      </c>
    </row>
    <row r="123" spans="1:13" ht="20.25" x14ac:dyDescent="0.25">
      <c r="A123" s="4" t="s">
        <v>92</v>
      </c>
      <c r="B123" s="32">
        <v>-145</v>
      </c>
      <c r="C123" s="282" t="s">
        <v>100</v>
      </c>
      <c r="D123" s="281" t="s">
        <v>323</v>
      </c>
      <c r="E123" s="281" t="s">
        <v>234</v>
      </c>
      <c r="F123" s="281" t="s">
        <v>305</v>
      </c>
      <c r="G123" s="281" t="s">
        <v>324</v>
      </c>
      <c r="H123" s="7" t="str">
        <f t="shared" ref="H123" si="326">H122</f>
        <v>Philadelphia Eagles</v>
      </c>
      <c r="I123" s="8">
        <f t="shared" ref="I123" si="327">I122</f>
        <v>10.5</v>
      </c>
      <c r="J123" s="7">
        <f>B123</f>
        <v>-145</v>
      </c>
      <c r="K123" s="7" t="str">
        <f t="shared" ref="K123" si="328">K122</f>
        <v>Over</v>
      </c>
      <c r="L123" s="7">
        <f t="shared" ref="L123" si="329">L122</f>
        <v>-145</v>
      </c>
      <c r="M123" s="6" t="str">
        <f>INDEX('Index A'!$B$1:$B$32,MATCH($H123,'Index A'!$A$1:$A$32,0))</f>
        <v>Eagles</v>
      </c>
    </row>
    <row r="124" spans="1:13" ht="20.25" x14ac:dyDescent="0.25">
      <c r="A124" s="1"/>
      <c r="B124" s="281" t="s">
        <v>206</v>
      </c>
      <c r="C124" s="5"/>
      <c r="D124" s="5"/>
      <c r="E124" s="5"/>
      <c r="F124" s="5"/>
      <c r="G124" s="5"/>
      <c r="H124" s="7" t="str">
        <f t="shared" si="183"/>
        <v>Philadelphia Eagles</v>
      </c>
      <c r="I124" s="8">
        <f>_xlfn.NUMBERVALUE(RIGHT(B124,LEN(B124)-1))</f>
        <v>10.5</v>
      </c>
      <c r="J124" s="7" t="s">
        <v>111</v>
      </c>
      <c r="K124" s="7" t="str">
        <f t="shared" ref="K124" si="330">J124</f>
        <v>Under</v>
      </c>
      <c r="L124" s="7">
        <f t="shared" ref="L124" si="331">J125</f>
        <v>120</v>
      </c>
      <c r="M124" s="6" t="str">
        <f>INDEX('Index A'!$B$1:$B$32,MATCH($H124,'Index A'!$A$1:$A$32,0))</f>
        <v>Eagles</v>
      </c>
    </row>
    <row r="125" spans="1:13" ht="20.25" x14ac:dyDescent="0.25">
      <c r="A125" s="4"/>
      <c r="B125" s="32">
        <v>120</v>
      </c>
      <c r="C125" s="5"/>
      <c r="D125" s="5"/>
      <c r="E125" s="5"/>
      <c r="F125" s="5"/>
      <c r="G125" s="5"/>
      <c r="H125" s="7" t="str">
        <f t="shared" si="183"/>
        <v>Philadelphia Eagles</v>
      </c>
      <c r="I125" s="8">
        <f t="shared" ref="I125" si="332">I124</f>
        <v>10.5</v>
      </c>
      <c r="J125" s="7">
        <f>B125</f>
        <v>120</v>
      </c>
      <c r="K125" s="7" t="str">
        <f t="shared" ref="K125" si="333">K124</f>
        <v>Under</v>
      </c>
      <c r="L125" s="7">
        <f t="shared" ref="L125" si="334">L124</f>
        <v>120</v>
      </c>
      <c r="M125" s="6" t="str">
        <f>INDEX('Index A'!$B$1:$B$32,MATCH($H125,'Index A'!$A$1:$A$32,0))</f>
        <v>Eagles</v>
      </c>
    </row>
    <row r="126" spans="1:13" ht="20.25" x14ac:dyDescent="0.25">
      <c r="A126" s="2"/>
      <c r="B126" s="281" t="s">
        <v>325</v>
      </c>
      <c r="C126" s="282" t="s">
        <v>100</v>
      </c>
      <c r="D126" s="281" t="s">
        <v>326</v>
      </c>
      <c r="E126" s="281" t="s">
        <v>327</v>
      </c>
      <c r="F126" s="281" t="s">
        <v>328</v>
      </c>
      <c r="G126" s="281" t="s">
        <v>223</v>
      </c>
      <c r="H126" s="7" t="str">
        <f>A127</f>
        <v>Denver Broncos</v>
      </c>
      <c r="I126" s="8">
        <f>_xlfn.NUMBERVALUE(RIGHT(B126,LEN(B126)-1))</f>
        <v>6</v>
      </c>
      <c r="J126" s="7" t="s">
        <v>105</v>
      </c>
      <c r="K126" s="7" t="str">
        <f t="shared" ref="K126" si="335">J126</f>
        <v>Over</v>
      </c>
      <c r="L126" s="7">
        <f t="shared" ref="L126" si="336">J127</f>
        <v>-140</v>
      </c>
      <c r="M126" s="6" t="str">
        <f>INDEX('Index A'!$B$1:$B$32,MATCH($H126,'Index A'!$A$1:$A$32,0))</f>
        <v>Broncos</v>
      </c>
    </row>
    <row r="127" spans="1:13" ht="20.25" x14ac:dyDescent="0.25">
      <c r="A127" s="4" t="s">
        <v>94</v>
      </c>
      <c r="B127" s="32">
        <v>-140</v>
      </c>
      <c r="C127" s="282" t="s">
        <v>100</v>
      </c>
      <c r="D127" s="281" t="s">
        <v>329</v>
      </c>
      <c r="E127" s="281" t="s">
        <v>330</v>
      </c>
      <c r="F127" s="281" t="s">
        <v>331</v>
      </c>
      <c r="G127" s="281" t="s">
        <v>121</v>
      </c>
      <c r="H127" s="7" t="str">
        <f t="shared" ref="H127" si="337">H126</f>
        <v>Denver Broncos</v>
      </c>
      <c r="I127" s="8">
        <f t="shared" ref="I127" si="338">I126</f>
        <v>6</v>
      </c>
      <c r="J127" s="7">
        <f>B127</f>
        <v>-140</v>
      </c>
      <c r="K127" s="7" t="str">
        <f t="shared" ref="K127" si="339">K126</f>
        <v>Over</v>
      </c>
      <c r="L127" s="7">
        <f t="shared" ref="L127" si="340">L126</f>
        <v>-140</v>
      </c>
      <c r="M127" s="6" t="str">
        <f>INDEX('Index A'!$B$1:$B$32,MATCH($H127,'Index A'!$A$1:$A$32,0))</f>
        <v>Broncos</v>
      </c>
    </row>
    <row r="128" spans="1:13" ht="20.25" x14ac:dyDescent="0.25">
      <c r="A128" s="1"/>
      <c r="B128" s="281" t="s">
        <v>332</v>
      </c>
      <c r="C128" s="5"/>
      <c r="D128" s="5"/>
      <c r="E128" s="5"/>
      <c r="F128" s="5"/>
      <c r="G128" s="5"/>
      <c r="H128" s="7" t="str">
        <f t="shared" si="183"/>
        <v>Denver Broncos</v>
      </c>
      <c r="I128" s="8">
        <f>_xlfn.NUMBERVALUE(RIGHT(B128,LEN(B128)-1))</f>
        <v>6</v>
      </c>
      <c r="J128" s="7" t="s">
        <v>111</v>
      </c>
      <c r="K128" s="7" t="str">
        <f t="shared" ref="K128" si="341">J128</f>
        <v>Under</v>
      </c>
      <c r="L128" s="7">
        <f t="shared" ref="L128" si="342">J129</f>
        <v>118</v>
      </c>
      <c r="M128" s="6" t="str">
        <f>INDEX('Index A'!$B$1:$B$32,MATCH($H128,'Index A'!$A$1:$A$32,0))</f>
        <v>Broncos</v>
      </c>
    </row>
    <row r="129" spans="1:13" ht="20.25" x14ac:dyDescent="0.25">
      <c r="A129" s="4"/>
      <c r="B129" s="32">
        <v>118</v>
      </c>
      <c r="C129" s="5"/>
      <c r="D129" s="5"/>
      <c r="E129" s="5"/>
      <c r="F129" s="5"/>
      <c r="G129" s="5"/>
      <c r="H129" s="7" t="str">
        <f t="shared" si="183"/>
        <v>Denver Broncos</v>
      </c>
      <c r="I129" s="8">
        <f t="shared" ref="I129" si="343">I128</f>
        <v>6</v>
      </c>
      <c r="J129" s="7">
        <f>B129</f>
        <v>118</v>
      </c>
      <c r="K129" s="7" t="str">
        <f t="shared" ref="K129:L129" si="344">K128</f>
        <v>Under</v>
      </c>
      <c r="L129" s="7">
        <f t="shared" si="344"/>
        <v>118</v>
      </c>
      <c r="M129" s="6" t="str">
        <f>INDEX('Index A'!$B$1:$B$32,MATCH($H129,'Index A'!$A$1:$A$32,0))</f>
        <v>Broncos</v>
      </c>
    </row>
  </sheetData>
  <hyperlinks>
    <hyperlink ref="H1" r:id="rId1" xr:uid="{E6A6E1CF-62E4-4E07-9FA3-155BE36C6138}"/>
    <hyperlink ref="A3" r:id="rId2" display="https://www.actionnetwork.com/nfl/odds/tampa-bay-buccaneers" xr:uid="{CE0749E4-A466-4F74-A4E9-12A6C46D4EAB}"/>
    <hyperlink ref="A5" r:id="rId3" display="https://www.actionnetwork.com/nfl/odds/tampa-bay-buccaneers" xr:uid="{F39D007F-0199-4495-AD96-73C3152D33F6}"/>
    <hyperlink ref="A7" r:id="rId4" display="https://www.actionnetwork.com/nfl/odds/washington-commanders" xr:uid="{EC7D355A-519F-4772-8A3A-D7FDC3BCFA81}"/>
    <hyperlink ref="A9" r:id="rId5" display="https://www.actionnetwork.com/nfl/odds/washington-commanders" xr:uid="{635E9E89-1296-4A2A-9159-181BFBCCCFFC}"/>
    <hyperlink ref="A11" r:id="rId6" display="https://www.actionnetwork.com/nfl/odds/seattle-seahawks" xr:uid="{D8D2473E-9C7B-49D5-8BCA-D8EC5DBFF8A9}"/>
    <hyperlink ref="A13" r:id="rId7" display="https://www.actionnetwork.com/nfl/odds/seattle-seahawks" xr:uid="{4A9C78AD-8EC0-4A12-9890-8E6F5D76A62C}"/>
    <hyperlink ref="A15" r:id="rId8" display="https://www.actionnetwork.com/nfl/odds/carolina-panthers" xr:uid="{3744A709-A070-4BA5-8BB4-819665B670FA}"/>
    <hyperlink ref="A17" r:id="rId9" display="https://www.actionnetwork.com/nfl/odds/carolina-panthers" xr:uid="{DA2841BF-FD66-4532-9425-FA3604944AED}"/>
    <hyperlink ref="A19" r:id="rId10" display="https://www.actionnetwork.com/nfl/odds/kansas-city-chiefs" xr:uid="{7DE1F251-3A43-46A4-A0B9-3780DB93A982}"/>
    <hyperlink ref="A21" r:id="rId11" display="https://www.actionnetwork.com/nfl/odds/kansas-city-chiefs" xr:uid="{6498EFB2-852F-41CD-9E44-1A5E0746DC7E}"/>
    <hyperlink ref="A23" r:id="rId12" display="https://www.actionnetwork.com/nfl/odds/tennessee-titans" xr:uid="{BDB1E949-2202-4379-B50A-5C556A9624FD}"/>
    <hyperlink ref="A25" r:id="rId13" display="https://www.actionnetwork.com/nfl/odds/tennessee-titans" xr:uid="{51488391-18E2-4A30-BAE8-C9CA50A63CF7}"/>
    <hyperlink ref="A27" r:id="rId14" display="https://www.actionnetwork.com/nfl/odds/new-york-jets" xr:uid="{757C168F-88FF-455E-A6E0-8B743EA5AAFA}"/>
    <hyperlink ref="A29" r:id="rId15" display="https://www.actionnetwork.com/nfl/odds/new-york-jets" xr:uid="{13BD6452-44A1-43B9-82FF-47B139101568}"/>
    <hyperlink ref="A31" r:id="rId16" display="https://www.actionnetwork.com/nfl/odds/arizona-cardinals" xr:uid="{6EBA0B27-72FB-4735-925A-19CF932B1D46}"/>
    <hyperlink ref="A33" r:id="rId17" display="https://www.actionnetwork.com/nfl/odds/arizona-cardinals" xr:uid="{371E4CBB-2839-429F-98BA-1034CF1E3981}"/>
    <hyperlink ref="A35" r:id="rId18" display="https://www.actionnetwork.com/nfl/odds/san-francisco-49ers" xr:uid="{03EE1437-2A0C-4BAE-9A10-EDFB30439FCB}"/>
    <hyperlink ref="A37" r:id="rId19" display="https://www.actionnetwork.com/nfl/odds/san-francisco-49ers" xr:uid="{A7138182-343D-4FAE-8ABF-8ED9EA2A31AB}"/>
    <hyperlink ref="A39" r:id="rId20" display="https://www.actionnetwork.com/nfl/odds/houston-texans" xr:uid="{F3786E54-C473-4073-BC6E-42F7DE473FFF}"/>
    <hyperlink ref="A41" r:id="rId21" display="https://www.actionnetwork.com/nfl/odds/houston-texans" xr:uid="{63EAA9E4-052B-403C-8755-79D737359DF7}"/>
    <hyperlink ref="A43" r:id="rId22" display="https://www.actionnetwork.com/nfl/odds/jacksonville-jaguars" xr:uid="{CDB643E4-2BDB-4988-BFCA-DF844E60FDBE}"/>
    <hyperlink ref="A45" r:id="rId23" display="https://www.actionnetwork.com/nfl/odds/jacksonville-jaguars" xr:uid="{46C3E104-C9C6-4A4F-B313-74E156C3934D}"/>
    <hyperlink ref="A47" r:id="rId24" display="https://www.actionnetwork.com/nfl/odds/buffalo-bills" xr:uid="{85F1D777-AEAF-4060-A081-698E0C169D8E}"/>
    <hyperlink ref="A49" r:id="rId25" display="https://www.actionnetwork.com/nfl/odds/buffalo-bills" xr:uid="{0F0A2BF1-3E78-46D6-9209-A60CCCE49E0E}"/>
    <hyperlink ref="A51" r:id="rId26" display="https://www.actionnetwork.com/nfl/odds/indianapolis-colts" xr:uid="{184AED2B-1A63-4CD6-A0C2-57D77DD688EE}"/>
    <hyperlink ref="A53" r:id="rId27" display="https://www.actionnetwork.com/nfl/odds/indianapolis-colts" xr:uid="{5E3B27D1-1561-4D8B-8514-E23C97B2E7BF}"/>
    <hyperlink ref="A55" r:id="rId28" display="https://www.actionnetwork.com/nfl/odds/new-england-patriots" xr:uid="{F157D38F-99B9-44E8-B251-3400A3EFCE4A}"/>
    <hyperlink ref="A57" r:id="rId29" display="https://www.actionnetwork.com/nfl/odds/new-england-patriots" xr:uid="{713A74F6-0E25-469B-9171-3DC14D204688}"/>
    <hyperlink ref="A59" r:id="rId30" display="https://www.actionnetwork.com/nfl/odds/new-york-giants" xr:uid="{6416793B-8908-493E-87B7-F2761FA54390}"/>
    <hyperlink ref="A61" r:id="rId31" display="https://www.actionnetwork.com/nfl/odds/new-york-giants" xr:uid="{3057C974-F77C-4CFD-AF9F-A3B478063AB2}"/>
    <hyperlink ref="A63" r:id="rId32" display="https://www.actionnetwork.com/nfl/odds/cincinnati-bengals" xr:uid="{372825B8-1BF0-4831-8DF3-6646495234D9}"/>
    <hyperlink ref="A65" r:id="rId33" display="https://www.actionnetwork.com/nfl/odds/cincinnati-bengals" xr:uid="{70345FB7-5D18-4E10-8D17-7016F4994E63}"/>
    <hyperlink ref="A67" r:id="rId34" display="https://www.actionnetwork.com/nfl/odds/dallas-cowboys" xr:uid="{5AC3C249-8A91-42D3-8319-D421A6071A52}"/>
    <hyperlink ref="A69" r:id="rId35" display="https://www.actionnetwork.com/nfl/odds/dallas-cowboys" xr:uid="{D382ADB0-5699-41C0-B05A-68240CDBCB89}"/>
    <hyperlink ref="A71" r:id="rId36" display="https://www.actionnetwork.com/nfl/odds/minnesota-vikings" xr:uid="{61B8ABF0-2EF9-45AA-A6B2-30A2073C94B5}"/>
    <hyperlink ref="A73" r:id="rId37" display="https://www.actionnetwork.com/nfl/odds/minnesota-vikings" xr:uid="{6832857A-0A81-4B3B-B4BC-11E62EBCE1DD}"/>
    <hyperlink ref="A75" r:id="rId38" display="https://www.actionnetwork.com/nfl/odds/miami-dolphins" xr:uid="{6F732A11-6CAD-4D0B-889C-209679137AB0}"/>
    <hyperlink ref="A77" r:id="rId39" display="https://www.actionnetwork.com/nfl/odds/miami-dolphins" xr:uid="{BAB14D5A-A756-463F-AAD3-34FA71CC6464}"/>
    <hyperlink ref="A79" r:id="rId40" display="https://www.actionnetwork.com/nfl/odds/chicago-bears" xr:uid="{5D13DD1F-9AF6-4060-BAF9-B0C3571DC255}"/>
    <hyperlink ref="A81" r:id="rId41" display="https://www.actionnetwork.com/nfl/odds/chicago-bears" xr:uid="{8CDF4D62-EE89-49A2-906D-D9E0D0FAB0E2}"/>
    <hyperlink ref="A83" r:id="rId42" display="https://www.actionnetwork.com/nfl/odds/los-angeles-chargers" xr:uid="{4D8D9705-937B-44C8-A82C-FB08D8CBFA81}"/>
    <hyperlink ref="A85" r:id="rId43" display="https://www.actionnetwork.com/nfl/odds/los-angeles-chargers" xr:uid="{90260F96-FC6B-4E77-B13A-C6CFF149DC26}"/>
    <hyperlink ref="A87" r:id="rId44" display="https://www.actionnetwork.com/nfl/odds/new-orleans-saints" xr:uid="{03F4E705-5F82-4B41-A6FA-4F355403177E}"/>
    <hyperlink ref="A89" r:id="rId45" display="https://www.actionnetwork.com/nfl/odds/new-orleans-saints" xr:uid="{90903C17-3D53-4106-BA56-EA15634F7BCD}"/>
    <hyperlink ref="A91" r:id="rId46" display="https://www.actionnetwork.com/nfl/odds/pittsburgh-steelers" xr:uid="{6B4D1D1F-E037-416E-ADD8-2AA7EB27FEF4}"/>
    <hyperlink ref="A93" r:id="rId47" display="https://www.actionnetwork.com/nfl/odds/pittsburgh-steelers" xr:uid="{D90A823C-C06E-4E60-A2EF-8EF75F26ED1F}"/>
    <hyperlink ref="A95" r:id="rId48" display="https://www.actionnetwork.com/nfl/odds/baltimore-ravens" xr:uid="{0BE9E638-9046-4C74-B245-71EDA42A0E4B}"/>
    <hyperlink ref="A97" r:id="rId49" display="https://www.actionnetwork.com/nfl/odds/baltimore-ravens" xr:uid="{086C60D8-40EF-4917-AF3B-CB8F20F2F14B}"/>
    <hyperlink ref="A99" r:id="rId50" display="https://www.actionnetwork.com/nfl/odds/atlanta-falcons" xr:uid="{5579E865-AFF0-4ADD-B45E-479C8AFB33A7}"/>
    <hyperlink ref="A101" r:id="rId51" display="https://www.actionnetwork.com/nfl/odds/atlanta-falcons" xr:uid="{042FD067-F10F-4728-B69E-936C4DD56BB0}"/>
    <hyperlink ref="A103" r:id="rId52" display="https://www.actionnetwork.com/nfl/odds/las-vegas-raiders" xr:uid="{8C78129F-AED0-4CC7-A263-6957DCAE22CE}"/>
    <hyperlink ref="A105" r:id="rId53" display="https://www.actionnetwork.com/nfl/odds/las-vegas-raiders" xr:uid="{5C0DE8D8-9F20-46A0-ABC6-26855D2D1F94}"/>
    <hyperlink ref="A107" r:id="rId54" display="https://www.actionnetwork.com/nfl/odds/cleveland-browns" xr:uid="{E0975B9A-C45E-42B7-A71B-566D64AE2ABB}"/>
    <hyperlink ref="A109" r:id="rId55" display="https://www.actionnetwork.com/nfl/odds/cleveland-browns" xr:uid="{057B1FA1-9AAA-43DD-A734-169F8447A58C}"/>
    <hyperlink ref="A111" r:id="rId56" display="https://www.actionnetwork.com/nfl/odds/detroit-lions" xr:uid="{93C77E31-F121-4B79-87B7-99032DB39E73}"/>
    <hyperlink ref="A113" r:id="rId57" display="https://www.actionnetwork.com/nfl/odds/detroit-lions" xr:uid="{306934CB-CEA7-4974-B368-61F551D2FF14}"/>
    <hyperlink ref="A115" r:id="rId58" display="https://www.actionnetwork.com/nfl/odds/green-bay-packers" xr:uid="{EB7476FE-092B-40A6-8D95-C43B47025DC0}"/>
    <hyperlink ref="A117" r:id="rId59" display="https://www.actionnetwork.com/nfl/odds/green-bay-packers" xr:uid="{809E8BD3-0136-486B-B360-CB327A56FC86}"/>
    <hyperlink ref="A119" r:id="rId60" display="https://www.actionnetwork.com/nfl/odds/los-angeles-rams" xr:uid="{A7E2C920-C287-4C8D-8FE1-FD32E7298279}"/>
    <hyperlink ref="A121" r:id="rId61" display="https://www.actionnetwork.com/nfl/odds/los-angeles-rams" xr:uid="{F379B872-A0AF-4E40-B8ED-059021855FF4}"/>
    <hyperlink ref="A123" r:id="rId62" display="https://www.actionnetwork.com/nfl/odds/philadelphia-eagles" xr:uid="{EA132FDA-47E1-4000-8401-31421E7F4557}"/>
    <hyperlink ref="A125" r:id="rId63" display="https://www.actionnetwork.com/nfl/odds/philadelphia-eagles" xr:uid="{AA7C2CD5-AEE4-4EC2-9F0A-597135691812}"/>
    <hyperlink ref="A127" r:id="rId64" display="https://www.actionnetwork.com/nfl/odds/denver-broncos" xr:uid="{B15766D8-001E-4FA1-BE0F-3FDC010888B1}"/>
    <hyperlink ref="A129" r:id="rId65" display="https://www.actionnetwork.com/nfl/odds/denver-broncos" xr:uid="{44B32C2D-F7A7-40FC-96E6-839F081A76A8}"/>
  </hyperlinks>
  <pageMargins left="0.7" right="0.7" top="0.75" bottom="0.75" header="0.3" footer="0.3"/>
  <pageSetup orientation="portrait" r:id="rId66"/>
  <drawing r:id="rId6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7C48-D60E-4C4B-84FF-E87C22D78274}">
  <dimension ref="A1:AB33"/>
  <sheetViews>
    <sheetView tabSelected="1" topLeftCell="E1" zoomScaleNormal="100" workbookViewId="0">
      <selection activeCell="X7" sqref="X7"/>
    </sheetView>
  </sheetViews>
  <sheetFormatPr defaultRowHeight="15" x14ac:dyDescent="0.25"/>
  <cols>
    <col min="1" max="1" width="13.5703125" style="9" bestFit="1" customWidth="1"/>
    <col min="2" max="2" width="14.85546875" style="9" bestFit="1" customWidth="1"/>
    <col min="3" max="3" width="13" style="9" bestFit="1" customWidth="1"/>
    <col min="4" max="4" width="14.42578125" style="9" bestFit="1" customWidth="1"/>
    <col min="5" max="5" width="17.85546875" style="9" bestFit="1" customWidth="1"/>
    <col min="6" max="6" width="17.140625" style="9" bestFit="1" customWidth="1"/>
    <col min="7" max="7" width="11" style="9" bestFit="1" customWidth="1"/>
    <col min="8" max="8" width="11.5703125" style="9" bestFit="1" customWidth="1"/>
    <col min="9" max="9" width="12.140625" style="9" bestFit="1" customWidth="1"/>
    <col min="10" max="10" width="12.7109375" style="9" bestFit="1" customWidth="1"/>
    <col min="11" max="11" width="11.42578125" style="9" bestFit="1" customWidth="1"/>
    <col min="12" max="12" width="12.42578125" style="9" bestFit="1" customWidth="1"/>
    <col min="13" max="13" width="12.42578125" style="9" customWidth="1"/>
    <col min="14" max="14" width="17.140625" style="9" bestFit="1" customWidth="1"/>
    <col min="15" max="15" width="11.42578125" style="9" bestFit="1" customWidth="1"/>
    <col min="16" max="16" width="13.5703125" style="9" bestFit="1" customWidth="1"/>
    <col min="17" max="17" width="12.7109375" style="9" bestFit="1" customWidth="1"/>
    <col min="18" max="18" width="14.85546875" style="9" bestFit="1" customWidth="1"/>
    <col min="19" max="19" width="2.85546875" style="9" customWidth="1"/>
    <col min="20" max="20" width="3.7109375" style="9" customWidth="1"/>
    <col min="21" max="21" width="11.42578125" style="9" bestFit="1" customWidth="1"/>
    <col min="22" max="22" width="7.85546875" style="9" bestFit="1" customWidth="1"/>
    <col min="23" max="23" width="10.7109375" style="9" bestFit="1" customWidth="1"/>
    <col min="24" max="24" width="8.28515625" style="9" bestFit="1" customWidth="1"/>
    <col min="25" max="25" width="7" style="9" bestFit="1" customWidth="1"/>
    <col min="26" max="26" width="6" style="9" bestFit="1" customWidth="1"/>
    <col min="27" max="28" width="5.85546875" style="9" bestFit="1" customWidth="1"/>
    <col min="29" max="16384" width="9.140625" style="9"/>
  </cols>
  <sheetData>
    <row r="1" spans="1:28" ht="15.75" thickBot="1" x14ac:dyDescent="0.3">
      <c r="A1" s="238" t="s">
        <v>333</v>
      </c>
      <c r="B1" s="239" t="s">
        <v>334</v>
      </c>
      <c r="C1" s="239" t="s">
        <v>335</v>
      </c>
      <c r="D1" s="239" t="s">
        <v>336</v>
      </c>
      <c r="E1" s="239" t="s">
        <v>337</v>
      </c>
      <c r="F1" s="239" t="s">
        <v>338</v>
      </c>
      <c r="G1" s="239" t="s">
        <v>339</v>
      </c>
      <c r="H1" s="239" t="s">
        <v>340</v>
      </c>
      <c r="I1" s="239" t="s">
        <v>341</v>
      </c>
      <c r="J1" s="239" t="s">
        <v>342</v>
      </c>
      <c r="K1" s="239" t="s">
        <v>343</v>
      </c>
      <c r="L1" s="239" t="s">
        <v>344</v>
      </c>
      <c r="M1" s="239" t="s">
        <v>345</v>
      </c>
      <c r="N1" s="239" t="s">
        <v>346</v>
      </c>
      <c r="O1" s="239" t="s">
        <v>347</v>
      </c>
      <c r="P1" s="239" t="s">
        <v>333</v>
      </c>
      <c r="Q1" s="239" t="s">
        <v>348</v>
      </c>
      <c r="R1" s="240" t="s">
        <v>349</v>
      </c>
      <c r="U1" s="283" t="s">
        <v>350</v>
      </c>
      <c r="V1" s="283"/>
      <c r="W1" s="283" t="s">
        <v>351</v>
      </c>
      <c r="X1" s="283"/>
    </row>
    <row r="2" spans="1:28" x14ac:dyDescent="0.25">
      <c r="A2" s="261" t="s">
        <v>48</v>
      </c>
      <c r="B2" s="274" t="s">
        <v>352</v>
      </c>
      <c r="C2" s="262">
        <v>11.5</v>
      </c>
      <c r="D2" s="133">
        <v>10.9</v>
      </c>
      <c r="E2" s="133">
        <v>0</v>
      </c>
      <c r="F2" s="133">
        <f t="shared" ref="F2:F33" si="0">IFERROR(AVERAGE(D2,C2)+E2,"")</f>
        <v>11.2</v>
      </c>
      <c r="G2" s="133">
        <f t="shared" ref="G2:G33" si="1">F2</f>
        <v>11.2</v>
      </c>
      <c r="H2" s="133">
        <f t="shared" ref="H2:H33" si="2">G2-MIN($G$2:$G$33)</f>
        <v>6.7499999999999991</v>
      </c>
      <c r="I2" s="133" t="str">
        <f t="shared" ref="I2:I33" si="3">IF(N2&lt;&gt;"","-",G2)</f>
        <v>-</v>
      </c>
      <c r="J2" s="133" t="str">
        <f t="shared" ref="J2:J33" si="4">IF(N2&lt;&gt;"","-",G2-MIN($I$2:$I$33))</f>
        <v>-</v>
      </c>
      <c r="K2" s="263">
        <f t="shared" ref="K2:K33" si="5">IFERROR(H2*$V$7,"")</f>
        <v>21.310181531176003</v>
      </c>
      <c r="L2" s="263" t="str">
        <f t="shared" ref="L2:L33" si="6">IFERROR(IF(N2&lt;&gt;"","-",J2*$X$7),"")</f>
        <v>-</v>
      </c>
      <c r="M2" s="132">
        <v>1</v>
      </c>
      <c r="N2" s="132" t="s">
        <v>376</v>
      </c>
      <c r="O2" s="263">
        <v>22</v>
      </c>
      <c r="P2" s="262" t="s">
        <v>48</v>
      </c>
      <c r="Q2" s="263">
        <f t="shared" ref="Q2:Q33" si="7">IF(N2&lt;&gt;"",K2-O2,"")</f>
        <v>-0.68981846882399722</v>
      </c>
      <c r="R2" s="264">
        <f t="shared" ref="R2:R33" si="8">IFERROR(IF(N2&lt;&gt;"",O2/K2-1,""),"")</f>
        <v>3.2370370370370605E-2</v>
      </c>
      <c r="T2" s="12"/>
      <c r="U2" s="10" t="s">
        <v>353</v>
      </c>
      <c r="V2" s="11">
        <v>50</v>
      </c>
      <c r="W2" s="10" t="s">
        <v>354</v>
      </c>
      <c r="X2" s="11">
        <f>AVERAGE($Z$14:$Z$21)</f>
        <v>0.375</v>
      </c>
    </row>
    <row r="3" spans="1:28" ht="15.75" thickBot="1" x14ac:dyDescent="0.3">
      <c r="A3" s="265" t="s">
        <v>9</v>
      </c>
      <c r="B3" s="278" t="s">
        <v>355</v>
      </c>
      <c r="C3" s="266">
        <v>10.5</v>
      </c>
      <c r="D3" s="47">
        <v>10.8</v>
      </c>
      <c r="E3" s="47">
        <v>0.5</v>
      </c>
      <c r="F3" s="47">
        <f t="shared" si="0"/>
        <v>11.15</v>
      </c>
      <c r="G3" s="47">
        <f t="shared" si="1"/>
        <v>11.15</v>
      </c>
      <c r="H3" s="47">
        <f t="shared" si="2"/>
        <v>6.7</v>
      </c>
      <c r="I3" s="47" t="str">
        <f t="shared" si="3"/>
        <v>-</v>
      </c>
      <c r="J3" s="47" t="str">
        <f t="shared" si="4"/>
        <v>-</v>
      </c>
      <c r="K3" s="267">
        <f t="shared" si="5"/>
        <v>21.152328334648775</v>
      </c>
      <c r="L3" s="267" t="str">
        <f t="shared" si="6"/>
        <v>-</v>
      </c>
      <c r="M3" s="46">
        <v>1</v>
      </c>
      <c r="N3" s="46" t="s">
        <v>380</v>
      </c>
      <c r="O3" s="267">
        <v>19</v>
      </c>
      <c r="P3" s="266" t="s">
        <v>9</v>
      </c>
      <c r="Q3" s="267">
        <f t="shared" si="7"/>
        <v>2.1523283346487752</v>
      </c>
      <c r="R3" s="268">
        <f t="shared" si="8"/>
        <v>-0.10175373134328347</v>
      </c>
      <c r="T3" s="12"/>
      <c r="U3" s="13" t="s">
        <v>356</v>
      </c>
      <c r="V3" s="14">
        <v>8</v>
      </c>
      <c r="W3" s="13" t="s">
        <v>356</v>
      </c>
      <c r="X3" s="23">
        <f>V3</f>
        <v>8</v>
      </c>
    </row>
    <row r="4" spans="1:28" x14ac:dyDescent="0.25">
      <c r="A4" s="251" t="s">
        <v>11</v>
      </c>
      <c r="B4" s="279" t="s">
        <v>357</v>
      </c>
      <c r="C4" s="252">
        <v>10.5</v>
      </c>
      <c r="D4" s="253">
        <v>10.199999999999999</v>
      </c>
      <c r="E4" s="253">
        <v>0.5</v>
      </c>
      <c r="F4" s="253">
        <f t="shared" si="0"/>
        <v>10.85</v>
      </c>
      <c r="G4" s="254">
        <f t="shared" si="1"/>
        <v>10.85</v>
      </c>
      <c r="H4" s="254">
        <f t="shared" si="2"/>
        <v>6.3999999999999995</v>
      </c>
      <c r="I4" s="254" t="str">
        <f t="shared" si="3"/>
        <v>-</v>
      </c>
      <c r="J4" s="254" t="str">
        <f t="shared" si="4"/>
        <v>-</v>
      </c>
      <c r="K4" s="255">
        <f t="shared" si="5"/>
        <v>20.205209155485395</v>
      </c>
      <c r="L4" s="255" t="str">
        <f t="shared" si="6"/>
        <v>-</v>
      </c>
      <c r="M4" s="256">
        <v>2</v>
      </c>
      <c r="N4" s="257" t="s">
        <v>384</v>
      </c>
      <c r="O4" s="258">
        <v>23</v>
      </c>
      <c r="P4" s="252" t="s">
        <v>11</v>
      </c>
      <c r="Q4" s="259">
        <f t="shared" si="7"/>
        <v>-2.7947908445146048</v>
      </c>
      <c r="R4" s="260">
        <f t="shared" si="8"/>
        <v>0.1383203125000001</v>
      </c>
      <c r="T4" s="12"/>
      <c r="U4" s="13" t="s">
        <v>358</v>
      </c>
      <c r="V4" s="14">
        <v>4</v>
      </c>
      <c r="W4" s="13" t="s">
        <v>358</v>
      </c>
      <c r="X4" s="19">
        <f>AVERAGE($X$14:$X$21)</f>
        <v>0</v>
      </c>
    </row>
    <row r="5" spans="1:28" ht="15.75" thickBot="1" x14ac:dyDescent="0.3">
      <c r="A5" s="220" t="s">
        <v>26</v>
      </c>
      <c r="B5" s="276" t="s">
        <v>359</v>
      </c>
      <c r="C5" s="221">
        <v>10.5</v>
      </c>
      <c r="D5" s="222">
        <v>10.7</v>
      </c>
      <c r="E5" s="222">
        <v>0</v>
      </c>
      <c r="F5" s="222">
        <f t="shared" si="0"/>
        <v>10.6</v>
      </c>
      <c r="G5" s="223">
        <f t="shared" si="1"/>
        <v>10.6</v>
      </c>
      <c r="H5" s="223">
        <f t="shared" si="2"/>
        <v>6.1499999999999995</v>
      </c>
      <c r="I5" s="223" t="str">
        <f t="shared" si="3"/>
        <v>-</v>
      </c>
      <c r="J5" s="223" t="str">
        <f t="shared" si="4"/>
        <v>-</v>
      </c>
      <c r="K5" s="218">
        <f t="shared" si="5"/>
        <v>19.415943172849246</v>
      </c>
      <c r="L5" s="218" t="str">
        <f t="shared" si="6"/>
        <v>-</v>
      </c>
      <c r="M5" s="236">
        <v>2</v>
      </c>
      <c r="N5" s="224" t="s">
        <v>382</v>
      </c>
      <c r="O5" s="225">
        <v>23</v>
      </c>
      <c r="P5" s="221" t="s">
        <v>26</v>
      </c>
      <c r="Q5" s="226">
        <f t="shared" si="7"/>
        <v>-3.5840568271507536</v>
      </c>
      <c r="R5" s="227">
        <f t="shared" si="8"/>
        <v>0.18459349593495955</v>
      </c>
      <c r="T5" s="12"/>
      <c r="U5" s="15" t="s">
        <v>360</v>
      </c>
      <c r="V5" s="16">
        <f>V3*V2</f>
        <v>400</v>
      </c>
      <c r="W5" s="15" t="s">
        <v>360</v>
      </c>
      <c r="X5" s="16">
        <f>SUM($Z$14:$Z$21)</f>
        <v>3</v>
      </c>
    </row>
    <row r="6" spans="1:28" ht="15.75" thickBot="1" x14ac:dyDescent="0.3">
      <c r="A6" s="228" t="s">
        <v>22</v>
      </c>
      <c r="B6" s="278" t="s">
        <v>355</v>
      </c>
      <c r="C6" s="229">
        <v>10.5</v>
      </c>
      <c r="D6" s="230">
        <v>11.6</v>
      </c>
      <c r="E6" s="230">
        <v>-0.5</v>
      </c>
      <c r="F6" s="230">
        <f t="shared" si="0"/>
        <v>10.55</v>
      </c>
      <c r="G6" s="231">
        <f t="shared" si="1"/>
        <v>10.55</v>
      </c>
      <c r="H6" s="231">
        <f t="shared" si="2"/>
        <v>6.1000000000000005</v>
      </c>
      <c r="I6" s="231" t="str">
        <f t="shared" si="3"/>
        <v>-</v>
      </c>
      <c r="J6" s="231" t="str">
        <f t="shared" si="4"/>
        <v>-</v>
      </c>
      <c r="K6" s="219">
        <f t="shared" si="5"/>
        <v>19.258089976322022</v>
      </c>
      <c r="L6" s="219" t="str">
        <f t="shared" si="6"/>
        <v>-</v>
      </c>
      <c r="M6" s="237">
        <v>2</v>
      </c>
      <c r="N6" s="232" t="s">
        <v>384</v>
      </c>
      <c r="O6" s="233">
        <v>24</v>
      </c>
      <c r="P6" s="229" t="s">
        <v>22</v>
      </c>
      <c r="Q6" s="234">
        <f t="shared" si="7"/>
        <v>-4.7419100236779776</v>
      </c>
      <c r="R6" s="235">
        <f t="shared" si="8"/>
        <v>0.24622950819672118</v>
      </c>
      <c r="T6" s="12"/>
      <c r="U6" s="10" t="s">
        <v>361</v>
      </c>
      <c r="V6" s="17">
        <f>MIN($G$2:$G$33)</f>
        <v>4.45</v>
      </c>
      <c r="W6" s="10" t="s">
        <v>361</v>
      </c>
      <c r="X6" s="17">
        <f>_xlfn.MINIFS($G$2:$G$33,$N$2:$N$33,"=""")</f>
        <v>0</v>
      </c>
    </row>
    <row r="7" spans="1:28" x14ac:dyDescent="0.25">
      <c r="A7" s="261" t="s">
        <v>66</v>
      </c>
      <c r="B7" s="279" t="s">
        <v>357</v>
      </c>
      <c r="C7" s="262">
        <v>9.5</v>
      </c>
      <c r="D7" s="133">
        <v>9.6</v>
      </c>
      <c r="E7" s="133">
        <v>0.5</v>
      </c>
      <c r="F7" s="133">
        <f t="shared" si="0"/>
        <v>10.050000000000001</v>
      </c>
      <c r="G7" s="133">
        <f t="shared" si="1"/>
        <v>10.050000000000001</v>
      </c>
      <c r="H7" s="133">
        <f t="shared" si="2"/>
        <v>5.6000000000000005</v>
      </c>
      <c r="I7" s="133" t="str">
        <f t="shared" si="3"/>
        <v>-</v>
      </c>
      <c r="J7" s="133" t="str">
        <f t="shared" si="4"/>
        <v>-</v>
      </c>
      <c r="K7" s="263">
        <f t="shared" si="5"/>
        <v>17.679558011049725</v>
      </c>
      <c r="L7" s="263" t="str">
        <f t="shared" si="6"/>
        <v>-</v>
      </c>
      <c r="M7" s="132">
        <v>3</v>
      </c>
      <c r="N7" s="132" t="s">
        <v>381</v>
      </c>
      <c r="O7" s="263">
        <v>13</v>
      </c>
      <c r="P7" s="262" t="s">
        <v>66</v>
      </c>
      <c r="Q7" s="263">
        <f t="shared" si="7"/>
        <v>4.6795580110497248</v>
      </c>
      <c r="R7" s="264">
        <f t="shared" si="8"/>
        <v>-0.26468750000000008</v>
      </c>
      <c r="T7" s="12"/>
      <c r="U7" s="13" t="s">
        <v>362</v>
      </c>
      <c r="V7" s="18">
        <f>V5/V8</f>
        <v>3.1570639305445933</v>
      </c>
      <c r="W7" s="13" t="s">
        <v>362</v>
      </c>
      <c r="X7" s="18" t="e">
        <f>X5/X8</f>
        <v>#DIV/0!</v>
      </c>
    </row>
    <row r="8" spans="1:28" x14ac:dyDescent="0.25">
      <c r="A8" s="269" t="s">
        <v>39</v>
      </c>
      <c r="B8" s="277" t="s">
        <v>363</v>
      </c>
      <c r="C8" s="270">
        <v>10.5</v>
      </c>
      <c r="D8" s="42">
        <v>10.4</v>
      </c>
      <c r="E8" s="42">
        <v>-0.5</v>
      </c>
      <c r="F8" s="42">
        <f t="shared" si="0"/>
        <v>9.9499999999999993</v>
      </c>
      <c r="G8" s="42">
        <f t="shared" si="1"/>
        <v>9.9499999999999993</v>
      </c>
      <c r="H8" s="42">
        <f t="shared" si="2"/>
        <v>5.4999999999999991</v>
      </c>
      <c r="I8" s="42" t="str">
        <f t="shared" si="3"/>
        <v>-</v>
      </c>
      <c r="J8" s="42" t="str">
        <f t="shared" si="4"/>
        <v>-</v>
      </c>
      <c r="K8" s="271">
        <f t="shared" si="5"/>
        <v>17.363851617995259</v>
      </c>
      <c r="L8" s="271" t="str">
        <f t="shared" si="6"/>
        <v>-</v>
      </c>
      <c r="M8" s="41">
        <v>3</v>
      </c>
      <c r="N8" s="41" t="s">
        <v>422</v>
      </c>
      <c r="O8" s="271">
        <v>19</v>
      </c>
      <c r="P8" s="270" t="s">
        <v>39</v>
      </c>
      <c r="Q8" s="271">
        <f t="shared" si="7"/>
        <v>-1.6361483820047411</v>
      </c>
      <c r="R8" s="272">
        <f t="shared" si="8"/>
        <v>9.4227272727273048E-2</v>
      </c>
      <c r="T8" s="12"/>
      <c r="U8" s="13" t="s">
        <v>364</v>
      </c>
      <c r="V8" s="19">
        <f>SUM($H$2:$H$33)</f>
        <v>126.7</v>
      </c>
      <c r="W8" s="13" t="s">
        <v>364</v>
      </c>
      <c r="X8" s="19">
        <f>SUM($J$2:$J$33)</f>
        <v>0</v>
      </c>
    </row>
    <row r="9" spans="1:28" ht="15.75" thickBot="1" x14ac:dyDescent="0.3">
      <c r="A9" s="269" t="s">
        <v>7</v>
      </c>
      <c r="B9" s="277" t="s">
        <v>355</v>
      </c>
      <c r="C9" s="270">
        <v>10.5</v>
      </c>
      <c r="D9" s="42">
        <v>10.199999999999999</v>
      </c>
      <c r="E9" s="42">
        <v>-0.5</v>
      </c>
      <c r="F9" s="42">
        <f t="shared" si="0"/>
        <v>9.85</v>
      </c>
      <c r="G9" s="42">
        <f t="shared" si="1"/>
        <v>9.85</v>
      </c>
      <c r="H9" s="42">
        <f t="shared" si="2"/>
        <v>5.3999999999999995</v>
      </c>
      <c r="I9" s="42" t="str">
        <f t="shared" si="3"/>
        <v>-</v>
      </c>
      <c r="J9" s="42" t="str">
        <f t="shared" si="4"/>
        <v>-</v>
      </c>
      <c r="K9" s="271">
        <f t="shared" si="5"/>
        <v>17.048145224940804</v>
      </c>
      <c r="L9" s="271" t="str">
        <f t="shared" si="6"/>
        <v>-</v>
      </c>
      <c r="M9" s="41">
        <v>3</v>
      </c>
      <c r="N9" s="41" t="s">
        <v>380</v>
      </c>
      <c r="O9" s="271">
        <v>11</v>
      </c>
      <c r="P9" s="270" t="s">
        <v>7</v>
      </c>
      <c r="Q9" s="271">
        <f t="shared" si="7"/>
        <v>6.0481452249408036</v>
      </c>
      <c r="R9" s="272">
        <f t="shared" si="8"/>
        <v>-0.35476851851851843</v>
      </c>
      <c r="T9" s="12"/>
      <c r="U9" s="15" t="s">
        <v>365</v>
      </c>
      <c r="V9" s="20">
        <f>SUM($G$2:$G$33)</f>
        <v>269.09999999999997</v>
      </c>
      <c r="W9" s="15" t="s">
        <v>366</v>
      </c>
      <c r="X9" s="20">
        <f>SUM($I$2:$I$33)</f>
        <v>0</v>
      </c>
    </row>
    <row r="10" spans="1:28" ht="15.75" thickBot="1" x14ac:dyDescent="0.3">
      <c r="A10" s="269" t="s">
        <v>64</v>
      </c>
      <c r="B10" s="276" t="s">
        <v>367</v>
      </c>
      <c r="C10" s="270">
        <v>9.5</v>
      </c>
      <c r="D10" s="42">
        <v>9.1</v>
      </c>
      <c r="E10" s="42">
        <v>0.5</v>
      </c>
      <c r="F10" s="42">
        <f t="shared" si="0"/>
        <v>9.8000000000000007</v>
      </c>
      <c r="G10" s="42">
        <f t="shared" si="1"/>
        <v>9.8000000000000007</v>
      </c>
      <c r="H10" s="42">
        <f t="shared" si="2"/>
        <v>5.3500000000000005</v>
      </c>
      <c r="I10" s="42" t="str">
        <f t="shared" si="3"/>
        <v>-</v>
      </c>
      <c r="J10" s="42" t="str">
        <f t="shared" si="4"/>
        <v>-</v>
      </c>
      <c r="K10" s="271">
        <f t="shared" si="5"/>
        <v>16.890292028413576</v>
      </c>
      <c r="L10" s="271" t="str">
        <f t="shared" si="6"/>
        <v>-</v>
      </c>
      <c r="M10" s="41">
        <v>3</v>
      </c>
      <c r="N10" s="41" t="s">
        <v>377</v>
      </c>
      <c r="O10" s="271">
        <v>16</v>
      </c>
      <c r="P10" s="270" t="s">
        <v>64</v>
      </c>
      <c r="Q10" s="271">
        <f t="shared" si="7"/>
        <v>0.89029202841357602</v>
      </c>
      <c r="R10" s="272">
        <f t="shared" si="8"/>
        <v>-5.2710280373831853E-2</v>
      </c>
      <c r="T10" s="12"/>
    </row>
    <row r="11" spans="1:28" ht="15.75" thickBot="1" x14ac:dyDescent="0.3">
      <c r="A11" s="269" t="s">
        <v>32</v>
      </c>
      <c r="B11" s="276" t="s">
        <v>368</v>
      </c>
      <c r="C11" s="270">
        <v>9.5</v>
      </c>
      <c r="D11" s="42">
        <v>9.8000000000000007</v>
      </c>
      <c r="E11" s="42">
        <v>0</v>
      </c>
      <c r="F11" s="42">
        <f t="shared" si="0"/>
        <v>9.65</v>
      </c>
      <c r="G11" s="42">
        <f t="shared" si="1"/>
        <v>9.65</v>
      </c>
      <c r="H11" s="42">
        <f t="shared" si="2"/>
        <v>5.2</v>
      </c>
      <c r="I11" s="42" t="str">
        <f t="shared" si="3"/>
        <v>-</v>
      </c>
      <c r="J11" s="42" t="str">
        <f t="shared" si="4"/>
        <v>-</v>
      </c>
      <c r="K11" s="271">
        <f t="shared" si="5"/>
        <v>16.416732438831886</v>
      </c>
      <c r="L11" s="271" t="str">
        <f t="shared" si="6"/>
        <v>-</v>
      </c>
      <c r="M11" s="41">
        <v>3</v>
      </c>
      <c r="N11" s="41" t="s">
        <v>382</v>
      </c>
      <c r="O11" s="271">
        <v>17</v>
      </c>
      <c r="P11" s="270" t="s">
        <v>32</v>
      </c>
      <c r="Q11" s="271">
        <f t="shared" si="7"/>
        <v>-0.58326756116811396</v>
      </c>
      <c r="R11" s="272">
        <f t="shared" si="8"/>
        <v>3.5528846153846105E-2</v>
      </c>
      <c r="T11" s="12"/>
      <c r="U11" s="26" t="s">
        <v>369</v>
      </c>
      <c r="V11" s="27">
        <f>IFERROR(1+AVERAGE($R$2:$R$33),100%)</f>
        <v>1.177017354073413</v>
      </c>
    </row>
    <row r="12" spans="1:28" ht="15.75" thickBot="1" x14ac:dyDescent="0.3">
      <c r="A12" s="269" t="s">
        <v>35</v>
      </c>
      <c r="B12" s="277" t="s">
        <v>357</v>
      </c>
      <c r="C12" s="270">
        <v>10.5</v>
      </c>
      <c r="D12" s="42">
        <v>9.6999999999999993</v>
      </c>
      <c r="E12" s="42">
        <v>-0.5</v>
      </c>
      <c r="F12" s="42">
        <f t="shared" si="0"/>
        <v>9.6</v>
      </c>
      <c r="G12" s="42">
        <f t="shared" si="1"/>
        <v>9.6</v>
      </c>
      <c r="H12" s="42">
        <f t="shared" si="2"/>
        <v>5.1499999999999995</v>
      </c>
      <c r="I12" s="42" t="str">
        <f t="shared" si="3"/>
        <v>-</v>
      </c>
      <c r="J12" s="42" t="str">
        <f t="shared" si="4"/>
        <v>-</v>
      </c>
      <c r="K12" s="271">
        <f t="shared" si="5"/>
        <v>16.258879242304655</v>
      </c>
      <c r="L12" s="271" t="str">
        <f t="shared" si="6"/>
        <v>-</v>
      </c>
      <c r="M12" s="41">
        <v>3</v>
      </c>
      <c r="N12" s="41" t="s">
        <v>376</v>
      </c>
      <c r="O12" s="271">
        <v>11</v>
      </c>
      <c r="P12" s="270" t="s">
        <v>35</v>
      </c>
      <c r="Q12" s="271">
        <f t="shared" si="7"/>
        <v>5.2588792423046549</v>
      </c>
      <c r="R12" s="272">
        <f t="shared" si="8"/>
        <v>-0.32344660194174746</v>
      </c>
      <c r="T12" s="12"/>
    </row>
    <row r="13" spans="1:28" x14ac:dyDescent="0.25">
      <c r="A13" s="269" t="s">
        <v>17</v>
      </c>
      <c r="B13" s="276" t="s">
        <v>367</v>
      </c>
      <c r="C13" s="270">
        <v>10.5</v>
      </c>
      <c r="D13" s="42">
        <v>9.6</v>
      </c>
      <c r="E13" s="42">
        <v>-0.5</v>
      </c>
      <c r="F13" s="42">
        <f t="shared" si="0"/>
        <v>9.5500000000000007</v>
      </c>
      <c r="G13" s="42">
        <f t="shared" si="1"/>
        <v>9.5500000000000007</v>
      </c>
      <c r="H13" s="42">
        <f t="shared" si="2"/>
        <v>5.1000000000000005</v>
      </c>
      <c r="I13" s="42" t="str">
        <f t="shared" si="3"/>
        <v>-</v>
      </c>
      <c r="J13" s="42" t="str">
        <f t="shared" si="4"/>
        <v>-</v>
      </c>
      <c r="K13" s="271">
        <f t="shared" si="5"/>
        <v>16.101026045777427</v>
      </c>
      <c r="L13" s="271" t="str">
        <f t="shared" si="6"/>
        <v>-</v>
      </c>
      <c r="M13" s="41">
        <v>3</v>
      </c>
      <c r="N13" s="273" t="s">
        <v>422</v>
      </c>
      <c r="O13" s="271">
        <v>19</v>
      </c>
      <c r="P13" s="270" t="s">
        <v>17</v>
      </c>
      <c r="Q13" s="271">
        <f t="shared" si="7"/>
        <v>-2.8989739542225728</v>
      </c>
      <c r="R13" s="272">
        <f t="shared" si="8"/>
        <v>0.18004901960784303</v>
      </c>
      <c r="T13" s="12"/>
      <c r="U13" s="28" t="s">
        <v>370</v>
      </c>
      <c r="V13" s="29" t="s">
        <v>358</v>
      </c>
      <c r="W13" s="29" t="s">
        <v>371</v>
      </c>
      <c r="X13" s="29" t="s">
        <v>372</v>
      </c>
      <c r="Y13" s="29" t="s">
        <v>373</v>
      </c>
      <c r="Z13" s="29" t="s">
        <v>372</v>
      </c>
      <c r="AA13" s="29" t="s">
        <v>374</v>
      </c>
      <c r="AB13" s="30" t="s">
        <v>375</v>
      </c>
    </row>
    <row r="14" spans="1:28" x14ac:dyDescent="0.25">
      <c r="A14" s="269" t="s">
        <v>46</v>
      </c>
      <c r="B14" s="276" t="s">
        <v>359</v>
      </c>
      <c r="C14" s="270">
        <v>9.5</v>
      </c>
      <c r="D14" s="42">
        <v>10.3</v>
      </c>
      <c r="E14" s="42">
        <v>-0.5</v>
      </c>
      <c r="F14" s="42">
        <f t="shared" si="0"/>
        <v>9.4</v>
      </c>
      <c r="G14" s="42">
        <f t="shared" si="1"/>
        <v>9.4</v>
      </c>
      <c r="H14" s="42">
        <f t="shared" si="2"/>
        <v>4.95</v>
      </c>
      <c r="I14" s="42" t="str">
        <f t="shared" si="3"/>
        <v>-</v>
      </c>
      <c r="J14" s="42" t="str">
        <f t="shared" si="4"/>
        <v>-</v>
      </c>
      <c r="K14" s="271">
        <f t="shared" si="5"/>
        <v>15.627466456195737</v>
      </c>
      <c r="L14" s="271" t="str">
        <f t="shared" si="6"/>
        <v>-</v>
      </c>
      <c r="M14" s="41">
        <v>3</v>
      </c>
      <c r="N14" s="41" t="s">
        <v>378</v>
      </c>
      <c r="O14" s="271">
        <v>19</v>
      </c>
      <c r="P14" s="270" t="s">
        <v>46</v>
      </c>
      <c r="Q14" s="271">
        <f t="shared" si="7"/>
        <v>-3.3725335438042627</v>
      </c>
      <c r="R14" s="272">
        <f t="shared" si="8"/>
        <v>0.21580808080808089</v>
      </c>
      <c r="T14" s="12"/>
      <c r="U14" s="13" t="s">
        <v>376</v>
      </c>
      <c r="V14" s="21">
        <v>4</v>
      </c>
      <c r="W14" s="21">
        <f t="shared" ref="W14:W21" si="9">COUNTIFS($N$2:$N$33,$U14)</f>
        <v>4</v>
      </c>
      <c r="X14" s="21">
        <f>V14-W14</f>
        <v>0</v>
      </c>
      <c r="Y14" s="22">
        <f t="shared" ref="Y14:Y21" si="10">SUMIFS($O$2:$O$33,$N$2:$N$33,$U14)</f>
        <v>50</v>
      </c>
      <c r="Z14" s="22">
        <f t="shared" ref="Z14:Z21" si="11">$V$2-Y14</f>
        <v>0</v>
      </c>
      <c r="AA14" s="22">
        <f>IF(X14=0,0,Z14-(X14-1))</f>
        <v>0</v>
      </c>
      <c r="AB14" s="19">
        <f t="shared" ref="AB14:AB21" si="12">SUMIFS($G$2:$G$33,$N$2:$N$33,$U14)</f>
        <v>36.449999999999996</v>
      </c>
    </row>
    <row r="15" spans="1:28" ht="15.75" thickBot="1" x14ac:dyDescent="0.3">
      <c r="A15" s="265" t="s">
        <v>54</v>
      </c>
      <c r="B15" s="275" t="s">
        <v>352</v>
      </c>
      <c r="C15" s="266">
        <v>9.5</v>
      </c>
      <c r="D15" s="47">
        <v>10.3</v>
      </c>
      <c r="E15" s="47">
        <v>-0.5</v>
      </c>
      <c r="F15" s="47">
        <f t="shared" si="0"/>
        <v>9.4</v>
      </c>
      <c r="G15" s="47">
        <f t="shared" si="1"/>
        <v>9.4</v>
      </c>
      <c r="H15" s="47">
        <f t="shared" si="2"/>
        <v>4.95</v>
      </c>
      <c r="I15" s="47" t="str">
        <f t="shared" si="3"/>
        <v>-</v>
      </c>
      <c r="J15" s="47" t="str">
        <f t="shared" si="4"/>
        <v>-</v>
      </c>
      <c r="K15" s="267">
        <f t="shared" si="5"/>
        <v>15.627466456195737</v>
      </c>
      <c r="L15" s="267" t="str">
        <f t="shared" si="6"/>
        <v>-</v>
      </c>
      <c r="M15" s="46">
        <v>3</v>
      </c>
      <c r="N15" s="46" t="s">
        <v>377</v>
      </c>
      <c r="O15" s="267">
        <v>17</v>
      </c>
      <c r="P15" s="266" t="s">
        <v>54</v>
      </c>
      <c r="Q15" s="267">
        <f t="shared" si="7"/>
        <v>-1.3725335438042627</v>
      </c>
      <c r="R15" s="268">
        <f t="shared" si="8"/>
        <v>8.7828282828282811E-2</v>
      </c>
      <c r="T15" s="12"/>
      <c r="U15" s="13" t="s">
        <v>377</v>
      </c>
      <c r="V15" s="21">
        <v>4</v>
      </c>
      <c r="W15" s="21">
        <f t="shared" si="9"/>
        <v>4</v>
      </c>
      <c r="X15" s="21">
        <f t="shared" ref="X15:X21" si="13">V15-W15</f>
        <v>0</v>
      </c>
      <c r="Y15" s="22">
        <f t="shared" si="10"/>
        <v>50</v>
      </c>
      <c r="Z15" s="22">
        <f t="shared" si="11"/>
        <v>0</v>
      </c>
      <c r="AA15" s="22">
        <f t="shared" ref="AA15:AA21" si="14">IF(X15=0,0,Z15-(X15-1))</f>
        <v>0</v>
      </c>
      <c r="AB15" s="19">
        <f t="shared" si="12"/>
        <v>33.1</v>
      </c>
    </row>
    <row r="16" spans="1:28" x14ac:dyDescent="0.25">
      <c r="A16" s="251" t="s">
        <v>37</v>
      </c>
      <c r="B16" s="274" t="s">
        <v>368</v>
      </c>
      <c r="C16" s="252">
        <v>8.5</v>
      </c>
      <c r="D16" s="253">
        <v>9</v>
      </c>
      <c r="E16" s="253">
        <v>0.5</v>
      </c>
      <c r="F16" s="253">
        <f t="shared" si="0"/>
        <v>9.25</v>
      </c>
      <c r="G16" s="254">
        <f t="shared" si="1"/>
        <v>9.25</v>
      </c>
      <c r="H16" s="254">
        <f t="shared" si="2"/>
        <v>4.8</v>
      </c>
      <c r="I16" s="254" t="str">
        <f t="shared" si="3"/>
        <v>-</v>
      </c>
      <c r="J16" s="254" t="str">
        <f t="shared" si="4"/>
        <v>-</v>
      </c>
      <c r="K16" s="255">
        <f t="shared" si="5"/>
        <v>15.153906866614047</v>
      </c>
      <c r="L16" s="255" t="str">
        <f t="shared" si="6"/>
        <v>-</v>
      </c>
      <c r="M16" s="256">
        <v>4</v>
      </c>
      <c r="N16" s="257" t="s">
        <v>381</v>
      </c>
      <c r="O16" s="258">
        <v>14</v>
      </c>
      <c r="P16" s="252" t="s">
        <v>37</v>
      </c>
      <c r="Q16" s="259">
        <f t="shared" si="7"/>
        <v>1.1539068666140473</v>
      </c>
      <c r="R16" s="260">
        <f t="shared" si="8"/>
        <v>-7.6145833333333246E-2</v>
      </c>
      <c r="T16" s="12"/>
      <c r="U16" s="13" t="s">
        <v>378</v>
      </c>
      <c r="V16" s="21">
        <v>4</v>
      </c>
      <c r="W16" s="21">
        <f t="shared" si="9"/>
        <v>4</v>
      </c>
      <c r="X16" s="21">
        <f t="shared" si="13"/>
        <v>0</v>
      </c>
      <c r="Y16" s="22">
        <f t="shared" si="10"/>
        <v>50</v>
      </c>
      <c r="Z16" s="22">
        <f t="shared" si="11"/>
        <v>0</v>
      </c>
      <c r="AA16" s="22">
        <f t="shared" si="14"/>
        <v>0</v>
      </c>
      <c r="AB16" s="19">
        <f t="shared" si="12"/>
        <v>31.1</v>
      </c>
    </row>
    <row r="17" spans="1:28" x14ac:dyDescent="0.25">
      <c r="A17" s="220" t="s">
        <v>61</v>
      </c>
      <c r="B17" s="276" t="s">
        <v>367</v>
      </c>
      <c r="C17" s="221">
        <v>9.5</v>
      </c>
      <c r="D17" s="222">
        <v>9.4</v>
      </c>
      <c r="E17" s="222">
        <v>-0.5</v>
      </c>
      <c r="F17" s="222">
        <f t="shared" si="0"/>
        <v>8.9499999999999993</v>
      </c>
      <c r="G17" s="223">
        <f t="shared" si="1"/>
        <v>8.9499999999999993</v>
      </c>
      <c r="H17" s="223">
        <f t="shared" si="2"/>
        <v>4.4999999999999991</v>
      </c>
      <c r="I17" s="223" t="str">
        <f t="shared" si="3"/>
        <v>-</v>
      </c>
      <c r="J17" s="223" t="str">
        <f t="shared" si="4"/>
        <v>-</v>
      </c>
      <c r="K17" s="218">
        <f t="shared" si="5"/>
        <v>14.206787687450667</v>
      </c>
      <c r="L17" s="218" t="str">
        <f t="shared" si="6"/>
        <v>-</v>
      </c>
      <c r="M17" s="236">
        <v>4</v>
      </c>
      <c r="N17" s="224" t="s">
        <v>381</v>
      </c>
      <c r="O17" s="225">
        <v>11</v>
      </c>
      <c r="P17" s="221" t="s">
        <v>61</v>
      </c>
      <c r="Q17" s="226">
        <f t="shared" si="7"/>
        <v>3.2067876874506673</v>
      </c>
      <c r="R17" s="227">
        <f t="shared" si="8"/>
        <v>-0.22572222222222205</v>
      </c>
      <c r="T17" s="12"/>
      <c r="U17" s="13" t="s">
        <v>422</v>
      </c>
      <c r="V17" s="21">
        <v>4</v>
      </c>
      <c r="W17" s="21">
        <f t="shared" si="9"/>
        <v>4</v>
      </c>
      <c r="X17" s="21">
        <f t="shared" si="13"/>
        <v>0</v>
      </c>
      <c r="Y17" s="22">
        <f t="shared" si="10"/>
        <v>50</v>
      </c>
      <c r="Z17" s="22">
        <f t="shared" si="11"/>
        <v>0</v>
      </c>
      <c r="AA17" s="22">
        <f t="shared" si="14"/>
        <v>0</v>
      </c>
      <c r="AB17" s="19">
        <f t="shared" si="12"/>
        <v>33</v>
      </c>
    </row>
    <row r="18" spans="1:28" x14ac:dyDescent="0.25">
      <c r="A18" s="220" t="s">
        <v>15</v>
      </c>
      <c r="B18" s="277" t="s">
        <v>363</v>
      </c>
      <c r="C18" s="221">
        <v>9.5</v>
      </c>
      <c r="D18" s="222">
        <v>9.1999999999999993</v>
      </c>
      <c r="E18" s="222">
        <v>-0.5</v>
      </c>
      <c r="F18" s="222">
        <f t="shared" si="0"/>
        <v>8.85</v>
      </c>
      <c r="G18" s="223">
        <f t="shared" si="1"/>
        <v>8.85</v>
      </c>
      <c r="H18" s="223">
        <f t="shared" si="2"/>
        <v>4.3999999999999995</v>
      </c>
      <c r="I18" s="223" t="str">
        <f t="shared" si="3"/>
        <v>-</v>
      </c>
      <c r="J18" s="223" t="str">
        <f t="shared" si="4"/>
        <v>-</v>
      </c>
      <c r="K18" s="218">
        <f t="shared" si="5"/>
        <v>13.891081294396209</v>
      </c>
      <c r="L18" s="218" t="str">
        <f t="shared" si="6"/>
        <v>-</v>
      </c>
      <c r="M18" s="236">
        <v>4</v>
      </c>
      <c r="N18" s="224" t="s">
        <v>376</v>
      </c>
      <c r="O18" s="225">
        <v>7</v>
      </c>
      <c r="P18" s="221" t="s">
        <v>15</v>
      </c>
      <c r="Q18" s="226">
        <f t="shared" si="7"/>
        <v>6.8910812943962085</v>
      </c>
      <c r="R18" s="227">
        <f t="shared" si="8"/>
        <v>-0.49607954545454536</v>
      </c>
      <c r="T18" s="12"/>
      <c r="U18" s="13" t="s">
        <v>380</v>
      </c>
      <c r="V18" s="21">
        <v>4</v>
      </c>
      <c r="W18" s="21">
        <f t="shared" si="9"/>
        <v>4</v>
      </c>
      <c r="X18" s="21">
        <f t="shared" si="13"/>
        <v>0</v>
      </c>
      <c r="Y18" s="22">
        <f t="shared" si="10"/>
        <v>50</v>
      </c>
      <c r="Z18" s="22">
        <f t="shared" si="11"/>
        <v>0</v>
      </c>
      <c r="AA18" s="22">
        <f t="shared" si="14"/>
        <v>0</v>
      </c>
      <c r="AB18" s="19">
        <f t="shared" si="12"/>
        <v>35.15</v>
      </c>
    </row>
    <row r="19" spans="1:28" ht="15.75" thickBot="1" x14ac:dyDescent="0.3">
      <c r="A19" s="228" t="s">
        <v>59</v>
      </c>
      <c r="B19" s="278" t="s">
        <v>357</v>
      </c>
      <c r="C19" s="229">
        <v>8.5</v>
      </c>
      <c r="D19" s="230">
        <v>8.6999999999999993</v>
      </c>
      <c r="E19" s="230">
        <v>0</v>
      </c>
      <c r="F19" s="230">
        <f t="shared" si="0"/>
        <v>8.6</v>
      </c>
      <c r="G19" s="231">
        <f t="shared" si="1"/>
        <v>8.6</v>
      </c>
      <c r="H19" s="231">
        <f t="shared" si="2"/>
        <v>4.1499999999999995</v>
      </c>
      <c r="I19" s="231" t="str">
        <f t="shared" si="3"/>
        <v>-</v>
      </c>
      <c r="J19" s="231" t="str">
        <f t="shared" si="4"/>
        <v>-</v>
      </c>
      <c r="K19" s="219">
        <f t="shared" si="5"/>
        <v>13.101815311760062</v>
      </c>
      <c r="L19" s="219" t="str">
        <f t="shared" si="6"/>
        <v>-</v>
      </c>
      <c r="M19" s="237">
        <v>4</v>
      </c>
      <c r="N19" s="232" t="s">
        <v>380</v>
      </c>
      <c r="O19" s="233">
        <v>13</v>
      </c>
      <c r="P19" s="229" t="s">
        <v>59</v>
      </c>
      <c r="Q19" s="234">
        <f t="shared" si="7"/>
        <v>0.10181531176006153</v>
      </c>
      <c r="R19" s="235">
        <f t="shared" si="8"/>
        <v>-7.7710843373492988E-3</v>
      </c>
      <c r="T19" s="12"/>
      <c r="U19" s="13" t="s">
        <v>381</v>
      </c>
      <c r="V19" s="21">
        <v>4</v>
      </c>
      <c r="W19" s="21">
        <f t="shared" si="9"/>
        <v>4</v>
      </c>
      <c r="X19" s="21">
        <f t="shared" si="13"/>
        <v>0</v>
      </c>
      <c r="Y19" s="22">
        <f t="shared" si="10"/>
        <v>50</v>
      </c>
      <c r="Z19" s="22">
        <f t="shared" si="11"/>
        <v>0</v>
      </c>
      <c r="AA19" s="22">
        <f t="shared" si="14"/>
        <v>0</v>
      </c>
      <c r="AB19" s="19">
        <f t="shared" si="12"/>
        <v>35.9</v>
      </c>
    </row>
    <row r="20" spans="1:28" x14ac:dyDescent="0.25">
      <c r="A20" s="261" t="s">
        <v>74</v>
      </c>
      <c r="B20" s="274" t="s">
        <v>352</v>
      </c>
      <c r="C20" s="262">
        <v>8.5</v>
      </c>
      <c r="D20" s="133">
        <v>8.4</v>
      </c>
      <c r="E20" s="133">
        <v>-0.5</v>
      </c>
      <c r="F20" s="133">
        <f t="shared" si="0"/>
        <v>7.9499999999999993</v>
      </c>
      <c r="G20" s="133">
        <f t="shared" si="1"/>
        <v>7.9499999999999993</v>
      </c>
      <c r="H20" s="133">
        <f t="shared" si="2"/>
        <v>3.4999999999999991</v>
      </c>
      <c r="I20" s="133" t="str">
        <f t="shared" si="3"/>
        <v>-</v>
      </c>
      <c r="J20" s="133" t="str">
        <f t="shared" si="4"/>
        <v>-</v>
      </c>
      <c r="K20" s="263">
        <f t="shared" si="5"/>
        <v>11.049723756906074</v>
      </c>
      <c r="L20" s="263" t="str">
        <f t="shared" si="6"/>
        <v>-</v>
      </c>
      <c r="M20" s="132">
        <v>5</v>
      </c>
      <c r="N20" s="132" t="s">
        <v>382</v>
      </c>
      <c r="O20" s="263">
        <v>5</v>
      </c>
      <c r="P20" s="262" t="s">
        <v>74</v>
      </c>
      <c r="Q20" s="263">
        <f t="shared" si="7"/>
        <v>6.049723756906074</v>
      </c>
      <c r="R20" s="264">
        <f t="shared" si="8"/>
        <v>-0.54749999999999988</v>
      </c>
      <c r="T20" s="12"/>
      <c r="U20" s="13" t="s">
        <v>382</v>
      </c>
      <c r="V20" s="21">
        <v>4</v>
      </c>
      <c r="W20" s="21">
        <f t="shared" si="9"/>
        <v>4</v>
      </c>
      <c r="X20" s="21">
        <f t="shared" si="13"/>
        <v>0</v>
      </c>
      <c r="Y20" s="22">
        <f t="shared" si="10"/>
        <v>48</v>
      </c>
      <c r="Z20" s="22">
        <f t="shared" si="11"/>
        <v>2</v>
      </c>
      <c r="AA20" s="22">
        <f t="shared" si="14"/>
        <v>0</v>
      </c>
      <c r="AB20" s="19">
        <f t="shared" si="12"/>
        <v>34.049999999999997</v>
      </c>
    </row>
    <row r="21" spans="1:28" ht="15.75" thickBot="1" x14ac:dyDescent="0.3">
      <c r="A21" s="269" t="s">
        <v>1</v>
      </c>
      <c r="B21" s="277" t="s">
        <v>383</v>
      </c>
      <c r="C21" s="270">
        <v>8.5</v>
      </c>
      <c r="D21" s="42">
        <v>8</v>
      </c>
      <c r="E21" s="42">
        <v>-0.5</v>
      </c>
      <c r="F21" s="42">
        <f t="shared" si="0"/>
        <v>7.75</v>
      </c>
      <c r="G21" s="42">
        <f t="shared" si="1"/>
        <v>7.75</v>
      </c>
      <c r="H21" s="42">
        <f t="shared" si="2"/>
        <v>3.3</v>
      </c>
      <c r="I21" s="42" t="str">
        <f t="shared" si="3"/>
        <v>-</v>
      </c>
      <c r="J21" s="42" t="str">
        <f t="shared" si="4"/>
        <v>-</v>
      </c>
      <c r="K21" s="271">
        <f t="shared" si="5"/>
        <v>10.418310970797158</v>
      </c>
      <c r="L21" s="271" t="str">
        <f t="shared" si="6"/>
        <v>-</v>
      </c>
      <c r="M21" s="41">
        <v>5</v>
      </c>
      <c r="N21" s="41" t="s">
        <v>377</v>
      </c>
      <c r="O21" s="271">
        <v>11</v>
      </c>
      <c r="P21" s="270" t="s">
        <v>1</v>
      </c>
      <c r="Q21" s="271">
        <f t="shared" si="7"/>
        <v>-0.58168902920284182</v>
      </c>
      <c r="R21" s="272">
        <f t="shared" si="8"/>
        <v>5.5833333333333401E-2</v>
      </c>
      <c r="T21" s="12"/>
      <c r="U21" s="15" t="s">
        <v>384</v>
      </c>
      <c r="V21" s="24">
        <v>4</v>
      </c>
      <c r="W21" s="24">
        <f t="shared" si="9"/>
        <v>4</v>
      </c>
      <c r="X21" s="24">
        <f t="shared" si="13"/>
        <v>0</v>
      </c>
      <c r="Y21" s="25">
        <f t="shared" si="10"/>
        <v>49</v>
      </c>
      <c r="Z21" s="25">
        <f t="shared" si="11"/>
        <v>1</v>
      </c>
      <c r="AA21" s="25">
        <f t="shared" si="14"/>
        <v>0</v>
      </c>
      <c r="AB21" s="20">
        <f t="shared" si="12"/>
        <v>30.349999999999998</v>
      </c>
    </row>
    <row r="22" spans="1:28" x14ac:dyDescent="0.25">
      <c r="A22" s="269" t="s">
        <v>52</v>
      </c>
      <c r="B22" s="277" t="s">
        <v>383</v>
      </c>
      <c r="C22" s="270">
        <v>7.5</v>
      </c>
      <c r="D22" s="42">
        <v>7.8</v>
      </c>
      <c r="E22" s="42">
        <v>0</v>
      </c>
      <c r="F22" s="42">
        <f t="shared" si="0"/>
        <v>7.65</v>
      </c>
      <c r="G22" s="42">
        <f t="shared" si="1"/>
        <v>7.65</v>
      </c>
      <c r="H22" s="42">
        <f t="shared" si="2"/>
        <v>3.2</v>
      </c>
      <c r="I22" s="42" t="str">
        <f t="shared" si="3"/>
        <v>-</v>
      </c>
      <c r="J22" s="42" t="str">
        <f t="shared" si="4"/>
        <v>-</v>
      </c>
      <c r="K22" s="271">
        <f t="shared" si="5"/>
        <v>10.102604577742699</v>
      </c>
      <c r="L22" s="271" t="str">
        <f t="shared" si="6"/>
        <v>-</v>
      </c>
      <c r="M22" s="41">
        <v>5</v>
      </c>
      <c r="N22" s="41" t="s">
        <v>381</v>
      </c>
      <c r="O22" s="271">
        <v>12</v>
      </c>
      <c r="P22" s="270" t="s">
        <v>52</v>
      </c>
      <c r="Q22" s="271">
        <f t="shared" si="7"/>
        <v>-1.8973954222573006</v>
      </c>
      <c r="R22" s="272">
        <f t="shared" si="8"/>
        <v>0.18781249999999994</v>
      </c>
      <c r="T22" s="12"/>
    </row>
    <row r="23" spans="1:28" ht="15.75" thickBot="1" x14ac:dyDescent="0.3">
      <c r="A23" s="265" t="s">
        <v>13</v>
      </c>
      <c r="B23" s="278" t="s">
        <v>383</v>
      </c>
      <c r="C23" s="266">
        <v>7.5</v>
      </c>
      <c r="D23" s="47">
        <v>6.7</v>
      </c>
      <c r="E23" s="47">
        <v>0.5</v>
      </c>
      <c r="F23" s="47">
        <f t="shared" si="0"/>
        <v>7.6</v>
      </c>
      <c r="G23" s="47">
        <f t="shared" si="1"/>
        <v>7.6</v>
      </c>
      <c r="H23" s="47">
        <f t="shared" si="2"/>
        <v>3.1499999999999995</v>
      </c>
      <c r="I23" s="47" t="str">
        <f t="shared" si="3"/>
        <v>-</v>
      </c>
      <c r="J23" s="47" t="str">
        <f t="shared" si="4"/>
        <v>-</v>
      </c>
      <c r="K23" s="267">
        <f t="shared" si="5"/>
        <v>9.9447513812154682</v>
      </c>
      <c r="L23" s="267" t="str">
        <f t="shared" si="6"/>
        <v>-</v>
      </c>
      <c r="M23" s="46">
        <v>5</v>
      </c>
      <c r="N23" s="46" t="s">
        <v>422</v>
      </c>
      <c r="O23" s="267">
        <v>10</v>
      </c>
      <c r="P23" s="266" t="s">
        <v>13</v>
      </c>
      <c r="Q23" s="267">
        <f t="shared" si="7"/>
        <v>-5.52486187845318E-2</v>
      </c>
      <c r="R23" s="268">
        <f t="shared" si="8"/>
        <v>5.5555555555557579E-3</v>
      </c>
      <c r="T23" s="12"/>
    </row>
    <row r="24" spans="1:28" x14ac:dyDescent="0.25">
      <c r="A24" s="251" t="s">
        <v>43</v>
      </c>
      <c r="B24" s="274" t="s">
        <v>368</v>
      </c>
      <c r="C24" s="252">
        <v>7.5</v>
      </c>
      <c r="D24" s="253">
        <v>8.1999999999999993</v>
      </c>
      <c r="E24" s="253">
        <v>-0.5</v>
      </c>
      <c r="F24" s="253">
        <f t="shared" si="0"/>
        <v>7.35</v>
      </c>
      <c r="G24" s="254">
        <f t="shared" si="1"/>
        <v>7.35</v>
      </c>
      <c r="H24" s="254">
        <f t="shared" si="2"/>
        <v>2.8999999999999995</v>
      </c>
      <c r="I24" s="254" t="str">
        <f t="shared" si="3"/>
        <v>-</v>
      </c>
      <c r="J24" s="254" t="str">
        <f t="shared" si="4"/>
        <v>-</v>
      </c>
      <c r="K24" s="255">
        <f t="shared" si="5"/>
        <v>9.1554853985793194</v>
      </c>
      <c r="L24" s="255" t="str">
        <f t="shared" si="6"/>
        <v>-</v>
      </c>
      <c r="M24" s="256">
        <v>6</v>
      </c>
      <c r="N24" s="257" t="s">
        <v>378</v>
      </c>
      <c r="O24" s="258">
        <v>11</v>
      </c>
      <c r="P24" s="252" t="s">
        <v>43</v>
      </c>
      <c r="Q24" s="259">
        <f t="shared" si="7"/>
        <v>-1.8445146014206806</v>
      </c>
      <c r="R24" s="260">
        <f t="shared" si="8"/>
        <v>0.20146551724137951</v>
      </c>
      <c r="T24" s="12"/>
    </row>
    <row r="25" spans="1:28" x14ac:dyDescent="0.25">
      <c r="A25" s="220" t="s">
        <v>50</v>
      </c>
      <c r="B25" s="277" t="s">
        <v>363</v>
      </c>
      <c r="C25" s="221">
        <v>7.5</v>
      </c>
      <c r="D25" s="222">
        <v>7.1</v>
      </c>
      <c r="E25" s="222">
        <v>0</v>
      </c>
      <c r="F25" s="222">
        <f t="shared" si="0"/>
        <v>7.3</v>
      </c>
      <c r="G25" s="223">
        <f t="shared" si="1"/>
        <v>7.3</v>
      </c>
      <c r="H25" s="223">
        <f t="shared" si="2"/>
        <v>2.8499999999999996</v>
      </c>
      <c r="I25" s="223" t="str">
        <f t="shared" si="3"/>
        <v>-</v>
      </c>
      <c r="J25" s="223" t="str">
        <f t="shared" si="4"/>
        <v>-</v>
      </c>
      <c r="K25" s="218">
        <f t="shared" si="5"/>
        <v>8.99763220205209</v>
      </c>
      <c r="L25" s="218" t="str">
        <f t="shared" si="6"/>
        <v>-</v>
      </c>
      <c r="M25" s="236">
        <v>6</v>
      </c>
      <c r="N25" s="224" t="s">
        <v>378</v>
      </c>
      <c r="O25" s="225">
        <v>9</v>
      </c>
      <c r="P25" s="221" t="s">
        <v>50</v>
      </c>
      <c r="Q25" s="226">
        <f t="shared" si="7"/>
        <v>-2.3677979479099776E-3</v>
      </c>
      <c r="R25" s="227">
        <f t="shared" si="8"/>
        <v>2.6315789473696505E-4</v>
      </c>
      <c r="T25" s="12"/>
    </row>
    <row r="26" spans="1:28" x14ac:dyDescent="0.25">
      <c r="A26" s="220" t="s">
        <v>5</v>
      </c>
      <c r="B26" s="277" t="s">
        <v>363</v>
      </c>
      <c r="C26" s="221">
        <v>7.5</v>
      </c>
      <c r="D26" s="222">
        <v>7.6</v>
      </c>
      <c r="E26" s="222">
        <v>-0.5</v>
      </c>
      <c r="F26" s="222">
        <f t="shared" si="0"/>
        <v>7.05</v>
      </c>
      <c r="G26" s="223">
        <f t="shared" si="1"/>
        <v>7.05</v>
      </c>
      <c r="H26" s="223">
        <f t="shared" si="2"/>
        <v>2.5999999999999996</v>
      </c>
      <c r="I26" s="223" t="str">
        <f t="shared" si="3"/>
        <v>-</v>
      </c>
      <c r="J26" s="223" t="str">
        <f t="shared" si="4"/>
        <v>-</v>
      </c>
      <c r="K26" s="218">
        <f t="shared" si="5"/>
        <v>8.2083662194159412</v>
      </c>
      <c r="L26" s="218" t="str">
        <f t="shared" si="6"/>
        <v>-</v>
      </c>
      <c r="M26" s="236">
        <v>6</v>
      </c>
      <c r="N26" s="224" t="s">
        <v>378</v>
      </c>
      <c r="O26" s="225">
        <v>11</v>
      </c>
      <c r="P26" s="221" t="s">
        <v>5</v>
      </c>
      <c r="Q26" s="226">
        <f t="shared" si="7"/>
        <v>-2.7916337805840588</v>
      </c>
      <c r="R26" s="227">
        <f t="shared" si="8"/>
        <v>0.34009615384615421</v>
      </c>
      <c r="T26" s="12"/>
    </row>
    <row r="27" spans="1:28" ht="15.75" thickBot="1" x14ac:dyDescent="0.3">
      <c r="A27" s="228" t="s">
        <v>70</v>
      </c>
      <c r="B27" s="278" t="s">
        <v>383</v>
      </c>
      <c r="C27" s="229">
        <v>6.5</v>
      </c>
      <c r="D27" s="230">
        <v>7.1</v>
      </c>
      <c r="E27" s="230">
        <v>0</v>
      </c>
      <c r="F27" s="230">
        <f t="shared" si="0"/>
        <v>6.8</v>
      </c>
      <c r="G27" s="231">
        <f t="shared" si="1"/>
        <v>6.8</v>
      </c>
      <c r="H27" s="231">
        <f t="shared" si="2"/>
        <v>2.3499999999999996</v>
      </c>
      <c r="I27" s="231" t="str">
        <f t="shared" si="3"/>
        <v>-</v>
      </c>
      <c r="J27" s="231" t="str">
        <f t="shared" si="4"/>
        <v>-</v>
      </c>
      <c r="K27" s="219">
        <f t="shared" si="5"/>
        <v>7.4191002367797934</v>
      </c>
      <c r="L27" s="219" t="str">
        <f t="shared" si="6"/>
        <v>-</v>
      </c>
      <c r="M27" s="237">
        <v>6</v>
      </c>
      <c r="N27" s="232" t="s">
        <v>376</v>
      </c>
      <c r="O27" s="233">
        <v>10</v>
      </c>
      <c r="P27" s="229" t="s">
        <v>70</v>
      </c>
      <c r="Q27" s="234">
        <f t="shared" si="7"/>
        <v>-2.5808997632202066</v>
      </c>
      <c r="R27" s="235">
        <f t="shared" si="8"/>
        <v>0.34787234042553217</v>
      </c>
      <c r="T27" s="12"/>
    </row>
    <row r="28" spans="1:28" x14ac:dyDescent="0.25">
      <c r="A28" s="261" t="s">
        <v>20</v>
      </c>
      <c r="B28" s="274" t="s">
        <v>368</v>
      </c>
      <c r="C28" s="262">
        <v>6.5</v>
      </c>
      <c r="D28" s="133">
        <v>5.8</v>
      </c>
      <c r="E28" s="133">
        <v>0</v>
      </c>
      <c r="F28" s="133">
        <f t="shared" si="0"/>
        <v>6.15</v>
      </c>
      <c r="G28" s="133">
        <f t="shared" si="1"/>
        <v>6.15</v>
      </c>
      <c r="H28" s="133">
        <f t="shared" si="2"/>
        <v>1.7000000000000002</v>
      </c>
      <c r="I28" s="133" t="str">
        <f t="shared" si="3"/>
        <v>-</v>
      </c>
      <c r="J28" s="133" t="str">
        <f t="shared" si="4"/>
        <v>-</v>
      </c>
      <c r="K28" s="263">
        <f t="shared" si="5"/>
        <v>5.3670086819258094</v>
      </c>
      <c r="L28" s="263" t="str">
        <f t="shared" si="6"/>
        <v>-</v>
      </c>
      <c r="M28" s="132">
        <v>7</v>
      </c>
      <c r="N28" s="132" t="s">
        <v>377</v>
      </c>
      <c r="O28" s="263">
        <v>6</v>
      </c>
      <c r="P28" s="262" t="s">
        <v>20</v>
      </c>
      <c r="Q28" s="263">
        <f t="shared" si="7"/>
        <v>-0.63299131807419062</v>
      </c>
      <c r="R28" s="264">
        <f t="shared" si="8"/>
        <v>0.11794117647058822</v>
      </c>
      <c r="T28" s="12"/>
    </row>
    <row r="29" spans="1:28" x14ac:dyDescent="0.25">
      <c r="A29" s="269" t="s">
        <v>84</v>
      </c>
      <c r="B29" s="276" t="s">
        <v>352</v>
      </c>
      <c r="C29" s="270">
        <v>6.5</v>
      </c>
      <c r="D29" s="42">
        <v>5.3</v>
      </c>
      <c r="E29" s="42">
        <v>0</v>
      </c>
      <c r="F29" s="42">
        <f t="shared" si="0"/>
        <v>5.9</v>
      </c>
      <c r="G29" s="42">
        <f t="shared" si="1"/>
        <v>5.9</v>
      </c>
      <c r="H29" s="42">
        <f t="shared" si="2"/>
        <v>1.4500000000000002</v>
      </c>
      <c r="I29" s="42" t="str">
        <f t="shared" si="3"/>
        <v>-</v>
      </c>
      <c r="J29" s="42" t="str">
        <f t="shared" si="4"/>
        <v>-</v>
      </c>
      <c r="K29" s="271">
        <f t="shared" si="5"/>
        <v>4.5777426992896606</v>
      </c>
      <c r="L29" s="271" t="str">
        <f t="shared" si="6"/>
        <v>-</v>
      </c>
      <c r="M29" s="41">
        <v>7</v>
      </c>
      <c r="N29" s="41" t="s">
        <v>422</v>
      </c>
      <c r="O29" s="271">
        <v>2</v>
      </c>
      <c r="P29" s="270" t="s">
        <v>84</v>
      </c>
      <c r="Q29" s="271">
        <f t="shared" si="7"/>
        <v>2.5777426992896606</v>
      </c>
      <c r="R29" s="272">
        <f t="shared" si="8"/>
        <v>-0.56310344827586212</v>
      </c>
      <c r="T29" s="12"/>
    </row>
    <row r="30" spans="1:28" x14ac:dyDescent="0.25">
      <c r="A30" s="269" t="s">
        <v>81</v>
      </c>
      <c r="B30" s="276" t="s">
        <v>367</v>
      </c>
      <c r="C30" s="270">
        <v>5.5</v>
      </c>
      <c r="D30" s="42">
        <v>6.2</v>
      </c>
      <c r="E30" s="42">
        <v>0</v>
      </c>
      <c r="F30" s="42">
        <f t="shared" si="0"/>
        <v>5.85</v>
      </c>
      <c r="G30" s="42">
        <f t="shared" si="1"/>
        <v>5.85</v>
      </c>
      <c r="H30" s="42">
        <f t="shared" si="2"/>
        <v>1.3999999999999995</v>
      </c>
      <c r="I30" s="42" t="str">
        <f t="shared" si="3"/>
        <v>-</v>
      </c>
      <c r="J30" s="42" t="str">
        <f t="shared" si="4"/>
        <v>-</v>
      </c>
      <c r="K30" s="271">
        <f t="shared" si="5"/>
        <v>4.4198895027624294</v>
      </c>
      <c r="L30" s="271" t="str">
        <f t="shared" si="6"/>
        <v>-</v>
      </c>
      <c r="M30" s="41">
        <v>7</v>
      </c>
      <c r="N30" s="41" t="s">
        <v>382</v>
      </c>
      <c r="O30" s="271">
        <v>3</v>
      </c>
      <c r="P30" s="270" t="s">
        <v>81</v>
      </c>
      <c r="Q30" s="271">
        <f t="shared" si="7"/>
        <v>1.4198895027624294</v>
      </c>
      <c r="R30" s="272">
        <f t="shared" si="8"/>
        <v>-0.32124999999999981</v>
      </c>
      <c r="T30" s="12"/>
    </row>
    <row r="31" spans="1:28" ht="15.75" thickBot="1" x14ac:dyDescent="0.3">
      <c r="A31" s="265" t="s">
        <v>24</v>
      </c>
      <c r="B31" s="275" t="s">
        <v>359</v>
      </c>
      <c r="C31" s="266">
        <v>5.5</v>
      </c>
      <c r="D31" s="47">
        <v>5.6</v>
      </c>
      <c r="E31" s="47">
        <v>0</v>
      </c>
      <c r="F31" s="47">
        <f t="shared" si="0"/>
        <v>5.55</v>
      </c>
      <c r="G31" s="47">
        <f t="shared" si="1"/>
        <v>5.55</v>
      </c>
      <c r="H31" s="47">
        <f t="shared" si="2"/>
        <v>1.0999999999999996</v>
      </c>
      <c r="I31" s="47" t="str">
        <f t="shared" si="3"/>
        <v>-</v>
      </c>
      <c r="J31" s="47" t="str">
        <f t="shared" si="4"/>
        <v>-</v>
      </c>
      <c r="K31" s="267">
        <f t="shared" si="5"/>
        <v>3.4727703235990517</v>
      </c>
      <c r="L31" s="267" t="str">
        <f t="shared" si="6"/>
        <v>-</v>
      </c>
      <c r="M31" s="46">
        <v>7</v>
      </c>
      <c r="N31" s="46" t="s">
        <v>380</v>
      </c>
      <c r="O31" s="267">
        <v>7</v>
      </c>
      <c r="P31" s="266" t="s">
        <v>24</v>
      </c>
      <c r="Q31" s="267">
        <f t="shared" si="7"/>
        <v>-3.5272296764009483</v>
      </c>
      <c r="R31" s="268">
        <f t="shared" si="8"/>
        <v>1.015681818181819</v>
      </c>
      <c r="T31" s="12"/>
    </row>
    <row r="32" spans="1:28" x14ac:dyDescent="0.25">
      <c r="A32" s="241" t="s">
        <v>3</v>
      </c>
      <c r="B32" s="280" t="s">
        <v>359</v>
      </c>
      <c r="C32" s="242">
        <v>4.5</v>
      </c>
      <c r="D32" s="243">
        <v>4.5</v>
      </c>
      <c r="E32" s="243">
        <v>0</v>
      </c>
      <c r="F32" s="243">
        <f t="shared" si="0"/>
        <v>4.5</v>
      </c>
      <c r="G32" s="244">
        <f t="shared" si="1"/>
        <v>4.5</v>
      </c>
      <c r="H32" s="244">
        <f t="shared" si="2"/>
        <v>4.9999999999999822E-2</v>
      </c>
      <c r="I32" s="244" t="str">
        <f t="shared" si="3"/>
        <v>-</v>
      </c>
      <c r="J32" s="244" t="str">
        <f t="shared" si="4"/>
        <v>-</v>
      </c>
      <c r="K32" s="245">
        <f t="shared" si="5"/>
        <v>0.15785319652722909</v>
      </c>
      <c r="L32" s="245" t="str">
        <f t="shared" si="6"/>
        <v>-</v>
      </c>
      <c r="M32" s="246">
        <v>8</v>
      </c>
      <c r="N32" s="247" t="s">
        <v>384</v>
      </c>
      <c r="O32" s="248">
        <v>1</v>
      </c>
      <c r="P32" s="242" t="s">
        <v>3</v>
      </c>
      <c r="Q32" s="249">
        <f t="shared" si="7"/>
        <v>-0.84214680347277093</v>
      </c>
      <c r="R32" s="250">
        <f t="shared" si="8"/>
        <v>5.3350000000000231</v>
      </c>
    </row>
    <row r="33" spans="1:18" ht="15.75" thickBot="1" x14ac:dyDescent="0.3">
      <c r="A33" s="228" t="s">
        <v>28</v>
      </c>
      <c r="B33" s="278" t="s">
        <v>355</v>
      </c>
      <c r="C33" s="229">
        <v>4.5</v>
      </c>
      <c r="D33" s="230">
        <v>4.4000000000000004</v>
      </c>
      <c r="E33" s="230">
        <v>0</v>
      </c>
      <c r="F33" s="230">
        <f t="shared" si="0"/>
        <v>4.45</v>
      </c>
      <c r="G33" s="231">
        <f t="shared" si="1"/>
        <v>4.45</v>
      </c>
      <c r="H33" s="231">
        <f t="shared" si="2"/>
        <v>0</v>
      </c>
      <c r="I33" s="231" t="str">
        <f t="shared" si="3"/>
        <v>-</v>
      </c>
      <c r="J33" s="231" t="str">
        <f t="shared" si="4"/>
        <v>-</v>
      </c>
      <c r="K33" s="219">
        <f t="shared" si="5"/>
        <v>0</v>
      </c>
      <c r="L33" s="219" t="str">
        <f t="shared" si="6"/>
        <v>-</v>
      </c>
      <c r="M33" s="237">
        <v>8</v>
      </c>
      <c r="N33" s="232" t="s">
        <v>384</v>
      </c>
      <c r="O33" s="233">
        <v>1</v>
      </c>
      <c r="P33" s="229" t="s">
        <v>28</v>
      </c>
      <c r="Q33" s="234">
        <f t="shared" si="7"/>
        <v>-1</v>
      </c>
      <c r="R33" s="235" t="str">
        <f t="shared" si="8"/>
        <v/>
      </c>
    </row>
  </sheetData>
  <autoFilter ref="A1:R1" xr:uid="{B1AD7C48-D60E-4C4B-84FF-E87C22D78274}">
    <sortState xmlns:xlrd2="http://schemas.microsoft.com/office/spreadsheetml/2017/richdata2" ref="A2:R33">
      <sortCondition descending="1" ref="L1"/>
    </sortState>
  </autoFilter>
  <mergeCells count="2">
    <mergeCell ref="U1:V1"/>
    <mergeCell ref="W1:X1"/>
  </mergeCells>
  <conditionalFormatting sqref="A1:R33">
    <cfRule type="containsBlanks" dxfId="25" priority="1">
      <formula>LEN(TRIM(A1))=0</formula>
    </cfRule>
  </conditionalFormatting>
  <conditionalFormatting sqref="E2:E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R33 F2:L33 A2:B33">
    <cfRule type="containsBlanks" dxfId="24" priority="9">
      <formula>LEN(TRIM(A2))=0</formula>
    </cfRule>
  </conditionalFormatting>
  <conditionalFormatting sqref="O2:O33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2:T31 N2:N3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4:AA21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14:AB21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dataValidations count="1">
    <dataValidation type="list" allowBlank="1" showInputMessage="1" showErrorMessage="1" sqref="N2:N33" xr:uid="{12E25B1B-3D79-491D-90C0-D4605554AD99}">
      <formula1>$U$14:$U$21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366C-3018-42B6-8119-D2A3E49A3CFF}">
  <dimension ref="A1:N225"/>
  <sheetViews>
    <sheetView zoomScale="80" zoomScaleNormal="80" workbookViewId="0">
      <pane xSplit="2" ySplit="1" topLeftCell="C21" activePane="bottomRight" state="frozen"/>
      <selection pane="topRight" activeCell="Q257" sqref="Q257"/>
      <selection pane="bottomLeft" activeCell="Q257" sqref="Q257"/>
      <selection pane="bottomRight" activeCell="A65" sqref="A65"/>
    </sheetView>
  </sheetViews>
  <sheetFormatPr defaultRowHeight="15" x14ac:dyDescent="0.25"/>
  <cols>
    <col min="1" max="1" width="7.42578125" bestFit="1" customWidth="1"/>
    <col min="2" max="2" width="10.28515625" bestFit="1" customWidth="1"/>
    <col min="3" max="3" width="17.42578125" bestFit="1" customWidth="1"/>
    <col min="4" max="4" width="16.7109375" bestFit="1" customWidth="1"/>
    <col min="5" max="5" width="12.7109375" bestFit="1" customWidth="1"/>
    <col min="6" max="6" width="14.5703125" bestFit="1" customWidth="1"/>
    <col min="7" max="7" width="16" bestFit="1" customWidth="1"/>
    <col min="8" max="8" width="12.42578125" bestFit="1" customWidth="1"/>
    <col min="9" max="9" width="13.7109375" bestFit="1" customWidth="1"/>
    <col min="10" max="10" width="15" bestFit="1" customWidth="1"/>
    <col min="11" max="11" width="19.140625" bestFit="1" customWidth="1"/>
    <col min="12" max="12" width="8.5703125" bestFit="1" customWidth="1"/>
    <col min="13" max="13" width="9.140625" bestFit="1" customWidth="1"/>
    <col min="14" max="14" width="9.28515625" bestFit="1" customWidth="1"/>
  </cols>
  <sheetData>
    <row r="1" spans="1:14" x14ac:dyDescent="0.25">
      <c r="A1" s="99" t="s">
        <v>385</v>
      </c>
      <c r="B1" s="100" t="s">
        <v>386</v>
      </c>
      <c r="C1" s="100" t="s">
        <v>387</v>
      </c>
      <c r="D1" s="100" t="s">
        <v>388</v>
      </c>
      <c r="E1" s="100" t="s">
        <v>389</v>
      </c>
      <c r="F1" s="100" t="s">
        <v>390</v>
      </c>
      <c r="G1" s="100" t="s">
        <v>391</v>
      </c>
      <c r="H1" s="100" t="s">
        <v>392</v>
      </c>
      <c r="I1" s="100" t="s">
        <v>393</v>
      </c>
      <c r="J1" s="100" t="s">
        <v>394</v>
      </c>
      <c r="K1" s="100" t="s">
        <v>395</v>
      </c>
      <c r="L1" s="100" t="s">
        <v>396</v>
      </c>
      <c r="M1" s="99" t="s">
        <v>333</v>
      </c>
      <c r="N1" s="101" t="s">
        <v>397</v>
      </c>
    </row>
    <row r="2" spans="1:14" x14ac:dyDescent="0.25">
      <c r="A2" s="95" t="s">
        <v>10</v>
      </c>
      <c r="B2" s="96">
        <v>2025</v>
      </c>
      <c r="C2" s="96">
        <v>3.91255</v>
      </c>
      <c r="D2" s="96">
        <v>3.6097399999999999</v>
      </c>
      <c r="E2" s="96">
        <v>9.5</v>
      </c>
      <c r="F2" s="96" t="s">
        <v>398</v>
      </c>
      <c r="G2" s="96">
        <v>2.0559799999999999</v>
      </c>
      <c r="H2" s="96">
        <v>1</v>
      </c>
      <c r="I2" s="96">
        <v>4.7563700000000004</v>
      </c>
      <c r="J2" s="96">
        <v>5</v>
      </c>
      <c r="K2" s="96"/>
      <c r="L2" s="96"/>
      <c r="M2" s="104" t="str">
        <f>IF(A2&lt;&gt;"",IF($A2="OAK","LV",$A2),"")</f>
        <v>DET</v>
      </c>
      <c r="N2" s="102">
        <v>1</v>
      </c>
    </row>
    <row r="3" spans="1:14" x14ac:dyDescent="0.25">
      <c r="A3" s="95" t="s">
        <v>95</v>
      </c>
      <c r="B3" s="96">
        <v>2025</v>
      </c>
      <c r="C3" s="96">
        <v>-3.3834900000000001</v>
      </c>
      <c r="D3" s="96">
        <v>-3.5968</v>
      </c>
      <c r="E3" s="96">
        <v>5.5</v>
      </c>
      <c r="F3" s="96" t="s">
        <v>398</v>
      </c>
      <c r="G3" s="96">
        <v>1.7733000000000001</v>
      </c>
      <c r="H3" s="96">
        <v>2</v>
      </c>
      <c r="I3" s="96">
        <v>2.8777499999999998</v>
      </c>
      <c r="J3" s="96">
        <v>8</v>
      </c>
      <c r="K3" s="96"/>
      <c r="L3" s="96"/>
      <c r="M3" s="104" t="str">
        <f t="shared" ref="M3:M65" si="0">IF(A3&lt;&gt;"",IF($A3="OAK","LV",$A3),"")</f>
        <v>NYG</v>
      </c>
      <c r="N3" s="102">
        <v>1</v>
      </c>
    </row>
    <row r="4" spans="1:14" x14ac:dyDescent="0.25">
      <c r="A4" s="95" t="s">
        <v>38</v>
      </c>
      <c r="B4" s="96">
        <v>2025</v>
      </c>
      <c r="C4" s="96">
        <v>5.4679599999999997</v>
      </c>
      <c r="D4" s="96">
        <v>5.2894600000000001</v>
      </c>
      <c r="E4" s="96">
        <v>10.5</v>
      </c>
      <c r="F4" s="96" t="s">
        <v>398</v>
      </c>
      <c r="G4" s="96">
        <v>1.73482</v>
      </c>
      <c r="H4" s="96">
        <v>3</v>
      </c>
      <c r="I4" s="96">
        <v>-0.49071100000000001</v>
      </c>
      <c r="J4" s="96">
        <v>20</v>
      </c>
      <c r="K4" s="96"/>
      <c r="L4" s="96"/>
      <c r="M4" s="104" t="str">
        <f t="shared" si="0"/>
        <v>PHI</v>
      </c>
      <c r="N4" s="102">
        <v>1</v>
      </c>
    </row>
    <row r="5" spans="1:14" x14ac:dyDescent="0.25">
      <c r="A5" s="95" t="s">
        <v>91</v>
      </c>
      <c r="B5" s="96">
        <v>2025</v>
      </c>
      <c r="C5" s="96">
        <v>-5.55016</v>
      </c>
      <c r="D5" s="96">
        <v>-5.5988899999999999</v>
      </c>
      <c r="E5" s="96">
        <v>4.5</v>
      </c>
      <c r="F5" s="96" t="s">
        <v>398</v>
      </c>
      <c r="G5" s="96">
        <v>1.6964999999999999</v>
      </c>
      <c r="H5" s="96">
        <v>4</v>
      </c>
      <c r="I5" s="96">
        <v>2.5253199999999998</v>
      </c>
      <c r="J5" s="96">
        <v>11</v>
      </c>
      <c r="K5" s="96"/>
      <c r="L5" s="96"/>
      <c r="M5" s="104" t="str">
        <f t="shared" si="0"/>
        <v>CLE</v>
      </c>
      <c r="N5" s="102">
        <v>1</v>
      </c>
    </row>
    <row r="6" spans="1:14" x14ac:dyDescent="0.25">
      <c r="A6" s="95" t="s">
        <v>75</v>
      </c>
      <c r="B6" s="96">
        <v>2025</v>
      </c>
      <c r="C6" s="96">
        <v>3.1249600000000002</v>
      </c>
      <c r="D6" s="96">
        <v>3.0280900000000002</v>
      </c>
      <c r="E6" s="96">
        <v>9.5</v>
      </c>
      <c r="F6" s="96" t="s">
        <v>398</v>
      </c>
      <c r="G6" s="96">
        <v>1.5814699999999999</v>
      </c>
      <c r="H6" s="96">
        <v>5</v>
      </c>
      <c r="I6" s="96">
        <v>-0.186668</v>
      </c>
      <c r="J6" s="96">
        <v>18</v>
      </c>
      <c r="K6" s="96"/>
      <c r="L6" s="96"/>
      <c r="M6" s="104" t="str">
        <f t="shared" si="0"/>
        <v>MIN</v>
      </c>
      <c r="N6" s="102">
        <v>1</v>
      </c>
    </row>
    <row r="7" spans="1:14" x14ac:dyDescent="0.25">
      <c r="A7" s="95" t="s">
        <v>72</v>
      </c>
      <c r="B7" s="96">
        <v>2025</v>
      </c>
      <c r="C7" s="96">
        <v>-3.9049500000000001E-2</v>
      </c>
      <c r="D7" s="96">
        <v>-0.186668</v>
      </c>
      <c r="E7" s="96">
        <v>7.5</v>
      </c>
      <c r="F7" s="96" t="s">
        <v>398</v>
      </c>
      <c r="G7" s="96">
        <v>1.45756</v>
      </c>
      <c r="H7" s="96">
        <v>6</v>
      </c>
      <c r="I7" s="96">
        <v>3.0280900000000002</v>
      </c>
      <c r="J7" s="96">
        <v>7</v>
      </c>
      <c r="K7" s="96"/>
      <c r="L7" s="96"/>
      <c r="M7" s="104" t="str">
        <f t="shared" si="0"/>
        <v>CHI</v>
      </c>
      <c r="N7" s="102">
        <v>1</v>
      </c>
    </row>
    <row r="8" spans="1:14" x14ac:dyDescent="0.25">
      <c r="A8" s="95" t="s">
        <v>399</v>
      </c>
      <c r="B8" s="96">
        <v>2025</v>
      </c>
      <c r="C8" s="96">
        <v>6.5806899999999997</v>
      </c>
      <c r="D8" s="96">
        <v>6.3606100000000003</v>
      </c>
      <c r="E8" s="96">
        <v>11.5</v>
      </c>
      <c r="F8" s="96" t="s">
        <v>398</v>
      </c>
      <c r="G8" s="96">
        <v>1.3916500000000001</v>
      </c>
      <c r="H8" s="96">
        <v>7</v>
      </c>
      <c r="I8" s="96">
        <v>2.6457700000000002</v>
      </c>
      <c r="J8" s="96">
        <v>10</v>
      </c>
      <c r="K8" s="96"/>
      <c r="L8" s="96"/>
      <c r="M8" s="104" t="str">
        <f t="shared" si="0"/>
        <v>KC</v>
      </c>
      <c r="N8" s="102">
        <v>1</v>
      </c>
    </row>
    <row r="9" spans="1:14" x14ac:dyDescent="0.25">
      <c r="A9" s="95" t="s">
        <v>14</v>
      </c>
      <c r="B9" s="96">
        <v>2025</v>
      </c>
      <c r="C9" s="96">
        <v>-0.43795499999999998</v>
      </c>
      <c r="D9" s="96">
        <v>-0.49071100000000001</v>
      </c>
      <c r="E9" s="96">
        <v>7.5</v>
      </c>
      <c r="F9" s="96" t="s">
        <v>398</v>
      </c>
      <c r="G9" s="96">
        <v>1.37612</v>
      </c>
      <c r="H9" s="96">
        <v>8</v>
      </c>
      <c r="I9" s="96">
        <v>5.2894600000000001</v>
      </c>
      <c r="J9" s="96">
        <v>4</v>
      </c>
      <c r="K9" s="96"/>
      <c r="L9" s="96"/>
      <c r="M9" s="104" t="str">
        <f t="shared" si="0"/>
        <v>DAL</v>
      </c>
      <c r="N9" s="102">
        <v>1</v>
      </c>
    </row>
    <row r="10" spans="1:14" x14ac:dyDescent="0.25">
      <c r="A10" s="95" t="s">
        <v>400</v>
      </c>
      <c r="B10" s="96">
        <v>2025</v>
      </c>
      <c r="C10" s="96">
        <v>4.7144199999999996</v>
      </c>
      <c r="D10" s="96">
        <v>4.7563700000000004</v>
      </c>
      <c r="E10" s="96">
        <v>10.5</v>
      </c>
      <c r="F10" s="96" t="s">
        <v>398</v>
      </c>
      <c r="G10" s="96">
        <v>1.3214300000000001</v>
      </c>
      <c r="H10" s="96">
        <v>9</v>
      </c>
      <c r="I10" s="96">
        <v>3.6097399999999999</v>
      </c>
      <c r="J10" s="96">
        <v>6</v>
      </c>
      <c r="K10" s="96"/>
      <c r="L10" s="96"/>
      <c r="M10" s="104" t="str">
        <f t="shared" si="0"/>
        <v>GB</v>
      </c>
      <c r="N10" s="102">
        <v>1</v>
      </c>
    </row>
    <row r="11" spans="1:14" x14ac:dyDescent="0.25">
      <c r="A11" s="95" t="s">
        <v>41</v>
      </c>
      <c r="B11" s="96">
        <v>2025</v>
      </c>
      <c r="C11" s="96">
        <v>2.8959999999999999</v>
      </c>
      <c r="D11" s="96">
        <v>2.8777499999999998</v>
      </c>
      <c r="E11" s="96">
        <v>9.5</v>
      </c>
      <c r="F11" s="96" t="s">
        <v>398</v>
      </c>
      <c r="G11" s="96">
        <v>1.18953</v>
      </c>
      <c r="H11" s="96">
        <v>10</v>
      </c>
      <c r="I11" s="96">
        <v>-3.5968</v>
      </c>
      <c r="J11" s="96">
        <v>27</v>
      </c>
      <c r="K11" s="96"/>
      <c r="L11" s="96"/>
      <c r="M11" s="104" t="str">
        <f t="shared" si="0"/>
        <v>WAS</v>
      </c>
      <c r="N11" s="102">
        <v>1</v>
      </c>
    </row>
    <row r="12" spans="1:14" x14ac:dyDescent="0.25">
      <c r="A12" s="95" t="s">
        <v>85</v>
      </c>
      <c r="B12" s="96">
        <v>2025</v>
      </c>
      <c r="C12" s="96">
        <v>1.27518</v>
      </c>
      <c r="D12" s="96">
        <v>1.1207800000000001</v>
      </c>
      <c r="E12" s="96">
        <v>8.5</v>
      </c>
      <c r="F12" s="96" t="s">
        <v>398</v>
      </c>
      <c r="G12" s="96">
        <v>1.18564</v>
      </c>
      <c r="H12" s="96">
        <v>11</v>
      </c>
      <c r="I12" s="96">
        <v>-4.0408299999999997</v>
      </c>
      <c r="J12" s="96">
        <v>29</v>
      </c>
      <c r="K12" s="96"/>
      <c r="L12" s="96"/>
      <c r="M12" s="104" t="str">
        <f t="shared" si="0"/>
        <v>PIT</v>
      </c>
      <c r="N12" s="102">
        <v>1</v>
      </c>
    </row>
    <row r="13" spans="1:14" x14ac:dyDescent="0.25">
      <c r="A13" s="95" t="s">
        <v>47</v>
      </c>
      <c r="B13" s="96">
        <v>2025</v>
      </c>
      <c r="C13" s="96">
        <v>6.7028600000000003</v>
      </c>
      <c r="D13" s="96">
        <v>6.5662599999999998</v>
      </c>
      <c r="E13" s="96">
        <v>11.5</v>
      </c>
      <c r="F13" s="96" t="s">
        <v>398</v>
      </c>
      <c r="G13" s="96">
        <v>1.1472500000000001</v>
      </c>
      <c r="H13" s="96">
        <v>12</v>
      </c>
      <c r="I13" s="96">
        <v>6.6062700000000003</v>
      </c>
      <c r="J13" s="96">
        <v>1</v>
      </c>
      <c r="K13" s="96"/>
      <c r="L13" s="96"/>
      <c r="M13" s="104" t="str">
        <f t="shared" si="0"/>
        <v>BAL</v>
      </c>
      <c r="N13" s="102">
        <v>1</v>
      </c>
    </row>
    <row r="14" spans="1:14" x14ac:dyDescent="0.25">
      <c r="A14" s="95" t="s">
        <v>77</v>
      </c>
      <c r="B14" s="96">
        <v>2025</v>
      </c>
      <c r="C14" s="96">
        <v>2.7489300000000001</v>
      </c>
      <c r="D14" s="96">
        <v>2.5253199999999998</v>
      </c>
      <c r="E14" s="96">
        <v>9.5</v>
      </c>
      <c r="F14" s="96" t="s">
        <v>398</v>
      </c>
      <c r="G14" s="96">
        <v>1.0472300000000001</v>
      </c>
      <c r="H14" s="96">
        <v>13</v>
      </c>
      <c r="I14" s="96">
        <v>-5.5988899999999999</v>
      </c>
      <c r="J14" s="96">
        <v>31</v>
      </c>
      <c r="K14" s="96"/>
      <c r="L14" s="96"/>
      <c r="M14" s="104" t="str">
        <f t="shared" si="0"/>
        <v>CIN</v>
      </c>
      <c r="N14" s="102">
        <v>1</v>
      </c>
    </row>
    <row r="15" spans="1:14" x14ac:dyDescent="0.25">
      <c r="A15" s="95" t="s">
        <v>401</v>
      </c>
      <c r="B15" s="96">
        <v>2025</v>
      </c>
      <c r="C15" s="96">
        <v>-2.3228200000000001</v>
      </c>
      <c r="D15" s="96">
        <v>-2.2487200000000001</v>
      </c>
      <c r="E15" s="96">
        <v>6.5</v>
      </c>
      <c r="F15" s="96" t="s">
        <v>398</v>
      </c>
      <c r="G15" s="96">
        <v>1.0226299999999999</v>
      </c>
      <c r="H15" s="96">
        <v>14</v>
      </c>
      <c r="I15" s="96">
        <v>-1.3963300000000001</v>
      </c>
      <c r="J15" s="96">
        <v>22</v>
      </c>
      <c r="K15" s="96"/>
      <c r="L15" s="96"/>
      <c r="M15" s="104" t="str">
        <f t="shared" si="0"/>
        <v>LV</v>
      </c>
      <c r="N15" s="102">
        <v>1</v>
      </c>
    </row>
    <row r="16" spans="1:14" x14ac:dyDescent="0.25">
      <c r="A16" s="95" t="s">
        <v>63</v>
      </c>
      <c r="B16" s="96">
        <v>2025</v>
      </c>
      <c r="C16" s="96">
        <v>2.9030800000000001</v>
      </c>
      <c r="D16" s="96">
        <v>2.8051900000000001</v>
      </c>
      <c r="E16" s="96">
        <v>9.5</v>
      </c>
      <c r="F16" s="96" t="s">
        <v>398</v>
      </c>
      <c r="G16" s="96">
        <v>1.00926</v>
      </c>
      <c r="H16" s="96">
        <v>15</v>
      </c>
      <c r="I16" s="96">
        <v>-3.9077999999999999</v>
      </c>
      <c r="J16" s="96">
        <v>28</v>
      </c>
      <c r="K16" s="96"/>
      <c r="L16" s="96"/>
      <c r="M16" s="104" t="str">
        <f t="shared" si="0"/>
        <v>DEN</v>
      </c>
      <c r="N16" s="102">
        <v>1</v>
      </c>
    </row>
    <row r="17" spans="1:14" x14ac:dyDescent="0.25">
      <c r="A17" s="95" t="s">
        <v>60</v>
      </c>
      <c r="B17" s="96">
        <v>2025</v>
      </c>
      <c r="C17" s="96">
        <v>2.6166</v>
      </c>
      <c r="D17" s="96">
        <v>2.6457700000000002</v>
      </c>
      <c r="E17" s="96">
        <v>9.5</v>
      </c>
      <c r="F17" s="96" t="s">
        <v>398</v>
      </c>
      <c r="G17" s="96">
        <v>0.978522</v>
      </c>
      <c r="H17" s="96">
        <v>16</v>
      </c>
      <c r="I17" s="96">
        <v>6.3606100000000003</v>
      </c>
      <c r="J17" s="96">
        <v>3</v>
      </c>
      <c r="K17" s="96"/>
      <c r="L17" s="96"/>
      <c r="M17" s="104" t="str">
        <f t="shared" si="0"/>
        <v>LAC</v>
      </c>
      <c r="N17" s="102">
        <v>1</v>
      </c>
    </row>
    <row r="18" spans="1:14" x14ac:dyDescent="0.25">
      <c r="A18" s="95" t="s">
        <v>31</v>
      </c>
      <c r="B18" s="96">
        <v>2025</v>
      </c>
      <c r="C18" s="96">
        <v>2.34124</v>
      </c>
      <c r="D18" s="96">
        <v>2.2123300000000001</v>
      </c>
      <c r="E18" s="96">
        <v>9.5</v>
      </c>
      <c r="F18" s="96" t="s">
        <v>398</v>
      </c>
      <c r="G18" s="96">
        <v>0.82220499999999996</v>
      </c>
      <c r="H18" s="96">
        <v>17</v>
      </c>
      <c r="I18" s="96">
        <v>1.97302</v>
      </c>
      <c r="J18" s="96">
        <v>13</v>
      </c>
      <c r="K18" s="96"/>
      <c r="L18" s="96"/>
      <c r="M18" s="104" t="str">
        <f t="shared" si="0"/>
        <v>HOU</v>
      </c>
      <c r="N18" s="102">
        <v>1</v>
      </c>
    </row>
    <row r="19" spans="1:14" x14ac:dyDescent="0.25">
      <c r="A19" s="95" t="s">
        <v>57</v>
      </c>
      <c r="B19" s="96">
        <v>2025</v>
      </c>
      <c r="C19" s="96">
        <v>-1.6455900000000001</v>
      </c>
      <c r="D19" s="96">
        <v>-1.37364</v>
      </c>
      <c r="E19" s="96">
        <v>7.5</v>
      </c>
      <c r="F19" s="96" t="s">
        <v>398</v>
      </c>
      <c r="G19" s="96">
        <v>0.25655099999999997</v>
      </c>
      <c r="H19" s="96">
        <v>18</v>
      </c>
      <c r="I19" s="96">
        <v>-2.4390999999999998</v>
      </c>
      <c r="J19" s="96">
        <v>25</v>
      </c>
      <c r="K19" s="96"/>
      <c r="L19" s="96"/>
      <c r="M19" s="104" t="str">
        <f t="shared" si="0"/>
        <v>IND</v>
      </c>
      <c r="N19" s="102">
        <v>1</v>
      </c>
    </row>
    <row r="20" spans="1:14" x14ac:dyDescent="0.25">
      <c r="A20" s="95" t="s">
        <v>44</v>
      </c>
      <c r="B20" s="96">
        <v>2025</v>
      </c>
      <c r="C20" s="96">
        <v>-1.54315</v>
      </c>
      <c r="D20" s="96">
        <v>-1.44276</v>
      </c>
      <c r="E20" s="96">
        <v>7.5</v>
      </c>
      <c r="F20" s="96" t="s">
        <v>398</v>
      </c>
      <c r="G20" s="96">
        <v>0.113456</v>
      </c>
      <c r="H20" s="96">
        <v>19</v>
      </c>
      <c r="I20" s="96">
        <v>-4.4532100000000003</v>
      </c>
      <c r="J20" s="96">
        <v>30</v>
      </c>
      <c r="K20" s="96"/>
      <c r="L20" s="96"/>
      <c r="M20" s="104" t="str">
        <f t="shared" si="0"/>
        <v>JAX</v>
      </c>
      <c r="N20" s="102">
        <v>1</v>
      </c>
    </row>
    <row r="21" spans="1:14" x14ac:dyDescent="0.25">
      <c r="A21" s="95" t="s">
        <v>21</v>
      </c>
      <c r="B21" s="96">
        <v>2025</v>
      </c>
      <c r="C21" s="96">
        <v>2.0306000000000002</v>
      </c>
      <c r="D21" s="96">
        <v>1.97302</v>
      </c>
      <c r="E21" s="96">
        <v>9.5</v>
      </c>
      <c r="F21" s="96" t="s">
        <v>398</v>
      </c>
      <c r="G21" s="96">
        <v>7.18921E-2</v>
      </c>
      <c r="H21" s="96">
        <v>20</v>
      </c>
      <c r="I21" s="96">
        <v>2.2123300000000001</v>
      </c>
      <c r="J21" s="96">
        <v>12</v>
      </c>
      <c r="K21" s="96"/>
      <c r="L21" s="96"/>
      <c r="M21" s="104" t="str">
        <f t="shared" si="0"/>
        <v>LAR</v>
      </c>
      <c r="N21" s="102">
        <v>1</v>
      </c>
    </row>
    <row r="22" spans="1:14" x14ac:dyDescent="0.25">
      <c r="A22" s="95" t="s">
        <v>79</v>
      </c>
      <c r="B22" s="96">
        <v>2025</v>
      </c>
      <c r="C22" s="96">
        <v>-3.90238</v>
      </c>
      <c r="D22" s="96">
        <v>-4.0408299999999997</v>
      </c>
      <c r="E22" s="96">
        <v>6.5</v>
      </c>
      <c r="F22" s="96" t="s">
        <v>398</v>
      </c>
      <c r="G22" s="96">
        <v>4.8904999999999999E-3</v>
      </c>
      <c r="H22" s="96">
        <v>21</v>
      </c>
      <c r="I22" s="96">
        <v>1.1207800000000001</v>
      </c>
      <c r="J22" s="96">
        <v>15</v>
      </c>
      <c r="K22" s="96"/>
      <c r="L22" s="96"/>
      <c r="M22" s="104" t="str">
        <f t="shared" si="0"/>
        <v>NYJ</v>
      </c>
      <c r="N22" s="102">
        <v>1</v>
      </c>
    </row>
    <row r="23" spans="1:14" x14ac:dyDescent="0.25">
      <c r="A23" s="95" t="s">
        <v>2</v>
      </c>
      <c r="B23" s="96">
        <v>2025</v>
      </c>
      <c r="C23" s="96">
        <v>-1.93469</v>
      </c>
      <c r="D23" s="96">
        <v>-2.4390999999999998</v>
      </c>
      <c r="E23" s="96">
        <v>7.5</v>
      </c>
      <c r="F23" s="96" t="s">
        <v>398</v>
      </c>
      <c r="G23" s="96">
        <v>-5.3365700000000002E-2</v>
      </c>
      <c r="H23" s="96">
        <v>22</v>
      </c>
      <c r="I23" s="96">
        <v>-1.37364</v>
      </c>
      <c r="J23" s="96">
        <v>21</v>
      </c>
      <c r="K23" s="96"/>
      <c r="L23" s="96"/>
      <c r="M23" s="104" t="str">
        <f t="shared" si="0"/>
        <v>MIA</v>
      </c>
      <c r="N23" s="102">
        <v>1</v>
      </c>
    </row>
    <row r="24" spans="1:14" x14ac:dyDescent="0.25">
      <c r="A24" s="95" t="s">
        <v>89</v>
      </c>
      <c r="B24" s="96">
        <v>2025</v>
      </c>
      <c r="C24" s="96">
        <v>-3.84748</v>
      </c>
      <c r="D24" s="96">
        <v>-3.9077999999999999</v>
      </c>
      <c r="E24" s="96">
        <v>6.5</v>
      </c>
      <c r="F24" s="96" t="s">
        <v>398</v>
      </c>
      <c r="G24" s="96">
        <v>-0.16883100000000001</v>
      </c>
      <c r="H24" s="96">
        <v>23</v>
      </c>
      <c r="I24" s="96">
        <v>2.8051900000000001</v>
      </c>
      <c r="J24" s="96">
        <v>9</v>
      </c>
      <c r="K24" s="96"/>
      <c r="L24" s="96"/>
      <c r="M24" s="104" t="str">
        <f t="shared" si="0"/>
        <v>TEN</v>
      </c>
      <c r="N24" s="102">
        <v>1</v>
      </c>
    </row>
    <row r="25" spans="1:14" x14ac:dyDescent="0.25">
      <c r="A25" s="95" t="s">
        <v>55</v>
      </c>
      <c r="B25" s="96">
        <v>2025</v>
      </c>
      <c r="C25" s="96">
        <v>-0.221246</v>
      </c>
      <c r="D25" s="96">
        <v>-0.37984000000000001</v>
      </c>
      <c r="E25" s="96">
        <v>8.5</v>
      </c>
      <c r="F25" s="96" t="s">
        <v>398</v>
      </c>
      <c r="G25" s="96">
        <v>-0.18008199999999999</v>
      </c>
      <c r="H25" s="96">
        <v>24</v>
      </c>
      <c r="I25" s="96">
        <v>1.9072199999999999</v>
      </c>
      <c r="J25" s="96">
        <v>14</v>
      </c>
      <c r="K25" s="96"/>
      <c r="L25" s="96"/>
      <c r="M25" s="104" t="str">
        <f t="shared" si="0"/>
        <v>SEA</v>
      </c>
      <c r="N25" s="102">
        <v>1</v>
      </c>
    </row>
    <row r="26" spans="1:14" x14ac:dyDescent="0.25">
      <c r="A26" s="95" t="s">
        <v>93</v>
      </c>
      <c r="B26" s="96">
        <v>2025</v>
      </c>
      <c r="C26" s="96">
        <v>-1.56206E-2</v>
      </c>
      <c r="D26" s="96">
        <v>-0.10116799999999999</v>
      </c>
      <c r="E26" s="96">
        <v>8.5</v>
      </c>
      <c r="F26" s="96" t="s">
        <v>398</v>
      </c>
      <c r="G26" s="96">
        <v>-0.22019900000000001</v>
      </c>
      <c r="H26" s="96">
        <v>25</v>
      </c>
      <c r="I26" s="96">
        <v>-8.2325999999999997</v>
      </c>
      <c r="J26" s="96">
        <v>32</v>
      </c>
      <c r="K26" s="96"/>
      <c r="L26" s="96"/>
      <c r="M26" s="104" t="str">
        <f t="shared" si="0"/>
        <v>ARI</v>
      </c>
      <c r="N26" s="102">
        <v>1</v>
      </c>
    </row>
    <row r="27" spans="1:14" x14ac:dyDescent="0.25">
      <c r="A27" s="95" t="s">
        <v>25</v>
      </c>
      <c r="B27" s="96">
        <v>2025</v>
      </c>
      <c r="C27" s="96">
        <v>6.80145</v>
      </c>
      <c r="D27" s="96">
        <v>6.6062700000000003</v>
      </c>
      <c r="E27" s="96">
        <v>12.5</v>
      </c>
      <c r="F27" s="96" t="s">
        <v>398</v>
      </c>
      <c r="G27" s="96">
        <v>-0.46215400000000001</v>
      </c>
      <c r="H27" s="96">
        <v>26</v>
      </c>
      <c r="I27" s="96">
        <v>6.5662599999999998</v>
      </c>
      <c r="J27" s="96">
        <v>2</v>
      </c>
      <c r="K27" s="96"/>
      <c r="L27" s="96"/>
      <c r="M27" s="104" t="str">
        <f t="shared" si="0"/>
        <v>BUF</v>
      </c>
      <c r="N27" s="102">
        <v>1</v>
      </c>
    </row>
    <row r="28" spans="1:14" x14ac:dyDescent="0.25">
      <c r="A28" s="95" t="s">
        <v>67</v>
      </c>
      <c r="B28" s="96">
        <v>2025</v>
      </c>
      <c r="C28" s="96">
        <v>-4.1393800000000001</v>
      </c>
      <c r="D28" s="96">
        <v>-4.4532100000000003</v>
      </c>
      <c r="E28" s="96">
        <v>6.5</v>
      </c>
      <c r="F28" s="96" t="s">
        <v>398</v>
      </c>
      <c r="G28" s="96">
        <v>-0.73829800000000001</v>
      </c>
      <c r="H28" s="96">
        <v>27</v>
      </c>
      <c r="I28" s="96">
        <v>-1.44276</v>
      </c>
      <c r="J28" s="96">
        <v>23</v>
      </c>
      <c r="K28" s="96"/>
      <c r="L28" s="96"/>
      <c r="M28" s="104" t="str">
        <f t="shared" si="0"/>
        <v>CAR</v>
      </c>
      <c r="N28" s="102">
        <v>1</v>
      </c>
    </row>
    <row r="29" spans="1:14" x14ac:dyDescent="0.25">
      <c r="A29" s="95" t="s">
        <v>402</v>
      </c>
      <c r="B29" s="96">
        <v>2025</v>
      </c>
      <c r="C29" s="96">
        <v>1.0203599999999999</v>
      </c>
      <c r="D29" s="96">
        <v>0.88781699999999997</v>
      </c>
      <c r="E29" s="96">
        <v>9.5</v>
      </c>
      <c r="F29" s="96" t="s">
        <v>398</v>
      </c>
      <c r="G29" s="96">
        <v>-0.81659599999999999</v>
      </c>
      <c r="H29" s="96">
        <v>28</v>
      </c>
      <c r="I29" s="96">
        <v>-2.5686300000000002</v>
      </c>
      <c r="J29" s="96">
        <v>26</v>
      </c>
      <c r="K29" s="96"/>
      <c r="L29" s="96"/>
      <c r="M29" s="104" t="str">
        <f t="shared" si="0"/>
        <v>TB</v>
      </c>
      <c r="N29" s="102">
        <v>1</v>
      </c>
    </row>
    <row r="30" spans="1:14" x14ac:dyDescent="0.25">
      <c r="A30" s="95" t="s">
        <v>69</v>
      </c>
      <c r="B30" s="96">
        <v>2025</v>
      </c>
      <c r="C30" s="96">
        <v>-2.4055800000000001</v>
      </c>
      <c r="D30" s="96">
        <v>-2.5686300000000002</v>
      </c>
      <c r="E30" s="96">
        <v>7.5</v>
      </c>
      <c r="F30" s="96" t="s">
        <v>398</v>
      </c>
      <c r="G30" s="96">
        <v>-0.84568399999999999</v>
      </c>
      <c r="H30" s="96">
        <v>29</v>
      </c>
      <c r="I30" s="96">
        <v>0.88781699999999997</v>
      </c>
      <c r="J30" s="96">
        <v>16</v>
      </c>
      <c r="K30" s="96"/>
      <c r="L30" s="96"/>
      <c r="M30" s="104" t="str">
        <f t="shared" si="0"/>
        <v>ATL</v>
      </c>
      <c r="N30" s="102">
        <v>1</v>
      </c>
    </row>
    <row r="31" spans="1:14" x14ac:dyDescent="0.25">
      <c r="A31" s="95" t="s">
        <v>403</v>
      </c>
      <c r="B31" s="96">
        <v>2025</v>
      </c>
      <c r="C31" s="96">
        <v>-8.0758299999999998</v>
      </c>
      <c r="D31" s="96">
        <v>-8.2325999999999997</v>
      </c>
      <c r="E31" s="96">
        <v>4.5</v>
      </c>
      <c r="F31" s="96" t="s">
        <v>398</v>
      </c>
      <c r="G31" s="96">
        <v>-0.86361900000000003</v>
      </c>
      <c r="H31" s="96">
        <v>30</v>
      </c>
      <c r="I31" s="96">
        <v>-0.10116799999999999</v>
      </c>
      <c r="J31" s="96">
        <v>17</v>
      </c>
      <c r="K31" s="96"/>
      <c r="L31" s="96"/>
      <c r="M31" s="104" t="str">
        <f t="shared" si="0"/>
        <v>NO</v>
      </c>
      <c r="N31" s="102">
        <v>1</v>
      </c>
    </row>
    <row r="32" spans="1:14" x14ac:dyDescent="0.25">
      <c r="A32" s="95" t="s">
        <v>404</v>
      </c>
      <c r="B32" s="96">
        <v>2025</v>
      </c>
      <c r="C32" s="96">
        <v>-1.0743799999999999</v>
      </c>
      <c r="D32" s="96">
        <v>-1.3963300000000001</v>
      </c>
      <c r="E32" s="96">
        <v>8.5</v>
      </c>
      <c r="F32" s="96" t="s">
        <v>398</v>
      </c>
      <c r="G32" s="96">
        <v>-0.94403599999999999</v>
      </c>
      <c r="H32" s="96">
        <v>31</v>
      </c>
      <c r="I32" s="96">
        <v>-2.2487200000000001</v>
      </c>
      <c r="J32" s="96">
        <v>24</v>
      </c>
      <c r="K32" s="96"/>
      <c r="L32" s="96"/>
      <c r="M32" s="104" t="str">
        <f t="shared" si="0"/>
        <v>NE</v>
      </c>
      <c r="N32" s="102">
        <v>1</v>
      </c>
    </row>
    <row r="33" spans="1:14" ht="15.75" thickBot="1" x14ac:dyDescent="0.3">
      <c r="A33" s="97" t="s">
        <v>405</v>
      </c>
      <c r="B33" s="98">
        <v>2025</v>
      </c>
      <c r="C33" s="98">
        <v>1.9539599999999999</v>
      </c>
      <c r="D33" s="98">
        <v>1.9072199999999999</v>
      </c>
      <c r="E33" s="98">
        <v>10.5</v>
      </c>
      <c r="F33" s="98" t="s">
        <v>398</v>
      </c>
      <c r="G33" s="98">
        <v>-1.3929800000000001</v>
      </c>
      <c r="H33" s="98">
        <v>32</v>
      </c>
      <c r="I33" s="98">
        <v>-0.37984000000000001</v>
      </c>
      <c r="J33" s="98">
        <v>19</v>
      </c>
      <c r="K33" s="98"/>
      <c r="L33" s="98"/>
      <c r="M33" s="105" t="str">
        <f t="shared" si="0"/>
        <v>SF</v>
      </c>
      <c r="N33" s="103">
        <v>1</v>
      </c>
    </row>
    <row r="34" spans="1:14" x14ac:dyDescent="0.25">
      <c r="A34" s="95" t="s">
        <v>10</v>
      </c>
      <c r="B34" s="96">
        <v>2025</v>
      </c>
      <c r="C34" s="96">
        <v>3.91255</v>
      </c>
      <c r="D34" s="96">
        <v>3.9994200000000002</v>
      </c>
      <c r="E34" s="96">
        <v>9.5</v>
      </c>
      <c r="F34" s="96" t="s">
        <v>398</v>
      </c>
      <c r="G34" s="96">
        <v>2.0559799999999999</v>
      </c>
      <c r="H34" s="96">
        <v>1</v>
      </c>
      <c r="I34" s="96">
        <v>1.86076</v>
      </c>
      <c r="J34" s="96">
        <v>8</v>
      </c>
      <c r="K34" s="96"/>
      <c r="L34" s="96"/>
      <c r="M34" s="104" t="str">
        <f>IF(A34&lt;&gt;"",IF($A34="OAK","LV",$A34),"")</f>
        <v>DET</v>
      </c>
      <c r="N34" s="102">
        <f>IF(A34&lt;&gt;"",N2+1,"")</f>
        <v>2</v>
      </c>
    </row>
    <row r="35" spans="1:14" x14ac:dyDescent="0.25">
      <c r="A35" s="95" t="s">
        <v>95</v>
      </c>
      <c r="B35" s="96">
        <v>2025</v>
      </c>
      <c r="C35" s="96">
        <v>-3.3834900000000001</v>
      </c>
      <c r="D35" s="96">
        <v>-3.78261</v>
      </c>
      <c r="E35" s="96">
        <v>5.5</v>
      </c>
      <c r="F35" s="96" t="s">
        <v>398</v>
      </c>
      <c r="G35" s="96">
        <v>1.7733000000000001</v>
      </c>
      <c r="H35" s="96">
        <v>2</v>
      </c>
      <c r="I35" s="96">
        <v>1.0205200000000001</v>
      </c>
      <c r="J35" s="96">
        <v>14</v>
      </c>
      <c r="K35" s="96"/>
      <c r="L35" s="96"/>
      <c r="M35" s="104" t="str">
        <f t="shared" si="0"/>
        <v>NYG</v>
      </c>
      <c r="N35" s="102">
        <f t="shared" ref="N35:N65" si="1">IF(A35&lt;&gt;"",N3+1,"")</f>
        <v>2</v>
      </c>
    </row>
    <row r="36" spans="1:14" x14ac:dyDescent="0.25">
      <c r="A36" s="95" t="s">
        <v>38</v>
      </c>
      <c r="B36" s="96">
        <v>2025</v>
      </c>
      <c r="C36" s="96">
        <v>5.4679599999999997</v>
      </c>
      <c r="D36" s="96">
        <v>5.2634699999999999</v>
      </c>
      <c r="E36" s="96">
        <v>10.5</v>
      </c>
      <c r="F36" s="96" t="s">
        <v>398</v>
      </c>
      <c r="G36" s="96">
        <v>1.73482</v>
      </c>
      <c r="H36" s="96">
        <v>3</v>
      </c>
      <c r="I36" s="96">
        <v>2.6560299999999999</v>
      </c>
      <c r="J36" s="96">
        <v>6</v>
      </c>
      <c r="K36" s="96"/>
      <c r="L36" s="96"/>
      <c r="M36" s="104" t="str">
        <f t="shared" si="0"/>
        <v>PHI</v>
      </c>
      <c r="N36" s="102">
        <f t="shared" si="1"/>
        <v>2</v>
      </c>
    </row>
    <row r="37" spans="1:14" x14ac:dyDescent="0.25">
      <c r="A37" s="95" t="s">
        <v>91</v>
      </c>
      <c r="B37" s="96">
        <v>2025</v>
      </c>
      <c r="C37" s="96">
        <v>-5.55016</v>
      </c>
      <c r="D37" s="96">
        <v>-6.0301200000000001</v>
      </c>
      <c r="E37" s="96">
        <v>4.5</v>
      </c>
      <c r="F37" s="96" t="s">
        <v>398</v>
      </c>
      <c r="G37" s="96">
        <v>1.6964999999999999</v>
      </c>
      <c r="H37" s="96">
        <v>4</v>
      </c>
      <c r="I37" s="96">
        <v>4.4394200000000001</v>
      </c>
      <c r="J37" s="96">
        <v>1</v>
      </c>
      <c r="K37" s="96"/>
      <c r="L37" s="96"/>
      <c r="M37" s="104" t="str">
        <f t="shared" si="0"/>
        <v>CLE</v>
      </c>
      <c r="N37" s="102">
        <f t="shared" si="1"/>
        <v>2</v>
      </c>
    </row>
    <row r="38" spans="1:14" x14ac:dyDescent="0.25">
      <c r="A38" s="95" t="s">
        <v>75</v>
      </c>
      <c r="B38" s="96">
        <v>2025</v>
      </c>
      <c r="C38" s="96">
        <v>3.1249600000000002</v>
      </c>
      <c r="D38" s="96">
        <v>2.1762199999999998</v>
      </c>
      <c r="E38" s="96">
        <v>9.5</v>
      </c>
      <c r="F38" s="96" t="s">
        <v>398</v>
      </c>
      <c r="G38" s="96">
        <v>1.5814699999999999</v>
      </c>
      <c r="H38" s="96">
        <v>5</v>
      </c>
      <c r="I38" s="96">
        <v>-1.5629900000000001</v>
      </c>
      <c r="J38" s="96">
        <v>26</v>
      </c>
      <c r="K38" s="96"/>
      <c r="L38" s="96"/>
      <c r="M38" s="104" t="str">
        <f t="shared" si="0"/>
        <v>MIN</v>
      </c>
      <c r="N38" s="102">
        <f t="shared" si="1"/>
        <v>2</v>
      </c>
    </row>
    <row r="39" spans="1:14" x14ac:dyDescent="0.25">
      <c r="A39" s="95" t="s">
        <v>72</v>
      </c>
      <c r="B39" s="96">
        <v>2025</v>
      </c>
      <c r="C39" s="96">
        <v>-3.9049500000000001E-2</v>
      </c>
      <c r="D39" s="96">
        <v>-1.1792899999999999</v>
      </c>
      <c r="E39" s="96">
        <v>7.5</v>
      </c>
      <c r="F39" s="96" t="s">
        <v>398</v>
      </c>
      <c r="G39" s="96">
        <v>1.45756</v>
      </c>
      <c r="H39" s="96">
        <v>6</v>
      </c>
      <c r="I39" s="96">
        <v>3.0878199999999998</v>
      </c>
      <c r="J39" s="96">
        <v>5</v>
      </c>
      <c r="K39" s="96"/>
      <c r="L39" s="96"/>
      <c r="M39" s="104" t="str">
        <f t="shared" si="0"/>
        <v>CHI</v>
      </c>
      <c r="N39" s="102">
        <f t="shared" si="1"/>
        <v>2</v>
      </c>
    </row>
    <row r="40" spans="1:14" x14ac:dyDescent="0.25">
      <c r="A40" s="95" t="s">
        <v>399</v>
      </c>
      <c r="B40" s="96">
        <v>2025</v>
      </c>
      <c r="C40" s="96">
        <v>6.5806899999999997</v>
      </c>
      <c r="D40" s="96">
        <v>5.9780199999999999</v>
      </c>
      <c r="E40" s="96">
        <v>11.5</v>
      </c>
      <c r="F40" s="96" t="s">
        <v>398</v>
      </c>
      <c r="G40" s="96">
        <v>1.3916500000000001</v>
      </c>
      <c r="H40" s="96">
        <v>7</v>
      </c>
      <c r="I40" s="96">
        <v>4.0554600000000001</v>
      </c>
      <c r="J40" s="96">
        <v>2</v>
      </c>
      <c r="K40" s="96"/>
      <c r="L40" s="96"/>
      <c r="M40" s="104" t="str">
        <f t="shared" si="0"/>
        <v>KC</v>
      </c>
      <c r="N40" s="102">
        <f t="shared" si="1"/>
        <v>2</v>
      </c>
    </row>
    <row r="41" spans="1:14" x14ac:dyDescent="0.25">
      <c r="A41" s="95" t="s">
        <v>14</v>
      </c>
      <c r="B41" s="96">
        <v>2025</v>
      </c>
      <c r="C41" s="96">
        <v>-0.43795499999999998</v>
      </c>
      <c r="D41" s="96">
        <v>-0.66596699999999998</v>
      </c>
      <c r="E41" s="96">
        <v>7.5</v>
      </c>
      <c r="F41" s="96" t="s">
        <v>398</v>
      </c>
      <c r="G41" s="96">
        <v>1.37612</v>
      </c>
      <c r="H41" s="96">
        <v>8</v>
      </c>
      <c r="I41" s="96">
        <v>0.74042699999999995</v>
      </c>
      <c r="J41" s="96">
        <v>15</v>
      </c>
      <c r="K41" s="96"/>
      <c r="L41" s="96"/>
      <c r="M41" s="104" t="str">
        <f t="shared" si="0"/>
        <v>DAL</v>
      </c>
      <c r="N41" s="102">
        <f t="shared" si="1"/>
        <v>2</v>
      </c>
    </row>
    <row r="42" spans="1:14" x14ac:dyDescent="0.25">
      <c r="A42" s="95" t="s">
        <v>400</v>
      </c>
      <c r="B42" s="96">
        <v>2025</v>
      </c>
      <c r="C42" s="96">
        <v>4.7144199999999996</v>
      </c>
      <c r="D42" s="96">
        <v>4.9008099999999999</v>
      </c>
      <c r="E42" s="96">
        <v>10.5</v>
      </c>
      <c r="F42" s="96" t="s">
        <v>398</v>
      </c>
      <c r="G42" s="96">
        <v>1.3214300000000001</v>
      </c>
      <c r="H42" s="96">
        <v>9</v>
      </c>
      <c r="I42" s="96">
        <v>3.3532099999999998</v>
      </c>
      <c r="J42" s="96">
        <v>4</v>
      </c>
      <c r="K42" s="96"/>
      <c r="L42" s="96"/>
      <c r="M42" s="104" t="str">
        <f t="shared" si="0"/>
        <v>GB</v>
      </c>
      <c r="N42" s="102">
        <f t="shared" si="1"/>
        <v>2</v>
      </c>
    </row>
    <row r="43" spans="1:14" x14ac:dyDescent="0.25">
      <c r="A43" s="95" t="s">
        <v>41</v>
      </c>
      <c r="B43" s="96">
        <v>2025</v>
      </c>
      <c r="C43" s="96">
        <v>2.8959999999999999</v>
      </c>
      <c r="D43" s="96">
        <v>2.7069999999999999</v>
      </c>
      <c r="E43" s="96">
        <v>9.5</v>
      </c>
      <c r="F43" s="96" t="s">
        <v>398</v>
      </c>
      <c r="G43" s="96">
        <v>1.18953</v>
      </c>
      <c r="H43" s="96">
        <v>10</v>
      </c>
      <c r="I43" s="96">
        <v>0.55910000000000004</v>
      </c>
      <c r="J43" s="96">
        <v>17</v>
      </c>
      <c r="K43" s="96"/>
      <c r="L43" s="96"/>
      <c r="M43" s="104" t="str">
        <f t="shared" si="0"/>
        <v>WAS</v>
      </c>
      <c r="N43" s="102">
        <f t="shared" si="1"/>
        <v>2</v>
      </c>
    </row>
    <row r="44" spans="1:14" x14ac:dyDescent="0.25">
      <c r="A44" s="95" t="s">
        <v>85</v>
      </c>
      <c r="B44" s="96">
        <v>2025</v>
      </c>
      <c r="C44" s="96">
        <v>1.27518</v>
      </c>
      <c r="D44" s="96">
        <v>0.38888400000000001</v>
      </c>
      <c r="E44" s="96">
        <v>8.5</v>
      </c>
      <c r="F44" s="96" t="s">
        <v>398</v>
      </c>
      <c r="G44" s="96">
        <v>1.18564</v>
      </c>
      <c r="H44" s="96">
        <v>11</v>
      </c>
      <c r="I44" s="96">
        <v>-2.24011</v>
      </c>
      <c r="J44" s="96">
        <v>27</v>
      </c>
      <c r="K44" s="96"/>
      <c r="L44" s="96"/>
      <c r="M44" s="104" t="str">
        <f t="shared" si="0"/>
        <v>PIT</v>
      </c>
      <c r="N44" s="102">
        <f t="shared" si="1"/>
        <v>2</v>
      </c>
    </row>
    <row r="45" spans="1:14" x14ac:dyDescent="0.25">
      <c r="A45" s="95" t="s">
        <v>47</v>
      </c>
      <c r="B45" s="96">
        <v>2025</v>
      </c>
      <c r="C45" s="96">
        <v>6.7028600000000003</v>
      </c>
      <c r="D45" s="96">
        <v>6.68215</v>
      </c>
      <c r="E45" s="96">
        <v>11.5</v>
      </c>
      <c r="F45" s="96" t="s">
        <v>398</v>
      </c>
      <c r="G45" s="96">
        <v>1.1472500000000001</v>
      </c>
      <c r="H45" s="96">
        <v>12</v>
      </c>
      <c r="I45" s="96">
        <v>0.37673600000000002</v>
      </c>
      <c r="J45" s="96">
        <v>18</v>
      </c>
      <c r="K45" s="96"/>
      <c r="L45" s="96"/>
      <c r="M45" s="104" t="str">
        <f t="shared" si="0"/>
        <v>BAL</v>
      </c>
      <c r="N45" s="102">
        <f t="shared" si="1"/>
        <v>2</v>
      </c>
    </row>
    <row r="46" spans="1:14" x14ac:dyDescent="0.25">
      <c r="A46" s="95" t="s">
        <v>77</v>
      </c>
      <c r="B46" s="96">
        <v>2025</v>
      </c>
      <c r="C46" s="96">
        <v>2.7489300000000001</v>
      </c>
      <c r="D46" s="96">
        <v>2.1966999999999999</v>
      </c>
      <c r="E46" s="96">
        <v>9.5</v>
      </c>
      <c r="F46" s="96" t="s">
        <v>398</v>
      </c>
      <c r="G46" s="96">
        <v>1.0472300000000001</v>
      </c>
      <c r="H46" s="96">
        <v>13</v>
      </c>
      <c r="I46" s="96">
        <v>-3.66499</v>
      </c>
      <c r="J46" s="96">
        <v>30</v>
      </c>
      <c r="K46" s="96"/>
      <c r="L46" s="96"/>
      <c r="M46" s="104" t="str">
        <f t="shared" si="0"/>
        <v>CIN</v>
      </c>
      <c r="N46" s="102">
        <f t="shared" si="1"/>
        <v>2</v>
      </c>
    </row>
    <row r="47" spans="1:14" x14ac:dyDescent="0.25">
      <c r="A47" s="95" t="s">
        <v>401</v>
      </c>
      <c r="B47" s="96">
        <v>2025</v>
      </c>
      <c r="C47" s="96">
        <v>-2.3228200000000001</v>
      </c>
      <c r="D47" s="96">
        <v>-2.4696199999999999</v>
      </c>
      <c r="E47" s="96">
        <v>6.5</v>
      </c>
      <c r="F47" s="96" t="s">
        <v>398</v>
      </c>
      <c r="G47" s="96">
        <v>1.0226299999999999</v>
      </c>
      <c r="H47" s="96">
        <v>14</v>
      </c>
      <c r="I47" s="96">
        <v>0.65083100000000005</v>
      </c>
      <c r="J47" s="96">
        <v>16</v>
      </c>
      <c r="K47" s="96"/>
      <c r="L47" s="96"/>
      <c r="M47" s="104" t="str">
        <f t="shared" si="0"/>
        <v>LV</v>
      </c>
      <c r="N47" s="102">
        <f t="shared" si="1"/>
        <v>2</v>
      </c>
    </row>
    <row r="48" spans="1:14" x14ac:dyDescent="0.25">
      <c r="A48" s="95" t="s">
        <v>63</v>
      </c>
      <c r="B48" s="96">
        <v>2025</v>
      </c>
      <c r="C48" s="96">
        <v>2.9030800000000001</v>
      </c>
      <c r="D48" s="96">
        <v>2.60981</v>
      </c>
      <c r="E48" s="96">
        <v>9.5</v>
      </c>
      <c r="F48" s="96" t="s">
        <v>398</v>
      </c>
      <c r="G48" s="96">
        <v>1.00926</v>
      </c>
      <c r="H48" s="96">
        <v>15</v>
      </c>
      <c r="I48" s="96">
        <v>-2.6411500000000001</v>
      </c>
      <c r="J48" s="96">
        <v>28</v>
      </c>
      <c r="K48" s="96"/>
      <c r="L48" s="96"/>
      <c r="M48" s="104" t="str">
        <f t="shared" si="0"/>
        <v>DEN</v>
      </c>
      <c r="N48" s="102">
        <f t="shared" si="1"/>
        <v>2</v>
      </c>
    </row>
    <row r="49" spans="1:14" x14ac:dyDescent="0.25">
      <c r="A49" s="95" t="s">
        <v>60</v>
      </c>
      <c r="B49" s="96">
        <v>2025</v>
      </c>
      <c r="C49" s="96">
        <v>2.6166</v>
      </c>
      <c r="D49" s="96">
        <v>2.8474499999999998</v>
      </c>
      <c r="E49" s="96">
        <v>9.5</v>
      </c>
      <c r="F49" s="96" t="s">
        <v>398</v>
      </c>
      <c r="G49" s="96">
        <v>0.978522</v>
      </c>
      <c r="H49" s="96">
        <v>16</v>
      </c>
      <c r="I49" s="96">
        <v>1.7542</v>
      </c>
      <c r="J49" s="96">
        <v>9</v>
      </c>
      <c r="K49" s="96"/>
      <c r="L49" s="96"/>
      <c r="M49" s="104" t="str">
        <f t="shared" si="0"/>
        <v>LAC</v>
      </c>
      <c r="N49" s="102">
        <f t="shared" si="1"/>
        <v>2</v>
      </c>
    </row>
    <row r="50" spans="1:14" x14ac:dyDescent="0.25">
      <c r="A50" s="95" t="s">
        <v>31</v>
      </c>
      <c r="B50" s="96">
        <v>2025</v>
      </c>
      <c r="C50" s="96">
        <v>2.34124</v>
      </c>
      <c r="D50" s="96">
        <v>2.0209299999999999</v>
      </c>
      <c r="E50" s="96">
        <v>9.5</v>
      </c>
      <c r="F50" s="96" t="s">
        <v>398</v>
      </c>
      <c r="G50" s="96">
        <v>0.82220499999999996</v>
      </c>
      <c r="H50" s="96">
        <v>17</v>
      </c>
      <c r="I50" s="96">
        <v>1.67411</v>
      </c>
      <c r="J50" s="96">
        <v>10</v>
      </c>
      <c r="K50" s="96"/>
      <c r="L50" s="96"/>
      <c r="M50" s="104" t="str">
        <f t="shared" si="0"/>
        <v>HOU</v>
      </c>
      <c r="N50" s="102">
        <f t="shared" si="1"/>
        <v>2</v>
      </c>
    </row>
    <row r="51" spans="1:14" x14ac:dyDescent="0.25">
      <c r="A51" s="95" t="s">
        <v>57</v>
      </c>
      <c r="B51" s="96">
        <v>2025</v>
      </c>
      <c r="C51" s="96">
        <v>-1.6455900000000001</v>
      </c>
      <c r="D51" s="96">
        <v>-1.0366899999999999</v>
      </c>
      <c r="E51" s="96">
        <v>7.5</v>
      </c>
      <c r="F51" s="96" t="s">
        <v>398</v>
      </c>
      <c r="G51" s="96">
        <v>0.25655099999999997</v>
      </c>
      <c r="H51" s="96">
        <v>18</v>
      </c>
      <c r="I51" s="96">
        <v>-0.24935399999999999</v>
      </c>
      <c r="J51" s="96">
        <v>20</v>
      </c>
      <c r="K51" s="96"/>
      <c r="L51" s="96"/>
      <c r="M51" s="104" t="str">
        <f t="shared" si="0"/>
        <v>IND</v>
      </c>
      <c r="N51" s="102">
        <f t="shared" si="1"/>
        <v>2</v>
      </c>
    </row>
    <row r="52" spans="1:14" x14ac:dyDescent="0.25">
      <c r="A52" s="95" t="s">
        <v>44</v>
      </c>
      <c r="B52" s="96">
        <v>2025</v>
      </c>
      <c r="C52" s="96">
        <v>-1.54315</v>
      </c>
      <c r="D52" s="96">
        <v>-1.29986</v>
      </c>
      <c r="E52" s="96">
        <v>7.5</v>
      </c>
      <c r="F52" s="96" t="s">
        <v>398</v>
      </c>
      <c r="G52" s="96">
        <v>0.113456</v>
      </c>
      <c r="H52" s="96">
        <v>19</v>
      </c>
      <c r="I52" s="96">
        <v>-1.2026699999999999</v>
      </c>
      <c r="J52" s="96">
        <v>24</v>
      </c>
      <c r="K52" s="96"/>
      <c r="L52" s="96"/>
      <c r="M52" s="104" t="str">
        <f t="shared" si="0"/>
        <v>JAX</v>
      </c>
      <c r="N52" s="102">
        <f t="shared" si="1"/>
        <v>2</v>
      </c>
    </row>
    <row r="53" spans="1:14" x14ac:dyDescent="0.25">
      <c r="A53" s="95" t="s">
        <v>21</v>
      </c>
      <c r="B53" s="96">
        <v>2025</v>
      </c>
      <c r="C53" s="96">
        <v>2.0306000000000002</v>
      </c>
      <c r="D53" s="96">
        <v>2.3229500000000001</v>
      </c>
      <c r="E53" s="96">
        <v>9.5</v>
      </c>
      <c r="F53" s="96" t="s">
        <v>398</v>
      </c>
      <c r="G53" s="96">
        <v>7.18921E-2</v>
      </c>
      <c r="H53" s="96">
        <v>20</v>
      </c>
      <c r="I53" s="96">
        <v>-1.1123400000000001</v>
      </c>
      <c r="J53" s="96">
        <v>23</v>
      </c>
      <c r="K53" s="96"/>
      <c r="L53" s="96"/>
      <c r="M53" s="104" t="str">
        <f t="shared" si="0"/>
        <v>LAR</v>
      </c>
      <c r="N53" s="102">
        <f t="shared" si="1"/>
        <v>2</v>
      </c>
    </row>
    <row r="54" spans="1:14" x14ac:dyDescent="0.25">
      <c r="A54" s="95" t="s">
        <v>79</v>
      </c>
      <c r="B54" s="96">
        <v>2025</v>
      </c>
      <c r="C54" s="96">
        <v>-3.90238</v>
      </c>
      <c r="D54" s="96">
        <v>-4.5217799999999997</v>
      </c>
      <c r="E54" s="96">
        <v>6.5</v>
      </c>
      <c r="F54" s="96" t="s">
        <v>398</v>
      </c>
      <c r="G54" s="96">
        <v>4.8904999999999999E-3</v>
      </c>
      <c r="H54" s="96">
        <v>21</v>
      </c>
      <c r="I54" s="96">
        <v>3.5862400000000001</v>
      </c>
      <c r="J54" s="96">
        <v>3</v>
      </c>
      <c r="K54" s="96"/>
      <c r="L54" s="96"/>
      <c r="M54" s="104" t="str">
        <f t="shared" si="0"/>
        <v>NYJ</v>
      </c>
      <c r="N54" s="102">
        <f t="shared" si="1"/>
        <v>2</v>
      </c>
    </row>
    <row r="55" spans="1:14" x14ac:dyDescent="0.25">
      <c r="A55" s="95" t="s">
        <v>2</v>
      </c>
      <c r="B55" s="96">
        <v>2025</v>
      </c>
      <c r="C55" s="96">
        <v>-1.93469</v>
      </c>
      <c r="D55" s="96">
        <v>-3.1085199999999999</v>
      </c>
      <c r="E55" s="96">
        <v>7.5</v>
      </c>
      <c r="F55" s="96" t="s">
        <v>398</v>
      </c>
      <c r="G55" s="96">
        <v>-5.3365700000000002E-2</v>
      </c>
      <c r="H55" s="96">
        <v>22</v>
      </c>
      <c r="I55" s="96">
        <v>-1.2912399999999999</v>
      </c>
      <c r="J55" s="96">
        <v>25</v>
      </c>
      <c r="K55" s="96"/>
      <c r="L55" s="96"/>
      <c r="M55" s="104" t="str">
        <f t="shared" si="0"/>
        <v>MIA</v>
      </c>
      <c r="N55" s="102">
        <f t="shared" si="1"/>
        <v>2</v>
      </c>
    </row>
    <row r="56" spans="1:14" x14ac:dyDescent="0.25">
      <c r="A56" s="95" t="s">
        <v>89</v>
      </c>
      <c r="B56" s="96">
        <v>2025</v>
      </c>
      <c r="C56" s="96">
        <v>-3.84748</v>
      </c>
      <c r="D56" s="96">
        <v>-4.2456100000000001</v>
      </c>
      <c r="E56" s="96">
        <v>6.5</v>
      </c>
      <c r="F56" s="96" t="s">
        <v>398</v>
      </c>
      <c r="G56" s="96">
        <v>-0.16883100000000001</v>
      </c>
      <c r="H56" s="96">
        <v>23</v>
      </c>
      <c r="I56" s="96">
        <v>2.46638</v>
      </c>
      <c r="J56" s="96">
        <v>7</v>
      </c>
      <c r="K56" s="96"/>
      <c r="L56" s="96"/>
      <c r="M56" s="104" t="str">
        <f t="shared" si="0"/>
        <v>TEN</v>
      </c>
      <c r="N56" s="102">
        <f t="shared" si="1"/>
        <v>2</v>
      </c>
    </row>
    <row r="57" spans="1:14" x14ac:dyDescent="0.25">
      <c r="A57" s="95" t="s">
        <v>55</v>
      </c>
      <c r="B57" s="96">
        <v>2025</v>
      </c>
      <c r="C57" s="96">
        <v>-0.221246</v>
      </c>
      <c r="D57" s="96">
        <v>4.1565900000000003E-2</v>
      </c>
      <c r="E57" s="96">
        <v>8.5</v>
      </c>
      <c r="F57" s="96" t="s">
        <v>398</v>
      </c>
      <c r="G57" s="96">
        <v>-0.18008199999999999</v>
      </c>
      <c r="H57" s="96">
        <v>24</v>
      </c>
      <c r="I57" s="96">
        <v>1.16093</v>
      </c>
      <c r="J57" s="96">
        <v>12</v>
      </c>
      <c r="K57" s="96"/>
      <c r="L57" s="96"/>
      <c r="M57" s="104" t="str">
        <f t="shared" si="0"/>
        <v>SEA</v>
      </c>
      <c r="N57" s="102">
        <f t="shared" si="1"/>
        <v>2</v>
      </c>
    </row>
    <row r="58" spans="1:14" x14ac:dyDescent="0.25">
      <c r="A58" s="95" t="s">
        <v>93</v>
      </c>
      <c r="B58" s="96">
        <v>2025</v>
      </c>
      <c r="C58" s="96">
        <v>-1.56206E-2</v>
      </c>
      <c r="D58" s="96">
        <v>-0.14671500000000001</v>
      </c>
      <c r="E58" s="96">
        <v>8.5</v>
      </c>
      <c r="F58" s="96" t="s">
        <v>398</v>
      </c>
      <c r="G58" s="96">
        <v>-0.22019900000000001</v>
      </c>
      <c r="H58" s="96">
        <v>25</v>
      </c>
      <c r="I58" s="96">
        <v>-6.4444499999999998</v>
      </c>
      <c r="J58" s="96">
        <v>32</v>
      </c>
      <c r="K58" s="96"/>
      <c r="L58" s="96"/>
      <c r="M58" s="104" t="str">
        <f t="shared" si="0"/>
        <v>ARI</v>
      </c>
      <c r="N58" s="102">
        <f t="shared" si="1"/>
        <v>2</v>
      </c>
    </row>
    <row r="59" spans="1:14" x14ac:dyDescent="0.25">
      <c r="A59" s="95" t="s">
        <v>25</v>
      </c>
      <c r="B59" s="96">
        <v>2025</v>
      </c>
      <c r="C59" s="96">
        <v>6.80145</v>
      </c>
      <c r="D59" s="96">
        <v>6.7835900000000002</v>
      </c>
      <c r="E59" s="96">
        <v>12.5</v>
      </c>
      <c r="F59" s="96" t="s">
        <v>398</v>
      </c>
      <c r="G59" s="96">
        <v>-0.46215400000000001</v>
      </c>
      <c r="H59" s="96">
        <v>26</v>
      </c>
      <c r="I59" s="96">
        <v>1.0801799999999999</v>
      </c>
      <c r="J59" s="96">
        <v>13</v>
      </c>
      <c r="K59" s="96"/>
      <c r="L59" s="96"/>
      <c r="M59" s="104" t="str">
        <f t="shared" si="0"/>
        <v>BUF</v>
      </c>
      <c r="N59" s="102">
        <f t="shared" si="1"/>
        <v>2</v>
      </c>
    </row>
    <row r="60" spans="1:14" x14ac:dyDescent="0.25">
      <c r="A60" s="95" t="s">
        <v>67</v>
      </c>
      <c r="B60" s="96">
        <v>2025</v>
      </c>
      <c r="C60" s="96">
        <v>-4.1393800000000001</v>
      </c>
      <c r="D60" s="96">
        <v>-4.6020399999999997</v>
      </c>
      <c r="E60" s="96">
        <v>6.5</v>
      </c>
      <c r="F60" s="96" t="s">
        <v>398</v>
      </c>
      <c r="G60" s="96">
        <v>-0.73829800000000001</v>
      </c>
      <c r="H60" s="96">
        <v>27</v>
      </c>
      <c r="I60" s="96">
        <v>-0.72328899999999996</v>
      </c>
      <c r="J60" s="96">
        <v>22</v>
      </c>
      <c r="K60" s="96"/>
      <c r="L60" s="96"/>
      <c r="M60" s="104" t="str">
        <f t="shared" si="0"/>
        <v>CAR</v>
      </c>
      <c r="N60" s="102">
        <f t="shared" si="1"/>
        <v>2</v>
      </c>
    </row>
    <row r="61" spans="1:14" x14ac:dyDescent="0.25">
      <c r="A61" s="95" t="s">
        <v>402</v>
      </c>
      <c r="B61" s="96">
        <v>2025</v>
      </c>
      <c r="C61" s="96">
        <v>1.0203599999999999</v>
      </c>
      <c r="D61" s="96">
        <v>1.0252699999999999</v>
      </c>
      <c r="E61" s="96">
        <v>9.5</v>
      </c>
      <c r="F61" s="96" t="s">
        <v>398</v>
      </c>
      <c r="G61" s="96">
        <v>-0.81659599999999999</v>
      </c>
      <c r="H61" s="96">
        <v>28</v>
      </c>
      <c r="I61" s="96">
        <v>3.7123000000000003E-2</v>
      </c>
      <c r="J61" s="96">
        <v>19</v>
      </c>
      <c r="K61" s="96"/>
      <c r="L61" s="96"/>
      <c r="M61" s="104" t="str">
        <f t="shared" si="0"/>
        <v>TB</v>
      </c>
      <c r="N61" s="102">
        <f t="shared" si="1"/>
        <v>2</v>
      </c>
    </row>
    <row r="62" spans="1:14" x14ac:dyDescent="0.25">
      <c r="A62" s="95" t="s">
        <v>69</v>
      </c>
      <c r="B62" s="96">
        <v>2025</v>
      </c>
      <c r="C62" s="96">
        <v>-2.4055800000000001</v>
      </c>
      <c r="D62" s="96">
        <v>-1.94668</v>
      </c>
      <c r="E62" s="96">
        <v>7.5</v>
      </c>
      <c r="F62" s="96" t="s">
        <v>398</v>
      </c>
      <c r="G62" s="96">
        <v>-0.84568399999999999</v>
      </c>
      <c r="H62" s="96">
        <v>29</v>
      </c>
      <c r="I62" s="96">
        <v>1.6007499999999999</v>
      </c>
      <c r="J62" s="96">
        <v>11</v>
      </c>
      <c r="K62" s="96"/>
      <c r="L62" s="96"/>
      <c r="M62" s="104" t="str">
        <f t="shared" si="0"/>
        <v>ATL</v>
      </c>
      <c r="N62" s="102">
        <f t="shared" si="1"/>
        <v>2</v>
      </c>
    </row>
    <row r="63" spans="1:14" x14ac:dyDescent="0.25">
      <c r="A63" s="95" t="s">
        <v>403</v>
      </c>
      <c r="B63" s="96">
        <v>2025</v>
      </c>
      <c r="C63" s="96">
        <v>-8.0758299999999998</v>
      </c>
      <c r="D63" s="96">
        <v>-8.2868700000000004</v>
      </c>
      <c r="E63" s="96">
        <v>4.5</v>
      </c>
      <c r="F63" s="96" t="s">
        <v>398</v>
      </c>
      <c r="G63" s="96">
        <v>-0.86361900000000003</v>
      </c>
      <c r="H63" s="96">
        <v>30</v>
      </c>
      <c r="I63" s="96">
        <v>-0.35187099999999999</v>
      </c>
      <c r="J63" s="96">
        <v>21</v>
      </c>
      <c r="K63" s="96"/>
      <c r="L63" s="96"/>
      <c r="M63" s="104" t="str">
        <f t="shared" si="0"/>
        <v>NO</v>
      </c>
      <c r="N63" s="102">
        <f t="shared" si="1"/>
        <v>2</v>
      </c>
    </row>
    <row r="64" spans="1:14" x14ac:dyDescent="0.25">
      <c r="A64" s="95" t="s">
        <v>404</v>
      </c>
      <c r="B64" s="96">
        <v>2025</v>
      </c>
      <c r="C64" s="96">
        <v>-1.0743799999999999</v>
      </c>
      <c r="D64" s="96">
        <v>-1.54579</v>
      </c>
      <c r="E64" s="96">
        <v>8.5</v>
      </c>
      <c r="F64" s="96" t="s">
        <v>398</v>
      </c>
      <c r="G64" s="96">
        <v>-0.94403599999999999</v>
      </c>
      <c r="H64" s="96">
        <v>31</v>
      </c>
      <c r="I64" s="96">
        <v>-2.7890700000000002</v>
      </c>
      <c r="J64" s="96">
        <v>29</v>
      </c>
      <c r="K64" s="96"/>
      <c r="L64" s="96"/>
      <c r="M64" s="104" t="str">
        <f t="shared" si="0"/>
        <v>NE</v>
      </c>
      <c r="N64" s="102">
        <f t="shared" si="1"/>
        <v>2</v>
      </c>
    </row>
    <row r="65" spans="1:14" ht="15.75" thickBot="1" x14ac:dyDescent="0.3">
      <c r="A65" s="97" t="s">
        <v>405</v>
      </c>
      <c r="B65" s="98">
        <v>2025</v>
      </c>
      <c r="C65" s="98">
        <v>1.9539599999999999</v>
      </c>
      <c r="D65" s="98">
        <v>1.9329700000000001</v>
      </c>
      <c r="E65" s="98">
        <v>10.5</v>
      </c>
      <c r="F65" s="98" t="s">
        <v>398</v>
      </c>
      <c r="G65" s="98">
        <v>-1.3929800000000001</v>
      </c>
      <c r="H65" s="98">
        <v>32</v>
      </c>
      <c r="I65" s="98">
        <v>-4.1226500000000001</v>
      </c>
      <c r="J65" s="98">
        <v>31</v>
      </c>
      <c r="K65" s="98"/>
      <c r="L65" s="98"/>
      <c r="M65" s="105" t="str">
        <f t="shared" si="0"/>
        <v>SF</v>
      </c>
      <c r="N65" s="103">
        <f t="shared" si="1"/>
        <v>2</v>
      </c>
    </row>
    <row r="66" spans="1:14" x14ac:dyDescent="0.25">
      <c r="A66" s="95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104" t="str">
        <f>IF(A66&lt;&gt;"",IF($A66="OAK","LV",$A66),"")</f>
        <v/>
      </c>
      <c r="N66" s="102" t="str">
        <f>IF(A66&lt;&gt;"",N34+1,"")</f>
        <v/>
      </c>
    </row>
    <row r="67" spans="1:14" x14ac:dyDescent="0.25">
      <c r="A67" s="95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104" t="str">
        <f t="shared" ref="M67:M97" si="2">IF(A67&lt;&gt;"",IF($A67="OAK","LV",$A67),"")</f>
        <v/>
      </c>
      <c r="N67" s="102" t="str">
        <f t="shared" ref="N67:N97" si="3">IF(A67&lt;&gt;"",N35+1,"")</f>
        <v/>
      </c>
    </row>
    <row r="68" spans="1:14" x14ac:dyDescent="0.25">
      <c r="A68" s="95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104" t="str">
        <f t="shared" si="2"/>
        <v/>
      </c>
      <c r="N68" s="102" t="str">
        <f t="shared" si="3"/>
        <v/>
      </c>
    </row>
    <row r="69" spans="1:14" x14ac:dyDescent="0.25">
      <c r="A69" s="95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104" t="str">
        <f t="shared" si="2"/>
        <v/>
      </c>
      <c r="N69" s="102" t="str">
        <f t="shared" si="3"/>
        <v/>
      </c>
    </row>
    <row r="70" spans="1:14" x14ac:dyDescent="0.25">
      <c r="A70" s="95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104" t="str">
        <f t="shared" si="2"/>
        <v/>
      </c>
      <c r="N70" s="102" t="str">
        <f t="shared" si="3"/>
        <v/>
      </c>
    </row>
    <row r="71" spans="1:14" x14ac:dyDescent="0.25">
      <c r="A71" s="95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104" t="str">
        <f t="shared" si="2"/>
        <v/>
      </c>
      <c r="N71" s="102" t="str">
        <f t="shared" si="3"/>
        <v/>
      </c>
    </row>
    <row r="72" spans="1:14" x14ac:dyDescent="0.25">
      <c r="A72" s="95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104" t="str">
        <f t="shared" si="2"/>
        <v/>
      </c>
      <c r="N72" s="102" t="str">
        <f t="shared" si="3"/>
        <v/>
      </c>
    </row>
    <row r="73" spans="1:14" x14ac:dyDescent="0.25">
      <c r="A73" s="95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104" t="str">
        <f t="shared" si="2"/>
        <v/>
      </c>
      <c r="N73" s="102" t="str">
        <f t="shared" si="3"/>
        <v/>
      </c>
    </row>
    <row r="74" spans="1:14" x14ac:dyDescent="0.25">
      <c r="A74" s="95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104" t="str">
        <f t="shared" si="2"/>
        <v/>
      </c>
      <c r="N74" s="102" t="str">
        <f t="shared" si="3"/>
        <v/>
      </c>
    </row>
    <row r="75" spans="1:14" x14ac:dyDescent="0.25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104" t="str">
        <f t="shared" si="2"/>
        <v/>
      </c>
      <c r="N75" s="102" t="str">
        <f t="shared" si="3"/>
        <v/>
      </c>
    </row>
    <row r="76" spans="1:14" x14ac:dyDescent="0.25">
      <c r="A76" s="95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104" t="str">
        <f t="shared" si="2"/>
        <v/>
      </c>
      <c r="N76" s="102" t="str">
        <f t="shared" si="3"/>
        <v/>
      </c>
    </row>
    <row r="77" spans="1:14" x14ac:dyDescent="0.25">
      <c r="A77" s="95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104" t="str">
        <f t="shared" si="2"/>
        <v/>
      </c>
      <c r="N77" s="102" t="str">
        <f t="shared" si="3"/>
        <v/>
      </c>
    </row>
    <row r="78" spans="1:14" x14ac:dyDescent="0.25">
      <c r="A78" s="95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104" t="str">
        <f t="shared" si="2"/>
        <v/>
      </c>
      <c r="N78" s="102" t="str">
        <f t="shared" si="3"/>
        <v/>
      </c>
    </row>
    <row r="79" spans="1:14" x14ac:dyDescent="0.25">
      <c r="A79" s="95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104" t="str">
        <f t="shared" si="2"/>
        <v/>
      </c>
      <c r="N79" s="102" t="str">
        <f t="shared" si="3"/>
        <v/>
      </c>
    </row>
    <row r="80" spans="1:14" x14ac:dyDescent="0.25">
      <c r="A80" s="95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104" t="str">
        <f t="shared" si="2"/>
        <v/>
      </c>
      <c r="N80" s="102" t="str">
        <f t="shared" si="3"/>
        <v/>
      </c>
    </row>
    <row r="81" spans="1:14" x14ac:dyDescent="0.25">
      <c r="A81" s="95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104" t="str">
        <f t="shared" si="2"/>
        <v/>
      </c>
      <c r="N81" s="102" t="str">
        <f t="shared" si="3"/>
        <v/>
      </c>
    </row>
    <row r="82" spans="1:14" x14ac:dyDescent="0.25">
      <c r="A82" s="95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104" t="str">
        <f t="shared" si="2"/>
        <v/>
      </c>
      <c r="N82" s="102" t="str">
        <f t="shared" si="3"/>
        <v/>
      </c>
    </row>
    <row r="83" spans="1:14" x14ac:dyDescent="0.25">
      <c r="A83" s="95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104" t="str">
        <f t="shared" si="2"/>
        <v/>
      </c>
      <c r="N83" s="102" t="str">
        <f t="shared" si="3"/>
        <v/>
      </c>
    </row>
    <row r="84" spans="1:14" x14ac:dyDescent="0.25">
      <c r="A84" s="95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104" t="str">
        <f t="shared" si="2"/>
        <v/>
      </c>
      <c r="N84" s="102" t="str">
        <f t="shared" si="3"/>
        <v/>
      </c>
    </row>
    <row r="85" spans="1:14" x14ac:dyDescent="0.25">
      <c r="A85" s="95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104" t="str">
        <f t="shared" si="2"/>
        <v/>
      </c>
      <c r="N85" s="102" t="str">
        <f t="shared" si="3"/>
        <v/>
      </c>
    </row>
    <row r="86" spans="1:14" x14ac:dyDescent="0.25">
      <c r="A86" s="95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104" t="str">
        <f t="shared" si="2"/>
        <v/>
      </c>
      <c r="N86" s="102" t="str">
        <f t="shared" si="3"/>
        <v/>
      </c>
    </row>
    <row r="87" spans="1:14" x14ac:dyDescent="0.25">
      <c r="A87" s="95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104" t="str">
        <f t="shared" si="2"/>
        <v/>
      </c>
      <c r="N87" s="102" t="str">
        <f t="shared" si="3"/>
        <v/>
      </c>
    </row>
    <row r="88" spans="1:14" x14ac:dyDescent="0.25">
      <c r="A88" s="95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104" t="str">
        <f t="shared" si="2"/>
        <v/>
      </c>
      <c r="N88" s="102" t="str">
        <f t="shared" si="3"/>
        <v/>
      </c>
    </row>
    <row r="89" spans="1:14" x14ac:dyDescent="0.25">
      <c r="A89" s="95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104" t="str">
        <f t="shared" si="2"/>
        <v/>
      </c>
      <c r="N89" s="102" t="str">
        <f t="shared" si="3"/>
        <v/>
      </c>
    </row>
    <row r="90" spans="1:14" x14ac:dyDescent="0.25">
      <c r="A90" s="95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104" t="str">
        <f t="shared" si="2"/>
        <v/>
      </c>
      <c r="N90" s="102" t="str">
        <f t="shared" si="3"/>
        <v/>
      </c>
    </row>
    <row r="91" spans="1:14" x14ac:dyDescent="0.25">
      <c r="A91" s="95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104" t="str">
        <f t="shared" si="2"/>
        <v/>
      </c>
      <c r="N91" s="102" t="str">
        <f t="shared" si="3"/>
        <v/>
      </c>
    </row>
    <row r="92" spans="1:14" x14ac:dyDescent="0.25">
      <c r="A92" s="95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104" t="str">
        <f t="shared" si="2"/>
        <v/>
      </c>
      <c r="N92" s="102" t="str">
        <f t="shared" si="3"/>
        <v/>
      </c>
    </row>
    <row r="93" spans="1:14" x14ac:dyDescent="0.25">
      <c r="A93" s="95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104" t="str">
        <f t="shared" si="2"/>
        <v/>
      </c>
      <c r="N93" s="102" t="str">
        <f t="shared" si="3"/>
        <v/>
      </c>
    </row>
    <row r="94" spans="1:14" x14ac:dyDescent="0.25">
      <c r="A94" s="95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104" t="str">
        <f t="shared" si="2"/>
        <v/>
      </c>
      <c r="N94" s="102" t="str">
        <f t="shared" si="3"/>
        <v/>
      </c>
    </row>
    <row r="95" spans="1:14" x14ac:dyDescent="0.25">
      <c r="A95" s="95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104" t="str">
        <f t="shared" si="2"/>
        <v/>
      </c>
      <c r="N95" s="102" t="str">
        <f t="shared" si="3"/>
        <v/>
      </c>
    </row>
    <row r="96" spans="1:14" x14ac:dyDescent="0.25">
      <c r="A96" s="95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104" t="str">
        <f t="shared" si="2"/>
        <v/>
      </c>
      <c r="N96" s="102" t="str">
        <f t="shared" si="3"/>
        <v/>
      </c>
    </row>
    <row r="97" spans="1:14" ht="15.75" thickBot="1" x14ac:dyDescent="0.3">
      <c r="A97" s="97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105" t="str">
        <f t="shared" si="2"/>
        <v/>
      </c>
      <c r="N97" s="103" t="str">
        <f t="shared" si="3"/>
        <v/>
      </c>
    </row>
    <row r="98" spans="1:14" x14ac:dyDescent="0.25">
      <c r="A98" s="95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104" t="str">
        <f>IF(A98&lt;&gt;"",IF($A98="OAK","LV",$A98),"")</f>
        <v/>
      </c>
      <c r="N98" s="102" t="str">
        <f>IF(A98&lt;&gt;"",N66+1,"")</f>
        <v/>
      </c>
    </row>
    <row r="99" spans="1:14" x14ac:dyDescent="0.25">
      <c r="A99" s="95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104" t="str">
        <f t="shared" ref="M99:M129" si="4">IF(A99&lt;&gt;"",IF($A99="OAK","LV",$A99),"")</f>
        <v/>
      </c>
      <c r="N99" s="102" t="str">
        <f t="shared" ref="N99:N129" si="5">IF(A99&lt;&gt;"",N67+1,"")</f>
        <v/>
      </c>
    </row>
    <row r="100" spans="1:14" x14ac:dyDescent="0.25">
      <c r="A100" s="95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104" t="str">
        <f t="shared" si="4"/>
        <v/>
      </c>
      <c r="N100" s="102" t="str">
        <f t="shared" si="5"/>
        <v/>
      </c>
    </row>
    <row r="101" spans="1:14" x14ac:dyDescent="0.25">
      <c r="A101" s="95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104" t="str">
        <f t="shared" si="4"/>
        <v/>
      </c>
      <c r="N101" s="102" t="str">
        <f t="shared" si="5"/>
        <v/>
      </c>
    </row>
    <row r="102" spans="1:14" x14ac:dyDescent="0.25">
      <c r="A102" s="95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104" t="str">
        <f t="shared" si="4"/>
        <v/>
      </c>
      <c r="N102" s="102" t="str">
        <f t="shared" si="5"/>
        <v/>
      </c>
    </row>
    <row r="103" spans="1:14" x14ac:dyDescent="0.25">
      <c r="A103" s="95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104" t="str">
        <f t="shared" si="4"/>
        <v/>
      </c>
      <c r="N103" s="102" t="str">
        <f t="shared" si="5"/>
        <v/>
      </c>
    </row>
    <row r="104" spans="1:14" x14ac:dyDescent="0.25">
      <c r="A104" s="95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104" t="str">
        <f t="shared" si="4"/>
        <v/>
      </c>
      <c r="N104" s="102" t="str">
        <f t="shared" si="5"/>
        <v/>
      </c>
    </row>
    <row r="105" spans="1:14" x14ac:dyDescent="0.25">
      <c r="A105" s="95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104" t="str">
        <f t="shared" si="4"/>
        <v/>
      </c>
      <c r="N105" s="102" t="str">
        <f t="shared" si="5"/>
        <v/>
      </c>
    </row>
    <row r="106" spans="1:14" x14ac:dyDescent="0.25">
      <c r="A106" s="95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104" t="str">
        <f t="shared" si="4"/>
        <v/>
      </c>
      <c r="N106" s="102" t="str">
        <f t="shared" si="5"/>
        <v/>
      </c>
    </row>
    <row r="107" spans="1:14" x14ac:dyDescent="0.25">
      <c r="A107" s="95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104" t="str">
        <f t="shared" si="4"/>
        <v/>
      </c>
      <c r="N107" s="102" t="str">
        <f t="shared" si="5"/>
        <v/>
      </c>
    </row>
    <row r="108" spans="1:14" x14ac:dyDescent="0.25">
      <c r="A108" s="95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104" t="str">
        <f t="shared" si="4"/>
        <v/>
      </c>
      <c r="N108" s="102" t="str">
        <f t="shared" si="5"/>
        <v/>
      </c>
    </row>
    <row r="109" spans="1:14" x14ac:dyDescent="0.25">
      <c r="A109" s="95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104" t="str">
        <f t="shared" si="4"/>
        <v/>
      </c>
      <c r="N109" s="102" t="str">
        <f t="shared" si="5"/>
        <v/>
      </c>
    </row>
    <row r="110" spans="1:14" x14ac:dyDescent="0.25">
      <c r="A110" s="95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104" t="str">
        <f t="shared" si="4"/>
        <v/>
      </c>
      <c r="N110" s="102" t="str">
        <f t="shared" si="5"/>
        <v/>
      </c>
    </row>
    <row r="111" spans="1:14" x14ac:dyDescent="0.25">
      <c r="A111" s="95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104" t="str">
        <f t="shared" si="4"/>
        <v/>
      </c>
      <c r="N111" s="102" t="str">
        <f t="shared" si="5"/>
        <v/>
      </c>
    </row>
    <row r="112" spans="1:14" x14ac:dyDescent="0.25">
      <c r="A112" s="95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104" t="str">
        <f t="shared" si="4"/>
        <v/>
      </c>
      <c r="N112" s="102" t="str">
        <f t="shared" si="5"/>
        <v/>
      </c>
    </row>
    <row r="113" spans="1:14" x14ac:dyDescent="0.25">
      <c r="A113" s="95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104" t="str">
        <f t="shared" si="4"/>
        <v/>
      </c>
      <c r="N113" s="102" t="str">
        <f t="shared" si="5"/>
        <v/>
      </c>
    </row>
    <row r="114" spans="1:14" x14ac:dyDescent="0.25">
      <c r="A114" s="95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104" t="str">
        <f t="shared" si="4"/>
        <v/>
      </c>
      <c r="N114" s="102" t="str">
        <f t="shared" si="5"/>
        <v/>
      </c>
    </row>
    <row r="115" spans="1:14" x14ac:dyDescent="0.25">
      <c r="A115" s="95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104" t="str">
        <f t="shared" si="4"/>
        <v/>
      </c>
      <c r="N115" s="102" t="str">
        <f t="shared" si="5"/>
        <v/>
      </c>
    </row>
    <row r="116" spans="1:14" x14ac:dyDescent="0.25">
      <c r="A116" s="95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104" t="str">
        <f t="shared" si="4"/>
        <v/>
      </c>
      <c r="N116" s="102" t="str">
        <f t="shared" si="5"/>
        <v/>
      </c>
    </row>
    <row r="117" spans="1:14" x14ac:dyDescent="0.25">
      <c r="A117" s="95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104" t="str">
        <f t="shared" si="4"/>
        <v/>
      </c>
      <c r="N117" s="102" t="str">
        <f t="shared" si="5"/>
        <v/>
      </c>
    </row>
    <row r="118" spans="1:14" x14ac:dyDescent="0.25">
      <c r="A118" s="95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104" t="str">
        <f t="shared" si="4"/>
        <v/>
      </c>
      <c r="N118" s="102" t="str">
        <f t="shared" si="5"/>
        <v/>
      </c>
    </row>
    <row r="119" spans="1:14" x14ac:dyDescent="0.25">
      <c r="A119" s="95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104" t="str">
        <f t="shared" si="4"/>
        <v/>
      </c>
      <c r="N119" s="102" t="str">
        <f t="shared" si="5"/>
        <v/>
      </c>
    </row>
    <row r="120" spans="1:14" x14ac:dyDescent="0.25">
      <c r="A120" s="95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104" t="str">
        <f t="shared" si="4"/>
        <v/>
      </c>
      <c r="N120" s="102" t="str">
        <f t="shared" si="5"/>
        <v/>
      </c>
    </row>
    <row r="121" spans="1:14" x14ac:dyDescent="0.25">
      <c r="A121" s="95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104" t="str">
        <f t="shared" si="4"/>
        <v/>
      </c>
      <c r="N121" s="102" t="str">
        <f t="shared" si="5"/>
        <v/>
      </c>
    </row>
    <row r="122" spans="1:14" x14ac:dyDescent="0.25">
      <c r="A122" s="95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104" t="str">
        <f t="shared" si="4"/>
        <v/>
      </c>
      <c r="N122" s="102" t="str">
        <f t="shared" si="5"/>
        <v/>
      </c>
    </row>
    <row r="123" spans="1:14" x14ac:dyDescent="0.25">
      <c r="A123" s="95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104" t="str">
        <f t="shared" si="4"/>
        <v/>
      </c>
      <c r="N123" s="102" t="str">
        <f t="shared" si="5"/>
        <v/>
      </c>
    </row>
    <row r="124" spans="1:14" x14ac:dyDescent="0.25">
      <c r="A124" s="95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104" t="str">
        <f t="shared" si="4"/>
        <v/>
      </c>
      <c r="N124" s="102" t="str">
        <f t="shared" si="5"/>
        <v/>
      </c>
    </row>
    <row r="125" spans="1:14" x14ac:dyDescent="0.25">
      <c r="A125" s="95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104" t="str">
        <f t="shared" si="4"/>
        <v/>
      </c>
      <c r="N125" s="102" t="str">
        <f t="shared" si="5"/>
        <v/>
      </c>
    </row>
    <row r="126" spans="1:14" x14ac:dyDescent="0.25">
      <c r="A126" s="95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104" t="str">
        <f t="shared" si="4"/>
        <v/>
      </c>
      <c r="N126" s="102" t="str">
        <f t="shared" si="5"/>
        <v/>
      </c>
    </row>
    <row r="127" spans="1:14" x14ac:dyDescent="0.25">
      <c r="A127" s="95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104" t="str">
        <f t="shared" si="4"/>
        <v/>
      </c>
      <c r="N127" s="102" t="str">
        <f t="shared" si="5"/>
        <v/>
      </c>
    </row>
    <row r="128" spans="1:14" x14ac:dyDescent="0.25">
      <c r="A128" s="95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104" t="str">
        <f t="shared" si="4"/>
        <v/>
      </c>
      <c r="N128" s="102" t="str">
        <f t="shared" si="5"/>
        <v/>
      </c>
    </row>
    <row r="129" spans="1:14" ht="15.75" thickBot="1" x14ac:dyDescent="0.3">
      <c r="A129" s="97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105" t="str">
        <f t="shared" si="4"/>
        <v/>
      </c>
      <c r="N129" s="103" t="str">
        <f t="shared" si="5"/>
        <v/>
      </c>
    </row>
    <row r="130" spans="1:14" x14ac:dyDescent="0.25">
      <c r="A130" s="95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104" t="str">
        <f>IF(A130&lt;&gt;"",IF($A130="OAK","LV",$A130),"")</f>
        <v/>
      </c>
      <c r="N130" s="102" t="str">
        <f>IF(A130&lt;&gt;"",N98+1,"")</f>
        <v/>
      </c>
    </row>
    <row r="131" spans="1:14" x14ac:dyDescent="0.25">
      <c r="A131" s="95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104" t="str">
        <f t="shared" ref="M131:M161" si="6">IF(A131&lt;&gt;"",IF($A131="OAK","LV",$A131),"")</f>
        <v/>
      </c>
      <c r="N131" s="102" t="str">
        <f t="shared" ref="N131:N161" si="7">IF(A131&lt;&gt;"",N99+1,"")</f>
        <v/>
      </c>
    </row>
    <row r="132" spans="1:14" x14ac:dyDescent="0.25">
      <c r="A132" s="95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104" t="str">
        <f t="shared" si="6"/>
        <v/>
      </c>
      <c r="N132" s="102" t="str">
        <f t="shared" si="7"/>
        <v/>
      </c>
    </row>
    <row r="133" spans="1:14" x14ac:dyDescent="0.25">
      <c r="A133" s="95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104" t="str">
        <f t="shared" si="6"/>
        <v/>
      </c>
      <c r="N133" s="102" t="str">
        <f t="shared" si="7"/>
        <v/>
      </c>
    </row>
    <row r="134" spans="1:14" x14ac:dyDescent="0.25">
      <c r="A134" s="95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104" t="str">
        <f t="shared" si="6"/>
        <v/>
      </c>
      <c r="N134" s="102" t="str">
        <f t="shared" si="7"/>
        <v/>
      </c>
    </row>
    <row r="135" spans="1:14" x14ac:dyDescent="0.25">
      <c r="A135" s="95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104" t="str">
        <f t="shared" si="6"/>
        <v/>
      </c>
      <c r="N135" s="102" t="str">
        <f t="shared" si="7"/>
        <v/>
      </c>
    </row>
    <row r="136" spans="1:14" x14ac:dyDescent="0.25">
      <c r="A136" s="95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104" t="str">
        <f t="shared" si="6"/>
        <v/>
      </c>
      <c r="N136" s="102" t="str">
        <f t="shared" si="7"/>
        <v/>
      </c>
    </row>
    <row r="137" spans="1:14" x14ac:dyDescent="0.25">
      <c r="A137" s="95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104" t="str">
        <f t="shared" si="6"/>
        <v/>
      </c>
      <c r="N137" s="102" t="str">
        <f t="shared" si="7"/>
        <v/>
      </c>
    </row>
    <row r="138" spans="1:14" x14ac:dyDescent="0.25">
      <c r="A138" s="95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104" t="str">
        <f t="shared" si="6"/>
        <v/>
      </c>
      <c r="N138" s="102" t="str">
        <f t="shared" si="7"/>
        <v/>
      </c>
    </row>
    <row r="139" spans="1:14" x14ac:dyDescent="0.25">
      <c r="A139" s="95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104" t="str">
        <f t="shared" si="6"/>
        <v/>
      </c>
      <c r="N139" s="102" t="str">
        <f t="shared" si="7"/>
        <v/>
      </c>
    </row>
    <row r="140" spans="1:14" x14ac:dyDescent="0.25">
      <c r="A140" s="95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104" t="str">
        <f t="shared" si="6"/>
        <v/>
      </c>
      <c r="N140" s="102" t="str">
        <f t="shared" si="7"/>
        <v/>
      </c>
    </row>
    <row r="141" spans="1:14" x14ac:dyDescent="0.25">
      <c r="A141" s="95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104" t="str">
        <f t="shared" si="6"/>
        <v/>
      </c>
      <c r="N141" s="102" t="str">
        <f t="shared" si="7"/>
        <v/>
      </c>
    </row>
    <row r="142" spans="1:14" x14ac:dyDescent="0.25">
      <c r="A142" s="95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104" t="str">
        <f t="shared" si="6"/>
        <v/>
      </c>
      <c r="N142" s="102" t="str">
        <f t="shared" si="7"/>
        <v/>
      </c>
    </row>
    <row r="143" spans="1:14" x14ac:dyDescent="0.25">
      <c r="A143" s="95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104" t="str">
        <f t="shared" si="6"/>
        <v/>
      </c>
      <c r="N143" s="102" t="str">
        <f t="shared" si="7"/>
        <v/>
      </c>
    </row>
    <row r="144" spans="1:14" x14ac:dyDescent="0.25">
      <c r="A144" s="95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104" t="str">
        <f t="shared" si="6"/>
        <v/>
      </c>
      <c r="N144" s="102" t="str">
        <f t="shared" si="7"/>
        <v/>
      </c>
    </row>
    <row r="145" spans="1:14" x14ac:dyDescent="0.25">
      <c r="A145" s="95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104" t="str">
        <f t="shared" si="6"/>
        <v/>
      </c>
      <c r="N145" s="102" t="str">
        <f t="shared" si="7"/>
        <v/>
      </c>
    </row>
    <row r="146" spans="1:14" x14ac:dyDescent="0.25">
      <c r="A146" s="95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104" t="str">
        <f t="shared" si="6"/>
        <v/>
      </c>
      <c r="N146" s="102" t="str">
        <f t="shared" si="7"/>
        <v/>
      </c>
    </row>
    <row r="147" spans="1:14" x14ac:dyDescent="0.25">
      <c r="A147" s="95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104" t="str">
        <f t="shared" si="6"/>
        <v/>
      </c>
      <c r="N147" s="102" t="str">
        <f t="shared" si="7"/>
        <v/>
      </c>
    </row>
    <row r="148" spans="1:14" x14ac:dyDescent="0.25">
      <c r="A148" s="95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104" t="str">
        <f t="shared" si="6"/>
        <v/>
      </c>
      <c r="N148" s="102" t="str">
        <f t="shared" si="7"/>
        <v/>
      </c>
    </row>
    <row r="149" spans="1:14" x14ac:dyDescent="0.25">
      <c r="A149" s="95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104" t="str">
        <f t="shared" si="6"/>
        <v/>
      </c>
      <c r="N149" s="102" t="str">
        <f t="shared" si="7"/>
        <v/>
      </c>
    </row>
    <row r="150" spans="1:14" x14ac:dyDescent="0.25">
      <c r="A150" s="95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104" t="str">
        <f t="shared" si="6"/>
        <v/>
      </c>
      <c r="N150" s="102" t="str">
        <f t="shared" si="7"/>
        <v/>
      </c>
    </row>
    <row r="151" spans="1:14" x14ac:dyDescent="0.25">
      <c r="A151" s="95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104" t="str">
        <f t="shared" si="6"/>
        <v/>
      </c>
      <c r="N151" s="102" t="str">
        <f t="shared" si="7"/>
        <v/>
      </c>
    </row>
    <row r="152" spans="1:14" x14ac:dyDescent="0.25">
      <c r="A152" s="95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104" t="str">
        <f t="shared" si="6"/>
        <v/>
      </c>
      <c r="N152" s="102" t="str">
        <f t="shared" si="7"/>
        <v/>
      </c>
    </row>
    <row r="153" spans="1:14" x14ac:dyDescent="0.25">
      <c r="A153" s="95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104" t="str">
        <f t="shared" si="6"/>
        <v/>
      </c>
      <c r="N153" s="102" t="str">
        <f t="shared" si="7"/>
        <v/>
      </c>
    </row>
    <row r="154" spans="1:14" x14ac:dyDescent="0.25">
      <c r="A154" s="95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104" t="str">
        <f t="shared" si="6"/>
        <v/>
      </c>
      <c r="N154" s="102" t="str">
        <f t="shared" si="7"/>
        <v/>
      </c>
    </row>
    <row r="155" spans="1:14" x14ac:dyDescent="0.25">
      <c r="A155" s="95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104" t="str">
        <f t="shared" si="6"/>
        <v/>
      </c>
      <c r="N155" s="102" t="str">
        <f t="shared" si="7"/>
        <v/>
      </c>
    </row>
    <row r="156" spans="1:14" x14ac:dyDescent="0.25">
      <c r="A156" s="95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104" t="str">
        <f t="shared" si="6"/>
        <v/>
      </c>
      <c r="N156" s="102" t="str">
        <f t="shared" si="7"/>
        <v/>
      </c>
    </row>
    <row r="157" spans="1:14" x14ac:dyDescent="0.25">
      <c r="A157" s="95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104" t="str">
        <f t="shared" si="6"/>
        <v/>
      </c>
      <c r="N157" s="102" t="str">
        <f t="shared" si="7"/>
        <v/>
      </c>
    </row>
    <row r="158" spans="1:14" x14ac:dyDescent="0.25">
      <c r="A158" s="95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104" t="str">
        <f t="shared" si="6"/>
        <v/>
      </c>
      <c r="N158" s="102" t="str">
        <f t="shared" si="7"/>
        <v/>
      </c>
    </row>
    <row r="159" spans="1:14" x14ac:dyDescent="0.25">
      <c r="A159" s="95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104" t="str">
        <f t="shared" si="6"/>
        <v/>
      </c>
      <c r="N159" s="102" t="str">
        <f t="shared" si="7"/>
        <v/>
      </c>
    </row>
    <row r="160" spans="1:14" x14ac:dyDescent="0.25">
      <c r="A160" s="95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104" t="str">
        <f t="shared" si="6"/>
        <v/>
      </c>
      <c r="N160" s="102" t="str">
        <f t="shared" si="7"/>
        <v/>
      </c>
    </row>
    <row r="161" spans="1:14" ht="15.75" thickBot="1" x14ac:dyDescent="0.3">
      <c r="A161" s="97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105" t="str">
        <f t="shared" si="6"/>
        <v/>
      </c>
      <c r="N161" s="103" t="str">
        <f t="shared" si="7"/>
        <v/>
      </c>
    </row>
    <row r="162" spans="1:14" x14ac:dyDescent="0.25">
      <c r="A162" s="95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104" t="str">
        <f>IF(A162&lt;&gt;"",IF($A162="OAK","LV",$A162),"")</f>
        <v/>
      </c>
      <c r="N162" s="102" t="str">
        <f>IF(A162&lt;&gt;"",N130+1,"")</f>
        <v/>
      </c>
    </row>
    <row r="163" spans="1:14" x14ac:dyDescent="0.25">
      <c r="A163" s="95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104" t="str">
        <f t="shared" ref="M163:M193" si="8">IF(A163&lt;&gt;"",IF($A163="OAK","LV",$A163),"")</f>
        <v/>
      </c>
      <c r="N163" s="102" t="str">
        <f t="shared" ref="N163:N193" si="9">IF(A163&lt;&gt;"",N131+1,"")</f>
        <v/>
      </c>
    </row>
    <row r="164" spans="1:14" x14ac:dyDescent="0.25">
      <c r="A164" s="95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104" t="str">
        <f t="shared" si="8"/>
        <v/>
      </c>
      <c r="N164" s="102" t="str">
        <f t="shared" si="9"/>
        <v/>
      </c>
    </row>
    <row r="165" spans="1:14" x14ac:dyDescent="0.25">
      <c r="A165" s="95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104" t="str">
        <f t="shared" si="8"/>
        <v/>
      </c>
      <c r="N165" s="102" t="str">
        <f t="shared" si="9"/>
        <v/>
      </c>
    </row>
    <row r="166" spans="1:14" x14ac:dyDescent="0.25">
      <c r="A166" s="95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104" t="str">
        <f t="shared" si="8"/>
        <v/>
      </c>
      <c r="N166" s="102" t="str">
        <f t="shared" si="9"/>
        <v/>
      </c>
    </row>
    <row r="167" spans="1:14" x14ac:dyDescent="0.25">
      <c r="A167" s="95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104" t="str">
        <f t="shared" si="8"/>
        <v/>
      </c>
      <c r="N167" s="102" t="str">
        <f t="shared" si="9"/>
        <v/>
      </c>
    </row>
    <row r="168" spans="1:14" x14ac:dyDescent="0.25">
      <c r="A168" s="95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104" t="str">
        <f t="shared" si="8"/>
        <v/>
      </c>
      <c r="N168" s="102" t="str">
        <f t="shared" si="9"/>
        <v/>
      </c>
    </row>
    <row r="169" spans="1:14" x14ac:dyDescent="0.25">
      <c r="A169" s="95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104" t="str">
        <f t="shared" si="8"/>
        <v/>
      </c>
      <c r="N169" s="102" t="str">
        <f t="shared" si="9"/>
        <v/>
      </c>
    </row>
    <row r="170" spans="1:14" x14ac:dyDescent="0.25">
      <c r="A170" s="95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104" t="str">
        <f t="shared" si="8"/>
        <v/>
      </c>
      <c r="N170" s="102" t="str">
        <f t="shared" si="9"/>
        <v/>
      </c>
    </row>
    <row r="171" spans="1:14" x14ac:dyDescent="0.25">
      <c r="A171" s="95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104" t="str">
        <f t="shared" si="8"/>
        <v/>
      </c>
      <c r="N171" s="102" t="str">
        <f t="shared" si="9"/>
        <v/>
      </c>
    </row>
    <row r="172" spans="1:14" x14ac:dyDescent="0.25">
      <c r="A172" s="95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104" t="str">
        <f t="shared" si="8"/>
        <v/>
      </c>
      <c r="N172" s="102" t="str">
        <f t="shared" si="9"/>
        <v/>
      </c>
    </row>
    <row r="173" spans="1:14" x14ac:dyDescent="0.25">
      <c r="A173" s="95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104" t="str">
        <f t="shared" si="8"/>
        <v/>
      </c>
      <c r="N173" s="102" t="str">
        <f t="shared" si="9"/>
        <v/>
      </c>
    </row>
    <row r="174" spans="1:14" x14ac:dyDescent="0.25">
      <c r="A174" s="95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104" t="str">
        <f t="shared" si="8"/>
        <v/>
      </c>
      <c r="N174" s="102" t="str">
        <f t="shared" si="9"/>
        <v/>
      </c>
    </row>
    <row r="175" spans="1:14" x14ac:dyDescent="0.25">
      <c r="A175" s="95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104" t="str">
        <f t="shared" si="8"/>
        <v/>
      </c>
      <c r="N175" s="102" t="str">
        <f t="shared" si="9"/>
        <v/>
      </c>
    </row>
    <row r="176" spans="1:14" x14ac:dyDescent="0.25">
      <c r="A176" s="95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104" t="str">
        <f t="shared" si="8"/>
        <v/>
      </c>
      <c r="N176" s="102" t="str">
        <f t="shared" si="9"/>
        <v/>
      </c>
    </row>
    <row r="177" spans="1:14" x14ac:dyDescent="0.25">
      <c r="A177" s="95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104" t="str">
        <f t="shared" si="8"/>
        <v/>
      </c>
      <c r="N177" s="102" t="str">
        <f t="shared" si="9"/>
        <v/>
      </c>
    </row>
    <row r="178" spans="1:14" x14ac:dyDescent="0.25">
      <c r="A178" s="95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104" t="str">
        <f t="shared" si="8"/>
        <v/>
      </c>
      <c r="N178" s="102" t="str">
        <f t="shared" si="9"/>
        <v/>
      </c>
    </row>
    <row r="179" spans="1:14" x14ac:dyDescent="0.25">
      <c r="A179" s="95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104" t="str">
        <f t="shared" si="8"/>
        <v/>
      </c>
      <c r="N179" s="102" t="str">
        <f t="shared" si="9"/>
        <v/>
      </c>
    </row>
    <row r="180" spans="1:14" x14ac:dyDescent="0.25">
      <c r="A180" s="95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104" t="str">
        <f t="shared" si="8"/>
        <v/>
      </c>
      <c r="N180" s="102" t="str">
        <f t="shared" si="9"/>
        <v/>
      </c>
    </row>
    <row r="181" spans="1:14" x14ac:dyDescent="0.25">
      <c r="A181" s="95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104" t="str">
        <f t="shared" si="8"/>
        <v/>
      </c>
      <c r="N181" s="102" t="str">
        <f t="shared" si="9"/>
        <v/>
      </c>
    </row>
    <row r="182" spans="1:14" x14ac:dyDescent="0.25">
      <c r="A182" s="95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104" t="str">
        <f t="shared" si="8"/>
        <v/>
      </c>
      <c r="N182" s="102" t="str">
        <f t="shared" si="9"/>
        <v/>
      </c>
    </row>
    <row r="183" spans="1:14" x14ac:dyDescent="0.25">
      <c r="A183" s="95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104" t="str">
        <f t="shared" si="8"/>
        <v/>
      </c>
      <c r="N183" s="102" t="str">
        <f t="shared" si="9"/>
        <v/>
      </c>
    </row>
    <row r="184" spans="1:14" x14ac:dyDescent="0.25">
      <c r="A184" s="95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104" t="str">
        <f t="shared" si="8"/>
        <v/>
      </c>
      <c r="N184" s="102" t="str">
        <f t="shared" si="9"/>
        <v/>
      </c>
    </row>
    <row r="185" spans="1:14" x14ac:dyDescent="0.25">
      <c r="A185" s="95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104" t="str">
        <f t="shared" si="8"/>
        <v/>
      </c>
      <c r="N185" s="102" t="str">
        <f t="shared" si="9"/>
        <v/>
      </c>
    </row>
    <row r="186" spans="1:14" x14ac:dyDescent="0.25">
      <c r="A186" s="95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104" t="str">
        <f t="shared" si="8"/>
        <v/>
      </c>
      <c r="N186" s="102" t="str">
        <f t="shared" si="9"/>
        <v/>
      </c>
    </row>
    <row r="187" spans="1:14" x14ac:dyDescent="0.25">
      <c r="A187" s="95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104" t="str">
        <f t="shared" si="8"/>
        <v/>
      </c>
      <c r="N187" s="102" t="str">
        <f t="shared" si="9"/>
        <v/>
      </c>
    </row>
    <row r="188" spans="1:14" x14ac:dyDescent="0.25">
      <c r="A188" s="95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104" t="str">
        <f t="shared" si="8"/>
        <v/>
      </c>
      <c r="N188" s="102" t="str">
        <f t="shared" si="9"/>
        <v/>
      </c>
    </row>
    <row r="189" spans="1:14" x14ac:dyDescent="0.25">
      <c r="A189" s="95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104" t="str">
        <f t="shared" si="8"/>
        <v/>
      </c>
      <c r="N189" s="102" t="str">
        <f t="shared" si="9"/>
        <v/>
      </c>
    </row>
    <row r="190" spans="1:14" x14ac:dyDescent="0.25">
      <c r="A190" s="95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104" t="str">
        <f t="shared" si="8"/>
        <v/>
      </c>
      <c r="N190" s="102" t="str">
        <f t="shared" si="9"/>
        <v/>
      </c>
    </row>
    <row r="191" spans="1:14" x14ac:dyDescent="0.25">
      <c r="A191" s="95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104" t="str">
        <f t="shared" si="8"/>
        <v/>
      </c>
      <c r="N191" s="102" t="str">
        <f t="shared" si="9"/>
        <v/>
      </c>
    </row>
    <row r="192" spans="1:14" x14ac:dyDescent="0.25">
      <c r="A192" s="95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104" t="str">
        <f t="shared" si="8"/>
        <v/>
      </c>
      <c r="N192" s="102" t="str">
        <f t="shared" si="9"/>
        <v/>
      </c>
    </row>
    <row r="193" spans="1:14" ht="15.75" thickBot="1" x14ac:dyDescent="0.3">
      <c r="A193" s="97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105" t="str">
        <f t="shared" si="8"/>
        <v/>
      </c>
      <c r="N193" s="103" t="str">
        <f t="shared" si="9"/>
        <v/>
      </c>
    </row>
    <row r="194" spans="1:14" x14ac:dyDescent="0.25">
      <c r="A194" s="95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104" t="str">
        <f>IF(A194&lt;&gt;"",IF($A194="OAK","LV",$A194),"")</f>
        <v/>
      </c>
      <c r="N194" s="102" t="str">
        <f>IF(A194&lt;&gt;"",N162+1,"")</f>
        <v/>
      </c>
    </row>
    <row r="195" spans="1:14" x14ac:dyDescent="0.25">
      <c r="A195" s="95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104" t="str">
        <f t="shared" ref="M195:M225" si="10">IF(A195&lt;&gt;"",IF($A195="OAK","LV",$A195),"")</f>
        <v/>
      </c>
      <c r="N195" s="102" t="str">
        <f t="shared" ref="N195:N225" si="11">IF(A195&lt;&gt;"",N163+1,"")</f>
        <v/>
      </c>
    </row>
    <row r="196" spans="1:14" x14ac:dyDescent="0.25">
      <c r="A196" s="95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104" t="str">
        <f t="shared" si="10"/>
        <v/>
      </c>
      <c r="N196" s="102" t="str">
        <f t="shared" si="11"/>
        <v/>
      </c>
    </row>
    <row r="197" spans="1:14" x14ac:dyDescent="0.25">
      <c r="A197" s="95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104" t="str">
        <f t="shared" si="10"/>
        <v/>
      </c>
      <c r="N197" s="102" t="str">
        <f t="shared" si="11"/>
        <v/>
      </c>
    </row>
    <row r="198" spans="1:14" x14ac:dyDescent="0.25">
      <c r="A198" s="95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104" t="str">
        <f t="shared" si="10"/>
        <v/>
      </c>
      <c r="N198" s="102" t="str">
        <f t="shared" si="11"/>
        <v/>
      </c>
    </row>
    <row r="199" spans="1:14" x14ac:dyDescent="0.25">
      <c r="A199" s="95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104" t="str">
        <f t="shared" si="10"/>
        <v/>
      </c>
      <c r="N199" s="102" t="str">
        <f t="shared" si="11"/>
        <v/>
      </c>
    </row>
    <row r="200" spans="1:14" x14ac:dyDescent="0.25">
      <c r="A200" s="95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104" t="str">
        <f t="shared" si="10"/>
        <v/>
      </c>
      <c r="N200" s="102" t="str">
        <f t="shared" si="11"/>
        <v/>
      </c>
    </row>
    <row r="201" spans="1:14" x14ac:dyDescent="0.25">
      <c r="A201" s="95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104" t="str">
        <f t="shared" si="10"/>
        <v/>
      </c>
      <c r="N201" s="102" t="str">
        <f t="shared" si="11"/>
        <v/>
      </c>
    </row>
    <row r="202" spans="1:14" x14ac:dyDescent="0.25">
      <c r="A202" s="95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104" t="str">
        <f t="shared" si="10"/>
        <v/>
      </c>
      <c r="N202" s="102" t="str">
        <f t="shared" si="11"/>
        <v/>
      </c>
    </row>
    <row r="203" spans="1:14" x14ac:dyDescent="0.25">
      <c r="A203" s="95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104" t="str">
        <f t="shared" si="10"/>
        <v/>
      </c>
      <c r="N203" s="102" t="str">
        <f t="shared" si="11"/>
        <v/>
      </c>
    </row>
    <row r="204" spans="1:14" x14ac:dyDescent="0.25">
      <c r="A204" s="95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104" t="str">
        <f t="shared" si="10"/>
        <v/>
      </c>
      <c r="N204" s="102" t="str">
        <f t="shared" si="11"/>
        <v/>
      </c>
    </row>
    <row r="205" spans="1:14" x14ac:dyDescent="0.25">
      <c r="A205" s="95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104" t="str">
        <f t="shared" si="10"/>
        <v/>
      </c>
      <c r="N205" s="102" t="str">
        <f t="shared" si="11"/>
        <v/>
      </c>
    </row>
    <row r="206" spans="1:14" x14ac:dyDescent="0.25">
      <c r="A206" s="95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104" t="str">
        <f t="shared" si="10"/>
        <v/>
      </c>
      <c r="N206" s="102" t="str">
        <f t="shared" si="11"/>
        <v/>
      </c>
    </row>
    <row r="207" spans="1:14" x14ac:dyDescent="0.25">
      <c r="A207" s="95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104" t="str">
        <f t="shared" si="10"/>
        <v/>
      </c>
      <c r="N207" s="102" t="str">
        <f t="shared" si="11"/>
        <v/>
      </c>
    </row>
    <row r="208" spans="1:14" x14ac:dyDescent="0.25">
      <c r="A208" s="95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104" t="str">
        <f t="shared" si="10"/>
        <v/>
      </c>
      <c r="N208" s="102" t="str">
        <f t="shared" si="11"/>
        <v/>
      </c>
    </row>
    <row r="209" spans="1:14" x14ac:dyDescent="0.25">
      <c r="A209" s="95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104" t="str">
        <f t="shared" si="10"/>
        <v/>
      </c>
      <c r="N209" s="102" t="str">
        <f t="shared" si="11"/>
        <v/>
      </c>
    </row>
    <row r="210" spans="1:14" x14ac:dyDescent="0.25">
      <c r="A210" s="95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104" t="str">
        <f t="shared" si="10"/>
        <v/>
      </c>
      <c r="N210" s="102" t="str">
        <f t="shared" si="11"/>
        <v/>
      </c>
    </row>
    <row r="211" spans="1:14" x14ac:dyDescent="0.25">
      <c r="A211" s="95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104" t="str">
        <f t="shared" si="10"/>
        <v/>
      </c>
      <c r="N211" s="102" t="str">
        <f t="shared" si="11"/>
        <v/>
      </c>
    </row>
    <row r="212" spans="1:14" x14ac:dyDescent="0.25">
      <c r="A212" s="95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104" t="str">
        <f t="shared" si="10"/>
        <v/>
      </c>
      <c r="N212" s="102" t="str">
        <f t="shared" si="11"/>
        <v/>
      </c>
    </row>
    <row r="213" spans="1:14" x14ac:dyDescent="0.25">
      <c r="A213" s="95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104" t="str">
        <f t="shared" si="10"/>
        <v/>
      </c>
      <c r="N213" s="102" t="str">
        <f t="shared" si="11"/>
        <v/>
      </c>
    </row>
    <row r="214" spans="1:14" x14ac:dyDescent="0.25">
      <c r="A214" s="95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104" t="str">
        <f t="shared" si="10"/>
        <v/>
      </c>
      <c r="N214" s="102" t="str">
        <f t="shared" si="11"/>
        <v/>
      </c>
    </row>
    <row r="215" spans="1:14" x14ac:dyDescent="0.25">
      <c r="A215" s="95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104" t="str">
        <f t="shared" si="10"/>
        <v/>
      </c>
      <c r="N215" s="102" t="str">
        <f t="shared" si="11"/>
        <v/>
      </c>
    </row>
    <row r="216" spans="1:14" x14ac:dyDescent="0.25">
      <c r="A216" s="95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104" t="str">
        <f t="shared" si="10"/>
        <v/>
      </c>
      <c r="N216" s="102" t="str">
        <f t="shared" si="11"/>
        <v/>
      </c>
    </row>
    <row r="217" spans="1:14" x14ac:dyDescent="0.25">
      <c r="A217" s="95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104" t="str">
        <f t="shared" si="10"/>
        <v/>
      </c>
      <c r="N217" s="102" t="str">
        <f t="shared" si="11"/>
        <v/>
      </c>
    </row>
    <row r="218" spans="1:14" x14ac:dyDescent="0.25">
      <c r="A218" s="95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104" t="str">
        <f t="shared" si="10"/>
        <v/>
      </c>
      <c r="N218" s="102" t="str">
        <f t="shared" si="11"/>
        <v/>
      </c>
    </row>
    <row r="219" spans="1:14" x14ac:dyDescent="0.25">
      <c r="A219" s="95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104" t="str">
        <f t="shared" si="10"/>
        <v/>
      </c>
      <c r="N219" s="102" t="str">
        <f t="shared" si="11"/>
        <v/>
      </c>
    </row>
    <row r="220" spans="1:14" x14ac:dyDescent="0.25">
      <c r="A220" s="95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104" t="str">
        <f t="shared" si="10"/>
        <v/>
      </c>
      <c r="N220" s="102" t="str">
        <f t="shared" si="11"/>
        <v/>
      </c>
    </row>
    <row r="221" spans="1:14" x14ac:dyDescent="0.25">
      <c r="A221" s="95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104" t="str">
        <f t="shared" si="10"/>
        <v/>
      </c>
      <c r="N221" s="102" t="str">
        <f t="shared" si="11"/>
        <v/>
      </c>
    </row>
    <row r="222" spans="1:14" x14ac:dyDescent="0.25">
      <c r="A222" s="95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104" t="str">
        <f t="shared" si="10"/>
        <v/>
      </c>
      <c r="N222" s="102" t="str">
        <f t="shared" si="11"/>
        <v/>
      </c>
    </row>
    <row r="223" spans="1:14" x14ac:dyDescent="0.25">
      <c r="A223" s="95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104" t="str">
        <f t="shared" si="10"/>
        <v/>
      </c>
      <c r="N223" s="102" t="str">
        <f t="shared" si="11"/>
        <v/>
      </c>
    </row>
    <row r="224" spans="1:14" x14ac:dyDescent="0.25">
      <c r="A224" s="95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104" t="str">
        <f t="shared" si="10"/>
        <v/>
      </c>
      <c r="N224" s="102" t="str">
        <f t="shared" si="11"/>
        <v/>
      </c>
    </row>
    <row r="225" spans="1:14" ht="15.75" thickBot="1" x14ac:dyDescent="0.3">
      <c r="A225" s="97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105" t="str">
        <f t="shared" si="10"/>
        <v/>
      </c>
      <c r="N225" s="103" t="str">
        <f t="shared" si="11"/>
        <v/>
      </c>
    </row>
  </sheetData>
  <autoFilter ref="A1:N1" xr:uid="{B255366C-3018-42B6-8119-D2A3E49A3CF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080A-6B63-4D7D-99F6-2DECE54133E8}">
  <sheetPr>
    <tabColor theme="7" tint="0.79998168889431442"/>
  </sheetPr>
  <dimension ref="A1:Y33"/>
  <sheetViews>
    <sheetView zoomScale="80" zoomScaleNormal="80" workbookViewId="0">
      <pane xSplit="2" ySplit="1" topLeftCell="C2" activePane="bottomRight" state="frozen"/>
      <selection pane="topRight" activeCell="Q449" sqref="Q449"/>
      <selection pane="bottomLeft" activeCell="Q449" sqref="Q449"/>
      <selection pane="bottomRight" activeCell="F2" sqref="F2:F33"/>
    </sheetView>
  </sheetViews>
  <sheetFormatPr defaultRowHeight="15" x14ac:dyDescent="0.25"/>
  <cols>
    <col min="1" max="1" width="13.5703125" bestFit="1" customWidth="1"/>
    <col min="2" max="2" width="10" bestFit="1" customWidth="1"/>
    <col min="3" max="3" width="14.85546875" bestFit="1" customWidth="1"/>
    <col min="4" max="4" width="11.42578125" bestFit="1" customWidth="1"/>
    <col min="5" max="5" width="15.85546875" bestFit="1" customWidth="1"/>
    <col min="6" max="6" width="17.140625" bestFit="1" customWidth="1"/>
    <col min="7" max="7" width="13.140625" bestFit="1" customWidth="1"/>
    <col min="8" max="8" width="11.42578125" bestFit="1" customWidth="1"/>
    <col min="9" max="9" width="12.7109375" bestFit="1" customWidth="1"/>
    <col min="10" max="10" width="12.140625" bestFit="1" customWidth="1"/>
    <col min="11" max="11" width="13.42578125" bestFit="1" customWidth="1"/>
    <col min="12" max="12" width="11.28515625" bestFit="1" customWidth="1"/>
    <col min="13" max="13" width="19.5703125" bestFit="1" customWidth="1"/>
    <col min="14" max="14" width="16.28515625" bestFit="1" customWidth="1"/>
    <col min="15" max="15" width="12.140625" bestFit="1" customWidth="1"/>
    <col min="16" max="16" width="12.7109375" bestFit="1" customWidth="1"/>
    <col min="17" max="17" width="4.5703125" customWidth="1"/>
    <col min="18" max="18" width="7.85546875" bestFit="1" customWidth="1"/>
    <col min="19" max="19" width="4.42578125" bestFit="1" customWidth="1"/>
    <col min="20" max="20" width="4.7109375" customWidth="1"/>
  </cols>
  <sheetData>
    <row r="1" spans="1:25" ht="15.75" thickBot="1" x14ac:dyDescent="0.3">
      <c r="A1" s="67" t="s">
        <v>333</v>
      </c>
      <c r="B1" s="68" t="s">
        <v>406</v>
      </c>
      <c r="C1" s="69" t="s">
        <v>334</v>
      </c>
      <c r="D1" s="69" t="s">
        <v>407</v>
      </c>
      <c r="E1" s="69" t="s">
        <v>408</v>
      </c>
      <c r="F1" s="69" t="s">
        <v>346</v>
      </c>
      <c r="G1" s="69" t="s">
        <v>409</v>
      </c>
      <c r="H1" s="69" t="s">
        <v>347</v>
      </c>
      <c r="I1" s="69" t="s">
        <v>348</v>
      </c>
      <c r="J1" s="69" t="s">
        <v>410</v>
      </c>
      <c r="K1" s="69" t="s">
        <v>411</v>
      </c>
      <c r="L1" s="69" t="s">
        <v>412</v>
      </c>
      <c r="M1" s="69" t="s">
        <v>413</v>
      </c>
      <c r="N1" s="70" t="s">
        <v>414</v>
      </c>
      <c r="O1" s="71" t="s">
        <v>415</v>
      </c>
      <c r="P1" s="72" t="s">
        <v>416</v>
      </c>
      <c r="Q1" s="33"/>
      <c r="R1" s="284" t="s">
        <v>416</v>
      </c>
      <c r="S1" s="284"/>
      <c r="U1" s="55" t="s">
        <v>370</v>
      </c>
      <c r="V1" s="55" t="s">
        <v>417</v>
      </c>
      <c r="W1" s="55" t="s">
        <v>418</v>
      </c>
      <c r="X1" s="55" t="s">
        <v>419</v>
      </c>
      <c r="Y1" s="55" t="s">
        <v>420</v>
      </c>
    </row>
    <row r="2" spans="1:25" x14ac:dyDescent="0.25">
      <c r="A2" s="130" t="s">
        <v>64</v>
      </c>
      <c r="B2" s="131" t="s">
        <v>63</v>
      </c>
      <c r="C2" s="132" t="s">
        <v>367</v>
      </c>
      <c r="D2" s="133">
        <v>9.5</v>
      </c>
      <c r="E2" s="134">
        <v>15.625</v>
      </c>
      <c r="F2" s="134" t="s">
        <v>381</v>
      </c>
      <c r="G2" s="132">
        <v>1</v>
      </c>
      <c r="H2" s="134">
        <v>17</v>
      </c>
      <c r="I2" s="134">
        <f t="shared" ref="I2:I33" si="0">M2-H2</f>
        <v>8.1428571428571423</v>
      </c>
      <c r="J2" s="132">
        <v>14</v>
      </c>
      <c r="K2" s="132">
        <v>3</v>
      </c>
      <c r="L2" s="132">
        <v>0</v>
      </c>
      <c r="M2" s="135">
        <f t="shared" ref="M2:M33" si="1">IFERROR(IF(N2*($S$7/SUM($N$2:$N$33))&gt;47,47,N2*($S$7/SUM($N$2:$N$33))),"")</f>
        <v>25.142857142857142</v>
      </c>
      <c r="N2" s="136">
        <f t="shared" ref="N2:N33" si="2">J2-MIN($J$2:$J$33)</f>
        <v>11</v>
      </c>
      <c r="O2" s="137" t="s">
        <v>421</v>
      </c>
      <c r="P2" s="138">
        <f t="shared" ref="P2:P33" si="3">SUM(J2:L2)</f>
        <v>17</v>
      </c>
      <c r="Q2" s="33"/>
      <c r="R2" s="73" t="s">
        <v>410</v>
      </c>
      <c r="S2" s="73">
        <f>SUM(J2:J33)</f>
        <v>271</v>
      </c>
      <c r="U2" s="55" t="s">
        <v>381</v>
      </c>
      <c r="V2" s="55">
        <f>SUMIFS(J$2:J$33,$F$2:$F$33,$U2)</f>
        <v>43</v>
      </c>
      <c r="W2" s="55">
        <f t="shared" ref="W2:W9" si="4">SUMIFS(K$2:K$33,$F$2:$F$33,$U2)</f>
        <v>25</v>
      </c>
      <c r="X2" s="55">
        <f t="shared" ref="X2:X9" si="5">SUMIFS(L$2:L$33,$F$2:$F$33,$U2)</f>
        <v>0</v>
      </c>
      <c r="Y2" s="201">
        <f>V2/SUM(V2:W2)</f>
        <v>0.63235294117647056</v>
      </c>
    </row>
    <row r="3" spans="1:25" x14ac:dyDescent="0.25">
      <c r="A3" s="39" t="s">
        <v>46</v>
      </c>
      <c r="B3" s="40" t="s">
        <v>404</v>
      </c>
      <c r="C3" s="41" t="s">
        <v>359</v>
      </c>
      <c r="D3" s="42">
        <v>8.5</v>
      </c>
      <c r="E3" s="43">
        <v>12.5</v>
      </c>
      <c r="F3" s="43" t="s">
        <v>381</v>
      </c>
      <c r="G3" s="41">
        <v>3</v>
      </c>
      <c r="H3" s="43">
        <v>10</v>
      </c>
      <c r="I3" s="43">
        <f t="shared" si="0"/>
        <v>15.142857142857142</v>
      </c>
      <c r="J3" s="41">
        <v>14</v>
      </c>
      <c r="K3" s="41">
        <v>3</v>
      </c>
      <c r="L3" s="41">
        <v>0</v>
      </c>
      <c r="M3" s="107">
        <f t="shared" si="1"/>
        <v>25.142857142857142</v>
      </c>
      <c r="N3" s="49">
        <f t="shared" si="2"/>
        <v>11</v>
      </c>
      <c r="O3" s="34" t="s">
        <v>421</v>
      </c>
      <c r="P3" s="35">
        <f t="shared" si="3"/>
        <v>17</v>
      </c>
      <c r="Q3" s="36"/>
      <c r="R3" s="73" t="s">
        <v>411</v>
      </c>
      <c r="S3" s="73">
        <f>SUM(K2:K33)</f>
        <v>271</v>
      </c>
      <c r="U3" s="55" t="s">
        <v>376</v>
      </c>
      <c r="V3" s="55">
        <f t="shared" ref="V3:V9" si="6">SUMIFS(J$2:J$33,$F$2:$F$33,$U3)</f>
        <v>42</v>
      </c>
      <c r="W3" s="55">
        <f t="shared" si="4"/>
        <v>26</v>
      </c>
      <c r="X3" s="55">
        <f t="shared" si="5"/>
        <v>0</v>
      </c>
      <c r="Y3" s="201">
        <f t="shared" ref="Y3:Y9" si="7">V3/SUM(V3:W3)</f>
        <v>0.61764705882352944</v>
      </c>
    </row>
    <row r="4" spans="1:25" x14ac:dyDescent="0.25">
      <c r="A4" s="39" t="s">
        <v>9</v>
      </c>
      <c r="B4" s="40" t="s">
        <v>55</v>
      </c>
      <c r="C4" s="41" t="s">
        <v>355</v>
      </c>
      <c r="D4" s="42">
        <v>8.5</v>
      </c>
      <c r="E4" s="43">
        <v>12.5</v>
      </c>
      <c r="F4" s="41" t="s">
        <v>376</v>
      </c>
      <c r="G4" s="41">
        <v>4</v>
      </c>
      <c r="H4" s="43">
        <v>11</v>
      </c>
      <c r="I4" s="43">
        <f t="shared" si="0"/>
        <v>14.142857142857142</v>
      </c>
      <c r="J4" s="41">
        <v>14</v>
      </c>
      <c r="K4" s="41">
        <v>3</v>
      </c>
      <c r="L4" s="41">
        <v>0</v>
      </c>
      <c r="M4" s="107">
        <f t="shared" si="1"/>
        <v>25.142857142857142</v>
      </c>
      <c r="N4" s="49">
        <f t="shared" si="2"/>
        <v>11</v>
      </c>
      <c r="O4" s="34" t="s">
        <v>421</v>
      </c>
      <c r="P4" s="35">
        <f t="shared" si="3"/>
        <v>17</v>
      </c>
      <c r="Q4" s="33"/>
      <c r="R4" s="33"/>
      <c r="S4" s="33"/>
      <c r="U4" s="55" t="s">
        <v>382</v>
      </c>
      <c r="V4" s="55">
        <f t="shared" si="6"/>
        <v>41</v>
      </c>
      <c r="W4" s="55">
        <f t="shared" si="4"/>
        <v>25</v>
      </c>
      <c r="X4" s="55">
        <f t="shared" si="5"/>
        <v>2</v>
      </c>
      <c r="Y4" s="201">
        <f t="shared" si="7"/>
        <v>0.62121212121212122</v>
      </c>
    </row>
    <row r="5" spans="1:25" ht="15.75" thickBot="1" x14ac:dyDescent="0.3">
      <c r="A5" s="44" t="s">
        <v>37</v>
      </c>
      <c r="B5" s="45" t="s">
        <v>44</v>
      </c>
      <c r="C5" s="46" t="s">
        <v>368</v>
      </c>
      <c r="D5" s="47">
        <v>7.5</v>
      </c>
      <c r="E5" s="48">
        <v>9.375</v>
      </c>
      <c r="F5" s="48" t="s">
        <v>382</v>
      </c>
      <c r="G5" s="46">
        <v>3</v>
      </c>
      <c r="H5" s="48">
        <v>10</v>
      </c>
      <c r="I5" s="48">
        <f t="shared" si="0"/>
        <v>12.857142857142854</v>
      </c>
      <c r="J5" s="46">
        <v>13</v>
      </c>
      <c r="K5" s="46">
        <v>4</v>
      </c>
      <c r="L5" s="46">
        <v>0</v>
      </c>
      <c r="M5" s="108">
        <f t="shared" si="1"/>
        <v>22.857142857142854</v>
      </c>
      <c r="N5" s="50">
        <f t="shared" si="2"/>
        <v>10</v>
      </c>
      <c r="O5" s="37" t="s">
        <v>421</v>
      </c>
      <c r="P5" s="38">
        <f t="shared" si="3"/>
        <v>17</v>
      </c>
      <c r="Q5" s="33"/>
      <c r="R5" s="55" t="s">
        <v>358</v>
      </c>
      <c r="S5" s="55">
        <v>8</v>
      </c>
      <c r="U5" s="55" t="s">
        <v>422</v>
      </c>
      <c r="V5" s="55">
        <f t="shared" si="6"/>
        <v>0</v>
      </c>
      <c r="W5" s="55">
        <f t="shared" si="4"/>
        <v>0</v>
      </c>
      <c r="X5" s="55">
        <f t="shared" si="5"/>
        <v>0</v>
      </c>
      <c r="Y5" s="201" t="e">
        <f t="shared" si="7"/>
        <v>#DIV/0!</v>
      </c>
    </row>
    <row r="6" spans="1:25" x14ac:dyDescent="0.25">
      <c r="A6" s="130" t="s">
        <v>7</v>
      </c>
      <c r="B6" s="131" t="s">
        <v>405</v>
      </c>
      <c r="C6" s="132" t="s">
        <v>355</v>
      </c>
      <c r="D6" s="133">
        <v>10.5</v>
      </c>
      <c r="E6" s="134">
        <v>18.75</v>
      </c>
      <c r="F6" s="134" t="s">
        <v>380</v>
      </c>
      <c r="G6" s="132">
        <v>1</v>
      </c>
      <c r="H6" s="134">
        <v>18</v>
      </c>
      <c r="I6" s="134">
        <f t="shared" si="0"/>
        <v>2.5714285714285694</v>
      </c>
      <c r="J6" s="132">
        <v>12</v>
      </c>
      <c r="K6" s="132">
        <v>5</v>
      </c>
      <c r="L6" s="132">
        <v>0</v>
      </c>
      <c r="M6" s="135">
        <f t="shared" si="1"/>
        <v>20.571428571428569</v>
      </c>
      <c r="N6" s="136">
        <f t="shared" si="2"/>
        <v>9</v>
      </c>
      <c r="O6" s="137" t="s">
        <v>421</v>
      </c>
      <c r="P6" s="138">
        <f t="shared" si="3"/>
        <v>17</v>
      </c>
      <c r="Q6" s="33"/>
      <c r="R6" s="55" t="s">
        <v>353</v>
      </c>
      <c r="S6" s="55">
        <v>50</v>
      </c>
      <c r="U6" s="55" t="s">
        <v>380</v>
      </c>
      <c r="V6" s="55">
        <f t="shared" si="6"/>
        <v>35</v>
      </c>
      <c r="W6" s="55">
        <f t="shared" si="4"/>
        <v>33</v>
      </c>
      <c r="X6" s="55">
        <f t="shared" si="5"/>
        <v>0</v>
      </c>
      <c r="Y6" s="201">
        <f t="shared" si="7"/>
        <v>0.51470588235294112</v>
      </c>
    </row>
    <row r="7" spans="1:25" x14ac:dyDescent="0.25">
      <c r="A7" s="39" t="s">
        <v>22</v>
      </c>
      <c r="B7" s="40" t="s">
        <v>21</v>
      </c>
      <c r="C7" s="41" t="s">
        <v>355</v>
      </c>
      <c r="D7" s="42">
        <v>9.5</v>
      </c>
      <c r="E7" s="43">
        <v>15.625</v>
      </c>
      <c r="F7" s="43" t="s">
        <v>382</v>
      </c>
      <c r="G7" s="41">
        <v>2</v>
      </c>
      <c r="H7" s="43">
        <v>15</v>
      </c>
      <c r="I7" s="43">
        <f t="shared" si="0"/>
        <v>5.5714285714285694</v>
      </c>
      <c r="J7" s="41">
        <v>12</v>
      </c>
      <c r="K7" s="41">
        <v>5</v>
      </c>
      <c r="L7" s="41">
        <v>0</v>
      </c>
      <c r="M7" s="107">
        <f t="shared" si="1"/>
        <v>20.571428571428569</v>
      </c>
      <c r="N7" s="49">
        <f t="shared" si="2"/>
        <v>9</v>
      </c>
      <c r="O7" s="34" t="s">
        <v>421</v>
      </c>
      <c r="P7" s="35">
        <f t="shared" si="3"/>
        <v>17</v>
      </c>
      <c r="Q7" s="33"/>
      <c r="R7" s="55" t="s">
        <v>360</v>
      </c>
      <c r="S7" s="55">
        <f>S5*S6</f>
        <v>400</v>
      </c>
      <c r="U7" s="55" t="s">
        <v>384</v>
      </c>
      <c r="V7" s="55">
        <f t="shared" si="6"/>
        <v>33</v>
      </c>
      <c r="W7" s="55">
        <f t="shared" si="4"/>
        <v>35</v>
      </c>
      <c r="X7" s="55">
        <f t="shared" si="5"/>
        <v>0</v>
      </c>
      <c r="Y7" s="201">
        <f t="shared" si="7"/>
        <v>0.48529411764705882</v>
      </c>
    </row>
    <row r="8" spans="1:25" x14ac:dyDescent="0.25">
      <c r="A8" s="39" t="s">
        <v>32</v>
      </c>
      <c r="B8" s="40" t="s">
        <v>31</v>
      </c>
      <c r="C8" s="41" t="s">
        <v>368</v>
      </c>
      <c r="D8" s="42">
        <v>9.5</v>
      </c>
      <c r="E8" s="43">
        <v>15.625</v>
      </c>
      <c r="F8" s="43" t="s">
        <v>380</v>
      </c>
      <c r="G8" s="41">
        <v>2</v>
      </c>
      <c r="H8" s="43">
        <v>17</v>
      </c>
      <c r="I8" s="43">
        <f t="shared" si="0"/>
        <v>3.5714285714285694</v>
      </c>
      <c r="J8" s="41">
        <v>12</v>
      </c>
      <c r="K8" s="41">
        <v>5</v>
      </c>
      <c r="L8" s="41">
        <v>0</v>
      </c>
      <c r="M8" s="107">
        <f t="shared" si="1"/>
        <v>20.571428571428569</v>
      </c>
      <c r="N8" s="49">
        <f t="shared" si="2"/>
        <v>9</v>
      </c>
      <c r="O8" s="34" t="s">
        <v>421</v>
      </c>
      <c r="P8" s="35">
        <f t="shared" si="3"/>
        <v>17</v>
      </c>
      <c r="Q8" s="33"/>
      <c r="R8" s="33"/>
      <c r="S8" s="33"/>
      <c r="U8" s="55" t="s">
        <v>378</v>
      </c>
      <c r="V8" s="55">
        <f t="shared" si="6"/>
        <v>31</v>
      </c>
      <c r="W8" s="55">
        <f t="shared" si="4"/>
        <v>37</v>
      </c>
      <c r="X8" s="55">
        <f t="shared" si="5"/>
        <v>0</v>
      </c>
      <c r="Y8" s="201">
        <f t="shared" si="7"/>
        <v>0.45588235294117646</v>
      </c>
    </row>
    <row r="9" spans="1:25" ht="15.75" thickBot="1" x14ac:dyDescent="0.3">
      <c r="A9" s="44" t="s">
        <v>26</v>
      </c>
      <c r="B9" s="45" t="s">
        <v>25</v>
      </c>
      <c r="C9" s="46" t="s">
        <v>359</v>
      </c>
      <c r="D9" s="47">
        <v>11.5</v>
      </c>
      <c r="E9" s="48">
        <v>21.875</v>
      </c>
      <c r="F9" s="46" t="s">
        <v>384</v>
      </c>
      <c r="G9" s="46">
        <v>1</v>
      </c>
      <c r="H9" s="48">
        <v>24</v>
      </c>
      <c r="I9" s="48">
        <f t="shared" si="0"/>
        <v>-3.4285714285714306</v>
      </c>
      <c r="J9" s="46">
        <v>12</v>
      </c>
      <c r="K9" s="46">
        <v>5</v>
      </c>
      <c r="L9" s="46">
        <v>0</v>
      </c>
      <c r="M9" s="108">
        <f t="shared" si="1"/>
        <v>20.571428571428569</v>
      </c>
      <c r="N9" s="50">
        <f t="shared" si="2"/>
        <v>9</v>
      </c>
      <c r="O9" s="37" t="s">
        <v>421</v>
      </c>
      <c r="P9" s="38">
        <f t="shared" si="3"/>
        <v>17</v>
      </c>
      <c r="Q9" s="33"/>
      <c r="R9" s="33"/>
      <c r="S9" s="33"/>
      <c r="U9" s="55" t="s">
        <v>377</v>
      </c>
      <c r="V9" s="55">
        <f t="shared" si="6"/>
        <v>21</v>
      </c>
      <c r="W9" s="55">
        <f t="shared" si="4"/>
        <v>47</v>
      </c>
      <c r="X9" s="55">
        <f t="shared" si="5"/>
        <v>0</v>
      </c>
      <c r="Y9" s="201">
        <f t="shared" si="7"/>
        <v>0.30882352941176472</v>
      </c>
    </row>
    <row r="10" spans="1:25" x14ac:dyDescent="0.25">
      <c r="A10" s="61" t="s">
        <v>66</v>
      </c>
      <c r="B10" s="62" t="s">
        <v>72</v>
      </c>
      <c r="C10" s="63" t="s">
        <v>357</v>
      </c>
      <c r="D10" s="64">
        <v>8.5</v>
      </c>
      <c r="E10" s="65">
        <v>12.5</v>
      </c>
      <c r="F10" s="65" t="s">
        <v>379</v>
      </c>
      <c r="G10" s="63">
        <v>3</v>
      </c>
      <c r="H10" s="65">
        <v>4</v>
      </c>
      <c r="I10" s="65">
        <f t="shared" si="0"/>
        <v>14.285714285714285</v>
      </c>
      <c r="J10" s="63">
        <v>11</v>
      </c>
      <c r="K10" s="63">
        <v>6</v>
      </c>
      <c r="L10" s="63">
        <v>0</v>
      </c>
      <c r="M10" s="106">
        <f t="shared" si="1"/>
        <v>18.285714285714285</v>
      </c>
      <c r="N10" s="66">
        <f t="shared" si="2"/>
        <v>8</v>
      </c>
      <c r="O10" s="34" t="s">
        <v>421</v>
      </c>
      <c r="P10" s="35">
        <f t="shared" si="3"/>
        <v>17</v>
      </c>
      <c r="Q10" s="33"/>
      <c r="R10" s="33"/>
      <c r="S10" s="33"/>
      <c r="V10" s="200">
        <f>SUM(V2:V9)</f>
        <v>246</v>
      </c>
      <c r="W10" s="200">
        <f t="shared" ref="W10:X10" si="8">SUM(W2:W9)</f>
        <v>228</v>
      </c>
      <c r="X10" s="200">
        <f t="shared" si="8"/>
        <v>2</v>
      </c>
    </row>
    <row r="11" spans="1:25" x14ac:dyDescent="0.25">
      <c r="A11" s="39" t="s">
        <v>61</v>
      </c>
      <c r="B11" s="40" t="s">
        <v>60</v>
      </c>
      <c r="C11" s="41" t="s">
        <v>367</v>
      </c>
      <c r="D11" s="42">
        <v>9.5</v>
      </c>
      <c r="E11" s="43">
        <v>15.625</v>
      </c>
      <c r="F11" s="43" t="s">
        <v>376</v>
      </c>
      <c r="G11" s="41">
        <v>2</v>
      </c>
      <c r="H11" s="43">
        <v>13</v>
      </c>
      <c r="I11" s="43">
        <f t="shared" si="0"/>
        <v>5.2857142857142847</v>
      </c>
      <c r="J11" s="41">
        <v>11</v>
      </c>
      <c r="K11" s="41">
        <v>6</v>
      </c>
      <c r="L11" s="41">
        <v>0</v>
      </c>
      <c r="M11" s="107">
        <f t="shared" si="1"/>
        <v>18.285714285714285</v>
      </c>
      <c r="N11" s="49">
        <f t="shared" si="2"/>
        <v>8</v>
      </c>
      <c r="O11" s="34" t="s">
        <v>421</v>
      </c>
      <c r="P11" s="35">
        <f t="shared" si="3"/>
        <v>17</v>
      </c>
      <c r="Q11" s="33"/>
      <c r="R11" s="33"/>
      <c r="S11" s="33"/>
    </row>
    <row r="12" spans="1:25" x14ac:dyDescent="0.25">
      <c r="A12" s="39" t="s">
        <v>39</v>
      </c>
      <c r="B12" s="40" t="s">
        <v>38</v>
      </c>
      <c r="C12" s="41" t="s">
        <v>363</v>
      </c>
      <c r="D12" s="42">
        <v>11.5</v>
      </c>
      <c r="E12" s="43">
        <v>21.875</v>
      </c>
      <c r="F12" s="43" t="s">
        <v>378</v>
      </c>
      <c r="G12" s="41">
        <v>1</v>
      </c>
      <c r="H12" s="43">
        <v>23</v>
      </c>
      <c r="I12" s="43">
        <f t="shared" si="0"/>
        <v>-4.7142857142857153</v>
      </c>
      <c r="J12" s="41">
        <v>11</v>
      </c>
      <c r="K12" s="41">
        <v>6</v>
      </c>
      <c r="L12" s="41">
        <v>0</v>
      </c>
      <c r="M12" s="107">
        <f t="shared" si="1"/>
        <v>18.285714285714285</v>
      </c>
      <c r="N12" s="49">
        <f t="shared" si="2"/>
        <v>8</v>
      </c>
      <c r="O12" s="34" t="s">
        <v>421</v>
      </c>
      <c r="P12" s="35">
        <f t="shared" si="3"/>
        <v>17</v>
      </c>
      <c r="Q12" s="33"/>
      <c r="R12" s="33"/>
      <c r="S12" s="33"/>
    </row>
    <row r="13" spans="1:25" ht="15.75" thickBot="1" x14ac:dyDescent="0.3">
      <c r="A13" s="139" t="s">
        <v>35</v>
      </c>
      <c r="B13" s="140" t="s">
        <v>400</v>
      </c>
      <c r="C13" s="141" t="s">
        <v>357</v>
      </c>
      <c r="D13" s="142">
        <v>10.5</v>
      </c>
      <c r="E13" s="143">
        <v>18.75</v>
      </c>
      <c r="F13" s="143" t="s">
        <v>382</v>
      </c>
      <c r="G13" s="141">
        <v>1</v>
      </c>
      <c r="H13" s="143">
        <v>17</v>
      </c>
      <c r="I13" s="143">
        <f t="shared" si="0"/>
        <v>-3.2857142857142865</v>
      </c>
      <c r="J13" s="141">
        <v>9</v>
      </c>
      <c r="K13" s="141">
        <v>7</v>
      </c>
      <c r="L13" s="141">
        <v>1</v>
      </c>
      <c r="M13" s="144">
        <f t="shared" si="1"/>
        <v>13.714285714285714</v>
      </c>
      <c r="N13" s="145">
        <f t="shared" si="2"/>
        <v>6</v>
      </c>
      <c r="O13" s="34" t="s">
        <v>421</v>
      </c>
      <c r="P13" s="35">
        <f t="shared" si="3"/>
        <v>17</v>
      </c>
      <c r="Q13" s="33"/>
      <c r="R13" s="33"/>
      <c r="S13" s="33"/>
    </row>
    <row r="14" spans="1:25" x14ac:dyDescent="0.25">
      <c r="A14" s="130" t="s">
        <v>74</v>
      </c>
      <c r="B14" s="131" t="s">
        <v>85</v>
      </c>
      <c r="C14" s="132" t="s">
        <v>352</v>
      </c>
      <c r="D14" s="133">
        <v>8.5</v>
      </c>
      <c r="E14" s="134">
        <v>12.5</v>
      </c>
      <c r="F14" s="134" t="s">
        <v>384</v>
      </c>
      <c r="G14" s="132">
        <v>2</v>
      </c>
      <c r="H14" s="134">
        <v>14</v>
      </c>
      <c r="I14" s="134">
        <f t="shared" si="0"/>
        <v>2</v>
      </c>
      <c r="J14" s="132">
        <v>10</v>
      </c>
      <c r="K14" s="132">
        <v>7</v>
      </c>
      <c r="L14" s="132">
        <v>0</v>
      </c>
      <c r="M14" s="135">
        <f t="shared" si="1"/>
        <v>16</v>
      </c>
      <c r="N14" s="136">
        <f t="shared" si="2"/>
        <v>7</v>
      </c>
      <c r="O14" s="137" t="s">
        <v>421</v>
      </c>
      <c r="P14" s="138">
        <f t="shared" si="3"/>
        <v>17</v>
      </c>
      <c r="Q14" s="33"/>
      <c r="R14" s="33"/>
      <c r="S14" s="33"/>
    </row>
    <row r="15" spans="1:25" x14ac:dyDescent="0.25">
      <c r="A15" s="39" t="s">
        <v>13</v>
      </c>
      <c r="B15" s="40" t="s">
        <v>67</v>
      </c>
      <c r="C15" s="41" t="s">
        <v>383</v>
      </c>
      <c r="D15" s="42">
        <v>6.5</v>
      </c>
      <c r="E15" s="43">
        <v>6.25</v>
      </c>
      <c r="F15" s="43" t="s">
        <v>384</v>
      </c>
      <c r="G15" s="41">
        <v>3</v>
      </c>
      <c r="H15" s="43">
        <v>3</v>
      </c>
      <c r="I15" s="43">
        <f t="shared" si="0"/>
        <v>8.428571428571427</v>
      </c>
      <c r="J15" s="41">
        <v>8</v>
      </c>
      <c r="K15" s="41">
        <v>9</v>
      </c>
      <c r="L15" s="41">
        <v>0</v>
      </c>
      <c r="M15" s="107">
        <f t="shared" si="1"/>
        <v>11.428571428571427</v>
      </c>
      <c r="N15" s="49">
        <f t="shared" si="2"/>
        <v>5</v>
      </c>
      <c r="O15" s="34" t="s">
        <v>421</v>
      </c>
      <c r="P15" s="35">
        <f t="shared" si="3"/>
        <v>17</v>
      </c>
      <c r="Q15" s="33"/>
      <c r="R15" s="33"/>
      <c r="S15" s="33"/>
    </row>
    <row r="16" spans="1:25" x14ac:dyDescent="0.25">
      <c r="A16" s="39" t="s">
        <v>59</v>
      </c>
      <c r="B16" s="40" t="s">
        <v>75</v>
      </c>
      <c r="C16" s="41" t="s">
        <v>357</v>
      </c>
      <c r="D16" s="42">
        <v>8.5</v>
      </c>
      <c r="E16" s="43">
        <v>12.5</v>
      </c>
      <c r="F16" s="41" t="s">
        <v>376</v>
      </c>
      <c r="G16" s="41">
        <v>1</v>
      </c>
      <c r="H16" s="43">
        <v>14</v>
      </c>
      <c r="I16" s="43">
        <f t="shared" si="0"/>
        <v>-0.28571428571428648</v>
      </c>
      <c r="J16" s="41">
        <v>9</v>
      </c>
      <c r="K16" s="41">
        <v>8</v>
      </c>
      <c r="L16" s="41">
        <v>0</v>
      </c>
      <c r="M16" s="107">
        <f t="shared" si="1"/>
        <v>13.714285714285714</v>
      </c>
      <c r="N16" s="49">
        <f t="shared" si="2"/>
        <v>6</v>
      </c>
      <c r="O16" s="34" t="s">
        <v>421</v>
      </c>
      <c r="P16" s="35">
        <f t="shared" si="3"/>
        <v>17</v>
      </c>
      <c r="Q16" s="33"/>
      <c r="R16" s="33"/>
      <c r="S16" s="33"/>
    </row>
    <row r="17" spans="1:19" ht="15.75" thickBot="1" x14ac:dyDescent="0.3">
      <c r="A17" s="44" t="s">
        <v>43</v>
      </c>
      <c r="B17" s="45" t="s">
        <v>57</v>
      </c>
      <c r="C17" s="46" t="s">
        <v>368</v>
      </c>
      <c r="D17" s="47">
        <v>7.5</v>
      </c>
      <c r="E17" s="48">
        <v>9.375</v>
      </c>
      <c r="F17" s="48" t="s">
        <v>378</v>
      </c>
      <c r="G17" s="46">
        <v>3</v>
      </c>
      <c r="H17" s="48">
        <v>1</v>
      </c>
      <c r="I17" s="48">
        <f t="shared" si="0"/>
        <v>10.428571428571427</v>
      </c>
      <c r="J17" s="46">
        <v>8</v>
      </c>
      <c r="K17" s="46">
        <v>9</v>
      </c>
      <c r="L17" s="46">
        <v>0</v>
      </c>
      <c r="M17" s="108">
        <f t="shared" si="1"/>
        <v>11.428571428571427</v>
      </c>
      <c r="N17" s="50">
        <f t="shared" si="2"/>
        <v>5</v>
      </c>
      <c r="O17" s="37" t="s">
        <v>421</v>
      </c>
      <c r="P17" s="38">
        <f t="shared" si="3"/>
        <v>17</v>
      </c>
      <c r="Q17" s="33"/>
      <c r="R17" s="33"/>
      <c r="S17" s="33"/>
    </row>
    <row r="18" spans="1:19" x14ac:dyDescent="0.25">
      <c r="A18" s="61" t="s">
        <v>11</v>
      </c>
      <c r="B18" s="62" t="s">
        <v>10</v>
      </c>
      <c r="C18" s="63" t="s">
        <v>357</v>
      </c>
      <c r="D18" s="64">
        <v>10.5</v>
      </c>
      <c r="E18" s="65">
        <v>18.75</v>
      </c>
      <c r="F18" s="65" t="s">
        <v>378</v>
      </c>
      <c r="G18" s="63">
        <v>2</v>
      </c>
      <c r="H18" s="65">
        <v>19</v>
      </c>
      <c r="I18" s="65">
        <f t="shared" si="0"/>
        <v>-5.2857142857142865</v>
      </c>
      <c r="J18" s="63">
        <v>9</v>
      </c>
      <c r="K18" s="63">
        <v>8</v>
      </c>
      <c r="L18" s="63">
        <v>0</v>
      </c>
      <c r="M18" s="106">
        <f t="shared" si="1"/>
        <v>13.714285714285714</v>
      </c>
      <c r="N18" s="66">
        <f t="shared" si="2"/>
        <v>6</v>
      </c>
      <c r="O18" s="34" t="s">
        <v>421</v>
      </c>
      <c r="P18" s="35">
        <f t="shared" si="3"/>
        <v>17</v>
      </c>
      <c r="Q18" s="33"/>
      <c r="R18" s="33"/>
      <c r="S18" s="33"/>
    </row>
    <row r="19" spans="1:19" x14ac:dyDescent="0.25">
      <c r="A19" s="39" t="s">
        <v>48</v>
      </c>
      <c r="B19" s="40" t="s">
        <v>47</v>
      </c>
      <c r="C19" s="41" t="s">
        <v>352</v>
      </c>
      <c r="D19" s="42">
        <v>11.5</v>
      </c>
      <c r="E19" s="43">
        <v>21.875</v>
      </c>
      <c r="F19" s="43" t="s">
        <v>379</v>
      </c>
      <c r="G19" s="41">
        <v>1</v>
      </c>
      <c r="H19" s="43">
        <v>25</v>
      </c>
      <c r="I19" s="43">
        <f t="shared" si="0"/>
        <v>-13.571428571428573</v>
      </c>
      <c r="J19" s="41">
        <v>8</v>
      </c>
      <c r="K19" s="41">
        <v>9</v>
      </c>
      <c r="L19" s="41">
        <v>0</v>
      </c>
      <c r="M19" s="107">
        <f t="shared" si="1"/>
        <v>11.428571428571427</v>
      </c>
      <c r="N19" s="49">
        <f t="shared" si="2"/>
        <v>5</v>
      </c>
      <c r="O19" s="34" t="s">
        <v>421</v>
      </c>
      <c r="P19" s="35">
        <f t="shared" si="3"/>
        <v>17</v>
      </c>
      <c r="Q19" s="33"/>
      <c r="R19" s="33"/>
      <c r="S19" s="33"/>
    </row>
    <row r="20" spans="1:19" x14ac:dyDescent="0.25">
      <c r="A20" s="39" t="s">
        <v>15</v>
      </c>
      <c r="B20" s="40" t="s">
        <v>14</v>
      </c>
      <c r="C20" s="41" t="s">
        <v>363</v>
      </c>
      <c r="D20" s="42">
        <v>7.5</v>
      </c>
      <c r="E20" s="43">
        <v>9.375</v>
      </c>
      <c r="F20" s="43" t="s">
        <v>382</v>
      </c>
      <c r="G20" s="41">
        <v>4</v>
      </c>
      <c r="H20" s="43">
        <v>8</v>
      </c>
      <c r="I20" s="43">
        <f t="shared" si="0"/>
        <v>1.1428571428571423</v>
      </c>
      <c r="J20" s="41">
        <v>7</v>
      </c>
      <c r="K20" s="41">
        <v>9</v>
      </c>
      <c r="L20" s="41">
        <v>1</v>
      </c>
      <c r="M20" s="107">
        <f t="shared" si="1"/>
        <v>9.1428571428571423</v>
      </c>
      <c r="N20" s="49">
        <f t="shared" si="2"/>
        <v>4</v>
      </c>
      <c r="O20" s="34" t="s">
        <v>421</v>
      </c>
      <c r="P20" s="35">
        <f t="shared" si="3"/>
        <v>17</v>
      </c>
      <c r="Q20" s="33"/>
      <c r="R20" s="33"/>
      <c r="S20" s="33"/>
    </row>
    <row r="21" spans="1:19" ht="15.75" thickBot="1" x14ac:dyDescent="0.3">
      <c r="A21" s="139" t="s">
        <v>1</v>
      </c>
      <c r="B21" s="140" t="s">
        <v>402</v>
      </c>
      <c r="C21" s="141" t="s">
        <v>383</v>
      </c>
      <c r="D21" s="142">
        <v>9.5</v>
      </c>
      <c r="E21" s="143">
        <v>15.625</v>
      </c>
      <c r="F21" s="143" t="s">
        <v>381</v>
      </c>
      <c r="G21" s="141">
        <v>2</v>
      </c>
      <c r="H21" s="143">
        <v>15</v>
      </c>
      <c r="I21" s="143">
        <f t="shared" si="0"/>
        <v>-3.571428571428573</v>
      </c>
      <c r="J21" s="141">
        <v>8</v>
      </c>
      <c r="K21" s="141">
        <v>9</v>
      </c>
      <c r="L21" s="141">
        <v>0</v>
      </c>
      <c r="M21" s="144">
        <f t="shared" si="1"/>
        <v>11.428571428571427</v>
      </c>
      <c r="N21" s="145">
        <f t="shared" si="2"/>
        <v>5</v>
      </c>
      <c r="O21" s="34" t="s">
        <v>421</v>
      </c>
      <c r="P21" s="35">
        <f t="shared" si="3"/>
        <v>17</v>
      </c>
      <c r="Q21" s="33"/>
      <c r="R21" s="33"/>
      <c r="S21" s="33"/>
    </row>
    <row r="22" spans="1:19" x14ac:dyDescent="0.25">
      <c r="A22" s="130" t="s">
        <v>3</v>
      </c>
      <c r="B22" s="131" t="s">
        <v>2</v>
      </c>
      <c r="C22" s="132" t="s">
        <v>359</v>
      </c>
      <c r="D22" s="133">
        <v>7.5</v>
      </c>
      <c r="E22" s="134">
        <v>9.375</v>
      </c>
      <c r="F22" s="134" t="s">
        <v>381</v>
      </c>
      <c r="G22" s="132">
        <v>4</v>
      </c>
      <c r="H22" s="134">
        <v>8</v>
      </c>
      <c r="I22" s="134">
        <f t="shared" si="0"/>
        <v>1.1428571428571423</v>
      </c>
      <c r="J22" s="132">
        <v>7</v>
      </c>
      <c r="K22" s="132">
        <v>10</v>
      </c>
      <c r="L22" s="132">
        <v>0</v>
      </c>
      <c r="M22" s="135">
        <f t="shared" si="1"/>
        <v>9.1428571428571423</v>
      </c>
      <c r="N22" s="136">
        <f t="shared" si="2"/>
        <v>4</v>
      </c>
      <c r="O22" s="137" t="s">
        <v>421</v>
      </c>
      <c r="P22" s="138">
        <f t="shared" si="3"/>
        <v>17</v>
      </c>
      <c r="Q22" s="33"/>
      <c r="R22" s="33"/>
      <c r="S22" s="33"/>
    </row>
    <row r="23" spans="1:19" x14ac:dyDescent="0.25">
      <c r="A23" s="39" t="s">
        <v>17</v>
      </c>
      <c r="B23" s="40" t="s">
        <v>399</v>
      </c>
      <c r="C23" s="41" t="s">
        <v>367</v>
      </c>
      <c r="D23" s="42">
        <v>11.5</v>
      </c>
      <c r="E23" s="43">
        <v>21.875</v>
      </c>
      <c r="F23" s="43" t="s">
        <v>377</v>
      </c>
      <c r="G23" s="41">
        <v>1</v>
      </c>
      <c r="H23" s="43">
        <v>24</v>
      </c>
      <c r="I23" s="43">
        <f t="shared" si="0"/>
        <v>-17.142857142857142</v>
      </c>
      <c r="J23" s="41">
        <v>6</v>
      </c>
      <c r="K23" s="41">
        <v>11</v>
      </c>
      <c r="L23" s="41">
        <v>0</v>
      </c>
      <c r="M23" s="107">
        <f t="shared" si="1"/>
        <v>6.8571428571428568</v>
      </c>
      <c r="N23" s="49">
        <f t="shared" si="2"/>
        <v>3</v>
      </c>
      <c r="O23" s="34" t="s">
        <v>421</v>
      </c>
      <c r="P23" s="35">
        <f t="shared" si="3"/>
        <v>17</v>
      </c>
      <c r="Q23" s="33"/>
      <c r="R23" s="33"/>
      <c r="S23" s="33"/>
    </row>
    <row r="24" spans="1:19" x14ac:dyDescent="0.25">
      <c r="A24" s="39" t="s">
        <v>70</v>
      </c>
      <c r="B24" s="40" t="s">
        <v>69</v>
      </c>
      <c r="C24" s="41" t="s">
        <v>383</v>
      </c>
      <c r="D24" s="42">
        <v>7.5</v>
      </c>
      <c r="E24" s="43">
        <v>9.375</v>
      </c>
      <c r="F24" s="43" t="s">
        <v>376</v>
      </c>
      <c r="G24" s="41">
        <v>3</v>
      </c>
      <c r="H24" s="43">
        <v>12</v>
      </c>
      <c r="I24" s="43">
        <f t="shared" si="0"/>
        <v>-0.57142857142857295</v>
      </c>
      <c r="J24" s="41">
        <v>8</v>
      </c>
      <c r="K24" s="41">
        <v>9</v>
      </c>
      <c r="L24" s="41">
        <v>0</v>
      </c>
      <c r="M24" s="107">
        <f t="shared" si="1"/>
        <v>11.428571428571427</v>
      </c>
      <c r="N24" s="49">
        <f t="shared" si="2"/>
        <v>5</v>
      </c>
      <c r="O24" s="34" t="s">
        <v>421</v>
      </c>
      <c r="P24" s="35">
        <f t="shared" si="3"/>
        <v>17</v>
      </c>
      <c r="Q24" s="33"/>
      <c r="R24" s="33"/>
      <c r="S24" s="33"/>
    </row>
    <row r="25" spans="1:19" ht="15.75" thickBot="1" x14ac:dyDescent="0.3">
      <c r="A25" s="44" t="s">
        <v>54</v>
      </c>
      <c r="B25" s="45" t="s">
        <v>77</v>
      </c>
      <c r="C25" s="46" t="s">
        <v>352</v>
      </c>
      <c r="D25" s="47">
        <v>9.5</v>
      </c>
      <c r="E25" s="48">
        <v>15.625</v>
      </c>
      <c r="F25" s="48" t="s">
        <v>380</v>
      </c>
      <c r="G25" s="46">
        <v>3</v>
      </c>
      <c r="H25" s="48">
        <v>14</v>
      </c>
      <c r="I25" s="48">
        <f t="shared" si="0"/>
        <v>-7.1428571428571432</v>
      </c>
      <c r="J25" s="46">
        <v>6</v>
      </c>
      <c r="K25" s="46">
        <v>11</v>
      </c>
      <c r="L25" s="46">
        <v>0</v>
      </c>
      <c r="M25" s="108">
        <f t="shared" si="1"/>
        <v>6.8571428571428568</v>
      </c>
      <c r="N25" s="50">
        <f t="shared" si="2"/>
        <v>3</v>
      </c>
      <c r="O25" s="37" t="s">
        <v>421</v>
      </c>
      <c r="P25" s="38">
        <f t="shared" si="3"/>
        <v>17</v>
      </c>
      <c r="Q25" s="33"/>
      <c r="R25" s="33"/>
      <c r="S25" s="33"/>
    </row>
    <row r="26" spans="1:19" x14ac:dyDescent="0.25">
      <c r="A26" s="61" t="s">
        <v>52</v>
      </c>
      <c r="B26" s="62" t="s">
        <v>403</v>
      </c>
      <c r="C26" s="63" t="s">
        <v>383</v>
      </c>
      <c r="D26" s="64">
        <v>5.5</v>
      </c>
      <c r="E26" s="65">
        <v>3.125</v>
      </c>
      <c r="F26" s="65" t="s">
        <v>377</v>
      </c>
      <c r="G26" s="63">
        <v>4</v>
      </c>
      <c r="H26" s="65">
        <v>3</v>
      </c>
      <c r="I26" s="65">
        <f t="shared" si="0"/>
        <v>3.8571428571428568</v>
      </c>
      <c r="J26" s="63">
        <v>6</v>
      </c>
      <c r="K26" s="63">
        <v>11</v>
      </c>
      <c r="L26" s="63">
        <v>0</v>
      </c>
      <c r="M26" s="106">
        <f t="shared" si="1"/>
        <v>6.8571428571428568</v>
      </c>
      <c r="N26" s="66">
        <f t="shared" si="2"/>
        <v>3</v>
      </c>
      <c r="O26" s="34" t="s">
        <v>421</v>
      </c>
      <c r="P26" s="35">
        <f t="shared" si="3"/>
        <v>17</v>
      </c>
      <c r="Q26" s="33"/>
      <c r="R26" s="33"/>
      <c r="S26" s="33"/>
    </row>
    <row r="27" spans="1:19" x14ac:dyDescent="0.25">
      <c r="A27" s="39" t="s">
        <v>5</v>
      </c>
      <c r="B27" s="40" t="s">
        <v>41</v>
      </c>
      <c r="C27" s="41" t="s">
        <v>363</v>
      </c>
      <c r="D27" s="42">
        <v>9.5</v>
      </c>
      <c r="E27" s="43">
        <v>15.625</v>
      </c>
      <c r="F27" s="43" t="s">
        <v>377</v>
      </c>
      <c r="G27" s="41">
        <v>2</v>
      </c>
      <c r="H27" s="43">
        <v>19</v>
      </c>
      <c r="I27" s="43">
        <f t="shared" si="0"/>
        <v>-14.428571428571429</v>
      </c>
      <c r="J27" s="41">
        <v>5</v>
      </c>
      <c r="K27" s="41">
        <v>12</v>
      </c>
      <c r="L27" s="41">
        <v>0</v>
      </c>
      <c r="M27" s="107">
        <f t="shared" si="1"/>
        <v>4.5714285714285712</v>
      </c>
      <c r="N27" s="49">
        <f t="shared" si="2"/>
        <v>2</v>
      </c>
      <c r="O27" s="34" t="s">
        <v>421</v>
      </c>
      <c r="P27" s="35">
        <f t="shared" si="3"/>
        <v>17</v>
      </c>
      <c r="Q27" s="33"/>
      <c r="R27" s="33"/>
      <c r="S27" s="33"/>
    </row>
    <row r="28" spans="1:19" x14ac:dyDescent="0.25">
      <c r="A28" s="39" t="s">
        <v>84</v>
      </c>
      <c r="B28" s="40" t="s">
        <v>91</v>
      </c>
      <c r="C28" s="41" t="s">
        <v>352</v>
      </c>
      <c r="D28" s="42">
        <v>4.5</v>
      </c>
      <c r="E28" s="43">
        <v>0</v>
      </c>
      <c r="F28" s="43" t="s">
        <v>380</v>
      </c>
      <c r="G28" s="41">
        <v>4</v>
      </c>
      <c r="H28" s="43">
        <v>1</v>
      </c>
      <c r="I28" s="43">
        <f t="shared" si="0"/>
        <v>3.5714285714285712</v>
      </c>
      <c r="J28" s="41">
        <v>5</v>
      </c>
      <c r="K28" s="41">
        <v>12</v>
      </c>
      <c r="L28" s="41">
        <v>0</v>
      </c>
      <c r="M28" s="107">
        <f t="shared" si="1"/>
        <v>4.5714285714285712</v>
      </c>
      <c r="N28" s="49">
        <f t="shared" si="2"/>
        <v>2</v>
      </c>
      <c r="O28" s="34" t="s">
        <v>421</v>
      </c>
      <c r="P28" s="35">
        <f t="shared" si="3"/>
        <v>17</v>
      </c>
      <c r="Q28" s="33"/>
      <c r="R28" s="33"/>
      <c r="S28" s="33"/>
    </row>
    <row r="29" spans="1:19" ht="15.75" thickBot="1" x14ac:dyDescent="0.3">
      <c r="A29" s="139" t="s">
        <v>28</v>
      </c>
      <c r="B29" s="140" t="s">
        <v>93</v>
      </c>
      <c r="C29" s="141" t="s">
        <v>355</v>
      </c>
      <c r="D29" s="142">
        <v>8.5</v>
      </c>
      <c r="E29" s="143">
        <v>12.5</v>
      </c>
      <c r="F29" s="141" t="s">
        <v>379</v>
      </c>
      <c r="G29" s="141">
        <v>2</v>
      </c>
      <c r="H29" s="143">
        <v>12</v>
      </c>
      <c r="I29" s="143">
        <f t="shared" si="0"/>
        <v>-12</v>
      </c>
      <c r="J29" s="141">
        <v>3</v>
      </c>
      <c r="K29" s="141">
        <v>14</v>
      </c>
      <c r="L29" s="141">
        <v>0</v>
      </c>
      <c r="M29" s="144">
        <f t="shared" si="1"/>
        <v>0</v>
      </c>
      <c r="N29" s="145">
        <f t="shared" si="2"/>
        <v>0</v>
      </c>
      <c r="O29" s="34" t="s">
        <v>421</v>
      </c>
      <c r="P29" s="35">
        <f t="shared" si="3"/>
        <v>17</v>
      </c>
      <c r="Q29" s="33"/>
      <c r="R29" s="33"/>
      <c r="S29" s="33"/>
    </row>
    <row r="30" spans="1:19" x14ac:dyDescent="0.25">
      <c r="A30" s="130" t="s">
        <v>24</v>
      </c>
      <c r="B30" s="131" t="s">
        <v>79</v>
      </c>
      <c r="C30" s="132" t="s">
        <v>359</v>
      </c>
      <c r="D30" s="133">
        <v>5.5</v>
      </c>
      <c r="E30" s="134">
        <v>3.125</v>
      </c>
      <c r="F30" s="134" t="s">
        <v>379</v>
      </c>
      <c r="G30" s="132">
        <v>4</v>
      </c>
      <c r="H30" s="134">
        <v>9</v>
      </c>
      <c r="I30" s="134">
        <f t="shared" si="0"/>
        <v>-9</v>
      </c>
      <c r="J30" s="132">
        <v>3</v>
      </c>
      <c r="K30" s="132">
        <v>14</v>
      </c>
      <c r="L30" s="132">
        <v>0</v>
      </c>
      <c r="M30" s="135">
        <f t="shared" si="1"/>
        <v>0</v>
      </c>
      <c r="N30" s="136">
        <f t="shared" si="2"/>
        <v>0</v>
      </c>
      <c r="O30" s="137" t="s">
        <v>421</v>
      </c>
      <c r="P30" s="138">
        <f t="shared" si="3"/>
        <v>17</v>
      </c>
      <c r="Q30" s="33"/>
      <c r="R30" s="33"/>
      <c r="S30" s="33"/>
    </row>
    <row r="31" spans="1:19" x14ac:dyDescent="0.25">
      <c r="A31" s="39" t="s">
        <v>20</v>
      </c>
      <c r="B31" s="40" t="s">
        <v>89</v>
      </c>
      <c r="C31" s="41" t="s">
        <v>368</v>
      </c>
      <c r="D31" s="42">
        <v>5.5</v>
      </c>
      <c r="E31" s="43">
        <v>3.125</v>
      </c>
      <c r="F31" s="43" t="s">
        <v>378</v>
      </c>
      <c r="G31" s="41">
        <v>4</v>
      </c>
      <c r="H31" s="43">
        <v>7</v>
      </c>
      <c r="I31" s="43">
        <f t="shared" si="0"/>
        <v>-7</v>
      </c>
      <c r="J31" s="41">
        <v>3</v>
      </c>
      <c r="K31" s="41">
        <v>14</v>
      </c>
      <c r="L31" s="41">
        <v>0</v>
      </c>
      <c r="M31" s="107">
        <f t="shared" si="1"/>
        <v>0</v>
      </c>
      <c r="N31" s="49">
        <f t="shared" si="2"/>
        <v>0</v>
      </c>
      <c r="O31" s="34" t="s">
        <v>421</v>
      </c>
      <c r="P31" s="35">
        <f t="shared" si="3"/>
        <v>17</v>
      </c>
      <c r="Q31" s="33"/>
      <c r="R31" s="33"/>
      <c r="S31" s="33"/>
    </row>
    <row r="32" spans="1:19" x14ac:dyDescent="0.25">
      <c r="A32" s="39" t="s">
        <v>50</v>
      </c>
      <c r="B32" s="40" t="s">
        <v>95</v>
      </c>
      <c r="C32" s="41" t="s">
        <v>363</v>
      </c>
      <c r="D32" s="42">
        <v>5.5</v>
      </c>
      <c r="E32" s="43">
        <v>3.125</v>
      </c>
      <c r="F32" s="43" t="s">
        <v>377</v>
      </c>
      <c r="G32" s="41">
        <v>3</v>
      </c>
      <c r="H32" s="43">
        <v>4</v>
      </c>
      <c r="I32" s="43">
        <f t="shared" si="0"/>
        <v>-1.7142857142857144</v>
      </c>
      <c r="J32" s="41">
        <v>4</v>
      </c>
      <c r="K32" s="41">
        <v>13</v>
      </c>
      <c r="L32" s="41">
        <v>0</v>
      </c>
      <c r="M32" s="107">
        <f t="shared" si="1"/>
        <v>2.2857142857142856</v>
      </c>
      <c r="N32" s="49">
        <f t="shared" si="2"/>
        <v>1</v>
      </c>
      <c r="O32" s="34" t="s">
        <v>421</v>
      </c>
      <c r="P32" s="35">
        <f t="shared" si="3"/>
        <v>17</v>
      </c>
      <c r="Q32" s="33"/>
      <c r="R32" s="33"/>
      <c r="S32" s="33"/>
    </row>
    <row r="33" spans="1:19" ht="15.75" thickBot="1" x14ac:dyDescent="0.3">
      <c r="A33" s="44" t="s">
        <v>81</v>
      </c>
      <c r="B33" s="45" t="s">
        <v>423</v>
      </c>
      <c r="C33" s="46" t="s">
        <v>367</v>
      </c>
      <c r="D33" s="47">
        <v>6.5</v>
      </c>
      <c r="E33" s="48">
        <v>6.25</v>
      </c>
      <c r="F33" s="48" t="s">
        <v>384</v>
      </c>
      <c r="G33" s="46">
        <v>4</v>
      </c>
      <c r="H33" s="48">
        <v>9</v>
      </c>
      <c r="I33" s="48">
        <f t="shared" si="0"/>
        <v>-9</v>
      </c>
      <c r="J33" s="46">
        <v>3</v>
      </c>
      <c r="K33" s="46">
        <v>14</v>
      </c>
      <c r="L33" s="46">
        <v>0</v>
      </c>
      <c r="M33" s="108">
        <f t="shared" si="1"/>
        <v>0</v>
      </c>
      <c r="N33" s="50">
        <f t="shared" si="2"/>
        <v>0</v>
      </c>
      <c r="O33" s="37" t="s">
        <v>421</v>
      </c>
      <c r="P33" s="38">
        <f t="shared" si="3"/>
        <v>17</v>
      </c>
      <c r="Q33" s="33"/>
      <c r="R33" s="33"/>
      <c r="S33" s="33"/>
    </row>
  </sheetData>
  <autoFilter ref="A1:P33" xr:uid="{CB8D080A-6B63-4D7D-99F6-2DECE54133E8}">
    <sortState xmlns:xlrd2="http://schemas.microsoft.com/office/spreadsheetml/2017/richdata2" ref="A2:P33">
      <sortCondition descending="1" ref="M1:M33"/>
    </sortState>
  </autoFilter>
  <mergeCells count="1">
    <mergeCell ref="R1:S1"/>
  </mergeCells>
  <conditionalFormatting sqref="F2:F6 F8:F9 F11:F17 F19:F21 F23:F29 F31:F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33">
    <cfRule type="cellIs" dxfId="23" priority="3" operator="equal">
      <formula>"Yes"</formula>
    </cfRule>
    <cfRule type="colorScale" priority="4">
      <colorScale>
        <cfvo type="min"/>
        <cfvo type="max"/>
        <color rgb="FFF8696B"/>
        <color rgb="FFFCFCFF"/>
      </colorScale>
    </cfRule>
  </conditionalFormatting>
  <conditionalFormatting sqref="P1:P33">
    <cfRule type="colorScale" priority="5">
      <colorScale>
        <cfvo type="min"/>
        <cfvo type="max"/>
        <color rgb="FFF8696B"/>
        <color rgb="FFFCFCFF"/>
      </colorScale>
    </cfRule>
  </conditionalFormatting>
  <conditionalFormatting sqref="S2:S3">
    <cfRule type="duplicateValues" dxfId="22" priority="2"/>
  </conditionalFormatting>
  <conditionalFormatting sqref="Y2:Y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AFBB-56BC-4ED4-A526-437593B2D306}">
  <sheetPr>
    <tabColor theme="7" tint="0.79998168889431442"/>
  </sheetPr>
  <dimension ref="A1:Q609"/>
  <sheetViews>
    <sheetView zoomScale="80" zoomScaleNormal="80" workbookViewId="0">
      <pane xSplit="6" ySplit="1" topLeftCell="G543" activePane="bottomRight" state="frozen"/>
      <selection pane="topRight" activeCell="G61" sqref="G61"/>
      <selection pane="bottomLeft" activeCell="G61" sqref="G61"/>
      <selection pane="bottomRight" activeCell="Q609" sqref="Q579:Q609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5" bestFit="1" customWidth="1"/>
    <col min="4" max="4" width="10.7109375" bestFit="1" customWidth="1"/>
    <col min="5" max="5" width="15.85546875" bestFit="1" customWidth="1"/>
    <col min="6" max="6" width="17" bestFit="1" customWidth="1"/>
    <col min="7" max="7" width="13.140625" bestFit="1" customWidth="1"/>
    <col min="8" max="8" width="11.28515625" bestFit="1" customWidth="1"/>
    <col min="9" max="9" width="12.7109375" bestFit="1" customWidth="1"/>
    <col min="10" max="10" width="12" bestFit="1" customWidth="1"/>
    <col min="11" max="11" width="13.5703125" bestFit="1" customWidth="1"/>
    <col min="12" max="12" width="11" bestFit="1" customWidth="1"/>
    <col min="13" max="13" width="20.28515625" bestFit="1" customWidth="1"/>
    <col min="14" max="14" width="15.7109375" bestFit="1" customWidth="1"/>
    <col min="15" max="15" width="11.42578125" bestFit="1" customWidth="1"/>
    <col min="16" max="17" width="12.42578125" bestFit="1" customWidth="1"/>
  </cols>
  <sheetData>
    <row r="1" spans="1:17" ht="15.75" thickBot="1" x14ac:dyDescent="0.3">
      <c r="A1" s="83" t="s">
        <v>333</v>
      </c>
      <c r="B1" s="84" t="s">
        <v>406</v>
      </c>
      <c r="C1" s="84" t="s">
        <v>334</v>
      </c>
      <c r="D1" s="84" t="s">
        <v>407</v>
      </c>
      <c r="E1" s="84" t="s">
        <v>408</v>
      </c>
      <c r="F1" s="84" t="s">
        <v>346</v>
      </c>
      <c r="G1" s="84" t="s">
        <v>409</v>
      </c>
      <c r="H1" s="84" t="s">
        <v>347</v>
      </c>
      <c r="I1" s="84" t="s">
        <v>348</v>
      </c>
      <c r="J1" s="84" t="s">
        <v>410</v>
      </c>
      <c r="K1" s="84" t="s">
        <v>411</v>
      </c>
      <c r="L1" s="84" t="s">
        <v>412</v>
      </c>
      <c r="M1" s="84" t="s">
        <v>413</v>
      </c>
      <c r="N1" s="84" t="s">
        <v>414</v>
      </c>
      <c r="O1" s="84" t="s">
        <v>415</v>
      </c>
      <c r="P1" s="84" t="s">
        <v>416</v>
      </c>
      <c r="Q1" s="85" t="s">
        <v>397</v>
      </c>
    </row>
    <row r="2" spans="1:17" x14ac:dyDescent="0.25">
      <c r="A2" s="79" t="s">
        <v>7</v>
      </c>
      <c r="B2" s="80" t="s">
        <v>405</v>
      </c>
      <c r="C2" s="80" t="s">
        <v>355</v>
      </c>
      <c r="D2" s="80">
        <v>10.5</v>
      </c>
      <c r="E2" s="80">
        <v>18.75</v>
      </c>
      <c r="F2" s="80" t="s">
        <v>380</v>
      </c>
      <c r="G2" s="80">
        <v>1</v>
      </c>
      <c r="H2" s="80">
        <v>18</v>
      </c>
      <c r="I2" s="80">
        <v>0.75</v>
      </c>
      <c r="J2" s="80">
        <v>0</v>
      </c>
      <c r="K2" s="80">
        <v>0</v>
      </c>
      <c r="L2" s="80">
        <v>0</v>
      </c>
      <c r="M2" s="80" t="s">
        <v>424</v>
      </c>
      <c r="N2" s="81">
        <v>0</v>
      </c>
      <c r="O2" s="80" t="s">
        <v>425</v>
      </c>
      <c r="P2" s="80">
        <v>0</v>
      </c>
      <c r="Q2" s="82">
        <v>0</v>
      </c>
    </row>
    <row r="3" spans="1:17" x14ac:dyDescent="0.25">
      <c r="A3" s="52" t="s">
        <v>66</v>
      </c>
      <c r="B3" s="51" t="s">
        <v>72</v>
      </c>
      <c r="C3" s="51" t="s">
        <v>357</v>
      </c>
      <c r="D3" s="51">
        <v>8.5</v>
      </c>
      <c r="E3" s="51">
        <v>12.5</v>
      </c>
      <c r="F3" s="51" t="s">
        <v>379</v>
      </c>
      <c r="G3" s="51">
        <v>3</v>
      </c>
      <c r="H3" s="51">
        <v>4</v>
      </c>
      <c r="I3" s="51">
        <v>8.5</v>
      </c>
      <c r="J3" s="51">
        <v>0</v>
      </c>
      <c r="K3" s="51">
        <v>0</v>
      </c>
      <c r="L3" s="51">
        <v>0</v>
      </c>
      <c r="M3" s="51" t="s">
        <v>424</v>
      </c>
      <c r="N3" s="56">
        <v>0</v>
      </c>
      <c r="O3" s="51" t="s">
        <v>425</v>
      </c>
      <c r="P3" s="51">
        <v>0</v>
      </c>
      <c r="Q3" s="77">
        <v>0</v>
      </c>
    </row>
    <row r="4" spans="1:17" x14ac:dyDescent="0.25">
      <c r="A4" s="52" t="s">
        <v>54</v>
      </c>
      <c r="B4" s="51" t="s">
        <v>77</v>
      </c>
      <c r="C4" s="51" t="s">
        <v>352</v>
      </c>
      <c r="D4" s="51">
        <v>9.5</v>
      </c>
      <c r="E4" s="51">
        <v>15.625</v>
      </c>
      <c r="F4" s="51" t="s">
        <v>380</v>
      </c>
      <c r="G4" s="51">
        <v>3</v>
      </c>
      <c r="H4" s="51">
        <v>14</v>
      </c>
      <c r="I4" s="51">
        <v>1.625</v>
      </c>
      <c r="J4" s="51">
        <v>0</v>
      </c>
      <c r="K4" s="51">
        <v>0</v>
      </c>
      <c r="L4" s="51">
        <v>0</v>
      </c>
      <c r="M4" s="51" t="s">
        <v>424</v>
      </c>
      <c r="N4" s="56">
        <v>0</v>
      </c>
      <c r="O4" s="51" t="s">
        <v>425</v>
      </c>
      <c r="P4" s="51">
        <v>0</v>
      </c>
      <c r="Q4" s="77">
        <v>0</v>
      </c>
    </row>
    <row r="5" spans="1:17" x14ac:dyDescent="0.25">
      <c r="A5" s="52" t="s">
        <v>26</v>
      </c>
      <c r="B5" s="51" t="s">
        <v>25</v>
      </c>
      <c r="C5" s="51" t="s">
        <v>359</v>
      </c>
      <c r="D5" s="51">
        <v>11.5</v>
      </c>
      <c r="E5" s="51">
        <v>21.875</v>
      </c>
      <c r="F5" s="51" t="s">
        <v>384</v>
      </c>
      <c r="G5" s="51">
        <v>1</v>
      </c>
      <c r="H5" s="51">
        <v>24</v>
      </c>
      <c r="I5" s="51">
        <v>-2.125</v>
      </c>
      <c r="J5" s="51">
        <v>0</v>
      </c>
      <c r="K5" s="51">
        <v>0</v>
      </c>
      <c r="L5" s="51">
        <v>0</v>
      </c>
      <c r="M5" s="51" t="s">
        <v>424</v>
      </c>
      <c r="N5" s="56">
        <v>0</v>
      </c>
      <c r="O5" s="51" t="s">
        <v>425</v>
      </c>
      <c r="P5" s="51">
        <v>0</v>
      </c>
      <c r="Q5" s="77">
        <v>0</v>
      </c>
    </row>
    <row r="6" spans="1:17" x14ac:dyDescent="0.25">
      <c r="A6" s="52" t="s">
        <v>64</v>
      </c>
      <c r="B6" s="51" t="s">
        <v>63</v>
      </c>
      <c r="C6" s="51" t="s">
        <v>367</v>
      </c>
      <c r="D6" s="51">
        <v>9.5</v>
      </c>
      <c r="E6" s="51">
        <v>15.625</v>
      </c>
      <c r="F6" s="51" t="s">
        <v>381</v>
      </c>
      <c r="G6" s="51">
        <v>1</v>
      </c>
      <c r="H6" s="51">
        <v>17</v>
      </c>
      <c r="I6" s="51">
        <v>-1.375</v>
      </c>
      <c r="J6" s="51">
        <v>0</v>
      </c>
      <c r="K6" s="51">
        <v>0</v>
      </c>
      <c r="L6" s="51">
        <v>0</v>
      </c>
      <c r="M6" s="51" t="s">
        <v>424</v>
      </c>
      <c r="N6" s="56">
        <v>0</v>
      </c>
      <c r="O6" s="51" t="s">
        <v>425</v>
      </c>
      <c r="P6" s="51">
        <v>0</v>
      </c>
      <c r="Q6" s="77">
        <v>0</v>
      </c>
    </row>
    <row r="7" spans="1:17" x14ac:dyDescent="0.25">
      <c r="A7" s="52" t="s">
        <v>84</v>
      </c>
      <c r="B7" s="51" t="s">
        <v>91</v>
      </c>
      <c r="C7" s="51" t="s">
        <v>352</v>
      </c>
      <c r="D7" s="51">
        <v>4.5</v>
      </c>
      <c r="E7" s="51">
        <v>0</v>
      </c>
      <c r="F7" s="51" t="s">
        <v>380</v>
      </c>
      <c r="G7" s="51">
        <v>4</v>
      </c>
      <c r="H7" s="51">
        <v>1</v>
      </c>
      <c r="I7" s="51">
        <v>-1</v>
      </c>
      <c r="J7" s="51">
        <v>0</v>
      </c>
      <c r="K7" s="51">
        <v>0</v>
      </c>
      <c r="L7" s="51">
        <v>0</v>
      </c>
      <c r="M7" s="51" t="s">
        <v>424</v>
      </c>
      <c r="N7" s="56">
        <v>0</v>
      </c>
      <c r="O7" s="51" t="s">
        <v>425</v>
      </c>
      <c r="P7" s="51">
        <v>0</v>
      </c>
      <c r="Q7" s="77">
        <v>0</v>
      </c>
    </row>
    <row r="8" spans="1:17" x14ac:dyDescent="0.25">
      <c r="A8" s="52" t="s">
        <v>1</v>
      </c>
      <c r="B8" s="51" t="s">
        <v>402</v>
      </c>
      <c r="C8" s="51" t="s">
        <v>383</v>
      </c>
      <c r="D8" s="51">
        <v>9.5</v>
      </c>
      <c r="E8" s="51">
        <v>15.625</v>
      </c>
      <c r="F8" s="51" t="s">
        <v>381</v>
      </c>
      <c r="G8" s="51">
        <v>2</v>
      </c>
      <c r="H8" s="51">
        <v>15</v>
      </c>
      <c r="I8" s="51">
        <v>0.625</v>
      </c>
      <c r="J8" s="51">
        <v>0</v>
      </c>
      <c r="K8" s="51">
        <v>0</v>
      </c>
      <c r="L8" s="51">
        <v>0</v>
      </c>
      <c r="M8" s="51" t="s">
        <v>424</v>
      </c>
      <c r="N8" s="56">
        <v>0</v>
      </c>
      <c r="O8" s="51" t="s">
        <v>425</v>
      </c>
      <c r="P8" s="51">
        <v>0</v>
      </c>
      <c r="Q8" s="77">
        <v>0</v>
      </c>
    </row>
    <row r="9" spans="1:17" x14ac:dyDescent="0.25">
      <c r="A9" s="52" t="s">
        <v>28</v>
      </c>
      <c r="B9" s="51" t="s">
        <v>93</v>
      </c>
      <c r="C9" s="51" t="s">
        <v>355</v>
      </c>
      <c r="D9" s="51">
        <v>8.5</v>
      </c>
      <c r="E9" s="51">
        <v>12.5</v>
      </c>
      <c r="F9" s="51" t="s">
        <v>379</v>
      </c>
      <c r="G9" s="51">
        <v>2</v>
      </c>
      <c r="H9" s="51">
        <v>12</v>
      </c>
      <c r="I9" s="51">
        <v>0.5</v>
      </c>
      <c r="J9" s="51">
        <v>0</v>
      </c>
      <c r="K9" s="51">
        <v>0</v>
      </c>
      <c r="L9" s="51">
        <v>0</v>
      </c>
      <c r="M9" s="51" t="s">
        <v>424</v>
      </c>
      <c r="N9" s="56">
        <v>0</v>
      </c>
      <c r="O9" s="51" t="s">
        <v>425</v>
      </c>
      <c r="P9" s="51">
        <v>0</v>
      </c>
      <c r="Q9" s="77">
        <v>0</v>
      </c>
    </row>
    <row r="10" spans="1:17" x14ac:dyDescent="0.25">
      <c r="A10" s="52" t="s">
        <v>61</v>
      </c>
      <c r="B10" s="51" t="s">
        <v>60</v>
      </c>
      <c r="C10" s="51" t="s">
        <v>367</v>
      </c>
      <c r="D10" s="51">
        <v>9.5</v>
      </c>
      <c r="E10" s="51">
        <v>15.625</v>
      </c>
      <c r="F10" s="51" t="s">
        <v>376</v>
      </c>
      <c r="G10" s="51">
        <v>2</v>
      </c>
      <c r="H10" s="51">
        <v>13</v>
      </c>
      <c r="I10" s="51">
        <v>2.625</v>
      </c>
      <c r="J10" s="51">
        <v>0</v>
      </c>
      <c r="K10" s="51">
        <v>0</v>
      </c>
      <c r="L10" s="51">
        <v>0</v>
      </c>
      <c r="M10" s="51" t="s">
        <v>424</v>
      </c>
      <c r="N10" s="56">
        <v>0</v>
      </c>
      <c r="O10" s="51" t="s">
        <v>425</v>
      </c>
      <c r="P10" s="51">
        <v>0</v>
      </c>
      <c r="Q10" s="77">
        <v>0</v>
      </c>
    </row>
    <row r="11" spans="1:17" x14ac:dyDescent="0.25">
      <c r="A11" s="52" t="s">
        <v>17</v>
      </c>
      <c r="B11" s="51" t="s">
        <v>399</v>
      </c>
      <c r="C11" s="51" t="s">
        <v>367</v>
      </c>
      <c r="D11" s="51">
        <v>11.5</v>
      </c>
      <c r="E11" s="51">
        <v>21.875</v>
      </c>
      <c r="F11" s="51" t="s">
        <v>377</v>
      </c>
      <c r="G11" s="51">
        <v>1</v>
      </c>
      <c r="H11" s="51">
        <v>24</v>
      </c>
      <c r="I11" s="51">
        <v>-2.125</v>
      </c>
      <c r="J11" s="51">
        <v>0</v>
      </c>
      <c r="K11" s="51">
        <v>0</v>
      </c>
      <c r="L11" s="51">
        <v>0</v>
      </c>
      <c r="M11" s="51" t="s">
        <v>424</v>
      </c>
      <c r="N11" s="56">
        <v>0</v>
      </c>
      <c r="O11" s="51" t="s">
        <v>425</v>
      </c>
      <c r="P11" s="51">
        <v>0</v>
      </c>
      <c r="Q11" s="77">
        <v>0</v>
      </c>
    </row>
    <row r="12" spans="1:17" x14ac:dyDescent="0.25">
      <c r="A12" s="52" t="s">
        <v>43</v>
      </c>
      <c r="B12" s="51" t="s">
        <v>57</v>
      </c>
      <c r="C12" s="51" t="s">
        <v>368</v>
      </c>
      <c r="D12" s="51">
        <v>7.5</v>
      </c>
      <c r="E12" s="51">
        <v>9.375</v>
      </c>
      <c r="F12" s="51" t="s">
        <v>378</v>
      </c>
      <c r="G12" s="51">
        <v>3</v>
      </c>
      <c r="H12" s="51">
        <v>1</v>
      </c>
      <c r="I12" s="51">
        <v>8.375</v>
      </c>
      <c r="J12" s="51">
        <v>0</v>
      </c>
      <c r="K12" s="51">
        <v>0</v>
      </c>
      <c r="L12" s="51">
        <v>0</v>
      </c>
      <c r="M12" s="51" t="s">
        <v>424</v>
      </c>
      <c r="N12" s="56">
        <v>0</v>
      </c>
      <c r="O12" s="51" t="s">
        <v>425</v>
      </c>
      <c r="P12" s="51">
        <v>0</v>
      </c>
      <c r="Q12" s="77">
        <v>0</v>
      </c>
    </row>
    <row r="13" spans="1:17" x14ac:dyDescent="0.25">
      <c r="A13" s="52" t="s">
        <v>5</v>
      </c>
      <c r="B13" s="51" t="s">
        <v>41</v>
      </c>
      <c r="C13" s="51" t="s">
        <v>363</v>
      </c>
      <c r="D13" s="51">
        <v>9.5</v>
      </c>
      <c r="E13" s="51">
        <v>15.625</v>
      </c>
      <c r="F13" s="51" t="s">
        <v>377</v>
      </c>
      <c r="G13" s="51">
        <v>2</v>
      </c>
      <c r="H13" s="51">
        <v>19</v>
      </c>
      <c r="I13" s="51">
        <v>-3.375</v>
      </c>
      <c r="J13" s="51">
        <v>0</v>
      </c>
      <c r="K13" s="51">
        <v>0</v>
      </c>
      <c r="L13" s="51">
        <v>0</v>
      </c>
      <c r="M13" s="51" t="s">
        <v>424</v>
      </c>
      <c r="N13" s="56">
        <v>0</v>
      </c>
      <c r="O13" s="51" t="s">
        <v>425</v>
      </c>
      <c r="P13" s="51">
        <v>0</v>
      </c>
      <c r="Q13" s="77">
        <v>0</v>
      </c>
    </row>
    <row r="14" spans="1:17" x14ac:dyDescent="0.25">
      <c r="A14" s="52" t="s">
        <v>15</v>
      </c>
      <c r="B14" s="51" t="s">
        <v>14</v>
      </c>
      <c r="C14" s="51" t="s">
        <v>363</v>
      </c>
      <c r="D14" s="51">
        <v>7.5</v>
      </c>
      <c r="E14" s="51">
        <v>9.375</v>
      </c>
      <c r="F14" s="51" t="s">
        <v>382</v>
      </c>
      <c r="G14" s="51">
        <v>4</v>
      </c>
      <c r="H14" s="51">
        <v>8</v>
      </c>
      <c r="I14" s="51">
        <v>1.375</v>
      </c>
      <c r="J14" s="51">
        <v>0</v>
      </c>
      <c r="K14" s="51">
        <v>0</v>
      </c>
      <c r="L14" s="51">
        <v>0</v>
      </c>
      <c r="M14" s="51" t="s">
        <v>424</v>
      </c>
      <c r="N14" s="56">
        <v>0</v>
      </c>
      <c r="O14" s="51" t="s">
        <v>425</v>
      </c>
      <c r="P14" s="51">
        <v>0</v>
      </c>
      <c r="Q14" s="77">
        <v>0</v>
      </c>
    </row>
    <row r="15" spans="1:17" x14ac:dyDescent="0.25">
      <c r="A15" s="52" t="s">
        <v>3</v>
      </c>
      <c r="B15" s="51" t="s">
        <v>2</v>
      </c>
      <c r="C15" s="51" t="s">
        <v>359</v>
      </c>
      <c r="D15" s="51">
        <v>7.5</v>
      </c>
      <c r="E15" s="51">
        <v>9.375</v>
      </c>
      <c r="F15" s="51" t="s">
        <v>381</v>
      </c>
      <c r="G15" s="51">
        <v>4</v>
      </c>
      <c r="H15" s="51">
        <v>8</v>
      </c>
      <c r="I15" s="51">
        <v>1.375</v>
      </c>
      <c r="J15" s="51">
        <v>0</v>
      </c>
      <c r="K15" s="51">
        <v>0</v>
      </c>
      <c r="L15" s="51">
        <v>0</v>
      </c>
      <c r="M15" s="51" t="s">
        <v>424</v>
      </c>
      <c r="N15" s="56">
        <v>0</v>
      </c>
      <c r="O15" s="51" t="s">
        <v>425</v>
      </c>
      <c r="P15" s="51">
        <v>0</v>
      </c>
      <c r="Q15" s="77">
        <v>0</v>
      </c>
    </row>
    <row r="16" spans="1:17" x14ac:dyDescent="0.25">
      <c r="A16" s="52" t="s">
        <v>39</v>
      </c>
      <c r="B16" s="51" t="s">
        <v>38</v>
      </c>
      <c r="C16" s="51" t="s">
        <v>363</v>
      </c>
      <c r="D16" s="51">
        <v>11.5</v>
      </c>
      <c r="E16" s="51">
        <v>21.875</v>
      </c>
      <c r="F16" s="51" t="s">
        <v>378</v>
      </c>
      <c r="G16" s="51">
        <v>1</v>
      </c>
      <c r="H16" s="51">
        <v>23</v>
      </c>
      <c r="I16" s="51">
        <v>-1.125</v>
      </c>
      <c r="J16" s="51">
        <v>0</v>
      </c>
      <c r="K16" s="51">
        <v>0</v>
      </c>
      <c r="L16" s="51">
        <v>0</v>
      </c>
      <c r="M16" s="51" t="s">
        <v>424</v>
      </c>
      <c r="N16" s="56">
        <v>0</v>
      </c>
      <c r="O16" s="51" t="s">
        <v>425</v>
      </c>
      <c r="P16" s="51">
        <v>0</v>
      </c>
      <c r="Q16" s="77">
        <v>0</v>
      </c>
    </row>
    <row r="17" spans="1:17" x14ac:dyDescent="0.25">
      <c r="A17" s="52" t="s">
        <v>70</v>
      </c>
      <c r="B17" s="51" t="s">
        <v>69</v>
      </c>
      <c r="C17" s="51" t="s">
        <v>383</v>
      </c>
      <c r="D17" s="51">
        <v>7.5</v>
      </c>
      <c r="E17" s="51">
        <v>9.375</v>
      </c>
      <c r="F17" s="51" t="s">
        <v>376</v>
      </c>
      <c r="G17" s="51">
        <v>3</v>
      </c>
      <c r="H17" s="51">
        <v>12</v>
      </c>
      <c r="I17" s="51">
        <v>-2.625</v>
      </c>
      <c r="J17" s="51">
        <v>0</v>
      </c>
      <c r="K17" s="51">
        <v>0</v>
      </c>
      <c r="L17" s="51">
        <v>0</v>
      </c>
      <c r="M17" s="51" t="s">
        <v>424</v>
      </c>
      <c r="N17" s="56">
        <v>0</v>
      </c>
      <c r="O17" s="51" t="s">
        <v>425</v>
      </c>
      <c r="P17" s="51">
        <v>0</v>
      </c>
      <c r="Q17" s="77">
        <v>0</v>
      </c>
    </row>
    <row r="18" spans="1:17" x14ac:dyDescent="0.25">
      <c r="A18" s="52" t="s">
        <v>50</v>
      </c>
      <c r="B18" s="51" t="s">
        <v>95</v>
      </c>
      <c r="C18" s="51" t="s">
        <v>363</v>
      </c>
      <c r="D18" s="51">
        <v>5.5</v>
      </c>
      <c r="E18" s="51">
        <v>3.125</v>
      </c>
      <c r="F18" s="51" t="s">
        <v>377</v>
      </c>
      <c r="G18" s="51">
        <v>3</v>
      </c>
      <c r="H18" s="51">
        <v>4</v>
      </c>
      <c r="I18" s="51">
        <v>-0.875</v>
      </c>
      <c r="J18" s="51">
        <v>0</v>
      </c>
      <c r="K18" s="51">
        <v>0</v>
      </c>
      <c r="L18" s="51">
        <v>0</v>
      </c>
      <c r="M18" s="51" t="s">
        <v>424</v>
      </c>
      <c r="N18" s="56">
        <v>0</v>
      </c>
      <c r="O18" s="51" t="s">
        <v>425</v>
      </c>
      <c r="P18" s="51">
        <v>0</v>
      </c>
      <c r="Q18" s="77">
        <v>0</v>
      </c>
    </row>
    <row r="19" spans="1:17" x14ac:dyDescent="0.25">
      <c r="A19" s="52" t="s">
        <v>37</v>
      </c>
      <c r="B19" s="51" t="s">
        <v>44</v>
      </c>
      <c r="C19" s="51" t="s">
        <v>368</v>
      </c>
      <c r="D19" s="51">
        <v>7.5</v>
      </c>
      <c r="E19" s="51">
        <v>9.375</v>
      </c>
      <c r="F19" s="51" t="s">
        <v>382</v>
      </c>
      <c r="G19" s="51">
        <v>3</v>
      </c>
      <c r="H19" s="51">
        <v>10</v>
      </c>
      <c r="I19" s="51">
        <v>-0.625</v>
      </c>
      <c r="J19" s="51">
        <v>0</v>
      </c>
      <c r="K19" s="51">
        <v>0</v>
      </c>
      <c r="L19" s="51">
        <v>0</v>
      </c>
      <c r="M19" s="51" t="s">
        <v>424</v>
      </c>
      <c r="N19" s="56">
        <v>0</v>
      </c>
      <c r="O19" s="51" t="s">
        <v>425</v>
      </c>
      <c r="P19" s="51">
        <v>0</v>
      </c>
      <c r="Q19" s="77">
        <v>0</v>
      </c>
    </row>
    <row r="20" spans="1:17" x14ac:dyDescent="0.25">
      <c r="A20" s="52" t="s">
        <v>24</v>
      </c>
      <c r="B20" s="51" t="s">
        <v>79</v>
      </c>
      <c r="C20" s="51" t="s">
        <v>359</v>
      </c>
      <c r="D20" s="51">
        <v>5.5</v>
      </c>
      <c r="E20" s="51">
        <v>3.125</v>
      </c>
      <c r="F20" s="51" t="s">
        <v>379</v>
      </c>
      <c r="G20" s="51">
        <v>4</v>
      </c>
      <c r="H20" s="51">
        <v>1</v>
      </c>
      <c r="I20" s="51">
        <v>2.125</v>
      </c>
      <c r="J20" s="51">
        <v>0</v>
      </c>
      <c r="K20" s="51">
        <v>0</v>
      </c>
      <c r="L20" s="51">
        <v>0</v>
      </c>
      <c r="M20" s="51" t="s">
        <v>424</v>
      </c>
      <c r="N20" s="56">
        <v>0</v>
      </c>
      <c r="O20" s="51" t="s">
        <v>425</v>
      </c>
      <c r="P20" s="51">
        <v>0</v>
      </c>
      <c r="Q20" s="77">
        <v>0</v>
      </c>
    </row>
    <row r="21" spans="1:17" x14ac:dyDescent="0.25">
      <c r="A21" s="52" t="s">
        <v>11</v>
      </c>
      <c r="B21" s="51" t="s">
        <v>10</v>
      </c>
      <c r="C21" s="51" t="s">
        <v>357</v>
      </c>
      <c r="D21" s="51">
        <v>10.5</v>
      </c>
      <c r="E21" s="51">
        <v>18.75</v>
      </c>
      <c r="F21" s="51" t="s">
        <v>378</v>
      </c>
      <c r="G21" s="51">
        <v>2</v>
      </c>
      <c r="H21" s="51">
        <v>19</v>
      </c>
      <c r="I21" s="51">
        <v>-0.25</v>
      </c>
      <c r="J21" s="51">
        <v>0</v>
      </c>
      <c r="K21" s="51">
        <v>0</v>
      </c>
      <c r="L21" s="51">
        <v>0</v>
      </c>
      <c r="M21" s="51" t="s">
        <v>424</v>
      </c>
      <c r="N21" s="56">
        <v>0</v>
      </c>
      <c r="O21" s="51" t="s">
        <v>425</v>
      </c>
      <c r="P21" s="51">
        <v>0</v>
      </c>
      <c r="Q21" s="77">
        <v>0</v>
      </c>
    </row>
    <row r="22" spans="1:17" x14ac:dyDescent="0.25">
      <c r="A22" s="52" t="s">
        <v>35</v>
      </c>
      <c r="B22" s="51" t="s">
        <v>400</v>
      </c>
      <c r="C22" s="51" t="s">
        <v>357</v>
      </c>
      <c r="D22" s="51">
        <v>10.5</v>
      </c>
      <c r="E22" s="51">
        <v>18.75</v>
      </c>
      <c r="F22" s="51" t="s">
        <v>382</v>
      </c>
      <c r="G22" s="51">
        <v>1</v>
      </c>
      <c r="H22" s="51">
        <v>17</v>
      </c>
      <c r="I22" s="51">
        <v>1.75</v>
      </c>
      <c r="J22" s="51">
        <v>0</v>
      </c>
      <c r="K22" s="51">
        <v>0</v>
      </c>
      <c r="L22" s="51">
        <v>0</v>
      </c>
      <c r="M22" s="51" t="s">
        <v>424</v>
      </c>
      <c r="N22" s="56">
        <v>0</v>
      </c>
      <c r="O22" s="51" t="s">
        <v>425</v>
      </c>
      <c r="P22" s="51">
        <v>0</v>
      </c>
      <c r="Q22" s="77">
        <v>0</v>
      </c>
    </row>
    <row r="23" spans="1:17" x14ac:dyDescent="0.25">
      <c r="A23" s="52" t="s">
        <v>13</v>
      </c>
      <c r="B23" s="51" t="s">
        <v>67</v>
      </c>
      <c r="C23" s="51" t="s">
        <v>383</v>
      </c>
      <c r="D23" s="51">
        <v>6.5</v>
      </c>
      <c r="E23" s="51">
        <v>6.25</v>
      </c>
      <c r="F23" s="51" t="s">
        <v>384</v>
      </c>
      <c r="G23" s="51">
        <v>3</v>
      </c>
      <c r="H23" s="51">
        <v>3</v>
      </c>
      <c r="I23" s="51">
        <v>3.25</v>
      </c>
      <c r="J23" s="51">
        <v>0</v>
      </c>
      <c r="K23" s="51">
        <v>0</v>
      </c>
      <c r="L23" s="51">
        <v>0</v>
      </c>
      <c r="M23" s="51" t="s">
        <v>424</v>
      </c>
      <c r="N23" s="56">
        <v>0</v>
      </c>
      <c r="O23" s="51" t="s">
        <v>425</v>
      </c>
      <c r="P23" s="51">
        <v>0</v>
      </c>
      <c r="Q23" s="77">
        <v>0</v>
      </c>
    </row>
    <row r="24" spans="1:17" x14ac:dyDescent="0.25">
      <c r="A24" s="52" t="s">
        <v>46</v>
      </c>
      <c r="B24" s="51" t="s">
        <v>404</v>
      </c>
      <c r="C24" s="51" t="s">
        <v>359</v>
      </c>
      <c r="D24" s="51">
        <v>8.5</v>
      </c>
      <c r="E24" s="51">
        <v>12.5</v>
      </c>
      <c r="F24" s="51" t="s">
        <v>381</v>
      </c>
      <c r="G24" s="51">
        <v>3</v>
      </c>
      <c r="H24" s="51">
        <v>10</v>
      </c>
      <c r="I24" s="51">
        <v>2.5</v>
      </c>
      <c r="J24" s="51">
        <v>0</v>
      </c>
      <c r="K24" s="51">
        <v>0</v>
      </c>
      <c r="L24" s="51">
        <v>0</v>
      </c>
      <c r="M24" s="51" t="s">
        <v>424</v>
      </c>
      <c r="N24" s="56">
        <v>0</v>
      </c>
      <c r="O24" s="51" t="s">
        <v>425</v>
      </c>
      <c r="P24" s="51">
        <v>0</v>
      </c>
      <c r="Q24" s="77">
        <v>0</v>
      </c>
    </row>
    <row r="25" spans="1:17" x14ac:dyDescent="0.25">
      <c r="A25" s="52" t="s">
        <v>81</v>
      </c>
      <c r="B25" s="51" t="s">
        <v>423</v>
      </c>
      <c r="C25" s="51" t="s">
        <v>367</v>
      </c>
      <c r="D25" s="51">
        <v>6.5</v>
      </c>
      <c r="E25" s="51">
        <v>6.25</v>
      </c>
      <c r="F25" s="51" t="s">
        <v>384</v>
      </c>
      <c r="G25" s="51">
        <v>4</v>
      </c>
      <c r="H25" s="51">
        <v>3</v>
      </c>
      <c r="I25" s="51">
        <v>3.25</v>
      </c>
      <c r="J25" s="51">
        <v>0</v>
      </c>
      <c r="K25" s="51">
        <v>0</v>
      </c>
      <c r="L25" s="51">
        <v>0</v>
      </c>
      <c r="M25" s="51" t="s">
        <v>424</v>
      </c>
      <c r="N25" s="56">
        <v>0</v>
      </c>
      <c r="O25" s="51" t="s">
        <v>425</v>
      </c>
      <c r="P25" s="51">
        <v>0</v>
      </c>
      <c r="Q25" s="77">
        <v>0</v>
      </c>
    </row>
    <row r="26" spans="1:17" x14ac:dyDescent="0.25">
      <c r="A26" s="52" t="s">
        <v>22</v>
      </c>
      <c r="B26" s="51" t="s">
        <v>21</v>
      </c>
      <c r="C26" s="51" t="s">
        <v>355</v>
      </c>
      <c r="D26" s="51">
        <v>9.5</v>
      </c>
      <c r="E26" s="51">
        <v>15.625</v>
      </c>
      <c r="F26" s="51" t="s">
        <v>382</v>
      </c>
      <c r="G26" s="51">
        <v>2</v>
      </c>
      <c r="H26" s="51">
        <v>15</v>
      </c>
      <c r="I26" s="51">
        <v>0.625</v>
      </c>
      <c r="J26" s="51">
        <v>0</v>
      </c>
      <c r="K26" s="51">
        <v>0</v>
      </c>
      <c r="L26" s="51">
        <v>0</v>
      </c>
      <c r="M26" s="51" t="s">
        <v>424</v>
      </c>
      <c r="N26" s="56">
        <v>0</v>
      </c>
      <c r="O26" s="51" t="s">
        <v>425</v>
      </c>
      <c r="P26" s="51">
        <v>0</v>
      </c>
      <c r="Q26" s="77">
        <v>0</v>
      </c>
    </row>
    <row r="27" spans="1:17" x14ac:dyDescent="0.25">
      <c r="A27" s="52" t="s">
        <v>48</v>
      </c>
      <c r="B27" s="51" t="s">
        <v>47</v>
      </c>
      <c r="C27" s="51" t="s">
        <v>352</v>
      </c>
      <c r="D27" s="51">
        <v>11.5</v>
      </c>
      <c r="E27" s="51">
        <v>21.875</v>
      </c>
      <c r="F27" s="51" t="s">
        <v>379</v>
      </c>
      <c r="G27" s="51">
        <v>1</v>
      </c>
      <c r="H27" s="51">
        <v>25</v>
      </c>
      <c r="I27" s="51">
        <v>-3.125</v>
      </c>
      <c r="J27" s="51">
        <v>0</v>
      </c>
      <c r="K27" s="51">
        <v>0</v>
      </c>
      <c r="L27" s="51">
        <v>0</v>
      </c>
      <c r="M27" s="51" t="s">
        <v>424</v>
      </c>
      <c r="N27" s="56">
        <v>0</v>
      </c>
      <c r="O27" s="51" t="s">
        <v>425</v>
      </c>
      <c r="P27" s="51">
        <v>0</v>
      </c>
      <c r="Q27" s="77">
        <v>0</v>
      </c>
    </row>
    <row r="28" spans="1:17" x14ac:dyDescent="0.25">
      <c r="A28" s="52" t="s">
        <v>52</v>
      </c>
      <c r="B28" s="51" t="s">
        <v>403</v>
      </c>
      <c r="C28" s="51" t="s">
        <v>383</v>
      </c>
      <c r="D28" s="51">
        <v>5.5</v>
      </c>
      <c r="E28" s="51">
        <v>3.125</v>
      </c>
      <c r="F28" s="51" t="s">
        <v>377</v>
      </c>
      <c r="G28" s="51">
        <v>4</v>
      </c>
      <c r="H28" s="51">
        <v>1</v>
      </c>
      <c r="I28" s="51">
        <v>2.125</v>
      </c>
      <c r="J28" s="51">
        <v>0</v>
      </c>
      <c r="K28" s="51">
        <v>0</v>
      </c>
      <c r="L28" s="51">
        <v>0</v>
      </c>
      <c r="M28" s="51" t="s">
        <v>424</v>
      </c>
      <c r="N28" s="56">
        <v>0</v>
      </c>
      <c r="O28" s="51" t="s">
        <v>425</v>
      </c>
      <c r="P28" s="51">
        <v>0</v>
      </c>
      <c r="Q28" s="77">
        <v>0</v>
      </c>
    </row>
    <row r="29" spans="1:17" x14ac:dyDescent="0.25">
      <c r="A29" s="52" t="s">
        <v>9</v>
      </c>
      <c r="B29" s="51" t="s">
        <v>55</v>
      </c>
      <c r="C29" s="51" t="s">
        <v>355</v>
      </c>
      <c r="D29" s="51">
        <v>8.5</v>
      </c>
      <c r="E29" s="51">
        <v>12.5</v>
      </c>
      <c r="F29" s="51" t="s">
        <v>376</v>
      </c>
      <c r="G29" s="51">
        <v>4</v>
      </c>
      <c r="H29" s="51">
        <v>11</v>
      </c>
      <c r="I29" s="51">
        <v>1.5</v>
      </c>
      <c r="J29" s="51">
        <v>0</v>
      </c>
      <c r="K29" s="51">
        <v>0</v>
      </c>
      <c r="L29" s="51">
        <v>0</v>
      </c>
      <c r="M29" s="51" t="s">
        <v>424</v>
      </c>
      <c r="N29" s="56">
        <v>0</v>
      </c>
      <c r="O29" s="51" t="s">
        <v>425</v>
      </c>
      <c r="P29" s="51">
        <v>0</v>
      </c>
      <c r="Q29" s="77">
        <v>0</v>
      </c>
    </row>
    <row r="30" spans="1:17" x14ac:dyDescent="0.25">
      <c r="A30" s="52" t="s">
        <v>74</v>
      </c>
      <c r="B30" s="51" t="s">
        <v>85</v>
      </c>
      <c r="C30" s="51" t="s">
        <v>352</v>
      </c>
      <c r="D30" s="51">
        <v>8.5</v>
      </c>
      <c r="E30" s="51">
        <v>12.5</v>
      </c>
      <c r="F30" s="51" t="s">
        <v>384</v>
      </c>
      <c r="G30" s="51">
        <v>2</v>
      </c>
      <c r="H30" s="51">
        <v>14</v>
      </c>
      <c r="I30" s="51">
        <v>-1.5</v>
      </c>
      <c r="J30" s="51">
        <v>0</v>
      </c>
      <c r="K30" s="51">
        <v>0</v>
      </c>
      <c r="L30" s="51">
        <v>0</v>
      </c>
      <c r="M30" s="51" t="s">
        <v>424</v>
      </c>
      <c r="N30" s="56">
        <v>0</v>
      </c>
      <c r="O30" s="51" t="s">
        <v>425</v>
      </c>
      <c r="P30" s="51">
        <v>0</v>
      </c>
      <c r="Q30" s="77">
        <v>0</v>
      </c>
    </row>
    <row r="31" spans="1:17" x14ac:dyDescent="0.25">
      <c r="A31" s="52" t="s">
        <v>32</v>
      </c>
      <c r="B31" s="51" t="s">
        <v>31</v>
      </c>
      <c r="C31" s="51" t="s">
        <v>368</v>
      </c>
      <c r="D31" s="51">
        <v>9.5</v>
      </c>
      <c r="E31" s="51">
        <v>15.625</v>
      </c>
      <c r="F31" s="51" t="s">
        <v>380</v>
      </c>
      <c r="G31" s="51">
        <v>2</v>
      </c>
      <c r="H31" s="51">
        <v>17</v>
      </c>
      <c r="I31" s="51">
        <v>-1.375</v>
      </c>
      <c r="J31" s="51">
        <v>0</v>
      </c>
      <c r="K31" s="51">
        <v>0</v>
      </c>
      <c r="L31" s="51">
        <v>0</v>
      </c>
      <c r="M31" s="51" t="s">
        <v>424</v>
      </c>
      <c r="N31" s="56">
        <v>0</v>
      </c>
      <c r="O31" s="51" t="s">
        <v>425</v>
      </c>
      <c r="P31" s="51">
        <v>0</v>
      </c>
      <c r="Q31" s="77">
        <v>0</v>
      </c>
    </row>
    <row r="32" spans="1:17" x14ac:dyDescent="0.25">
      <c r="A32" s="52" t="s">
        <v>20</v>
      </c>
      <c r="B32" s="51" t="s">
        <v>89</v>
      </c>
      <c r="C32" s="51" t="s">
        <v>368</v>
      </c>
      <c r="D32" s="51">
        <v>5.5</v>
      </c>
      <c r="E32" s="51">
        <v>3.125</v>
      </c>
      <c r="F32" s="51" t="s">
        <v>378</v>
      </c>
      <c r="G32" s="51">
        <v>4</v>
      </c>
      <c r="H32" s="51">
        <v>1</v>
      </c>
      <c r="I32" s="51">
        <v>2.125</v>
      </c>
      <c r="J32" s="51">
        <v>0</v>
      </c>
      <c r="K32" s="51">
        <v>0</v>
      </c>
      <c r="L32" s="51">
        <v>0</v>
      </c>
      <c r="M32" s="51" t="s">
        <v>424</v>
      </c>
      <c r="N32" s="56">
        <v>0</v>
      </c>
      <c r="O32" s="51" t="s">
        <v>425</v>
      </c>
      <c r="P32" s="51">
        <v>0</v>
      </c>
      <c r="Q32" s="77">
        <v>0</v>
      </c>
    </row>
    <row r="33" spans="1:17" ht="15.75" thickBot="1" x14ac:dyDescent="0.3">
      <c r="A33" s="53" t="s">
        <v>59</v>
      </c>
      <c r="B33" s="54" t="s">
        <v>75</v>
      </c>
      <c r="C33" s="54" t="s">
        <v>357</v>
      </c>
      <c r="D33" s="54">
        <v>8.5</v>
      </c>
      <c r="E33" s="54">
        <v>12.5</v>
      </c>
      <c r="F33" s="54" t="s">
        <v>376</v>
      </c>
      <c r="G33" s="54">
        <v>1</v>
      </c>
      <c r="H33" s="54">
        <v>14</v>
      </c>
      <c r="I33" s="54">
        <v>-1.5</v>
      </c>
      <c r="J33" s="54">
        <v>0</v>
      </c>
      <c r="K33" s="54">
        <v>0</v>
      </c>
      <c r="L33" s="54">
        <v>0</v>
      </c>
      <c r="M33" s="54" t="s">
        <v>424</v>
      </c>
      <c r="N33" s="57">
        <v>0</v>
      </c>
      <c r="O33" s="54" t="s">
        <v>425</v>
      </c>
      <c r="P33" s="54">
        <v>0</v>
      </c>
      <c r="Q33" s="78">
        <v>0</v>
      </c>
    </row>
    <row r="34" spans="1:17" x14ac:dyDescent="0.25">
      <c r="A34" s="79" t="s">
        <v>37</v>
      </c>
      <c r="B34" s="80" t="s">
        <v>44</v>
      </c>
      <c r="C34" s="80" t="s">
        <v>368</v>
      </c>
      <c r="D34" s="80">
        <v>7.5</v>
      </c>
      <c r="E34" s="80">
        <v>9.375</v>
      </c>
      <c r="F34" s="80" t="s">
        <v>382</v>
      </c>
      <c r="G34" s="80">
        <v>3</v>
      </c>
      <c r="H34" s="80">
        <v>10</v>
      </c>
      <c r="I34" s="80">
        <v>-0.625</v>
      </c>
      <c r="J34" s="80">
        <v>1</v>
      </c>
      <c r="K34" s="80">
        <v>0</v>
      </c>
      <c r="L34" s="80">
        <v>0</v>
      </c>
      <c r="M34" s="80">
        <v>25</v>
      </c>
      <c r="N34" s="81">
        <v>1</v>
      </c>
      <c r="O34" s="80" t="s">
        <v>425</v>
      </c>
      <c r="P34" s="80">
        <v>1</v>
      </c>
      <c r="Q34" s="82">
        <v>1</v>
      </c>
    </row>
    <row r="35" spans="1:17" x14ac:dyDescent="0.25">
      <c r="A35" s="52" t="s">
        <v>35</v>
      </c>
      <c r="B35" s="51" t="s">
        <v>400</v>
      </c>
      <c r="C35" s="51" t="s">
        <v>357</v>
      </c>
      <c r="D35" s="51">
        <v>10.5</v>
      </c>
      <c r="E35" s="51">
        <v>18.75</v>
      </c>
      <c r="F35" s="51" t="s">
        <v>382</v>
      </c>
      <c r="G35" s="51">
        <v>1</v>
      </c>
      <c r="H35" s="51">
        <v>17</v>
      </c>
      <c r="I35" s="51">
        <v>1.75</v>
      </c>
      <c r="J35" s="51">
        <v>1</v>
      </c>
      <c r="K35" s="51">
        <v>0</v>
      </c>
      <c r="L35" s="51">
        <v>0</v>
      </c>
      <c r="M35" s="51">
        <v>25</v>
      </c>
      <c r="N35" s="56">
        <v>1</v>
      </c>
      <c r="O35" s="51" t="s">
        <v>425</v>
      </c>
      <c r="P35" s="51">
        <v>1</v>
      </c>
      <c r="Q35" s="77">
        <v>1</v>
      </c>
    </row>
    <row r="36" spans="1:17" x14ac:dyDescent="0.25">
      <c r="A36" s="52" t="s">
        <v>22</v>
      </c>
      <c r="B36" s="51" t="s">
        <v>21</v>
      </c>
      <c r="C36" s="51" t="s">
        <v>355</v>
      </c>
      <c r="D36" s="51">
        <v>9.5</v>
      </c>
      <c r="E36" s="51">
        <v>15.625</v>
      </c>
      <c r="F36" s="51" t="s">
        <v>382</v>
      </c>
      <c r="G36" s="51">
        <v>2</v>
      </c>
      <c r="H36" s="51">
        <v>15</v>
      </c>
      <c r="I36" s="51">
        <v>0.625</v>
      </c>
      <c r="J36" s="51">
        <v>1</v>
      </c>
      <c r="K36" s="51">
        <v>0</v>
      </c>
      <c r="L36" s="51">
        <v>0</v>
      </c>
      <c r="M36" s="51">
        <v>25</v>
      </c>
      <c r="N36" s="56">
        <v>1</v>
      </c>
      <c r="O36" s="51" t="s">
        <v>425</v>
      </c>
      <c r="P36" s="51">
        <v>1</v>
      </c>
      <c r="Q36" s="77">
        <v>1</v>
      </c>
    </row>
    <row r="37" spans="1:17" x14ac:dyDescent="0.25">
      <c r="A37" s="52" t="s">
        <v>7</v>
      </c>
      <c r="B37" s="51" t="s">
        <v>405</v>
      </c>
      <c r="C37" s="51" t="s">
        <v>355</v>
      </c>
      <c r="D37" s="51">
        <v>10.5</v>
      </c>
      <c r="E37" s="51">
        <v>18.75</v>
      </c>
      <c r="F37" s="51" t="s">
        <v>380</v>
      </c>
      <c r="G37" s="51">
        <v>1</v>
      </c>
      <c r="H37" s="51">
        <v>18</v>
      </c>
      <c r="I37" s="51">
        <v>0.75</v>
      </c>
      <c r="J37" s="51">
        <v>1</v>
      </c>
      <c r="K37" s="51">
        <v>0</v>
      </c>
      <c r="L37" s="51">
        <v>0</v>
      </c>
      <c r="M37" s="51">
        <v>25</v>
      </c>
      <c r="N37" s="56">
        <v>1</v>
      </c>
      <c r="O37" s="51" t="s">
        <v>425</v>
      </c>
      <c r="P37" s="51">
        <v>1</v>
      </c>
      <c r="Q37" s="77">
        <v>1</v>
      </c>
    </row>
    <row r="38" spans="1:17" x14ac:dyDescent="0.25">
      <c r="A38" s="52" t="s">
        <v>54</v>
      </c>
      <c r="B38" s="51" t="s">
        <v>77</v>
      </c>
      <c r="C38" s="51" t="s">
        <v>352</v>
      </c>
      <c r="D38" s="51">
        <v>9.5</v>
      </c>
      <c r="E38" s="51">
        <v>15.625</v>
      </c>
      <c r="F38" s="51" t="s">
        <v>380</v>
      </c>
      <c r="G38" s="51">
        <v>3</v>
      </c>
      <c r="H38" s="51">
        <v>14</v>
      </c>
      <c r="I38" s="51">
        <v>1.625</v>
      </c>
      <c r="J38" s="51">
        <v>1</v>
      </c>
      <c r="K38" s="51">
        <v>0</v>
      </c>
      <c r="L38" s="51">
        <v>0</v>
      </c>
      <c r="M38" s="51">
        <v>25</v>
      </c>
      <c r="N38" s="56">
        <v>1</v>
      </c>
      <c r="O38" s="51" t="s">
        <v>425</v>
      </c>
      <c r="P38" s="51">
        <v>1</v>
      </c>
      <c r="Q38" s="77">
        <v>1</v>
      </c>
    </row>
    <row r="39" spans="1:17" x14ac:dyDescent="0.25">
      <c r="A39" s="52" t="s">
        <v>64</v>
      </c>
      <c r="B39" s="51" t="s">
        <v>63</v>
      </c>
      <c r="C39" s="51" t="s">
        <v>367</v>
      </c>
      <c r="D39" s="51">
        <v>9.5</v>
      </c>
      <c r="E39" s="51">
        <v>15.625</v>
      </c>
      <c r="F39" s="51" t="s">
        <v>381</v>
      </c>
      <c r="G39" s="51">
        <v>1</v>
      </c>
      <c r="H39" s="51">
        <v>17</v>
      </c>
      <c r="I39" s="51">
        <v>-1.375</v>
      </c>
      <c r="J39" s="51">
        <v>1</v>
      </c>
      <c r="K39" s="51">
        <v>0</v>
      </c>
      <c r="L39" s="51">
        <v>0</v>
      </c>
      <c r="M39" s="51">
        <v>25</v>
      </c>
      <c r="N39" s="56">
        <v>1</v>
      </c>
      <c r="O39" s="51" t="s">
        <v>425</v>
      </c>
      <c r="P39" s="51">
        <v>1</v>
      </c>
      <c r="Q39" s="77">
        <v>1</v>
      </c>
    </row>
    <row r="40" spans="1:17" x14ac:dyDescent="0.25">
      <c r="A40" s="52" t="s">
        <v>1</v>
      </c>
      <c r="B40" s="51" t="s">
        <v>402</v>
      </c>
      <c r="C40" s="51" t="s">
        <v>383</v>
      </c>
      <c r="D40" s="51">
        <v>9.5</v>
      </c>
      <c r="E40" s="51">
        <v>15.625</v>
      </c>
      <c r="F40" s="51" t="s">
        <v>381</v>
      </c>
      <c r="G40" s="51">
        <v>2</v>
      </c>
      <c r="H40" s="51">
        <v>15</v>
      </c>
      <c r="I40" s="51">
        <v>0.625</v>
      </c>
      <c r="J40" s="51">
        <v>1</v>
      </c>
      <c r="K40" s="51">
        <v>0</v>
      </c>
      <c r="L40" s="51">
        <v>0</v>
      </c>
      <c r="M40" s="51">
        <v>25</v>
      </c>
      <c r="N40" s="56">
        <v>1</v>
      </c>
      <c r="O40" s="51" t="s">
        <v>425</v>
      </c>
      <c r="P40" s="51">
        <v>1</v>
      </c>
      <c r="Q40" s="77">
        <v>1</v>
      </c>
    </row>
    <row r="41" spans="1:17" x14ac:dyDescent="0.25">
      <c r="A41" s="52" t="s">
        <v>26</v>
      </c>
      <c r="B41" s="51" t="s">
        <v>25</v>
      </c>
      <c r="C41" s="51" t="s">
        <v>359</v>
      </c>
      <c r="D41" s="51">
        <v>11.5</v>
      </c>
      <c r="E41" s="51">
        <v>21.875</v>
      </c>
      <c r="F41" s="51" t="s">
        <v>384</v>
      </c>
      <c r="G41" s="51">
        <v>1</v>
      </c>
      <c r="H41" s="51">
        <v>24</v>
      </c>
      <c r="I41" s="51">
        <v>-2.125</v>
      </c>
      <c r="J41" s="51">
        <v>1</v>
      </c>
      <c r="K41" s="51">
        <v>0</v>
      </c>
      <c r="L41" s="51">
        <v>0</v>
      </c>
      <c r="M41" s="51">
        <v>25</v>
      </c>
      <c r="N41" s="56">
        <v>1</v>
      </c>
      <c r="O41" s="51" t="s">
        <v>425</v>
      </c>
      <c r="P41" s="51">
        <v>1</v>
      </c>
      <c r="Q41" s="77">
        <v>1</v>
      </c>
    </row>
    <row r="42" spans="1:17" x14ac:dyDescent="0.25">
      <c r="A42" s="52" t="s">
        <v>81</v>
      </c>
      <c r="B42" s="51" t="s">
        <v>423</v>
      </c>
      <c r="C42" s="51" t="s">
        <v>367</v>
      </c>
      <c r="D42" s="51">
        <v>6.5</v>
      </c>
      <c r="E42" s="51">
        <v>6.25</v>
      </c>
      <c r="F42" s="51" t="s">
        <v>384</v>
      </c>
      <c r="G42" s="51">
        <v>4</v>
      </c>
      <c r="H42" s="51">
        <v>9</v>
      </c>
      <c r="I42" s="51">
        <v>-2.75</v>
      </c>
      <c r="J42" s="51">
        <v>1</v>
      </c>
      <c r="K42" s="51">
        <v>0</v>
      </c>
      <c r="L42" s="51">
        <v>0</v>
      </c>
      <c r="M42" s="51">
        <v>25</v>
      </c>
      <c r="N42" s="56">
        <v>1</v>
      </c>
      <c r="O42" s="51" t="s">
        <v>425</v>
      </c>
      <c r="P42" s="51">
        <v>1</v>
      </c>
      <c r="Q42" s="77">
        <v>1</v>
      </c>
    </row>
    <row r="43" spans="1:17" x14ac:dyDescent="0.25">
      <c r="A43" s="52" t="s">
        <v>74</v>
      </c>
      <c r="B43" s="51" t="s">
        <v>85</v>
      </c>
      <c r="C43" s="51" t="s">
        <v>352</v>
      </c>
      <c r="D43" s="51">
        <v>8.5</v>
      </c>
      <c r="E43" s="51">
        <v>12.5</v>
      </c>
      <c r="F43" s="51" t="s">
        <v>384</v>
      </c>
      <c r="G43" s="51">
        <v>2</v>
      </c>
      <c r="H43" s="51">
        <v>14</v>
      </c>
      <c r="I43" s="51">
        <v>-1.5</v>
      </c>
      <c r="J43" s="51">
        <v>1</v>
      </c>
      <c r="K43" s="51">
        <v>0</v>
      </c>
      <c r="L43" s="51">
        <v>0</v>
      </c>
      <c r="M43" s="51">
        <v>25</v>
      </c>
      <c r="N43" s="56">
        <v>1</v>
      </c>
      <c r="O43" s="51" t="s">
        <v>425</v>
      </c>
      <c r="P43" s="51">
        <v>1</v>
      </c>
      <c r="Q43" s="77">
        <v>1</v>
      </c>
    </row>
    <row r="44" spans="1:17" x14ac:dyDescent="0.25">
      <c r="A44" s="52" t="s">
        <v>28</v>
      </c>
      <c r="B44" s="51" t="s">
        <v>93</v>
      </c>
      <c r="C44" s="51" t="s">
        <v>355</v>
      </c>
      <c r="D44" s="51">
        <v>8.5</v>
      </c>
      <c r="E44" s="51">
        <v>12.5</v>
      </c>
      <c r="F44" s="51" t="s">
        <v>379</v>
      </c>
      <c r="G44" s="51">
        <v>2</v>
      </c>
      <c r="H44" s="51">
        <v>12</v>
      </c>
      <c r="I44" s="51">
        <v>0.5</v>
      </c>
      <c r="J44" s="51">
        <v>1</v>
      </c>
      <c r="K44" s="51">
        <v>0</v>
      </c>
      <c r="L44" s="51">
        <v>0</v>
      </c>
      <c r="M44" s="51">
        <v>25</v>
      </c>
      <c r="N44" s="56">
        <v>1</v>
      </c>
      <c r="O44" s="51" t="s">
        <v>425</v>
      </c>
      <c r="P44" s="51">
        <v>1</v>
      </c>
      <c r="Q44" s="77">
        <v>1</v>
      </c>
    </row>
    <row r="45" spans="1:17" x14ac:dyDescent="0.25">
      <c r="A45" s="52" t="s">
        <v>5</v>
      </c>
      <c r="B45" s="51" t="s">
        <v>41</v>
      </c>
      <c r="C45" s="51" t="s">
        <v>363</v>
      </c>
      <c r="D45" s="51">
        <v>9.5</v>
      </c>
      <c r="E45" s="51">
        <v>15.625</v>
      </c>
      <c r="F45" s="51" t="s">
        <v>377</v>
      </c>
      <c r="G45" s="51">
        <v>2</v>
      </c>
      <c r="H45" s="51">
        <v>19</v>
      </c>
      <c r="I45" s="51">
        <v>-3.375</v>
      </c>
      <c r="J45" s="51">
        <v>1</v>
      </c>
      <c r="K45" s="51">
        <v>0</v>
      </c>
      <c r="L45" s="51">
        <v>0</v>
      </c>
      <c r="M45" s="51">
        <v>25</v>
      </c>
      <c r="N45" s="56">
        <v>1</v>
      </c>
      <c r="O45" s="51" t="s">
        <v>425</v>
      </c>
      <c r="P45" s="51">
        <v>1</v>
      </c>
      <c r="Q45" s="77">
        <v>1</v>
      </c>
    </row>
    <row r="46" spans="1:17" x14ac:dyDescent="0.25">
      <c r="A46" s="52" t="s">
        <v>61</v>
      </c>
      <c r="B46" s="51" t="s">
        <v>60</v>
      </c>
      <c r="C46" s="51" t="s">
        <v>367</v>
      </c>
      <c r="D46" s="51">
        <v>9.5</v>
      </c>
      <c r="E46" s="51">
        <v>15.625</v>
      </c>
      <c r="F46" s="51" t="s">
        <v>376</v>
      </c>
      <c r="G46" s="51">
        <v>2</v>
      </c>
      <c r="H46" s="51">
        <v>13</v>
      </c>
      <c r="I46" s="51">
        <v>2.625</v>
      </c>
      <c r="J46" s="51">
        <v>1</v>
      </c>
      <c r="K46" s="51">
        <v>0</v>
      </c>
      <c r="L46" s="51">
        <v>0</v>
      </c>
      <c r="M46" s="51">
        <v>25</v>
      </c>
      <c r="N46" s="56">
        <v>1</v>
      </c>
      <c r="O46" s="51" t="s">
        <v>425</v>
      </c>
      <c r="P46" s="51">
        <v>1</v>
      </c>
      <c r="Q46" s="77">
        <v>1</v>
      </c>
    </row>
    <row r="47" spans="1:17" x14ac:dyDescent="0.25">
      <c r="A47" s="52" t="s">
        <v>43</v>
      </c>
      <c r="B47" s="51" t="s">
        <v>57</v>
      </c>
      <c r="C47" s="51" t="s">
        <v>368</v>
      </c>
      <c r="D47" s="51">
        <v>7.5</v>
      </c>
      <c r="E47" s="51">
        <v>9.375</v>
      </c>
      <c r="F47" s="51" t="s">
        <v>378</v>
      </c>
      <c r="G47" s="51">
        <v>3</v>
      </c>
      <c r="H47" s="51">
        <v>1</v>
      </c>
      <c r="I47" s="51">
        <v>8.375</v>
      </c>
      <c r="J47" s="51">
        <v>1</v>
      </c>
      <c r="K47" s="51">
        <v>0</v>
      </c>
      <c r="L47" s="51">
        <v>0</v>
      </c>
      <c r="M47" s="51">
        <v>25</v>
      </c>
      <c r="N47" s="56">
        <v>1</v>
      </c>
      <c r="O47" s="51" t="s">
        <v>425</v>
      </c>
      <c r="P47" s="51">
        <v>1</v>
      </c>
      <c r="Q47" s="77">
        <v>1</v>
      </c>
    </row>
    <row r="48" spans="1:17" x14ac:dyDescent="0.25">
      <c r="A48" s="52" t="s">
        <v>39</v>
      </c>
      <c r="B48" s="51" t="s">
        <v>38</v>
      </c>
      <c r="C48" s="51" t="s">
        <v>363</v>
      </c>
      <c r="D48" s="51">
        <v>11.5</v>
      </c>
      <c r="E48" s="51">
        <v>21.875</v>
      </c>
      <c r="F48" s="51" t="s">
        <v>378</v>
      </c>
      <c r="G48" s="51">
        <v>1</v>
      </c>
      <c r="H48" s="51">
        <v>23</v>
      </c>
      <c r="I48" s="51">
        <v>-1.125</v>
      </c>
      <c r="J48" s="51">
        <v>1</v>
      </c>
      <c r="K48" s="51">
        <v>0</v>
      </c>
      <c r="L48" s="51">
        <v>0</v>
      </c>
      <c r="M48" s="51">
        <v>25</v>
      </c>
      <c r="N48" s="56">
        <v>1</v>
      </c>
      <c r="O48" s="51" t="s">
        <v>425</v>
      </c>
      <c r="P48" s="51">
        <v>1</v>
      </c>
      <c r="Q48" s="77">
        <v>1</v>
      </c>
    </row>
    <row r="49" spans="1:17" x14ac:dyDescent="0.25">
      <c r="A49" s="52" t="s">
        <v>59</v>
      </c>
      <c r="B49" s="51" t="s">
        <v>75</v>
      </c>
      <c r="C49" s="51" t="s">
        <v>357</v>
      </c>
      <c r="D49" s="51">
        <v>8.5</v>
      </c>
      <c r="E49" s="51">
        <v>12.5</v>
      </c>
      <c r="F49" s="51" t="s">
        <v>376</v>
      </c>
      <c r="G49" s="51">
        <v>1</v>
      </c>
      <c r="H49" s="51">
        <v>14</v>
      </c>
      <c r="I49" s="51">
        <v>-1.5</v>
      </c>
      <c r="J49" s="51">
        <v>1</v>
      </c>
      <c r="K49" s="51">
        <v>0</v>
      </c>
      <c r="L49" s="51">
        <v>0</v>
      </c>
      <c r="M49" s="51">
        <v>25</v>
      </c>
      <c r="N49" s="56">
        <v>1</v>
      </c>
      <c r="O49" s="51" t="s">
        <v>425</v>
      </c>
      <c r="P49" s="51">
        <v>1</v>
      </c>
      <c r="Q49" s="77">
        <v>1</v>
      </c>
    </row>
    <row r="50" spans="1:17" x14ac:dyDescent="0.25">
      <c r="A50" s="52" t="s">
        <v>66</v>
      </c>
      <c r="B50" s="51" t="s">
        <v>72</v>
      </c>
      <c r="C50" s="51" t="s">
        <v>357</v>
      </c>
      <c r="D50" s="51">
        <v>8.5</v>
      </c>
      <c r="E50" s="51">
        <v>12.5</v>
      </c>
      <c r="F50" s="51" t="s">
        <v>379</v>
      </c>
      <c r="G50" s="51">
        <v>3</v>
      </c>
      <c r="H50" s="51">
        <v>4</v>
      </c>
      <c r="I50" s="51">
        <v>8.5</v>
      </c>
      <c r="J50" s="51">
        <v>0</v>
      </c>
      <c r="K50" s="51">
        <v>1</v>
      </c>
      <c r="L50" s="51">
        <v>0</v>
      </c>
      <c r="M50" s="51">
        <v>0</v>
      </c>
      <c r="N50" s="56">
        <v>0</v>
      </c>
      <c r="O50" s="51" t="s">
        <v>425</v>
      </c>
      <c r="P50" s="51">
        <v>1</v>
      </c>
      <c r="Q50" s="77">
        <v>1</v>
      </c>
    </row>
    <row r="51" spans="1:17" x14ac:dyDescent="0.25">
      <c r="A51" s="52" t="s">
        <v>15</v>
      </c>
      <c r="B51" s="51" t="s">
        <v>14</v>
      </c>
      <c r="C51" s="51" t="s">
        <v>363</v>
      </c>
      <c r="D51" s="51">
        <v>7.5</v>
      </c>
      <c r="E51" s="51">
        <v>9.375</v>
      </c>
      <c r="F51" s="51" t="s">
        <v>382</v>
      </c>
      <c r="G51" s="51">
        <v>4</v>
      </c>
      <c r="H51" s="51">
        <v>8</v>
      </c>
      <c r="I51" s="51">
        <v>1.375</v>
      </c>
      <c r="J51" s="51">
        <v>0</v>
      </c>
      <c r="K51" s="51">
        <v>1</v>
      </c>
      <c r="L51" s="51">
        <v>0</v>
      </c>
      <c r="M51" s="51">
        <v>0</v>
      </c>
      <c r="N51" s="56">
        <v>0</v>
      </c>
      <c r="O51" s="51" t="s">
        <v>425</v>
      </c>
      <c r="P51" s="51">
        <v>1</v>
      </c>
      <c r="Q51" s="77">
        <v>1</v>
      </c>
    </row>
    <row r="52" spans="1:17" x14ac:dyDescent="0.25">
      <c r="A52" s="52" t="s">
        <v>84</v>
      </c>
      <c r="B52" s="51" t="s">
        <v>91</v>
      </c>
      <c r="C52" s="51" t="s">
        <v>352</v>
      </c>
      <c r="D52" s="51">
        <v>4.5</v>
      </c>
      <c r="E52" s="51">
        <v>0</v>
      </c>
      <c r="F52" s="51" t="s">
        <v>380</v>
      </c>
      <c r="G52" s="51">
        <v>4</v>
      </c>
      <c r="H52" s="51">
        <v>1</v>
      </c>
      <c r="I52" s="51">
        <v>-1</v>
      </c>
      <c r="J52" s="51">
        <v>0</v>
      </c>
      <c r="K52" s="51">
        <v>1</v>
      </c>
      <c r="L52" s="51">
        <v>0</v>
      </c>
      <c r="M52" s="51">
        <v>0</v>
      </c>
      <c r="N52" s="56">
        <v>0</v>
      </c>
      <c r="O52" s="51" t="s">
        <v>425</v>
      </c>
      <c r="P52" s="51">
        <v>1</v>
      </c>
      <c r="Q52" s="77">
        <v>1</v>
      </c>
    </row>
    <row r="53" spans="1:17" x14ac:dyDescent="0.25">
      <c r="A53" s="52" t="s">
        <v>32</v>
      </c>
      <c r="B53" s="51" t="s">
        <v>31</v>
      </c>
      <c r="C53" s="51" t="s">
        <v>368</v>
      </c>
      <c r="D53" s="51">
        <v>9.5</v>
      </c>
      <c r="E53" s="51">
        <v>15.625</v>
      </c>
      <c r="F53" s="51" t="s">
        <v>380</v>
      </c>
      <c r="G53" s="51">
        <v>2</v>
      </c>
      <c r="H53" s="51">
        <v>17</v>
      </c>
      <c r="I53" s="51">
        <v>-1.375</v>
      </c>
      <c r="J53" s="51">
        <v>0</v>
      </c>
      <c r="K53" s="51">
        <v>1</v>
      </c>
      <c r="L53" s="51">
        <v>0</v>
      </c>
      <c r="M53" s="51">
        <v>0</v>
      </c>
      <c r="N53" s="56">
        <v>0</v>
      </c>
      <c r="O53" s="51" t="s">
        <v>425</v>
      </c>
      <c r="P53" s="51">
        <v>1</v>
      </c>
      <c r="Q53" s="77">
        <v>1</v>
      </c>
    </row>
    <row r="54" spans="1:17" x14ac:dyDescent="0.25">
      <c r="A54" s="52" t="s">
        <v>3</v>
      </c>
      <c r="B54" s="51" t="s">
        <v>2</v>
      </c>
      <c r="C54" s="51" t="s">
        <v>359</v>
      </c>
      <c r="D54" s="51">
        <v>7.5</v>
      </c>
      <c r="E54" s="51">
        <v>9.375</v>
      </c>
      <c r="F54" s="51" t="s">
        <v>381</v>
      </c>
      <c r="G54" s="51">
        <v>4</v>
      </c>
      <c r="H54" s="51">
        <v>8</v>
      </c>
      <c r="I54" s="51">
        <v>1.375</v>
      </c>
      <c r="J54" s="51">
        <v>0</v>
      </c>
      <c r="K54" s="51">
        <v>1</v>
      </c>
      <c r="L54" s="51">
        <v>0</v>
      </c>
      <c r="M54" s="51">
        <v>0</v>
      </c>
      <c r="N54" s="56">
        <v>0</v>
      </c>
      <c r="O54" s="51" t="s">
        <v>425</v>
      </c>
      <c r="P54" s="51">
        <v>1</v>
      </c>
      <c r="Q54" s="77">
        <v>1</v>
      </c>
    </row>
    <row r="55" spans="1:17" x14ac:dyDescent="0.25">
      <c r="A55" s="52" t="s">
        <v>46</v>
      </c>
      <c r="B55" s="51" t="s">
        <v>404</v>
      </c>
      <c r="C55" s="51" t="s">
        <v>359</v>
      </c>
      <c r="D55" s="51">
        <v>8.5</v>
      </c>
      <c r="E55" s="51">
        <v>12.5</v>
      </c>
      <c r="F55" s="51" t="s">
        <v>381</v>
      </c>
      <c r="G55" s="51">
        <v>3</v>
      </c>
      <c r="H55" s="51">
        <v>10</v>
      </c>
      <c r="I55" s="51">
        <v>2.5</v>
      </c>
      <c r="J55" s="51">
        <v>0</v>
      </c>
      <c r="K55" s="51">
        <v>1</v>
      </c>
      <c r="L55" s="51">
        <v>0</v>
      </c>
      <c r="M55" s="51">
        <v>0</v>
      </c>
      <c r="N55" s="56">
        <v>0</v>
      </c>
      <c r="O55" s="51" t="s">
        <v>425</v>
      </c>
      <c r="P55" s="51">
        <v>1</v>
      </c>
      <c r="Q55" s="77">
        <v>1</v>
      </c>
    </row>
    <row r="56" spans="1:17" x14ac:dyDescent="0.25">
      <c r="A56" s="52" t="s">
        <v>13</v>
      </c>
      <c r="B56" s="51" t="s">
        <v>67</v>
      </c>
      <c r="C56" s="51" t="s">
        <v>383</v>
      </c>
      <c r="D56" s="51">
        <v>6.5</v>
      </c>
      <c r="E56" s="51">
        <v>6.25</v>
      </c>
      <c r="F56" s="51" t="s">
        <v>384</v>
      </c>
      <c r="G56" s="51">
        <v>3</v>
      </c>
      <c r="H56" s="51">
        <v>3</v>
      </c>
      <c r="I56" s="51">
        <v>3.25</v>
      </c>
      <c r="J56" s="51">
        <v>0</v>
      </c>
      <c r="K56" s="51">
        <v>1</v>
      </c>
      <c r="L56" s="51">
        <v>0</v>
      </c>
      <c r="M56" s="51">
        <v>0</v>
      </c>
      <c r="N56" s="56">
        <v>0</v>
      </c>
      <c r="O56" s="51" t="s">
        <v>425</v>
      </c>
      <c r="P56" s="51">
        <v>1</v>
      </c>
      <c r="Q56" s="77">
        <v>1</v>
      </c>
    </row>
    <row r="57" spans="1:17" x14ac:dyDescent="0.25">
      <c r="A57" s="52" t="s">
        <v>24</v>
      </c>
      <c r="B57" s="51" t="s">
        <v>79</v>
      </c>
      <c r="C57" s="51" t="s">
        <v>359</v>
      </c>
      <c r="D57" s="51">
        <v>5.5</v>
      </c>
      <c r="E57" s="51">
        <v>3.125</v>
      </c>
      <c r="F57" s="51" t="s">
        <v>379</v>
      </c>
      <c r="G57" s="51">
        <v>4</v>
      </c>
      <c r="H57" s="51">
        <v>9</v>
      </c>
      <c r="I57" s="51">
        <v>-5.875</v>
      </c>
      <c r="J57" s="51">
        <v>0</v>
      </c>
      <c r="K57" s="51">
        <v>1</v>
      </c>
      <c r="L57" s="51">
        <v>0</v>
      </c>
      <c r="M57" s="51">
        <v>0</v>
      </c>
      <c r="N57" s="56">
        <v>0</v>
      </c>
      <c r="O57" s="51" t="s">
        <v>425</v>
      </c>
      <c r="P57" s="51">
        <v>1</v>
      </c>
      <c r="Q57" s="77">
        <v>1</v>
      </c>
    </row>
    <row r="58" spans="1:17" x14ac:dyDescent="0.25">
      <c r="A58" s="52" t="s">
        <v>48</v>
      </c>
      <c r="B58" s="51" t="s">
        <v>47</v>
      </c>
      <c r="C58" s="51" t="s">
        <v>352</v>
      </c>
      <c r="D58" s="51">
        <v>11.5</v>
      </c>
      <c r="E58" s="51">
        <v>21.875</v>
      </c>
      <c r="F58" s="51" t="s">
        <v>379</v>
      </c>
      <c r="G58" s="51">
        <v>1</v>
      </c>
      <c r="H58" s="51">
        <v>25</v>
      </c>
      <c r="I58" s="51">
        <v>-3.125</v>
      </c>
      <c r="J58" s="51">
        <v>0</v>
      </c>
      <c r="K58" s="51">
        <v>1</v>
      </c>
      <c r="L58" s="51">
        <v>0</v>
      </c>
      <c r="M58" s="51">
        <v>0</v>
      </c>
      <c r="N58" s="56">
        <v>0</v>
      </c>
      <c r="O58" s="51" t="s">
        <v>425</v>
      </c>
      <c r="P58" s="51">
        <v>1</v>
      </c>
      <c r="Q58" s="77">
        <v>1</v>
      </c>
    </row>
    <row r="59" spans="1:17" x14ac:dyDescent="0.25">
      <c r="A59" s="52" t="s">
        <v>17</v>
      </c>
      <c r="B59" s="51" t="s">
        <v>399</v>
      </c>
      <c r="C59" s="51" t="s">
        <v>367</v>
      </c>
      <c r="D59" s="51">
        <v>11.5</v>
      </c>
      <c r="E59" s="51">
        <v>21.875</v>
      </c>
      <c r="F59" s="51" t="s">
        <v>377</v>
      </c>
      <c r="G59" s="51">
        <v>1</v>
      </c>
      <c r="H59" s="51">
        <v>24</v>
      </c>
      <c r="I59" s="51">
        <v>-2.125</v>
      </c>
      <c r="J59" s="51">
        <v>0</v>
      </c>
      <c r="K59" s="51">
        <v>1</v>
      </c>
      <c r="L59" s="51">
        <v>0</v>
      </c>
      <c r="M59" s="51">
        <v>0</v>
      </c>
      <c r="N59" s="56">
        <v>0</v>
      </c>
      <c r="O59" s="51" t="s">
        <v>425</v>
      </c>
      <c r="P59" s="51">
        <v>1</v>
      </c>
      <c r="Q59" s="77">
        <v>1</v>
      </c>
    </row>
    <row r="60" spans="1:17" x14ac:dyDescent="0.25">
      <c r="A60" s="52" t="s">
        <v>50</v>
      </c>
      <c r="B60" s="51" t="s">
        <v>95</v>
      </c>
      <c r="C60" s="51" t="s">
        <v>363</v>
      </c>
      <c r="D60" s="51">
        <v>5.5</v>
      </c>
      <c r="E60" s="51">
        <v>3.125</v>
      </c>
      <c r="F60" s="51" t="s">
        <v>377</v>
      </c>
      <c r="G60" s="51">
        <v>3</v>
      </c>
      <c r="H60" s="51">
        <v>4</v>
      </c>
      <c r="I60" s="51">
        <v>-0.875</v>
      </c>
      <c r="J60" s="51">
        <v>0</v>
      </c>
      <c r="K60" s="51">
        <v>1</v>
      </c>
      <c r="L60" s="51">
        <v>0</v>
      </c>
      <c r="M60" s="51">
        <v>0</v>
      </c>
      <c r="N60" s="56">
        <v>0</v>
      </c>
      <c r="O60" s="51" t="s">
        <v>425</v>
      </c>
      <c r="P60" s="51">
        <v>1</v>
      </c>
      <c r="Q60" s="77">
        <v>1</v>
      </c>
    </row>
    <row r="61" spans="1:17" x14ac:dyDescent="0.25">
      <c r="A61" s="52" t="s">
        <v>52</v>
      </c>
      <c r="B61" s="51" t="s">
        <v>403</v>
      </c>
      <c r="C61" s="51" t="s">
        <v>383</v>
      </c>
      <c r="D61" s="51">
        <v>5.5</v>
      </c>
      <c r="E61" s="51">
        <v>3.125</v>
      </c>
      <c r="F61" s="51" t="s">
        <v>377</v>
      </c>
      <c r="G61" s="51">
        <v>4</v>
      </c>
      <c r="H61" s="51">
        <v>3</v>
      </c>
      <c r="I61" s="51">
        <v>0.125</v>
      </c>
      <c r="J61" s="51">
        <v>0</v>
      </c>
      <c r="K61" s="51">
        <v>1</v>
      </c>
      <c r="L61" s="51">
        <v>0</v>
      </c>
      <c r="M61" s="51">
        <v>0</v>
      </c>
      <c r="N61" s="56">
        <v>0</v>
      </c>
      <c r="O61" s="51" t="s">
        <v>425</v>
      </c>
      <c r="P61" s="51">
        <v>1</v>
      </c>
      <c r="Q61" s="77">
        <v>1</v>
      </c>
    </row>
    <row r="62" spans="1:17" x14ac:dyDescent="0.25">
      <c r="A62" s="52" t="s">
        <v>70</v>
      </c>
      <c r="B62" s="51" t="s">
        <v>69</v>
      </c>
      <c r="C62" s="51" t="s">
        <v>383</v>
      </c>
      <c r="D62" s="51">
        <v>7.5</v>
      </c>
      <c r="E62" s="51">
        <v>9.375</v>
      </c>
      <c r="F62" s="51" t="s">
        <v>376</v>
      </c>
      <c r="G62" s="51">
        <v>3</v>
      </c>
      <c r="H62" s="51">
        <v>12</v>
      </c>
      <c r="I62" s="51">
        <v>-2.625</v>
      </c>
      <c r="J62" s="51">
        <v>0</v>
      </c>
      <c r="K62" s="51">
        <v>1</v>
      </c>
      <c r="L62" s="51">
        <v>0</v>
      </c>
      <c r="M62" s="51">
        <v>0</v>
      </c>
      <c r="N62" s="56">
        <v>0</v>
      </c>
      <c r="O62" s="51" t="s">
        <v>425</v>
      </c>
      <c r="P62" s="51">
        <v>1</v>
      </c>
      <c r="Q62" s="77">
        <v>1</v>
      </c>
    </row>
    <row r="63" spans="1:17" x14ac:dyDescent="0.25">
      <c r="A63" s="52" t="s">
        <v>9</v>
      </c>
      <c r="B63" s="51" t="s">
        <v>55</v>
      </c>
      <c r="C63" s="51" t="s">
        <v>355</v>
      </c>
      <c r="D63" s="51">
        <v>8.5</v>
      </c>
      <c r="E63" s="51">
        <v>12.5</v>
      </c>
      <c r="F63" s="51" t="s">
        <v>376</v>
      </c>
      <c r="G63" s="51">
        <v>4</v>
      </c>
      <c r="H63" s="51">
        <v>11</v>
      </c>
      <c r="I63" s="51">
        <v>1.5</v>
      </c>
      <c r="J63" s="51">
        <v>0</v>
      </c>
      <c r="K63" s="51">
        <v>1</v>
      </c>
      <c r="L63" s="51">
        <v>0</v>
      </c>
      <c r="M63" s="51">
        <v>0</v>
      </c>
      <c r="N63" s="56">
        <v>0</v>
      </c>
      <c r="O63" s="51" t="s">
        <v>425</v>
      </c>
      <c r="P63" s="51">
        <v>1</v>
      </c>
      <c r="Q63" s="77">
        <v>1</v>
      </c>
    </row>
    <row r="64" spans="1:17" x14ac:dyDescent="0.25">
      <c r="A64" s="52" t="s">
        <v>11</v>
      </c>
      <c r="B64" s="51" t="s">
        <v>10</v>
      </c>
      <c r="C64" s="51" t="s">
        <v>357</v>
      </c>
      <c r="D64" s="51">
        <v>10.5</v>
      </c>
      <c r="E64" s="51">
        <v>18.75</v>
      </c>
      <c r="F64" s="51" t="s">
        <v>378</v>
      </c>
      <c r="G64" s="51">
        <v>2</v>
      </c>
      <c r="H64" s="51">
        <v>19</v>
      </c>
      <c r="I64" s="51">
        <v>-0.25</v>
      </c>
      <c r="J64" s="51">
        <v>0</v>
      </c>
      <c r="K64" s="51">
        <v>1</v>
      </c>
      <c r="L64" s="51">
        <v>0</v>
      </c>
      <c r="M64" s="51">
        <v>0</v>
      </c>
      <c r="N64" s="56">
        <v>0</v>
      </c>
      <c r="O64" s="51" t="s">
        <v>425</v>
      </c>
      <c r="P64" s="51">
        <v>1</v>
      </c>
      <c r="Q64" s="77">
        <v>1</v>
      </c>
    </row>
    <row r="65" spans="1:17" ht="15.75" thickBot="1" x14ac:dyDescent="0.3">
      <c r="A65" s="53" t="s">
        <v>20</v>
      </c>
      <c r="B65" s="54" t="s">
        <v>89</v>
      </c>
      <c r="C65" s="54" t="s">
        <v>368</v>
      </c>
      <c r="D65" s="54">
        <v>5.5</v>
      </c>
      <c r="E65" s="54">
        <v>3.125</v>
      </c>
      <c r="F65" s="54" t="s">
        <v>378</v>
      </c>
      <c r="G65" s="54">
        <v>4</v>
      </c>
      <c r="H65" s="54">
        <v>7</v>
      </c>
      <c r="I65" s="54">
        <v>-3.875</v>
      </c>
      <c r="J65" s="54">
        <v>0</v>
      </c>
      <c r="K65" s="54">
        <v>1</v>
      </c>
      <c r="L65" s="54">
        <v>0</v>
      </c>
      <c r="M65" s="54">
        <v>0</v>
      </c>
      <c r="N65" s="57">
        <v>0</v>
      </c>
      <c r="O65" s="54" t="s">
        <v>425</v>
      </c>
      <c r="P65" s="54">
        <v>1</v>
      </c>
      <c r="Q65" s="78">
        <v>1</v>
      </c>
    </row>
    <row r="66" spans="1:17" x14ac:dyDescent="0.25">
      <c r="A66" s="79" t="s">
        <v>35</v>
      </c>
      <c r="B66" s="80" t="s">
        <v>400</v>
      </c>
      <c r="C66" s="80" t="s">
        <v>357</v>
      </c>
      <c r="D66" s="80">
        <v>10.5</v>
      </c>
      <c r="E66" s="80">
        <v>18.75</v>
      </c>
      <c r="F66" s="80" t="s">
        <v>382</v>
      </c>
      <c r="G66" s="80">
        <v>1</v>
      </c>
      <c r="H66" s="80">
        <v>17</v>
      </c>
      <c r="I66" s="80">
        <v>1.75</v>
      </c>
      <c r="J66" s="80">
        <v>2</v>
      </c>
      <c r="K66" s="80">
        <v>0</v>
      </c>
      <c r="L66" s="80">
        <v>0</v>
      </c>
      <c r="M66" s="80">
        <v>25</v>
      </c>
      <c r="N66" s="81">
        <v>2</v>
      </c>
      <c r="O66" s="80" t="s">
        <v>425</v>
      </c>
      <c r="P66" s="80">
        <v>2</v>
      </c>
      <c r="Q66" s="82">
        <v>2</v>
      </c>
    </row>
    <row r="67" spans="1:17" x14ac:dyDescent="0.25">
      <c r="A67" s="52" t="s">
        <v>22</v>
      </c>
      <c r="B67" s="51" t="s">
        <v>21</v>
      </c>
      <c r="C67" s="51" t="s">
        <v>355</v>
      </c>
      <c r="D67" s="51">
        <v>9.5</v>
      </c>
      <c r="E67" s="51">
        <v>15.625</v>
      </c>
      <c r="F67" s="51" t="s">
        <v>382</v>
      </c>
      <c r="G67" s="51">
        <v>2</v>
      </c>
      <c r="H67" s="51">
        <v>15</v>
      </c>
      <c r="I67" s="51">
        <v>0.625</v>
      </c>
      <c r="J67" s="51">
        <v>2</v>
      </c>
      <c r="K67" s="51">
        <v>0</v>
      </c>
      <c r="L67" s="51">
        <v>0</v>
      </c>
      <c r="M67" s="51">
        <v>25</v>
      </c>
      <c r="N67" s="56">
        <v>2</v>
      </c>
      <c r="O67" s="51" t="s">
        <v>425</v>
      </c>
      <c r="P67" s="51">
        <v>2</v>
      </c>
      <c r="Q67" s="77">
        <v>2</v>
      </c>
    </row>
    <row r="68" spans="1:17" x14ac:dyDescent="0.25">
      <c r="A68" s="52" t="s">
        <v>7</v>
      </c>
      <c r="B68" s="51" t="s">
        <v>405</v>
      </c>
      <c r="C68" s="51" t="s">
        <v>355</v>
      </c>
      <c r="D68" s="51">
        <v>10.5</v>
      </c>
      <c r="E68" s="51">
        <v>18.75</v>
      </c>
      <c r="F68" s="51" t="s">
        <v>380</v>
      </c>
      <c r="G68" s="51">
        <v>1</v>
      </c>
      <c r="H68" s="51">
        <v>18</v>
      </c>
      <c r="I68" s="51">
        <v>0.75</v>
      </c>
      <c r="J68" s="51">
        <v>2</v>
      </c>
      <c r="K68" s="51">
        <v>0</v>
      </c>
      <c r="L68" s="51">
        <v>0</v>
      </c>
      <c r="M68" s="51">
        <v>25</v>
      </c>
      <c r="N68" s="56">
        <v>2</v>
      </c>
      <c r="O68" s="51" t="s">
        <v>425</v>
      </c>
      <c r="P68" s="51">
        <v>2</v>
      </c>
      <c r="Q68" s="77">
        <v>2</v>
      </c>
    </row>
    <row r="69" spans="1:17" x14ac:dyDescent="0.25">
      <c r="A69" s="52" t="s">
        <v>54</v>
      </c>
      <c r="B69" s="51" t="s">
        <v>77</v>
      </c>
      <c r="C69" s="51" t="s">
        <v>352</v>
      </c>
      <c r="D69" s="51">
        <v>9.5</v>
      </c>
      <c r="E69" s="51">
        <v>15.625</v>
      </c>
      <c r="F69" s="51" t="s">
        <v>380</v>
      </c>
      <c r="G69" s="51">
        <v>3</v>
      </c>
      <c r="H69" s="51">
        <v>14</v>
      </c>
      <c r="I69" s="51">
        <v>1.625</v>
      </c>
      <c r="J69" s="51">
        <v>2</v>
      </c>
      <c r="K69" s="51">
        <v>0</v>
      </c>
      <c r="L69" s="51">
        <v>0</v>
      </c>
      <c r="M69" s="51">
        <v>25</v>
      </c>
      <c r="N69" s="56">
        <v>2</v>
      </c>
      <c r="O69" s="51" t="s">
        <v>425</v>
      </c>
      <c r="P69" s="51">
        <v>2</v>
      </c>
      <c r="Q69" s="77">
        <v>2</v>
      </c>
    </row>
    <row r="70" spans="1:17" x14ac:dyDescent="0.25">
      <c r="A70" s="52" t="s">
        <v>1</v>
      </c>
      <c r="B70" s="51" t="s">
        <v>402</v>
      </c>
      <c r="C70" s="51" t="s">
        <v>383</v>
      </c>
      <c r="D70" s="51">
        <v>9.5</v>
      </c>
      <c r="E70" s="51">
        <v>15.625</v>
      </c>
      <c r="F70" s="51" t="s">
        <v>381</v>
      </c>
      <c r="G70" s="51">
        <v>2</v>
      </c>
      <c r="H70" s="51">
        <v>15</v>
      </c>
      <c r="I70" s="51">
        <v>0.625</v>
      </c>
      <c r="J70" s="51">
        <v>2</v>
      </c>
      <c r="K70" s="51">
        <v>0</v>
      </c>
      <c r="L70" s="51">
        <v>0</v>
      </c>
      <c r="M70" s="51">
        <v>25</v>
      </c>
      <c r="N70" s="56">
        <v>2</v>
      </c>
      <c r="O70" s="51" t="s">
        <v>425</v>
      </c>
      <c r="P70" s="51">
        <v>2</v>
      </c>
      <c r="Q70" s="77">
        <v>2</v>
      </c>
    </row>
    <row r="71" spans="1:17" x14ac:dyDescent="0.25">
      <c r="A71" s="52" t="s">
        <v>26</v>
      </c>
      <c r="B71" s="51" t="s">
        <v>25</v>
      </c>
      <c r="C71" s="51" t="s">
        <v>359</v>
      </c>
      <c r="D71" s="51">
        <v>11.5</v>
      </c>
      <c r="E71" s="51">
        <v>21.875</v>
      </c>
      <c r="F71" s="51" t="s">
        <v>384</v>
      </c>
      <c r="G71" s="51">
        <v>1</v>
      </c>
      <c r="H71" s="51">
        <v>24</v>
      </c>
      <c r="I71" s="51">
        <v>-2.125</v>
      </c>
      <c r="J71" s="51">
        <v>2</v>
      </c>
      <c r="K71" s="51">
        <v>0</v>
      </c>
      <c r="L71" s="51">
        <v>0</v>
      </c>
      <c r="M71" s="51">
        <v>25</v>
      </c>
      <c r="N71" s="56">
        <v>2</v>
      </c>
      <c r="O71" s="51" t="s">
        <v>425</v>
      </c>
      <c r="P71" s="51">
        <v>2</v>
      </c>
      <c r="Q71" s="77">
        <v>2</v>
      </c>
    </row>
    <row r="72" spans="1:17" x14ac:dyDescent="0.25">
      <c r="A72" s="52" t="s">
        <v>28</v>
      </c>
      <c r="B72" s="51" t="s">
        <v>93</v>
      </c>
      <c r="C72" s="51" t="s">
        <v>355</v>
      </c>
      <c r="D72" s="51">
        <v>8.5</v>
      </c>
      <c r="E72" s="51">
        <v>12.5</v>
      </c>
      <c r="F72" s="51" t="s">
        <v>379</v>
      </c>
      <c r="G72" s="51">
        <v>2</v>
      </c>
      <c r="H72" s="51">
        <v>12</v>
      </c>
      <c r="I72" s="51">
        <v>0.5</v>
      </c>
      <c r="J72" s="51">
        <v>2</v>
      </c>
      <c r="K72" s="51">
        <v>0</v>
      </c>
      <c r="L72" s="51">
        <v>0</v>
      </c>
      <c r="M72" s="51">
        <v>25</v>
      </c>
      <c r="N72" s="56">
        <v>2</v>
      </c>
      <c r="O72" s="51" t="s">
        <v>425</v>
      </c>
      <c r="P72" s="51">
        <v>2</v>
      </c>
      <c r="Q72" s="77">
        <v>2</v>
      </c>
    </row>
    <row r="73" spans="1:17" x14ac:dyDescent="0.25">
      <c r="A73" s="52" t="s">
        <v>61</v>
      </c>
      <c r="B73" s="51" t="s">
        <v>60</v>
      </c>
      <c r="C73" s="51" t="s">
        <v>367</v>
      </c>
      <c r="D73" s="51">
        <v>9.5</v>
      </c>
      <c r="E73" s="51">
        <v>15.625</v>
      </c>
      <c r="F73" s="51" t="s">
        <v>376</v>
      </c>
      <c r="G73" s="51">
        <v>2</v>
      </c>
      <c r="H73" s="51">
        <v>13</v>
      </c>
      <c r="I73" s="51">
        <v>2.625</v>
      </c>
      <c r="J73" s="51">
        <v>2</v>
      </c>
      <c r="K73" s="51">
        <v>0</v>
      </c>
      <c r="L73" s="51">
        <v>0</v>
      </c>
      <c r="M73" s="51">
        <v>25</v>
      </c>
      <c r="N73" s="56">
        <v>2</v>
      </c>
      <c r="O73" s="51" t="s">
        <v>425</v>
      </c>
      <c r="P73" s="51">
        <v>2</v>
      </c>
      <c r="Q73" s="77">
        <v>2</v>
      </c>
    </row>
    <row r="74" spans="1:17" x14ac:dyDescent="0.25">
      <c r="A74" s="52" t="s">
        <v>43</v>
      </c>
      <c r="B74" s="51" t="s">
        <v>57</v>
      </c>
      <c r="C74" s="51" t="s">
        <v>368</v>
      </c>
      <c r="D74" s="51">
        <v>7.5</v>
      </c>
      <c r="E74" s="51">
        <v>9.375</v>
      </c>
      <c r="F74" s="51" t="s">
        <v>378</v>
      </c>
      <c r="G74" s="51">
        <v>3</v>
      </c>
      <c r="H74" s="51">
        <v>1</v>
      </c>
      <c r="I74" s="51">
        <v>8.375</v>
      </c>
      <c r="J74" s="51">
        <v>2</v>
      </c>
      <c r="K74" s="51">
        <v>0</v>
      </c>
      <c r="L74" s="51">
        <v>0</v>
      </c>
      <c r="M74" s="51">
        <v>25</v>
      </c>
      <c r="N74" s="56">
        <v>2</v>
      </c>
      <c r="O74" s="51" t="s">
        <v>425</v>
      </c>
      <c r="P74" s="51">
        <v>2</v>
      </c>
      <c r="Q74" s="77">
        <v>2</v>
      </c>
    </row>
    <row r="75" spans="1:17" x14ac:dyDescent="0.25">
      <c r="A75" s="52" t="s">
        <v>39</v>
      </c>
      <c r="B75" s="51" t="s">
        <v>38</v>
      </c>
      <c r="C75" s="51" t="s">
        <v>363</v>
      </c>
      <c r="D75" s="51">
        <v>11.5</v>
      </c>
      <c r="E75" s="51">
        <v>21.875</v>
      </c>
      <c r="F75" s="51" t="s">
        <v>378</v>
      </c>
      <c r="G75" s="51">
        <v>1</v>
      </c>
      <c r="H75" s="51">
        <v>23</v>
      </c>
      <c r="I75" s="51">
        <v>-1.125</v>
      </c>
      <c r="J75" s="51">
        <v>2</v>
      </c>
      <c r="K75" s="51">
        <v>0</v>
      </c>
      <c r="L75" s="51">
        <v>0</v>
      </c>
      <c r="M75" s="51">
        <v>25</v>
      </c>
      <c r="N75" s="56">
        <v>2</v>
      </c>
      <c r="O75" s="51" t="s">
        <v>425</v>
      </c>
      <c r="P75" s="51">
        <v>2</v>
      </c>
      <c r="Q75" s="77">
        <v>2</v>
      </c>
    </row>
    <row r="76" spans="1:17" x14ac:dyDescent="0.25">
      <c r="A76" s="52" t="s">
        <v>37</v>
      </c>
      <c r="B76" s="51" t="s">
        <v>44</v>
      </c>
      <c r="C76" s="51" t="s">
        <v>368</v>
      </c>
      <c r="D76" s="51">
        <v>7.5</v>
      </c>
      <c r="E76" s="51">
        <v>9.375</v>
      </c>
      <c r="F76" s="51" t="s">
        <v>382</v>
      </c>
      <c r="G76" s="51">
        <v>3</v>
      </c>
      <c r="H76" s="51">
        <v>10</v>
      </c>
      <c r="I76" s="51">
        <v>-0.625</v>
      </c>
      <c r="J76" s="51">
        <v>1</v>
      </c>
      <c r="K76" s="51">
        <v>1</v>
      </c>
      <c r="L76" s="51">
        <v>0</v>
      </c>
      <c r="M76" s="51">
        <v>12.5</v>
      </c>
      <c r="N76" s="56">
        <v>1</v>
      </c>
      <c r="O76" s="51" t="s">
        <v>425</v>
      </c>
      <c r="P76" s="51">
        <v>2</v>
      </c>
      <c r="Q76" s="77">
        <v>2</v>
      </c>
    </row>
    <row r="77" spans="1:17" x14ac:dyDescent="0.25">
      <c r="A77" s="52" t="s">
        <v>64</v>
      </c>
      <c r="B77" s="51" t="s">
        <v>63</v>
      </c>
      <c r="C77" s="51" t="s">
        <v>367</v>
      </c>
      <c r="D77" s="51">
        <v>9.5</v>
      </c>
      <c r="E77" s="51">
        <v>15.625</v>
      </c>
      <c r="F77" s="51" t="s">
        <v>381</v>
      </c>
      <c r="G77" s="51">
        <v>1</v>
      </c>
      <c r="H77" s="51">
        <v>17</v>
      </c>
      <c r="I77" s="51">
        <v>-1.375</v>
      </c>
      <c r="J77" s="51">
        <v>1</v>
      </c>
      <c r="K77" s="51">
        <v>1</v>
      </c>
      <c r="L77" s="51">
        <v>0</v>
      </c>
      <c r="M77" s="51">
        <v>12.5</v>
      </c>
      <c r="N77" s="56">
        <v>1</v>
      </c>
      <c r="O77" s="51" t="s">
        <v>425</v>
      </c>
      <c r="P77" s="51">
        <v>2</v>
      </c>
      <c r="Q77" s="77">
        <v>2</v>
      </c>
    </row>
    <row r="78" spans="1:17" x14ac:dyDescent="0.25">
      <c r="A78" s="52" t="s">
        <v>81</v>
      </c>
      <c r="B78" s="51" t="s">
        <v>423</v>
      </c>
      <c r="C78" s="51" t="s">
        <v>367</v>
      </c>
      <c r="D78" s="51">
        <v>6.5</v>
      </c>
      <c r="E78" s="51">
        <v>6.25</v>
      </c>
      <c r="F78" s="51" t="s">
        <v>384</v>
      </c>
      <c r="G78" s="51">
        <v>4</v>
      </c>
      <c r="H78" s="51">
        <v>9</v>
      </c>
      <c r="I78" s="51">
        <v>-2.75</v>
      </c>
      <c r="J78" s="51">
        <v>1</v>
      </c>
      <c r="K78" s="51">
        <v>1</v>
      </c>
      <c r="L78" s="51">
        <v>0</v>
      </c>
      <c r="M78" s="51">
        <v>12.5</v>
      </c>
      <c r="N78" s="56">
        <v>1</v>
      </c>
      <c r="O78" s="51" t="s">
        <v>425</v>
      </c>
      <c r="P78" s="51">
        <v>2</v>
      </c>
      <c r="Q78" s="77">
        <v>2</v>
      </c>
    </row>
    <row r="79" spans="1:17" x14ac:dyDescent="0.25">
      <c r="A79" s="52" t="s">
        <v>74</v>
      </c>
      <c r="B79" s="51" t="s">
        <v>85</v>
      </c>
      <c r="C79" s="51" t="s">
        <v>352</v>
      </c>
      <c r="D79" s="51">
        <v>8.5</v>
      </c>
      <c r="E79" s="51">
        <v>12.5</v>
      </c>
      <c r="F79" s="51" t="s">
        <v>384</v>
      </c>
      <c r="G79" s="51">
        <v>2</v>
      </c>
      <c r="H79" s="51">
        <v>14</v>
      </c>
      <c r="I79" s="51">
        <v>-1.5</v>
      </c>
      <c r="J79" s="51">
        <v>1</v>
      </c>
      <c r="K79" s="51">
        <v>1</v>
      </c>
      <c r="L79" s="51">
        <v>0</v>
      </c>
      <c r="M79" s="51">
        <v>12.5</v>
      </c>
      <c r="N79" s="56">
        <v>1</v>
      </c>
      <c r="O79" s="51" t="s">
        <v>425</v>
      </c>
      <c r="P79" s="51">
        <v>2</v>
      </c>
      <c r="Q79" s="77">
        <v>2</v>
      </c>
    </row>
    <row r="80" spans="1:17" x14ac:dyDescent="0.25">
      <c r="A80" s="52" t="s">
        <v>5</v>
      </c>
      <c r="B80" s="51" t="s">
        <v>41</v>
      </c>
      <c r="C80" s="51" t="s">
        <v>363</v>
      </c>
      <c r="D80" s="51">
        <v>9.5</v>
      </c>
      <c r="E80" s="51">
        <v>15.625</v>
      </c>
      <c r="F80" s="51" t="s">
        <v>377</v>
      </c>
      <c r="G80" s="51">
        <v>2</v>
      </c>
      <c r="H80" s="51">
        <v>19</v>
      </c>
      <c r="I80" s="51">
        <v>-3.375</v>
      </c>
      <c r="J80" s="51">
        <v>1</v>
      </c>
      <c r="K80" s="51">
        <v>1</v>
      </c>
      <c r="L80" s="51">
        <v>0</v>
      </c>
      <c r="M80" s="51">
        <v>12.5</v>
      </c>
      <c r="N80" s="56">
        <v>1</v>
      </c>
      <c r="O80" s="51" t="s">
        <v>425</v>
      </c>
      <c r="P80" s="51">
        <v>2</v>
      </c>
      <c r="Q80" s="77">
        <v>2</v>
      </c>
    </row>
    <row r="81" spans="1:17" x14ac:dyDescent="0.25">
      <c r="A81" s="52" t="s">
        <v>59</v>
      </c>
      <c r="B81" s="51" t="s">
        <v>75</v>
      </c>
      <c r="C81" s="51" t="s">
        <v>357</v>
      </c>
      <c r="D81" s="51">
        <v>8.5</v>
      </c>
      <c r="E81" s="51">
        <v>12.5</v>
      </c>
      <c r="F81" s="51" t="s">
        <v>376</v>
      </c>
      <c r="G81" s="51">
        <v>1</v>
      </c>
      <c r="H81" s="51">
        <v>14</v>
      </c>
      <c r="I81" s="51">
        <v>-1.5</v>
      </c>
      <c r="J81" s="51">
        <v>1</v>
      </c>
      <c r="K81" s="51">
        <v>1</v>
      </c>
      <c r="L81" s="51">
        <v>0</v>
      </c>
      <c r="M81" s="51">
        <v>12.5</v>
      </c>
      <c r="N81" s="56">
        <v>1</v>
      </c>
      <c r="O81" s="51" t="s">
        <v>425</v>
      </c>
      <c r="P81" s="51">
        <v>2</v>
      </c>
      <c r="Q81" s="77">
        <v>2</v>
      </c>
    </row>
    <row r="82" spans="1:17" x14ac:dyDescent="0.25">
      <c r="A82" s="52" t="s">
        <v>15</v>
      </c>
      <c r="B82" s="51" t="s">
        <v>14</v>
      </c>
      <c r="C82" s="51" t="s">
        <v>363</v>
      </c>
      <c r="D82" s="51">
        <v>7.5</v>
      </c>
      <c r="E82" s="51">
        <v>9.375</v>
      </c>
      <c r="F82" s="51" t="s">
        <v>382</v>
      </c>
      <c r="G82" s="51">
        <v>4</v>
      </c>
      <c r="H82" s="51">
        <v>8</v>
      </c>
      <c r="I82" s="51">
        <v>1.375</v>
      </c>
      <c r="J82" s="51">
        <v>1</v>
      </c>
      <c r="K82" s="51">
        <v>1</v>
      </c>
      <c r="L82" s="51">
        <v>0</v>
      </c>
      <c r="M82" s="51">
        <v>12.5</v>
      </c>
      <c r="N82" s="56">
        <v>1</v>
      </c>
      <c r="O82" s="51" t="s">
        <v>425</v>
      </c>
      <c r="P82" s="51">
        <v>2</v>
      </c>
      <c r="Q82" s="77">
        <v>2</v>
      </c>
    </row>
    <row r="83" spans="1:17" x14ac:dyDescent="0.25">
      <c r="A83" s="52" t="s">
        <v>46</v>
      </c>
      <c r="B83" s="51" t="s">
        <v>404</v>
      </c>
      <c r="C83" s="51" t="s">
        <v>359</v>
      </c>
      <c r="D83" s="51">
        <v>8.5</v>
      </c>
      <c r="E83" s="51">
        <v>12.5</v>
      </c>
      <c r="F83" s="51" t="s">
        <v>381</v>
      </c>
      <c r="G83" s="51">
        <v>3</v>
      </c>
      <c r="H83" s="51">
        <v>10</v>
      </c>
      <c r="I83" s="51">
        <v>2.5</v>
      </c>
      <c r="J83" s="51">
        <v>1</v>
      </c>
      <c r="K83" s="51">
        <v>1</v>
      </c>
      <c r="L83" s="51">
        <v>0</v>
      </c>
      <c r="M83" s="51">
        <v>12.5</v>
      </c>
      <c r="N83" s="56">
        <v>1</v>
      </c>
      <c r="O83" s="51" t="s">
        <v>425</v>
      </c>
      <c r="P83" s="51">
        <v>2</v>
      </c>
      <c r="Q83" s="77">
        <v>2</v>
      </c>
    </row>
    <row r="84" spans="1:17" x14ac:dyDescent="0.25">
      <c r="A84" s="52" t="s">
        <v>48</v>
      </c>
      <c r="B84" s="51" t="s">
        <v>47</v>
      </c>
      <c r="C84" s="51" t="s">
        <v>352</v>
      </c>
      <c r="D84" s="51">
        <v>11.5</v>
      </c>
      <c r="E84" s="51">
        <v>21.875</v>
      </c>
      <c r="F84" s="51" t="s">
        <v>379</v>
      </c>
      <c r="G84" s="51">
        <v>1</v>
      </c>
      <c r="H84" s="51">
        <v>25</v>
      </c>
      <c r="I84" s="51">
        <v>-3.125</v>
      </c>
      <c r="J84" s="51">
        <v>1</v>
      </c>
      <c r="K84" s="51">
        <v>1</v>
      </c>
      <c r="L84" s="51">
        <v>0</v>
      </c>
      <c r="M84" s="51">
        <v>12.5</v>
      </c>
      <c r="N84" s="56">
        <v>1</v>
      </c>
      <c r="O84" s="51" t="s">
        <v>425</v>
      </c>
      <c r="P84" s="51">
        <v>2</v>
      </c>
      <c r="Q84" s="77">
        <v>2</v>
      </c>
    </row>
    <row r="85" spans="1:17" x14ac:dyDescent="0.25">
      <c r="A85" s="52" t="s">
        <v>70</v>
      </c>
      <c r="B85" s="51" t="s">
        <v>69</v>
      </c>
      <c r="C85" s="51" t="s">
        <v>383</v>
      </c>
      <c r="D85" s="51">
        <v>7.5</v>
      </c>
      <c r="E85" s="51">
        <v>9.375</v>
      </c>
      <c r="F85" s="51" t="s">
        <v>376</v>
      </c>
      <c r="G85" s="51">
        <v>3</v>
      </c>
      <c r="H85" s="51">
        <v>12</v>
      </c>
      <c r="I85" s="51">
        <v>-2.625</v>
      </c>
      <c r="J85" s="51">
        <v>1</v>
      </c>
      <c r="K85" s="51">
        <v>1</v>
      </c>
      <c r="L85" s="51">
        <v>0</v>
      </c>
      <c r="M85" s="51">
        <v>12.5</v>
      </c>
      <c r="N85" s="56">
        <v>1</v>
      </c>
      <c r="O85" s="51" t="s">
        <v>425</v>
      </c>
      <c r="P85" s="51">
        <v>2</v>
      </c>
      <c r="Q85" s="77">
        <v>2</v>
      </c>
    </row>
    <row r="86" spans="1:17" x14ac:dyDescent="0.25">
      <c r="A86" s="52" t="s">
        <v>9</v>
      </c>
      <c r="B86" s="51" t="s">
        <v>55</v>
      </c>
      <c r="C86" s="51" t="s">
        <v>355</v>
      </c>
      <c r="D86" s="51">
        <v>8.5</v>
      </c>
      <c r="E86" s="51">
        <v>12.5</v>
      </c>
      <c r="F86" s="51" t="s">
        <v>376</v>
      </c>
      <c r="G86" s="51">
        <v>4</v>
      </c>
      <c r="H86" s="51">
        <v>11</v>
      </c>
      <c r="I86" s="51">
        <v>1.5</v>
      </c>
      <c r="J86" s="51">
        <v>1</v>
      </c>
      <c r="K86" s="51">
        <v>1</v>
      </c>
      <c r="L86" s="51">
        <v>0</v>
      </c>
      <c r="M86" s="51">
        <v>12.5</v>
      </c>
      <c r="N86" s="56">
        <v>1</v>
      </c>
      <c r="O86" s="51" t="s">
        <v>425</v>
      </c>
      <c r="P86" s="51">
        <v>2</v>
      </c>
      <c r="Q86" s="77">
        <v>2</v>
      </c>
    </row>
    <row r="87" spans="1:17" x14ac:dyDescent="0.25">
      <c r="A87" s="52" t="s">
        <v>11</v>
      </c>
      <c r="B87" s="51" t="s">
        <v>10</v>
      </c>
      <c r="C87" s="51" t="s">
        <v>357</v>
      </c>
      <c r="D87" s="51">
        <v>10.5</v>
      </c>
      <c r="E87" s="51">
        <v>18.75</v>
      </c>
      <c r="F87" s="51" t="s">
        <v>378</v>
      </c>
      <c r="G87" s="51">
        <v>2</v>
      </c>
      <c r="H87" s="51">
        <v>19</v>
      </c>
      <c r="I87" s="51">
        <v>-0.25</v>
      </c>
      <c r="J87" s="51">
        <v>1</v>
      </c>
      <c r="K87" s="51">
        <v>1</v>
      </c>
      <c r="L87" s="51">
        <v>0</v>
      </c>
      <c r="M87" s="51">
        <v>12.5</v>
      </c>
      <c r="N87" s="56">
        <v>1</v>
      </c>
      <c r="O87" s="51" t="s">
        <v>425</v>
      </c>
      <c r="P87" s="51">
        <v>2</v>
      </c>
      <c r="Q87" s="77">
        <v>2</v>
      </c>
    </row>
    <row r="88" spans="1:17" x14ac:dyDescent="0.25">
      <c r="A88" s="52" t="s">
        <v>66</v>
      </c>
      <c r="B88" s="51" t="s">
        <v>72</v>
      </c>
      <c r="C88" s="51" t="s">
        <v>357</v>
      </c>
      <c r="D88" s="51">
        <v>8.5</v>
      </c>
      <c r="E88" s="51">
        <v>12.5</v>
      </c>
      <c r="F88" s="51" t="s">
        <v>379</v>
      </c>
      <c r="G88" s="51">
        <v>3</v>
      </c>
      <c r="H88" s="51">
        <v>4</v>
      </c>
      <c r="I88" s="51">
        <v>8.5</v>
      </c>
      <c r="J88" s="51">
        <v>0</v>
      </c>
      <c r="K88" s="51">
        <v>2</v>
      </c>
      <c r="L88" s="51">
        <v>0</v>
      </c>
      <c r="M88" s="51">
        <v>0</v>
      </c>
      <c r="N88" s="56">
        <v>0</v>
      </c>
      <c r="O88" s="51" t="s">
        <v>425</v>
      </c>
      <c r="P88" s="51">
        <v>2</v>
      </c>
      <c r="Q88" s="77">
        <v>2</v>
      </c>
    </row>
    <row r="89" spans="1:17" x14ac:dyDescent="0.25">
      <c r="A89" s="52" t="s">
        <v>84</v>
      </c>
      <c r="B89" s="51" t="s">
        <v>91</v>
      </c>
      <c r="C89" s="51" t="s">
        <v>352</v>
      </c>
      <c r="D89" s="51">
        <v>4.5</v>
      </c>
      <c r="E89" s="51">
        <v>0</v>
      </c>
      <c r="F89" s="51" t="s">
        <v>380</v>
      </c>
      <c r="G89" s="51">
        <v>4</v>
      </c>
      <c r="H89" s="51">
        <v>1</v>
      </c>
      <c r="I89" s="51">
        <v>-1</v>
      </c>
      <c r="J89" s="51">
        <v>0</v>
      </c>
      <c r="K89" s="51">
        <v>2</v>
      </c>
      <c r="L89" s="51">
        <v>0</v>
      </c>
      <c r="M89" s="51">
        <v>0</v>
      </c>
      <c r="N89" s="56">
        <v>0</v>
      </c>
      <c r="O89" s="51" t="s">
        <v>425</v>
      </c>
      <c r="P89" s="51">
        <v>2</v>
      </c>
      <c r="Q89" s="77">
        <v>2</v>
      </c>
    </row>
    <row r="90" spans="1:17" x14ac:dyDescent="0.25">
      <c r="A90" s="52" t="s">
        <v>32</v>
      </c>
      <c r="B90" s="51" t="s">
        <v>31</v>
      </c>
      <c r="C90" s="51" t="s">
        <v>368</v>
      </c>
      <c r="D90" s="51">
        <v>9.5</v>
      </c>
      <c r="E90" s="51">
        <v>15.625</v>
      </c>
      <c r="F90" s="51" t="s">
        <v>380</v>
      </c>
      <c r="G90" s="51">
        <v>2</v>
      </c>
      <c r="H90" s="51">
        <v>17</v>
      </c>
      <c r="I90" s="51">
        <v>-1.375</v>
      </c>
      <c r="J90" s="51">
        <v>0</v>
      </c>
      <c r="K90" s="51">
        <v>2</v>
      </c>
      <c r="L90" s="51">
        <v>0</v>
      </c>
      <c r="M90" s="51">
        <v>0</v>
      </c>
      <c r="N90" s="56">
        <v>0</v>
      </c>
      <c r="O90" s="51" t="s">
        <v>425</v>
      </c>
      <c r="P90" s="51">
        <v>2</v>
      </c>
      <c r="Q90" s="77">
        <v>2</v>
      </c>
    </row>
    <row r="91" spans="1:17" x14ac:dyDescent="0.25">
      <c r="A91" s="52" t="s">
        <v>3</v>
      </c>
      <c r="B91" s="51" t="s">
        <v>2</v>
      </c>
      <c r="C91" s="51" t="s">
        <v>359</v>
      </c>
      <c r="D91" s="51">
        <v>7.5</v>
      </c>
      <c r="E91" s="51">
        <v>9.375</v>
      </c>
      <c r="F91" s="51" t="s">
        <v>381</v>
      </c>
      <c r="G91" s="51">
        <v>4</v>
      </c>
      <c r="H91" s="51">
        <v>8</v>
      </c>
      <c r="I91" s="51">
        <v>1.375</v>
      </c>
      <c r="J91" s="51">
        <v>0</v>
      </c>
      <c r="K91" s="51">
        <v>2</v>
      </c>
      <c r="L91" s="51">
        <v>0</v>
      </c>
      <c r="M91" s="51">
        <v>0</v>
      </c>
      <c r="N91" s="56">
        <v>0</v>
      </c>
      <c r="O91" s="51" t="s">
        <v>425</v>
      </c>
      <c r="P91" s="51">
        <v>2</v>
      </c>
      <c r="Q91" s="77">
        <v>2</v>
      </c>
    </row>
    <row r="92" spans="1:17" x14ac:dyDescent="0.25">
      <c r="A92" s="52" t="s">
        <v>13</v>
      </c>
      <c r="B92" s="51" t="s">
        <v>67</v>
      </c>
      <c r="C92" s="51" t="s">
        <v>383</v>
      </c>
      <c r="D92" s="51">
        <v>6.5</v>
      </c>
      <c r="E92" s="51">
        <v>6.25</v>
      </c>
      <c r="F92" s="51" t="s">
        <v>384</v>
      </c>
      <c r="G92" s="51">
        <v>3</v>
      </c>
      <c r="H92" s="51">
        <v>3</v>
      </c>
      <c r="I92" s="51">
        <v>3.25</v>
      </c>
      <c r="J92" s="51">
        <v>0</v>
      </c>
      <c r="K92" s="51">
        <v>2</v>
      </c>
      <c r="L92" s="51">
        <v>0</v>
      </c>
      <c r="M92" s="51">
        <v>0</v>
      </c>
      <c r="N92" s="56">
        <v>0</v>
      </c>
      <c r="O92" s="51" t="s">
        <v>425</v>
      </c>
      <c r="P92" s="51">
        <v>2</v>
      </c>
      <c r="Q92" s="77">
        <v>2</v>
      </c>
    </row>
    <row r="93" spans="1:17" x14ac:dyDescent="0.25">
      <c r="A93" s="52" t="s">
        <v>24</v>
      </c>
      <c r="B93" s="51" t="s">
        <v>79</v>
      </c>
      <c r="C93" s="51" t="s">
        <v>359</v>
      </c>
      <c r="D93" s="51">
        <v>5.5</v>
      </c>
      <c r="E93" s="51">
        <v>3.125</v>
      </c>
      <c r="F93" s="51" t="s">
        <v>379</v>
      </c>
      <c r="G93" s="51">
        <v>4</v>
      </c>
      <c r="H93" s="51">
        <v>9</v>
      </c>
      <c r="I93" s="51">
        <v>-5.875</v>
      </c>
      <c r="J93" s="51">
        <v>0</v>
      </c>
      <c r="K93" s="51">
        <v>2</v>
      </c>
      <c r="L93" s="51">
        <v>0</v>
      </c>
      <c r="M93" s="51">
        <v>0</v>
      </c>
      <c r="N93" s="56">
        <v>0</v>
      </c>
      <c r="O93" s="51" t="s">
        <v>425</v>
      </c>
      <c r="P93" s="51">
        <v>2</v>
      </c>
      <c r="Q93" s="77">
        <v>2</v>
      </c>
    </row>
    <row r="94" spans="1:17" x14ac:dyDescent="0.25">
      <c r="A94" s="52" t="s">
        <v>17</v>
      </c>
      <c r="B94" s="51" t="s">
        <v>399</v>
      </c>
      <c r="C94" s="51" t="s">
        <v>367</v>
      </c>
      <c r="D94" s="51">
        <v>11.5</v>
      </c>
      <c r="E94" s="51">
        <v>21.875</v>
      </c>
      <c r="F94" s="51" t="s">
        <v>377</v>
      </c>
      <c r="G94" s="51">
        <v>1</v>
      </c>
      <c r="H94" s="51">
        <v>24</v>
      </c>
      <c r="I94" s="51">
        <v>-2.125</v>
      </c>
      <c r="J94" s="51">
        <v>0</v>
      </c>
      <c r="K94" s="51">
        <v>2</v>
      </c>
      <c r="L94" s="51">
        <v>0</v>
      </c>
      <c r="M94" s="51">
        <v>0</v>
      </c>
      <c r="N94" s="56">
        <v>0</v>
      </c>
      <c r="O94" s="51" t="s">
        <v>425</v>
      </c>
      <c r="P94" s="51">
        <v>2</v>
      </c>
      <c r="Q94" s="77">
        <v>2</v>
      </c>
    </row>
    <row r="95" spans="1:17" x14ac:dyDescent="0.25">
      <c r="A95" s="52" t="s">
        <v>50</v>
      </c>
      <c r="B95" s="51" t="s">
        <v>95</v>
      </c>
      <c r="C95" s="51" t="s">
        <v>363</v>
      </c>
      <c r="D95" s="51">
        <v>5.5</v>
      </c>
      <c r="E95" s="51">
        <v>3.125</v>
      </c>
      <c r="F95" s="51" t="s">
        <v>377</v>
      </c>
      <c r="G95" s="51">
        <v>3</v>
      </c>
      <c r="H95" s="51">
        <v>4</v>
      </c>
      <c r="I95" s="51">
        <v>-0.875</v>
      </c>
      <c r="J95" s="51">
        <v>0</v>
      </c>
      <c r="K95" s="51">
        <v>2</v>
      </c>
      <c r="L95" s="51">
        <v>0</v>
      </c>
      <c r="M95" s="51">
        <v>0</v>
      </c>
      <c r="N95" s="56">
        <v>0</v>
      </c>
      <c r="O95" s="51" t="s">
        <v>425</v>
      </c>
      <c r="P95" s="51">
        <v>2</v>
      </c>
      <c r="Q95" s="77">
        <v>2</v>
      </c>
    </row>
    <row r="96" spans="1:17" x14ac:dyDescent="0.25">
      <c r="A96" s="52" t="s">
        <v>52</v>
      </c>
      <c r="B96" s="51" t="s">
        <v>403</v>
      </c>
      <c r="C96" s="51" t="s">
        <v>383</v>
      </c>
      <c r="D96" s="51">
        <v>5.5</v>
      </c>
      <c r="E96" s="51">
        <v>3.125</v>
      </c>
      <c r="F96" s="51" t="s">
        <v>377</v>
      </c>
      <c r="G96" s="51">
        <v>4</v>
      </c>
      <c r="H96" s="51">
        <v>3</v>
      </c>
      <c r="I96" s="51">
        <v>0.125</v>
      </c>
      <c r="J96" s="51">
        <v>0</v>
      </c>
      <c r="K96" s="51">
        <v>2</v>
      </c>
      <c r="L96" s="51">
        <v>0</v>
      </c>
      <c r="M96" s="51">
        <v>0</v>
      </c>
      <c r="N96" s="56">
        <v>0</v>
      </c>
      <c r="O96" s="51" t="s">
        <v>425</v>
      </c>
      <c r="P96" s="51">
        <v>2</v>
      </c>
      <c r="Q96" s="77">
        <v>2</v>
      </c>
    </row>
    <row r="97" spans="1:17" ht="15.75" thickBot="1" x14ac:dyDescent="0.3">
      <c r="A97" s="53" t="s">
        <v>20</v>
      </c>
      <c r="B97" s="54" t="s">
        <v>89</v>
      </c>
      <c r="C97" s="54" t="s">
        <v>368</v>
      </c>
      <c r="D97" s="54">
        <v>5.5</v>
      </c>
      <c r="E97" s="54">
        <v>3.125</v>
      </c>
      <c r="F97" s="54" t="s">
        <v>378</v>
      </c>
      <c r="G97" s="54">
        <v>4</v>
      </c>
      <c r="H97" s="54">
        <v>7</v>
      </c>
      <c r="I97" s="54">
        <v>-3.875</v>
      </c>
      <c r="J97" s="54">
        <v>0</v>
      </c>
      <c r="K97" s="54">
        <v>2</v>
      </c>
      <c r="L97" s="54">
        <v>0</v>
      </c>
      <c r="M97" s="54">
        <v>0</v>
      </c>
      <c r="N97" s="57">
        <v>0</v>
      </c>
      <c r="O97" s="54" t="s">
        <v>425</v>
      </c>
      <c r="P97" s="54">
        <v>2</v>
      </c>
      <c r="Q97" s="78">
        <v>2</v>
      </c>
    </row>
    <row r="98" spans="1:17" x14ac:dyDescent="0.25">
      <c r="A98" s="79" t="s">
        <v>7</v>
      </c>
      <c r="B98" s="80" t="s">
        <v>405</v>
      </c>
      <c r="C98" s="80" t="s">
        <v>355</v>
      </c>
      <c r="D98" s="80">
        <v>10.5</v>
      </c>
      <c r="E98" s="80">
        <v>18.75</v>
      </c>
      <c r="F98" s="80" t="s">
        <v>380</v>
      </c>
      <c r="G98" s="80">
        <v>1</v>
      </c>
      <c r="H98" s="80">
        <v>18</v>
      </c>
      <c r="I98" s="80">
        <v>0.75</v>
      </c>
      <c r="J98" s="80">
        <v>3</v>
      </c>
      <c r="K98" s="80">
        <v>0</v>
      </c>
      <c r="L98" s="80">
        <v>0</v>
      </c>
      <c r="M98" s="80">
        <v>25</v>
      </c>
      <c r="N98" s="81">
        <v>3</v>
      </c>
      <c r="O98" s="80" t="s">
        <v>425</v>
      </c>
      <c r="P98" s="80">
        <v>3</v>
      </c>
      <c r="Q98" s="82">
        <v>3</v>
      </c>
    </row>
    <row r="99" spans="1:17" x14ac:dyDescent="0.25">
      <c r="A99" s="52" t="s">
        <v>1</v>
      </c>
      <c r="B99" s="51" t="s">
        <v>402</v>
      </c>
      <c r="C99" s="51" t="s">
        <v>383</v>
      </c>
      <c r="D99" s="51">
        <v>9.5</v>
      </c>
      <c r="E99" s="51">
        <v>15.625</v>
      </c>
      <c r="F99" s="51" t="s">
        <v>381</v>
      </c>
      <c r="G99" s="51">
        <v>2</v>
      </c>
      <c r="H99" s="51">
        <v>15</v>
      </c>
      <c r="I99" s="51">
        <v>0.625</v>
      </c>
      <c r="J99" s="51">
        <v>3</v>
      </c>
      <c r="K99" s="51">
        <v>0</v>
      </c>
      <c r="L99" s="51">
        <v>0</v>
      </c>
      <c r="M99" s="51">
        <v>25</v>
      </c>
      <c r="N99" s="56">
        <v>3</v>
      </c>
      <c r="O99" s="51" t="s">
        <v>425</v>
      </c>
      <c r="P99" s="51">
        <v>3</v>
      </c>
      <c r="Q99" s="77">
        <v>3</v>
      </c>
    </row>
    <row r="100" spans="1:17" x14ac:dyDescent="0.25">
      <c r="A100" s="52" t="s">
        <v>26</v>
      </c>
      <c r="B100" s="51" t="s">
        <v>25</v>
      </c>
      <c r="C100" s="51" t="s">
        <v>359</v>
      </c>
      <c r="D100" s="51">
        <v>11.5</v>
      </c>
      <c r="E100" s="51">
        <v>21.875</v>
      </c>
      <c r="F100" s="51" t="s">
        <v>384</v>
      </c>
      <c r="G100" s="51">
        <v>1</v>
      </c>
      <c r="H100" s="51">
        <v>24</v>
      </c>
      <c r="I100" s="51">
        <v>-2.125</v>
      </c>
      <c r="J100" s="51">
        <v>3</v>
      </c>
      <c r="K100" s="51">
        <v>0</v>
      </c>
      <c r="L100" s="51">
        <v>0</v>
      </c>
      <c r="M100" s="51">
        <v>25</v>
      </c>
      <c r="N100" s="56">
        <v>3</v>
      </c>
      <c r="O100" s="51" t="s">
        <v>425</v>
      </c>
      <c r="P100" s="51">
        <v>3</v>
      </c>
      <c r="Q100" s="77">
        <v>3</v>
      </c>
    </row>
    <row r="101" spans="1:17" x14ac:dyDescent="0.25">
      <c r="A101" s="52" t="s">
        <v>61</v>
      </c>
      <c r="B101" s="51" t="s">
        <v>60</v>
      </c>
      <c r="C101" s="51" t="s">
        <v>367</v>
      </c>
      <c r="D101" s="51">
        <v>9.5</v>
      </c>
      <c r="E101" s="51">
        <v>15.625</v>
      </c>
      <c r="F101" s="51" t="s">
        <v>376</v>
      </c>
      <c r="G101" s="51">
        <v>2</v>
      </c>
      <c r="H101" s="51">
        <v>13</v>
      </c>
      <c r="I101" s="51">
        <v>2.625</v>
      </c>
      <c r="J101" s="51">
        <v>3</v>
      </c>
      <c r="K101" s="51">
        <v>0</v>
      </c>
      <c r="L101" s="51">
        <v>0</v>
      </c>
      <c r="M101" s="51">
        <v>25</v>
      </c>
      <c r="N101" s="56">
        <v>3</v>
      </c>
      <c r="O101" s="51" t="s">
        <v>425</v>
      </c>
      <c r="P101" s="51">
        <v>3</v>
      </c>
      <c r="Q101" s="77">
        <v>3</v>
      </c>
    </row>
    <row r="102" spans="1:17" x14ac:dyDescent="0.25">
      <c r="A102" s="52" t="s">
        <v>43</v>
      </c>
      <c r="B102" s="51" t="s">
        <v>57</v>
      </c>
      <c r="C102" s="51" t="s">
        <v>368</v>
      </c>
      <c r="D102" s="51">
        <v>7.5</v>
      </c>
      <c r="E102" s="51">
        <v>9.375</v>
      </c>
      <c r="F102" s="51" t="s">
        <v>378</v>
      </c>
      <c r="G102" s="51">
        <v>3</v>
      </c>
      <c r="H102" s="51">
        <v>1</v>
      </c>
      <c r="I102" s="51">
        <v>8.375</v>
      </c>
      <c r="J102" s="51">
        <v>3</v>
      </c>
      <c r="K102" s="51">
        <v>0</v>
      </c>
      <c r="L102" s="51">
        <v>0</v>
      </c>
      <c r="M102" s="51">
        <v>25</v>
      </c>
      <c r="N102" s="56">
        <v>3</v>
      </c>
      <c r="O102" s="51" t="s">
        <v>425</v>
      </c>
      <c r="P102" s="51">
        <v>3</v>
      </c>
      <c r="Q102" s="77">
        <v>3</v>
      </c>
    </row>
    <row r="103" spans="1:17" x14ac:dyDescent="0.25">
      <c r="A103" s="52" t="s">
        <v>39</v>
      </c>
      <c r="B103" s="51" t="s">
        <v>38</v>
      </c>
      <c r="C103" s="51" t="s">
        <v>363</v>
      </c>
      <c r="D103" s="51">
        <v>11.5</v>
      </c>
      <c r="E103" s="51">
        <v>21.875</v>
      </c>
      <c r="F103" s="51" t="s">
        <v>378</v>
      </c>
      <c r="G103" s="51">
        <v>1</v>
      </c>
      <c r="H103" s="51">
        <v>23</v>
      </c>
      <c r="I103" s="51">
        <v>-1.125</v>
      </c>
      <c r="J103" s="51">
        <v>3</v>
      </c>
      <c r="K103" s="51">
        <v>0</v>
      </c>
      <c r="L103" s="51">
        <v>0</v>
      </c>
      <c r="M103" s="51">
        <v>25</v>
      </c>
      <c r="N103" s="56">
        <v>3</v>
      </c>
      <c r="O103" s="51" t="s">
        <v>425</v>
      </c>
      <c r="P103" s="51">
        <v>3</v>
      </c>
      <c r="Q103" s="77">
        <v>3</v>
      </c>
    </row>
    <row r="104" spans="1:17" x14ac:dyDescent="0.25">
      <c r="A104" s="52" t="s">
        <v>35</v>
      </c>
      <c r="B104" s="51" t="s">
        <v>400</v>
      </c>
      <c r="C104" s="51" t="s">
        <v>357</v>
      </c>
      <c r="D104" s="51">
        <v>10.5</v>
      </c>
      <c r="E104" s="51">
        <v>18.75</v>
      </c>
      <c r="F104" s="51" t="s">
        <v>382</v>
      </c>
      <c r="G104" s="51">
        <v>1</v>
      </c>
      <c r="H104" s="51">
        <v>17</v>
      </c>
      <c r="I104" s="51">
        <v>1.75</v>
      </c>
      <c r="J104" s="51">
        <v>2</v>
      </c>
      <c r="K104" s="51">
        <v>1</v>
      </c>
      <c r="L104" s="51">
        <v>0</v>
      </c>
      <c r="M104" s="51">
        <v>16.666666666666668</v>
      </c>
      <c r="N104" s="56">
        <v>2</v>
      </c>
      <c r="O104" s="51" t="s">
        <v>425</v>
      </c>
      <c r="P104" s="51">
        <v>3</v>
      </c>
      <c r="Q104" s="77">
        <v>3</v>
      </c>
    </row>
    <row r="105" spans="1:17" x14ac:dyDescent="0.25">
      <c r="A105" s="52" t="s">
        <v>22</v>
      </c>
      <c r="B105" s="51" t="s">
        <v>21</v>
      </c>
      <c r="C105" s="51" t="s">
        <v>355</v>
      </c>
      <c r="D105" s="51">
        <v>9.5</v>
      </c>
      <c r="E105" s="51">
        <v>15.625</v>
      </c>
      <c r="F105" s="51" t="s">
        <v>382</v>
      </c>
      <c r="G105" s="51">
        <v>2</v>
      </c>
      <c r="H105" s="51">
        <v>15</v>
      </c>
      <c r="I105" s="51">
        <v>0.625</v>
      </c>
      <c r="J105" s="51">
        <v>2</v>
      </c>
      <c r="K105" s="51">
        <v>1</v>
      </c>
      <c r="L105" s="51">
        <v>0</v>
      </c>
      <c r="M105" s="51">
        <v>16.666666666666668</v>
      </c>
      <c r="N105" s="56">
        <v>2</v>
      </c>
      <c r="O105" s="51" t="s">
        <v>425</v>
      </c>
      <c r="P105" s="51">
        <v>3</v>
      </c>
      <c r="Q105" s="77">
        <v>3</v>
      </c>
    </row>
    <row r="106" spans="1:17" x14ac:dyDescent="0.25">
      <c r="A106" s="52" t="s">
        <v>54</v>
      </c>
      <c r="B106" s="51" t="s">
        <v>77</v>
      </c>
      <c r="C106" s="51" t="s">
        <v>352</v>
      </c>
      <c r="D106" s="51">
        <v>9.5</v>
      </c>
      <c r="E106" s="51">
        <v>15.625</v>
      </c>
      <c r="F106" s="51" t="s">
        <v>380</v>
      </c>
      <c r="G106" s="51">
        <v>3</v>
      </c>
      <c r="H106" s="51">
        <v>14</v>
      </c>
      <c r="I106" s="51">
        <v>1.625</v>
      </c>
      <c r="J106" s="51">
        <v>2</v>
      </c>
      <c r="K106" s="51">
        <v>1</v>
      </c>
      <c r="L106" s="51">
        <v>0</v>
      </c>
      <c r="M106" s="51">
        <v>16.666666666666668</v>
      </c>
      <c r="N106" s="56">
        <v>2</v>
      </c>
      <c r="O106" s="51" t="s">
        <v>425</v>
      </c>
      <c r="P106" s="51">
        <v>3</v>
      </c>
      <c r="Q106" s="77">
        <v>3</v>
      </c>
    </row>
    <row r="107" spans="1:17" x14ac:dyDescent="0.25">
      <c r="A107" s="52" t="s">
        <v>28</v>
      </c>
      <c r="B107" s="51" t="s">
        <v>93</v>
      </c>
      <c r="C107" s="51" t="s">
        <v>355</v>
      </c>
      <c r="D107" s="51">
        <v>8.5</v>
      </c>
      <c r="E107" s="51">
        <v>12.5</v>
      </c>
      <c r="F107" s="51" t="s">
        <v>379</v>
      </c>
      <c r="G107" s="51">
        <v>2</v>
      </c>
      <c r="H107" s="51">
        <v>12</v>
      </c>
      <c r="I107" s="51">
        <v>0.5</v>
      </c>
      <c r="J107" s="51">
        <v>2</v>
      </c>
      <c r="K107" s="51">
        <v>1</v>
      </c>
      <c r="L107" s="51">
        <v>0</v>
      </c>
      <c r="M107" s="51">
        <v>16.666666666666668</v>
      </c>
      <c r="N107" s="56">
        <v>2</v>
      </c>
      <c r="O107" s="51" t="s">
        <v>425</v>
      </c>
      <c r="P107" s="51">
        <v>3</v>
      </c>
      <c r="Q107" s="77">
        <v>3</v>
      </c>
    </row>
    <row r="108" spans="1:17" x14ac:dyDescent="0.25">
      <c r="A108" s="52" t="s">
        <v>37</v>
      </c>
      <c r="B108" s="51" t="s">
        <v>44</v>
      </c>
      <c r="C108" s="51" t="s">
        <v>368</v>
      </c>
      <c r="D108" s="51">
        <v>7.5</v>
      </c>
      <c r="E108" s="51">
        <v>9.375</v>
      </c>
      <c r="F108" s="51" t="s">
        <v>382</v>
      </c>
      <c r="G108" s="51">
        <v>3</v>
      </c>
      <c r="H108" s="51">
        <v>10</v>
      </c>
      <c r="I108" s="51">
        <v>-0.625</v>
      </c>
      <c r="J108" s="51">
        <v>2</v>
      </c>
      <c r="K108" s="51">
        <v>1</v>
      </c>
      <c r="L108" s="51">
        <v>0</v>
      </c>
      <c r="M108" s="51">
        <v>16.666666666666668</v>
      </c>
      <c r="N108" s="56">
        <v>2</v>
      </c>
      <c r="O108" s="51" t="s">
        <v>425</v>
      </c>
      <c r="P108" s="51">
        <v>3</v>
      </c>
      <c r="Q108" s="77">
        <v>3</v>
      </c>
    </row>
    <row r="109" spans="1:17" x14ac:dyDescent="0.25">
      <c r="A109" s="52" t="s">
        <v>74</v>
      </c>
      <c r="B109" s="51" t="s">
        <v>85</v>
      </c>
      <c r="C109" s="51" t="s">
        <v>352</v>
      </c>
      <c r="D109" s="51">
        <v>8.5</v>
      </c>
      <c r="E109" s="51">
        <v>12.5</v>
      </c>
      <c r="F109" s="51" t="s">
        <v>384</v>
      </c>
      <c r="G109" s="51">
        <v>2</v>
      </c>
      <c r="H109" s="51">
        <v>14</v>
      </c>
      <c r="I109" s="51">
        <v>-1.5</v>
      </c>
      <c r="J109" s="51">
        <v>2</v>
      </c>
      <c r="K109" s="51">
        <v>1</v>
      </c>
      <c r="L109" s="51">
        <v>0</v>
      </c>
      <c r="M109" s="51">
        <v>16.666666666666668</v>
      </c>
      <c r="N109" s="56">
        <v>2</v>
      </c>
      <c r="O109" s="51" t="s">
        <v>425</v>
      </c>
      <c r="P109" s="51">
        <v>3</v>
      </c>
      <c r="Q109" s="77">
        <v>3</v>
      </c>
    </row>
    <row r="110" spans="1:17" x14ac:dyDescent="0.25">
      <c r="A110" s="52" t="s">
        <v>5</v>
      </c>
      <c r="B110" s="51" t="s">
        <v>41</v>
      </c>
      <c r="C110" s="51" t="s">
        <v>363</v>
      </c>
      <c r="D110" s="51">
        <v>9.5</v>
      </c>
      <c r="E110" s="51">
        <v>15.625</v>
      </c>
      <c r="F110" s="51" t="s">
        <v>377</v>
      </c>
      <c r="G110" s="51">
        <v>2</v>
      </c>
      <c r="H110" s="51">
        <v>19</v>
      </c>
      <c r="I110" s="51">
        <v>-3.375</v>
      </c>
      <c r="J110" s="51">
        <v>2</v>
      </c>
      <c r="K110" s="51">
        <v>1</v>
      </c>
      <c r="L110" s="51">
        <v>0</v>
      </c>
      <c r="M110" s="51">
        <v>16.666666666666668</v>
      </c>
      <c r="N110" s="56">
        <v>2</v>
      </c>
      <c r="O110" s="51" t="s">
        <v>425</v>
      </c>
      <c r="P110" s="51">
        <v>3</v>
      </c>
      <c r="Q110" s="77">
        <v>3</v>
      </c>
    </row>
    <row r="111" spans="1:17" x14ac:dyDescent="0.25">
      <c r="A111" s="52" t="s">
        <v>59</v>
      </c>
      <c r="B111" s="51" t="s">
        <v>75</v>
      </c>
      <c r="C111" s="51" t="s">
        <v>357</v>
      </c>
      <c r="D111" s="51">
        <v>8.5</v>
      </c>
      <c r="E111" s="51">
        <v>12.5</v>
      </c>
      <c r="F111" s="51" t="s">
        <v>376</v>
      </c>
      <c r="G111" s="51">
        <v>1</v>
      </c>
      <c r="H111" s="51">
        <v>14</v>
      </c>
      <c r="I111" s="51">
        <v>-1.5</v>
      </c>
      <c r="J111" s="51">
        <v>2</v>
      </c>
      <c r="K111" s="51">
        <v>1</v>
      </c>
      <c r="L111" s="51">
        <v>0</v>
      </c>
      <c r="M111" s="51">
        <v>16.666666666666668</v>
      </c>
      <c r="N111" s="56">
        <v>2</v>
      </c>
      <c r="O111" s="51" t="s">
        <v>425</v>
      </c>
      <c r="P111" s="51">
        <v>3</v>
      </c>
      <c r="Q111" s="77">
        <v>3</v>
      </c>
    </row>
    <row r="112" spans="1:17" x14ac:dyDescent="0.25">
      <c r="A112" s="52" t="s">
        <v>9</v>
      </c>
      <c r="B112" s="51" t="s">
        <v>55</v>
      </c>
      <c r="C112" s="51" t="s">
        <v>355</v>
      </c>
      <c r="D112" s="51">
        <v>8.5</v>
      </c>
      <c r="E112" s="51">
        <v>12.5</v>
      </c>
      <c r="F112" s="51" t="s">
        <v>376</v>
      </c>
      <c r="G112" s="51">
        <v>4</v>
      </c>
      <c r="H112" s="51">
        <v>11</v>
      </c>
      <c r="I112" s="51">
        <v>1.5</v>
      </c>
      <c r="J112" s="51">
        <v>2</v>
      </c>
      <c r="K112" s="51">
        <v>1</v>
      </c>
      <c r="L112" s="51">
        <v>0</v>
      </c>
      <c r="M112" s="51">
        <v>16.666666666666668</v>
      </c>
      <c r="N112" s="56">
        <v>2</v>
      </c>
      <c r="O112" s="51" t="s">
        <v>425</v>
      </c>
      <c r="P112" s="51">
        <v>3</v>
      </c>
      <c r="Q112" s="77">
        <v>3</v>
      </c>
    </row>
    <row r="113" spans="1:17" x14ac:dyDescent="0.25">
      <c r="A113" s="52" t="s">
        <v>11</v>
      </c>
      <c r="B113" s="51" t="s">
        <v>10</v>
      </c>
      <c r="C113" s="51" t="s">
        <v>357</v>
      </c>
      <c r="D113" s="51">
        <v>10.5</v>
      </c>
      <c r="E113" s="51">
        <v>18.75</v>
      </c>
      <c r="F113" s="51" t="s">
        <v>378</v>
      </c>
      <c r="G113" s="51">
        <v>2</v>
      </c>
      <c r="H113" s="51">
        <v>19</v>
      </c>
      <c r="I113" s="51">
        <v>-0.25</v>
      </c>
      <c r="J113" s="51">
        <v>2</v>
      </c>
      <c r="K113" s="51">
        <v>1</v>
      </c>
      <c r="L113" s="51">
        <v>0</v>
      </c>
      <c r="M113" s="51">
        <v>16.666666666666668</v>
      </c>
      <c r="N113" s="56">
        <v>2</v>
      </c>
      <c r="O113" s="51" t="s">
        <v>425</v>
      </c>
      <c r="P113" s="51">
        <v>3</v>
      </c>
      <c r="Q113" s="77">
        <v>3</v>
      </c>
    </row>
    <row r="114" spans="1:17" x14ac:dyDescent="0.25">
      <c r="A114" s="52" t="s">
        <v>64</v>
      </c>
      <c r="B114" s="51" t="s">
        <v>63</v>
      </c>
      <c r="C114" s="51" t="s">
        <v>367</v>
      </c>
      <c r="D114" s="51">
        <v>9.5</v>
      </c>
      <c r="E114" s="51">
        <v>15.625</v>
      </c>
      <c r="F114" s="51" t="s">
        <v>381</v>
      </c>
      <c r="G114" s="51">
        <v>1</v>
      </c>
      <c r="H114" s="51">
        <v>17</v>
      </c>
      <c r="I114" s="51">
        <v>-1.375</v>
      </c>
      <c r="J114" s="51">
        <v>1</v>
      </c>
      <c r="K114" s="51">
        <v>2</v>
      </c>
      <c r="L114" s="51">
        <v>0</v>
      </c>
      <c r="M114" s="51">
        <v>8.3333333333333339</v>
      </c>
      <c r="N114" s="56">
        <v>1</v>
      </c>
      <c r="O114" s="51" t="s">
        <v>425</v>
      </c>
      <c r="P114" s="51">
        <v>3</v>
      </c>
      <c r="Q114" s="77">
        <v>3</v>
      </c>
    </row>
    <row r="115" spans="1:17" x14ac:dyDescent="0.25">
      <c r="A115" s="52" t="s">
        <v>81</v>
      </c>
      <c r="B115" s="51" t="s">
        <v>423</v>
      </c>
      <c r="C115" s="51" t="s">
        <v>367</v>
      </c>
      <c r="D115" s="51">
        <v>6.5</v>
      </c>
      <c r="E115" s="51">
        <v>6.25</v>
      </c>
      <c r="F115" s="51" t="s">
        <v>384</v>
      </c>
      <c r="G115" s="51">
        <v>4</v>
      </c>
      <c r="H115" s="51">
        <v>9</v>
      </c>
      <c r="I115" s="51">
        <v>-2.75</v>
      </c>
      <c r="J115" s="51">
        <v>1</v>
      </c>
      <c r="K115" s="51">
        <v>2</v>
      </c>
      <c r="L115" s="51">
        <v>0</v>
      </c>
      <c r="M115" s="51">
        <v>8.3333333333333339</v>
      </c>
      <c r="N115" s="56">
        <v>1</v>
      </c>
      <c r="O115" s="51" t="s">
        <v>425</v>
      </c>
      <c r="P115" s="51">
        <v>3</v>
      </c>
      <c r="Q115" s="77">
        <v>3</v>
      </c>
    </row>
    <row r="116" spans="1:17" x14ac:dyDescent="0.25">
      <c r="A116" s="52" t="s">
        <v>15</v>
      </c>
      <c r="B116" s="51" t="s">
        <v>14</v>
      </c>
      <c r="C116" s="51" t="s">
        <v>363</v>
      </c>
      <c r="D116" s="51">
        <v>7.5</v>
      </c>
      <c r="E116" s="51">
        <v>9.375</v>
      </c>
      <c r="F116" s="51" t="s">
        <v>382</v>
      </c>
      <c r="G116" s="51">
        <v>4</v>
      </c>
      <c r="H116" s="51">
        <v>8</v>
      </c>
      <c r="I116" s="51">
        <v>1.375</v>
      </c>
      <c r="J116" s="51">
        <v>1</v>
      </c>
      <c r="K116" s="51">
        <v>2</v>
      </c>
      <c r="L116" s="51">
        <v>0</v>
      </c>
      <c r="M116" s="51">
        <v>8.3333333333333339</v>
      </c>
      <c r="N116" s="56">
        <v>1</v>
      </c>
      <c r="O116" s="51" t="s">
        <v>425</v>
      </c>
      <c r="P116" s="51">
        <v>3</v>
      </c>
      <c r="Q116" s="77">
        <v>3</v>
      </c>
    </row>
    <row r="117" spans="1:17" x14ac:dyDescent="0.25">
      <c r="A117" s="52" t="s">
        <v>46</v>
      </c>
      <c r="B117" s="51" t="s">
        <v>404</v>
      </c>
      <c r="C117" s="51" t="s">
        <v>359</v>
      </c>
      <c r="D117" s="51">
        <v>8.5</v>
      </c>
      <c r="E117" s="51">
        <v>12.5</v>
      </c>
      <c r="F117" s="51" t="s">
        <v>381</v>
      </c>
      <c r="G117" s="51">
        <v>3</v>
      </c>
      <c r="H117" s="51">
        <v>10</v>
      </c>
      <c r="I117" s="51">
        <v>2.5</v>
      </c>
      <c r="J117" s="51">
        <v>1</v>
      </c>
      <c r="K117" s="51">
        <v>2</v>
      </c>
      <c r="L117" s="51">
        <v>0</v>
      </c>
      <c r="M117" s="51">
        <v>8.3333333333333339</v>
      </c>
      <c r="N117" s="56">
        <v>1</v>
      </c>
      <c r="O117" s="51" t="s">
        <v>425</v>
      </c>
      <c r="P117" s="51">
        <v>3</v>
      </c>
      <c r="Q117" s="77">
        <v>3</v>
      </c>
    </row>
    <row r="118" spans="1:17" x14ac:dyDescent="0.25">
      <c r="A118" s="52" t="s">
        <v>48</v>
      </c>
      <c r="B118" s="51" t="s">
        <v>47</v>
      </c>
      <c r="C118" s="51" t="s">
        <v>352</v>
      </c>
      <c r="D118" s="51">
        <v>11.5</v>
      </c>
      <c r="E118" s="51">
        <v>21.875</v>
      </c>
      <c r="F118" s="51" t="s">
        <v>379</v>
      </c>
      <c r="G118" s="51">
        <v>1</v>
      </c>
      <c r="H118" s="51">
        <v>25</v>
      </c>
      <c r="I118" s="51">
        <v>-3.125</v>
      </c>
      <c r="J118" s="51">
        <v>1</v>
      </c>
      <c r="K118" s="51">
        <v>2</v>
      </c>
      <c r="L118" s="51">
        <v>0</v>
      </c>
      <c r="M118" s="51">
        <v>8.3333333333333339</v>
      </c>
      <c r="N118" s="56">
        <v>1</v>
      </c>
      <c r="O118" s="51" t="s">
        <v>425</v>
      </c>
      <c r="P118" s="51">
        <v>3</v>
      </c>
      <c r="Q118" s="77">
        <v>3</v>
      </c>
    </row>
    <row r="119" spans="1:17" x14ac:dyDescent="0.25">
      <c r="A119" s="52" t="s">
        <v>70</v>
      </c>
      <c r="B119" s="51" t="s">
        <v>69</v>
      </c>
      <c r="C119" s="51" t="s">
        <v>383</v>
      </c>
      <c r="D119" s="51">
        <v>7.5</v>
      </c>
      <c r="E119" s="51">
        <v>9.375</v>
      </c>
      <c r="F119" s="51" t="s">
        <v>376</v>
      </c>
      <c r="G119" s="51">
        <v>3</v>
      </c>
      <c r="H119" s="51">
        <v>12</v>
      </c>
      <c r="I119" s="51">
        <v>-2.625</v>
      </c>
      <c r="J119" s="51">
        <v>1</v>
      </c>
      <c r="K119" s="51">
        <v>2</v>
      </c>
      <c r="L119" s="51">
        <v>0</v>
      </c>
      <c r="M119" s="51">
        <v>8.3333333333333339</v>
      </c>
      <c r="N119" s="56">
        <v>1</v>
      </c>
      <c r="O119" s="51" t="s">
        <v>425</v>
      </c>
      <c r="P119" s="51">
        <v>3</v>
      </c>
      <c r="Q119" s="77">
        <v>3</v>
      </c>
    </row>
    <row r="120" spans="1:17" x14ac:dyDescent="0.25">
      <c r="A120" s="52" t="s">
        <v>66</v>
      </c>
      <c r="B120" s="51" t="s">
        <v>72</v>
      </c>
      <c r="C120" s="51" t="s">
        <v>357</v>
      </c>
      <c r="D120" s="51">
        <v>8.5</v>
      </c>
      <c r="E120" s="51">
        <v>12.5</v>
      </c>
      <c r="F120" s="51" t="s">
        <v>379</v>
      </c>
      <c r="G120" s="51">
        <v>3</v>
      </c>
      <c r="H120" s="51">
        <v>4</v>
      </c>
      <c r="I120" s="51">
        <v>8.5</v>
      </c>
      <c r="J120" s="51">
        <v>1</v>
      </c>
      <c r="K120" s="51">
        <v>2</v>
      </c>
      <c r="L120" s="51">
        <v>0</v>
      </c>
      <c r="M120" s="51">
        <v>8.3333333333333339</v>
      </c>
      <c r="N120" s="56">
        <v>1</v>
      </c>
      <c r="O120" s="51" t="s">
        <v>425</v>
      </c>
      <c r="P120" s="51">
        <v>3</v>
      </c>
      <c r="Q120" s="77">
        <v>3</v>
      </c>
    </row>
    <row r="121" spans="1:17" x14ac:dyDescent="0.25">
      <c r="A121" s="52" t="s">
        <v>84</v>
      </c>
      <c r="B121" s="51" t="s">
        <v>91</v>
      </c>
      <c r="C121" s="51" t="s">
        <v>352</v>
      </c>
      <c r="D121" s="51">
        <v>4.5</v>
      </c>
      <c r="E121" s="51">
        <v>0</v>
      </c>
      <c r="F121" s="51" t="s">
        <v>380</v>
      </c>
      <c r="G121" s="51">
        <v>4</v>
      </c>
      <c r="H121" s="51">
        <v>1</v>
      </c>
      <c r="I121" s="51">
        <v>-1</v>
      </c>
      <c r="J121" s="51">
        <v>1</v>
      </c>
      <c r="K121" s="51">
        <v>2</v>
      </c>
      <c r="L121" s="51">
        <v>0</v>
      </c>
      <c r="M121" s="51">
        <v>8.3333333333333339</v>
      </c>
      <c r="N121" s="56">
        <v>1</v>
      </c>
      <c r="O121" s="51" t="s">
        <v>425</v>
      </c>
      <c r="P121" s="51">
        <v>3</v>
      </c>
      <c r="Q121" s="77">
        <v>3</v>
      </c>
    </row>
    <row r="122" spans="1:17" x14ac:dyDescent="0.25">
      <c r="A122" s="52" t="s">
        <v>13</v>
      </c>
      <c r="B122" s="51" t="s">
        <v>67</v>
      </c>
      <c r="C122" s="51" t="s">
        <v>383</v>
      </c>
      <c r="D122" s="51">
        <v>6.5</v>
      </c>
      <c r="E122" s="51">
        <v>6.25</v>
      </c>
      <c r="F122" s="51" t="s">
        <v>384</v>
      </c>
      <c r="G122" s="51">
        <v>3</v>
      </c>
      <c r="H122" s="51">
        <v>3</v>
      </c>
      <c r="I122" s="51">
        <v>3.25</v>
      </c>
      <c r="J122" s="51">
        <v>1</v>
      </c>
      <c r="K122" s="51">
        <v>2</v>
      </c>
      <c r="L122" s="51">
        <v>0</v>
      </c>
      <c r="M122" s="51">
        <v>8.3333333333333339</v>
      </c>
      <c r="N122" s="56">
        <v>1</v>
      </c>
      <c r="O122" s="51" t="s">
        <v>425</v>
      </c>
      <c r="P122" s="51">
        <v>3</v>
      </c>
      <c r="Q122" s="77">
        <v>3</v>
      </c>
    </row>
    <row r="123" spans="1:17" x14ac:dyDescent="0.25">
      <c r="A123" s="52" t="s">
        <v>17</v>
      </c>
      <c r="B123" s="51" t="s">
        <v>399</v>
      </c>
      <c r="C123" s="51" t="s">
        <v>367</v>
      </c>
      <c r="D123" s="51">
        <v>11.5</v>
      </c>
      <c r="E123" s="51">
        <v>21.875</v>
      </c>
      <c r="F123" s="51" t="s">
        <v>377</v>
      </c>
      <c r="G123" s="51">
        <v>1</v>
      </c>
      <c r="H123" s="51">
        <v>24</v>
      </c>
      <c r="I123" s="51">
        <v>-2.125</v>
      </c>
      <c r="J123" s="51">
        <v>1</v>
      </c>
      <c r="K123" s="51">
        <v>2</v>
      </c>
      <c r="L123" s="51">
        <v>0</v>
      </c>
      <c r="M123" s="51">
        <v>8.3333333333333339</v>
      </c>
      <c r="N123" s="56">
        <v>1</v>
      </c>
      <c r="O123" s="51" t="s">
        <v>425</v>
      </c>
      <c r="P123" s="51">
        <v>3</v>
      </c>
      <c r="Q123" s="77">
        <v>3</v>
      </c>
    </row>
    <row r="124" spans="1:17" x14ac:dyDescent="0.25">
      <c r="A124" s="52" t="s">
        <v>32</v>
      </c>
      <c r="B124" s="51" t="s">
        <v>31</v>
      </c>
      <c r="C124" s="51" t="s">
        <v>368</v>
      </c>
      <c r="D124" s="51">
        <v>9.5</v>
      </c>
      <c r="E124" s="51">
        <v>15.625</v>
      </c>
      <c r="F124" s="51" t="s">
        <v>380</v>
      </c>
      <c r="G124" s="51">
        <v>2</v>
      </c>
      <c r="H124" s="51">
        <v>17</v>
      </c>
      <c r="I124" s="51">
        <v>-1.375</v>
      </c>
      <c r="J124" s="51">
        <v>0</v>
      </c>
      <c r="K124" s="51">
        <v>3</v>
      </c>
      <c r="L124" s="51">
        <v>0</v>
      </c>
      <c r="M124" s="51">
        <v>0</v>
      </c>
      <c r="N124" s="56">
        <v>0</v>
      </c>
      <c r="O124" s="51" t="s">
        <v>425</v>
      </c>
      <c r="P124" s="51">
        <v>3</v>
      </c>
      <c r="Q124" s="77">
        <v>3</v>
      </c>
    </row>
    <row r="125" spans="1:17" x14ac:dyDescent="0.25">
      <c r="A125" s="52" t="s">
        <v>3</v>
      </c>
      <c r="B125" s="51" t="s">
        <v>2</v>
      </c>
      <c r="C125" s="51" t="s">
        <v>359</v>
      </c>
      <c r="D125" s="51">
        <v>7.5</v>
      </c>
      <c r="E125" s="51">
        <v>9.375</v>
      </c>
      <c r="F125" s="51" t="s">
        <v>381</v>
      </c>
      <c r="G125" s="51">
        <v>4</v>
      </c>
      <c r="H125" s="51">
        <v>8</v>
      </c>
      <c r="I125" s="51">
        <v>1.375</v>
      </c>
      <c r="J125" s="51">
        <v>0</v>
      </c>
      <c r="K125" s="51">
        <v>3</v>
      </c>
      <c r="L125" s="51">
        <v>0</v>
      </c>
      <c r="M125" s="51">
        <v>0</v>
      </c>
      <c r="N125" s="56">
        <v>0</v>
      </c>
      <c r="O125" s="51" t="s">
        <v>425</v>
      </c>
      <c r="P125" s="51">
        <v>3</v>
      </c>
      <c r="Q125" s="77">
        <v>3</v>
      </c>
    </row>
    <row r="126" spans="1:17" x14ac:dyDescent="0.25">
      <c r="A126" s="52" t="s">
        <v>24</v>
      </c>
      <c r="B126" s="51" t="s">
        <v>79</v>
      </c>
      <c r="C126" s="51" t="s">
        <v>359</v>
      </c>
      <c r="D126" s="51">
        <v>5.5</v>
      </c>
      <c r="E126" s="51">
        <v>3.125</v>
      </c>
      <c r="F126" s="51" t="s">
        <v>379</v>
      </c>
      <c r="G126" s="51">
        <v>4</v>
      </c>
      <c r="H126" s="51">
        <v>9</v>
      </c>
      <c r="I126" s="51">
        <v>-5.875</v>
      </c>
      <c r="J126" s="51">
        <v>0</v>
      </c>
      <c r="K126" s="51">
        <v>3</v>
      </c>
      <c r="L126" s="51">
        <v>0</v>
      </c>
      <c r="M126" s="51">
        <v>0</v>
      </c>
      <c r="N126" s="56">
        <v>0</v>
      </c>
      <c r="O126" s="51" t="s">
        <v>425</v>
      </c>
      <c r="P126" s="51">
        <v>3</v>
      </c>
      <c r="Q126" s="77">
        <v>3</v>
      </c>
    </row>
    <row r="127" spans="1:17" x14ac:dyDescent="0.25">
      <c r="A127" s="52" t="s">
        <v>50</v>
      </c>
      <c r="B127" s="51" t="s">
        <v>95</v>
      </c>
      <c r="C127" s="51" t="s">
        <v>363</v>
      </c>
      <c r="D127" s="51">
        <v>5.5</v>
      </c>
      <c r="E127" s="51">
        <v>3.125</v>
      </c>
      <c r="F127" s="51" t="s">
        <v>377</v>
      </c>
      <c r="G127" s="51">
        <v>3</v>
      </c>
      <c r="H127" s="51">
        <v>4</v>
      </c>
      <c r="I127" s="51">
        <v>-0.875</v>
      </c>
      <c r="J127" s="51">
        <v>0</v>
      </c>
      <c r="K127" s="51">
        <v>3</v>
      </c>
      <c r="L127" s="51">
        <v>0</v>
      </c>
      <c r="M127" s="51">
        <v>0</v>
      </c>
      <c r="N127" s="56">
        <v>0</v>
      </c>
      <c r="O127" s="51" t="s">
        <v>425</v>
      </c>
      <c r="P127" s="51">
        <v>3</v>
      </c>
      <c r="Q127" s="77">
        <v>3</v>
      </c>
    </row>
    <row r="128" spans="1:17" x14ac:dyDescent="0.25">
      <c r="A128" s="52" t="s">
        <v>52</v>
      </c>
      <c r="B128" s="51" t="s">
        <v>403</v>
      </c>
      <c r="C128" s="51" t="s">
        <v>383</v>
      </c>
      <c r="D128" s="51">
        <v>5.5</v>
      </c>
      <c r="E128" s="51">
        <v>3.125</v>
      </c>
      <c r="F128" s="51" t="s">
        <v>377</v>
      </c>
      <c r="G128" s="51">
        <v>4</v>
      </c>
      <c r="H128" s="51">
        <v>3</v>
      </c>
      <c r="I128" s="51">
        <v>0.125</v>
      </c>
      <c r="J128" s="51">
        <v>0</v>
      </c>
      <c r="K128" s="51">
        <v>3</v>
      </c>
      <c r="L128" s="51">
        <v>0</v>
      </c>
      <c r="M128" s="51">
        <v>0</v>
      </c>
      <c r="N128" s="56">
        <v>0</v>
      </c>
      <c r="O128" s="51" t="s">
        <v>425</v>
      </c>
      <c r="P128" s="51">
        <v>3</v>
      </c>
      <c r="Q128" s="77">
        <v>3</v>
      </c>
    </row>
    <row r="129" spans="1:17" ht="15.75" thickBot="1" x14ac:dyDescent="0.3">
      <c r="A129" s="53" t="s">
        <v>20</v>
      </c>
      <c r="B129" s="54" t="s">
        <v>89</v>
      </c>
      <c r="C129" s="54" t="s">
        <v>368</v>
      </c>
      <c r="D129" s="54">
        <v>5.5</v>
      </c>
      <c r="E129" s="54">
        <v>3.125</v>
      </c>
      <c r="F129" s="54" t="s">
        <v>378</v>
      </c>
      <c r="G129" s="54">
        <v>4</v>
      </c>
      <c r="H129" s="54">
        <v>7</v>
      </c>
      <c r="I129" s="54">
        <v>-3.875</v>
      </c>
      <c r="J129" s="54">
        <v>0</v>
      </c>
      <c r="K129" s="54">
        <v>3</v>
      </c>
      <c r="L129" s="54">
        <v>0</v>
      </c>
      <c r="M129" s="54">
        <v>0</v>
      </c>
      <c r="N129" s="57">
        <v>0</v>
      </c>
      <c r="O129" s="54" t="s">
        <v>425</v>
      </c>
      <c r="P129" s="54">
        <v>3</v>
      </c>
      <c r="Q129" s="78">
        <v>3</v>
      </c>
    </row>
    <row r="130" spans="1:17" x14ac:dyDescent="0.25">
      <c r="A130" s="79" t="s">
        <v>26</v>
      </c>
      <c r="B130" s="80" t="s">
        <v>25</v>
      </c>
      <c r="C130" s="80" t="s">
        <v>359</v>
      </c>
      <c r="D130" s="80">
        <v>11.5</v>
      </c>
      <c r="E130" s="80">
        <v>21.875</v>
      </c>
      <c r="F130" s="80" t="s">
        <v>384</v>
      </c>
      <c r="G130" s="80">
        <v>1</v>
      </c>
      <c r="H130" s="80">
        <v>24</v>
      </c>
      <c r="I130" s="80">
        <v>-2.125</v>
      </c>
      <c r="J130" s="80">
        <v>4</v>
      </c>
      <c r="K130" s="80">
        <v>0</v>
      </c>
      <c r="L130" s="80">
        <v>0</v>
      </c>
      <c r="M130" s="80">
        <v>25.396825396825395</v>
      </c>
      <c r="N130" s="81">
        <v>4</v>
      </c>
      <c r="O130" s="80" t="s">
        <v>425</v>
      </c>
      <c r="P130" s="80">
        <v>4</v>
      </c>
      <c r="Q130" s="82">
        <v>4</v>
      </c>
    </row>
    <row r="131" spans="1:17" x14ac:dyDescent="0.25">
      <c r="A131" s="52" t="s">
        <v>39</v>
      </c>
      <c r="B131" s="51" t="s">
        <v>38</v>
      </c>
      <c r="C131" s="51" t="s">
        <v>363</v>
      </c>
      <c r="D131" s="51">
        <v>11.5</v>
      </c>
      <c r="E131" s="51">
        <v>21.875</v>
      </c>
      <c r="F131" s="51" t="s">
        <v>378</v>
      </c>
      <c r="G131" s="51">
        <v>1</v>
      </c>
      <c r="H131" s="51">
        <v>23</v>
      </c>
      <c r="I131" s="51">
        <v>-1.125</v>
      </c>
      <c r="J131" s="51">
        <v>4</v>
      </c>
      <c r="K131" s="51">
        <v>0</v>
      </c>
      <c r="L131" s="51">
        <v>0</v>
      </c>
      <c r="M131" s="51">
        <v>25.396825396825395</v>
      </c>
      <c r="N131" s="56">
        <v>4</v>
      </c>
      <c r="O131" s="51" t="s">
        <v>425</v>
      </c>
      <c r="P131" s="51">
        <v>4</v>
      </c>
      <c r="Q131" s="77">
        <v>4</v>
      </c>
    </row>
    <row r="132" spans="1:17" x14ac:dyDescent="0.25">
      <c r="A132" s="52" t="s">
        <v>7</v>
      </c>
      <c r="B132" s="51" t="s">
        <v>405</v>
      </c>
      <c r="C132" s="51" t="s">
        <v>355</v>
      </c>
      <c r="D132" s="51">
        <v>10.5</v>
      </c>
      <c r="E132" s="51">
        <v>18.75</v>
      </c>
      <c r="F132" s="51" t="s">
        <v>380</v>
      </c>
      <c r="G132" s="51">
        <v>1</v>
      </c>
      <c r="H132" s="51">
        <v>18</v>
      </c>
      <c r="I132" s="51">
        <v>0.75</v>
      </c>
      <c r="J132" s="51">
        <v>3</v>
      </c>
      <c r="K132" s="51">
        <v>1</v>
      </c>
      <c r="L132" s="51">
        <v>0</v>
      </c>
      <c r="M132" s="51">
        <v>19.047619047619047</v>
      </c>
      <c r="N132" s="56">
        <v>3</v>
      </c>
      <c r="O132" s="51" t="s">
        <v>425</v>
      </c>
      <c r="P132" s="51">
        <v>4</v>
      </c>
      <c r="Q132" s="77">
        <v>4</v>
      </c>
    </row>
    <row r="133" spans="1:17" x14ac:dyDescent="0.25">
      <c r="A133" s="52" t="s">
        <v>1</v>
      </c>
      <c r="B133" s="51" t="s">
        <v>402</v>
      </c>
      <c r="C133" s="51" t="s">
        <v>383</v>
      </c>
      <c r="D133" s="51">
        <v>9.5</v>
      </c>
      <c r="E133" s="51">
        <v>15.625</v>
      </c>
      <c r="F133" s="51" t="s">
        <v>381</v>
      </c>
      <c r="G133" s="51">
        <v>2</v>
      </c>
      <c r="H133" s="51">
        <v>15</v>
      </c>
      <c r="I133" s="51">
        <v>0.625</v>
      </c>
      <c r="J133" s="51">
        <v>3</v>
      </c>
      <c r="K133" s="51">
        <v>1</v>
      </c>
      <c r="L133" s="51">
        <v>0</v>
      </c>
      <c r="M133" s="51">
        <v>19.047619047619047</v>
      </c>
      <c r="N133" s="56">
        <v>3</v>
      </c>
      <c r="O133" s="51" t="s">
        <v>425</v>
      </c>
      <c r="P133" s="51">
        <v>4</v>
      </c>
      <c r="Q133" s="77">
        <v>4</v>
      </c>
    </row>
    <row r="134" spans="1:17" x14ac:dyDescent="0.25">
      <c r="A134" s="52" t="s">
        <v>61</v>
      </c>
      <c r="B134" s="51" t="s">
        <v>60</v>
      </c>
      <c r="C134" s="51" t="s">
        <v>367</v>
      </c>
      <c r="D134" s="51">
        <v>9.5</v>
      </c>
      <c r="E134" s="51">
        <v>15.625</v>
      </c>
      <c r="F134" s="51" t="s">
        <v>376</v>
      </c>
      <c r="G134" s="51">
        <v>2</v>
      </c>
      <c r="H134" s="51">
        <v>13</v>
      </c>
      <c r="I134" s="51">
        <v>2.625</v>
      </c>
      <c r="J134" s="51">
        <v>3</v>
      </c>
      <c r="K134" s="51">
        <v>1</v>
      </c>
      <c r="L134" s="51">
        <v>0</v>
      </c>
      <c r="M134" s="51">
        <v>19.047619047619047</v>
      </c>
      <c r="N134" s="56">
        <v>3</v>
      </c>
      <c r="O134" s="51" t="s">
        <v>425</v>
      </c>
      <c r="P134" s="51">
        <v>4</v>
      </c>
      <c r="Q134" s="77">
        <v>4</v>
      </c>
    </row>
    <row r="135" spans="1:17" x14ac:dyDescent="0.25">
      <c r="A135" s="52" t="s">
        <v>43</v>
      </c>
      <c r="B135" s="51" t="s">
        <v>57</v>
      </c>
      <c r="C135" s="51" t="s">
        <v>368</v>
      </c>
      <c r="D135" s="51">
        <v>7.5</v>
      </c>
      <c r="E135" s="51">
        <v>9.375</v>
      </c>
      <c r="F135" s="51" t="s">
        <v>378</v>
      </c>
      <c r="G135" s="51">
        <v>3</v>
      </c>
      <c r="H135" s="51">
        <v>1</v>
      </c>
      <c r="I135" s="51">
        <v>8.375</v>
      </c>
      <c r="J135" s="51">
        <v>3</v>
      </c>
      <c r="K135" s="51">
        <v>1</v>
      </c>
      <c r="L135" s="51">
        <v>0</v>
      </c>
      <c r="M135" s="51">
        <v>19.047619047619047</v>
      </c>
      <c r="N135" s="56">
        <v>3</v>
      </c>
      <c r="O135" s="51" t="s">
        <v>425</v>
      </c>
      <c r="P135" s="51">
        <v>4</v>
      </c>
      <c r="Q135" s="77">
        <v>4</v>
      </c>
    </row>
    <row r="136" spans="1:17" x14ac:dyDescent="0.25">
      <c r="A136" s="52" t="s">
        <v>74</v>
      </c>
      <c r="B136" s="51" t="s">
        <v>85</v>
      </c>
      <c r="C136" s="51" t="s">
        <v>352</v>
      </c>
      <c r="D136" s="51">
        <v>8.5</v>
      </c>
      <c r="E136" s="51">
        <v>12.5</v>
      </c>
      <c r="F136" s="51" t="s">
        <v>384</v>
      </c>
      <c r="G136" s="51">
        <v>2</v>
      </c>
      <c r="H136" s="51">
        <v>14</v>
      </c>
      <c r="I136" s="51">
        <v>-1.5</v>
      </c>
      <c r="J136" s="51">
        <v>3</v>
      </c>
      <c r="K136" s="51">
        <v>1</v>
      </c>
      <c r="L136" s="51">
        <v>0</v>
      </c>
      <c r="M136" s="51">
        <v>19.047619047619047</v>
      </c>
      <c r="N136" s="56">
        <v>3</v>
      </c>
      <c r="O136" s="51" t="s">
        <v>425</v>
      </c>
      <c r="P136" s="51">
        <v>4</v>
      </c>
      <c r="Q136" s="77">
        <v>4</v>
      </c>
    </row>
    <row r="137" spans="1:17" x14ac:dyDescent="0.25">
      <c r="A137" s="52" t="s">
        <v>9</v>
      </c>
      <c r="B137" s="51" t="s">
        <v>55</v>
      </c>
      <c r="C137" s="51" t="s">
        <v>355</v>
      </c>
      <c r="D137" s="51">
        <v>8.5</v>
      </c>
      <c r="E137" s="51">
        <v>12.5</v>
      </c>
      <c r="F137" s="51" t="s">
        <v>376</v>
      </c>
      <c r="G137" s="51">
        <v>4</v>
      </c>
      <c r="H137" s="51">
        <v>11</v>
      </c>
      <c r="I137" s="51">
        <v>1.5</v>
      </c>
      <c r="J137" s="51">
        <v>3</v>
      </c>
      <c r="K137" s="51">
        <v>1</v>
      </c>
      <c r="L137" s="51">
        <v>0</v>
      </c>
      <c r="M137" s="51">
        <v>19.047619047619047</v>
      </c>
      <c r="N137" s="56">
        <v>3</v>
      </c>
      <c r="O137" s="51" t="s">
        <v>425</v>
      </c>
      <c r="P137" s="51">
        <v>4</v>
      </c>
      <c r="Q137" s="77">
        <v>4</v>
      </c>
    </row>
    <row r="138" spans="1:17" x14ac:dyDescent="0.25">
      <c r="A138" s="52" t="s">
        <v>22</v>
      </c>
      <c r="B138" s="51" t="s">
        <v>21</v>
      </c>
      <c r="C138" s="51" t="s">
        <v>355</v>
      </c>
      <c r="D138" s="51">
        <v>9.5</v>
      </c>
      <c r="E138" s="51">
        <v>15.625</v>
      </c>
      <c r="F138" s="51" t="s">
        <v>382</v>
      </c>
      <c r="G138" s="51">
        <v>2</v>
      </c>
      <c r="H138" s="51">
        <v>15</v>
      </c>
      <c r="I138" s="51">
        <v>0.625</v>
      </c>
      <c r="J138" s="51">
        <v>3</v>
      </c>
      <c r="K138" s="51">
        <v>1</v>
      </c>
      <c r="L138" s="51">
        <v>0</v>
      </c>
      <c r="M138" s="51">
        <v>19.047619047619047</v>
      </c>
      <c r="N138" s="56">
        <v>3</v>
      </c>
      <c r="O138" s="51" t="s">
        <v>425</v>
      </c>
      <c r="P138" s="51">
        <v>4</v>
      </c>
      <c r="Q138" s="77">
        <v>4</v>
      </c>
    </row>
    <row r="139" spans="1:17" x14ac:dyDescent="0.25">
      <c r="A139" s="52" t="s">
        <v>37</v>
      </c>
      <c r="B139" s="51" t="s">
        <v>44</v>
      </c>
      <c r="C139" s="51" t="s">
        <v>368</v>
      </c>
      <c r="D139" s="51">
        <v>7.5</v>
      </c>
      <c r="E139" s="51">
        <v>9.375</v>
      </c>
      <c r="F139" s="51" t="s">
        <v>382</v>
      </c>
      <c r="G139" s="51">
        <v>3</v>
      </c>
      <c r="H139" s="51">
        <v>10</v>
      </c>
      <c r="I139" s="51">
        <v>-0.625</v>
      </c>
      <c r="J139" s="51">
        <v>3</v>
      </c>
      <c r="K139" s="51">
        <v>1</v>
      </c>
      <c r="L139" s="51">
        <v>0</v>
      </c>
      <c r="M139" s="51">
        <v>19.047619047619047</v>
      </c>
      <c r="N139" s="56">
        <v>3</v>
      </c>
      <c r="O139" s="51" t="s">
        <v>425</v>
      </c>
      <c r="P139" s="51">
        <v>4</v>
      </c>
      <c r="Q139" s="77">
        <v>4</v>
      </c>
    </row>
    <row r="140" spans="1:17" x14ac:dyDescent="0.25">
      <c r="A140" s="52" t="s">
        <v>11</v>
      </c>
      <c r="B140" s="51" t="s">
        <v>10</v>
      </c>
      <c r="C140" s="51" t="s">
        <v>357</v>
      </c>
      <c r="D140" s="51">
        <v>10.5</v>
      </c>
      <c r="E140" s="51">
        <v>18.75</v>
      </c>
      <c r="F140" s="51" t="s">
        <v>378</v>
      </c>
      <c r="G140" s="51">
        <v>2</v>
      </c>
      <c r="H140" s="51">
        <v>19</v>
      </c>
      <c r="I140" s="51">
        <v>-0.25</v>
      </c>
      <c r="J140" s="51">
        <v>3</v>
      </c>
      <c r="K140" s="51">
        <v>1</v>
      </c>
      <c r="L140" s="51">
        <v>0</v>
      </c>
      <c r="M140" s="51">
        <v>19.047619047619047</v>
      </c>
      <c r="N140" s="56">
        <v>3</v>
      </c>
      <c r="O140" s="51" t="s">
        <v>425</v>
      </c>
      <c r="P140" s="51">
        <v>4</v>
      </c>
      <c r="Q140" s="77">
        <v>4</v>
      </c>
    </row>
    <row r="141" spans="1:17" x14ac:dyDescent="0.25">
      <c r="A141" s="52" t="s">
        <v>35</v>
      </c>
      <c r="B141" s="51" t="s">
        <v>400</v>
      </c>
      <c r="C141" s="51" t="s">
        <v>357</v>
      </c>
      <c r="D141" s="51">
        <v>10.5</v>
      </c>
      <c r="E141" s="51">
        <v>18.75</v>
      </c>
      <c r="F141" s="51" t="s">
        <v>382</v>
      </c>
      <c r="G141" s="51">
        <v>1</v>
      </c>
      <c r="H141" s="51">
        <v>17</v>
      </c>
      <c r="I141" s="51">
        <v>1.75</v>
      </c>
      <c r="J141" s="51">
        <v>2</v>
      </c>
      <c r="K141" s="51">
        <v>1</v>
      </c>
      <c r="L141" s="51">
        <v>1</v>
      </c>
      <c r="M141" s="51">
        <v>12.698412698412698</v>
      </c>
      <c r="N141" s="56">
        <v>2</v>
      </c>
      <c r="O141" s="51" t="s">
        <v>425</v>
      </c>
      <c r="P141" s="51">
        <v>4</v>
      </c>
      <c r="Q141" s="77">
        <v>4</v>
      </c>
    </row>
    <row r="142" spans="1:17" x14ac:dyDescent="0.25">
      <c r="A142" s="52" t="s">
        <v>54</v>
      </c>
      <c r="B142" s="51" t="s">
        <v>77</v>
      </c>
      <c r="C142" s="51" t="s">
        <v>352</v>
      </c>
      <c r="D142" s="51">
        <v>9.5</v>
      </c>
      <c r="E142" s="51">
        <v>15.625</v>
      </c>
      <c r="F142" s="51" t="s">
        <v>380</v>
      </c>
      <c r="G142" s="51">
        <v>3</v>
      </c>
      <c r="H142" s="51">
        <v>14</v>
      </c>
      <c r="I142" s="51">
        <v>1.625</v>
      </c>
      <c r="J142" s="51">
        <v>2</v>
      </c>
      <c r="K142" s="51">
        <v>2</v>
      </c>
      <c r="L142" s="51">
        <v>0</v>
      </c>
      <c r="M142" s="51">
        <v>12.698412698412698</v>
      </c>
      <c r="N142" s="56">
        <v>2</v>
      </c>
      <c r="O142" s="51" t="s">
        <v>425</v>
      </c>
      <c r="P142" s="51">
        <v>4</v>
      </c>
      <c r="Q142" s="77">
        <v>4</v>
      </c>
    </row>
    <row r="143" spans="1:17" x14ac:dyDescent="0.25">
      <c r="A143" s="52" t="s">
        <v>5</v>
      </c>
      <c r="B143" s="51" t="s">
        <v>41</v>
      </c>
      <c r="C143" s="51" t="s">
        <v>363</v>
      </c>
      <c r="D143" s="51">
        <v>9.5</v>
      </c>
      <c r="E143" s="51">
        <v>15.625</v>
      </c>
      <c r="F143" s="51" t="s">
        <v>377</v>
      </c>
      <c r="G143" s="51">
        <v>2</v>
      </c>
      <c r="H143" s="51">
        <v>19</v>
      </c>
      <c r="I143" s="51">
        <v>-3.375</v>
      </c>
      <c r="J143" s="51">
        <v>2</v>
      </c>
      <c r="K143" s="51">
        <v>2</v>
      </c>
      <c r="L143" s="51">
        <v>0</v>
      </c>
      <c r="M143" s="51">
        <v>12.698412698412698</v>
      </c>
      <c r="N143" s="56">
        <v>2</v>
      </c>
      <c r="O143" s="51" t="s">
        <v>425</v>
      </c>
      <c r="P143" s="51">
        <v>4</v>
      </c>
      <c r="Q143" s="77">
        <v>4</v>
      </c>
    </row>
    <row r="144" spans="1:17" x14ac:dyDescent="0.25">
      <c r="A144" s="52" t="s">
        <v>28</v>
      </c>
      <c r="B144" s="51" t="s">
        <v>93</v>
      </c>
      <c r="C144" s="51" t="s">
        <v>355</v>
      </c>
      <c r="D144" s="51">
        <v>8.5</v>
      </c>
      <c r="E144" s="51">
        <v>12.5</v>
      </c>
      <c r="F144" s="51" t="s">
        <v>379</v>
      </c>
      <c r="G144" s="51">
        <v>2</v>
      </c>
      <c r="H144" s="51">
        <v>12</v>
      </c>
      <c r="I144" s="51">
        <v>0.5</v>
      </c>
      <c r="J144" s="51">
        <v>2</v>
      </c>
      <c r="K144" s="51">
        <v>2</v>
      </c>
      <c r="L144" s="51">
        <v>0</v>
      </c>
      <c r="M144" s="51">
        <v>12.698412698412698</v>
      </c>
      <c r="N144" s="56">
        <v>2</v>
      </c>
      <c r="O144" s="51" t="s">
        <v>425</v>
      </c>
      <c r="P144" s="51">
        <v>4</v>
      </c>
      <c r="Q144" s="77">
        <v>4</v>
      </c>
    </row>
    <row r="145" spans="1:17" x14ac:dyDescent="0.25">
      <c r="A145" s="52" t="s">
        <v>59</v>
      </c>
      <c r="B145" s="51" t="s">
        <v>75</v>
      </c>
      <c r="C145" s="51" t="s">
        <v>357</v>
      </c>
      <c r="D145" s="51">
        <v>8.5</v>
      </c>
      <c r="E145" s="51">
        <v>12.5</v>
      </c>
      <c r="F145" s="51" t="s">
        <v>376</v>
      </c>
      <c r="G145" s="51">
        <v>1</v>
      </c>
      <c r="H145" s="51">
        <v>14</v>
      </c>
      <c r="I145" s="51">
        <v>-1.5</v>
      </c>
      <c r="J145" s="51">
        <v>2</v>
      </c>
      <c r="K145" s="51">
        <v>2</v>
      </c>
      <c r="L145" s="51">
        <v>0</v>
      </c>
      <c r="M145" s="51">
        <v>12.698412698412698</v>
      </c>
      <c r="N145" s="56">
        <v>2</v>
      </c>
      <c r="O145" s="51" t="s">
        <v>425</v>
      </c>
      <c r="P145" s="51">
        <v>4</v>
      </c>
      <c r="Q145" s="77">
        <v>4</v>
      </c>
    </row>
    <row r="146" spans="1:17" x14ac:dyDescent="0.25">
      <c r="A146" s="52" t="s">
        <v>46</v>
      </c>
      <c r="B146" s="51" t="s">
        <v>404</v>
      </c>
      <c r="C146" s="51" t="s">
        <v>359</v>
      </c>
      <c r="D146" s="51">
        <v>8.5</v>
      </c>
      <c r="E146" s="51">
        <v>12.5</v>
      </c>
      <c r="F146" s="51" t="s">
        <v>381</v>
      </c>
      <c r="G146" s="51">
        <v>3</v>
      </c>
      <c r="H146" s="51">
        <v>10</v>
      </c>
      <c r="I146" s="51">
        <v>2.5</v>
      </c>
      <c r="J146" s="51">
        <v>2</v>
      </c>
      <c r="K146" s="51">
        <v>2</v>
      </c>
      <c r="L146" s="51">
        <v>0</v>
      </c>
      <c r="M146" s="51">
        <v>12.698412698412698</v>
      </c>
      <c r="N146" s="56">
        <v>2</v>
      </c>
      <c r="O146" s="51" t="s">
        <v>425</v>
      </c>
      <c r="P146" s="51">
        <v>4</v>
      </c>
      <c r="Q146" s="77">
        <v>4</v>
      </c>
    </row>
    <row r="147" spans="1:17" x14ac:dyDescent="0.25">
      <c r="A147" s="52" t="s">
        <v>70</v>
      </c>
      <c r="B147" s="51" t="s">
        <v>69</v>
      </c>
      <c r="C147" s="51" t="s">
        <v>383</v>
      </c>
      <c r="D147" s="51">
        <v>7.5</v>
      </c>
      <c r="E147" s="51">
        <v>9.375</v>
      </c>
      <c r="F147" s="51" t="s">
        <v>376</v>
      </c>
      <c r="G147" s="51">
        <v>3</v>
      </c>
      <c r="H147" s="51">
        <v>12</v>
      </c>
      <c r="I147" s="51">
        <v>-2.625</v>
      </c>
      <c r="J147" s="51">
        <v>2</v>
      </c>
      <c r="K147" s="51">
        <v>2</v>
      </c>
      <c r="L147" s="51">
        <v>0</v>
      </c>
      <c r="M147" s="51">
        <v>12.698412698412698</v>
      </c>
      <c r="N147" s="56">
        <v>2</v>
      </c>
      <c r="O147" s="51" t="s">
        <v>425</v>
      </c>
      <c r="P147" s="51">
        <v>4</v>
      </c>
      <c r="Q147" s="77">
        <v>4</v>
      </c>
    </row>
    <row r="148" spans="1:17" x14ac:dyDescent="0.25">
      <c r="A148" s="52" t="s">
        <v>66</v>
      </c>
      <c r="B148" s="51" t="s">
        <v>72</v>
      </c>
      <c r="C148" s="51" t="s">
        <v>357</v>
      </c>
      <c r="D148" s="51">
        <v>8.5</v>
      </c>
      <c r="E148" s="51">
        <v>12.5</v>
      </c>
      <c r="F148" s="51" t="s">
        <v>379</v>
      </c>
      <c r="G148" s="51">
        <v>3</v>
      </c>
      <c r="H148" s="51">
        <v>4</v>
      </c>
      <c r="I148" s="51">
        <v>8.5</v>
      </c>
      <c r="J148" s="51">
        <v>2</v>
      </c>
      <c r="K148" s="51">
        <v>2</v>
      </c>
      <c r="L148" s="51">
        <v>0</v>
      </c>
      <c r="M148" s="51">
        <v>12.698412698412698</v>
      </c>
      <c r="N148" s="56">
        <v>2</v>
      </c>
      <c r="O148" s="51" t="s">
        <v>425</v>
      </c>
      <c r="P148" s="51">
        <v>4</v>
      </c>
      <c r="Q148" s="77">
        <v>4</v>
      </c>
    </row>
    <row r="149" spans="1:17" x14ac:dyDescent="0.25">
      <c r="A149" s="52" t="s">
        <v>17</v>
      </c>
      <c r="B149" s="51" t="s">
        <v>399</v>
      </c>
      <c r="C149" s="51" t="s">
        <v>367</v>
      </c>
      <c r="D149" s="51">
        <v>11.5</v>
      </c>
      <c r="E149" s="51">
        <v>21.875</v>
      </c>
      <c r="F149" s="51" t="s">
        <v>377</v>
      </c>
      <c r="G149" s="51">
        <v>1</v>
      </c>
      <c r="H149" s="51">
        <v>24</v>
      </c>
      <c r="I149" s="51">
        <v>-2.125</v>
      </c>
      <c r="J149" s="51">
        <v>2</v>
      </c>
      <c r="K149" s="51">
        <v>2</v>
      </c>
      <c r="L149" s="51">
        <v>0</v>
      </c>
      <c r="M149" s="51">
        <v>12.698412698412698</v>
      </c>
      <c r="N149" s="56">
        <v>2</v>
      </c>
      <c r="O149" s="51" t="s">
        <v>425</v>
      </c>
      <c r="P149" s="51">
        <v>4</v>
      </c>
      <c r="Q149" s="77">
        <v>4</v>
      </c>
    </row>
    <row r="150" spans="1:17" x14ac:dyDescent="0.25">
      <c r="A150" s="52" t="s">
        <v>64</v>
      </c>
      <c r="B150" s="51" t="s">
        <v>63</v>
      </c>
      <c r="C150" s="51" t="s">
        <v>367</v>
      </c>
      <c r="D150" s="51">
        <v>9.5</v>
      </c>
      <c r="E150" s="51">
        <v>15.625</v>
      </c>
      <c r="F150" s="51" t="s">
        <v>381</v>
      </c>
      <c r="G150" s="51">
        <v>1</v>
      </c>
      <c r="H150" s="51">
        <v>17</v>
      </c>
      <c r="I150" s="51">
        <v>-1.375</v>
      </c>
      <c r="J150" s="51">
        <v>2</v>
      </c>
      <c r="K150" s="51">
        <v>2</v>
      </c>
      <c r="L150" s="51">
        <v>0</v>
      </c>
      <c r="M150" s="51">
        <v>12.698412698412698</v>
      </c>
      <c r="N150" s="56">
        <v>2</v>
      </c>
      <c r="O150" s="51" t="s">
        <v>425</v>
      </c>
      <c r="P150" s="51">
        <v>4</v>
      </c>
      <c r="Q150" s="77">
        <v>4</v>
      </c>
    </row>
    <row r="151" spans="1:17" x14ac:dyDescent="0.25">
      <c r="A151" s="52" t="s">
        <v>81</v>
      </c>
      <c r="B151" s="51" t="s">
        <v>423</v>
      </c>
      <c r="C151" s="51" t="s">
        <v>367</v>
      </c>
      <c r="D151" s="51">
        <v>6.5</v>
      </c>
      <c r="E151" s="51">
        <v>6.25</v>
      </c>
      <c r="F151" s="51" t="s">
        <v>384</v>
      </c>
      <c r="G151" s="51">
        <v>4</v>
      </c>
      <c r="H151" s="51">
        <v>9</v>
      </c>
      <c r="I151" s="51">
        <v>-2.75</v>
      </c>
      <c r="J151" s="51">
        <v>1</v>
      </c>
      <c r="K151" s="51">
        <v>3</v>
      </c>
      <c r="L151" s="51">
        <v>0</v>
      </c>
      <c r="M151" s="51">
        <v>6.3492063492063489</v>
      </c>
      <c r="N151" s="56">
        <v>1</v>
      </c>
      <c r="O151" s="51" t="s">
        <v>425</v>
      </c>
      <c r="P151" s="51">
        <v>4</v>
      </c>
      <c r="Q151" s="77">
        <v>4</v>
      </c>
    </row>
    <row r="152" spans="1:17" x14ac:dyDescent="0.25">
      <c r="A152" s="52" t="s">
        <v>15</v>
      </c>
      <c r="B152" s="51" t="s">
        <v>14</v>
      </c>
      <c r="C152" s="51" t="s">
        <v>363</v>
      </c>
      <c r="D152" s="51">
        <v>7.5</v>
      </c>
      <c r="E152" s="51">
        <v>9.375</v>
      </c>
      <c r="F152" s="51" t="s">
        <v>382</v>
      </c>
      <c r="G152" s="51">
        <v>4</v>
      </c>
      <c r="H152" s="51">
        <v>8</v>
      </c>
      <c r="I152" s="51">
        <v>1.375</v>
      </c>
      <c r="J152" s="51">
        <v>1</v>
      </c>
      <c r="K152" s="51">
        <v>2</v>
      </c>
      <c r="L152" s="51">
        <v>1</v>
      </c>
      <c r="M152" s="51">
        <v>6.3492063492063489</v>
      </c>
      <c r="N152" s="56">
        <v>1</v>
      </c>
      <c r="O152" s="51" t="s">
        <v>425</v>
      </c>
      <c r="P152" s="51">
        <v>4</v>
      </c>
      <c r="Q152" s="77">
        <v>4</v>
      </c>
    </row>
    <row r="153" spans="1:17" x14ac:dyDescent="0.25">
      <c r="A153" s="52" t="s">
        <v>48</v>
      </c>
      <c r="B153" s="51" t="s">
        <v>47</v>
      </c>
      <c r="C153" s="51" t="s">
        <v>352</v>
      </c>
      <c r="D153" s="51">
        <v>11.5</v>
      </c>
      <c r="E153" s="51">
        <v>21.875</v>
      </c>
      <c r="F153" s="51" t="s">
        <v>379</v>
      </c>
      <c r="G153" s="51">
        <v>1</v>
      </c>
      <c r="H153" s="51">
        <v>25</v>
      </c>
      <c r="I153" s="51">
        <v>-3.125</v>
      </c>
      <c r="J153" s="51">
        <v>1</v>
      </c>
      <c r="K153" s="51">
        <v>3</v>
      </c>
      <c r="L153" s="51">
        <v>0</v>
      </c>
      <c r="M153" s="51">
        <v>6.3492063492063489</v>
      </c>
      <c r="N153" s="56">
        <v>1</v>
      </c>
      <c r="O153" s="51" t="s">
        <v>425</v>
      </c>
      <c r="P153" s="51">
        <v>4</v>
      </c>
      <c r="Q153" s="77">
        <v>4</v>
      </c>
    </row>
    <row r="154" spans="1:17" x14ac:dyDescent="0.25">
      <c r="A154" s="52" t="s">
        <v>84</v>
      </c>
      <c r="B154" s="51" t="s">
        <v>91</v>
      </c>
      <c r="C154" s="51" t="s">
        <v>352</v>
      </c>
      <c r="D154" s="51">
        <v>4.5</v>
      </c>
      <c r="E154" s="51">
        <v>0</v>
      </c>
      <c r="F154" s="51" t="s">
        <v>380</v>
      </c>
      <c r="G154" s="51">
        <v>4</v>
      </c>
      <c r="H154" s="51">
        <v>1</v>
      </c>
      <c r="I154" s="51">
        <v>-1</v>
      </c>
      <c r="J154" s="51">
        <v>1</v>
      </c>
      <c r="K154" s="51">
        <v>3</v>
      </c>
      <c r="L154" s="51">
        <v>0</v>
      </c>
      <c r="M154" s="51">
        <v>6.3492063492063489</v>
      </c>
      <c r="N154" s="56">
        <v>1</v>
      </c>
      <c r="O154" s="51" t="s">
        <v>425</v>
      </c>
      <c r="P154" s="51">
        <v>4</v>
      </c>
      <c r="Q154" s="77">
        <v>4</v>
      </c>
    </row>
    <row r="155" spans="1:17" x14ac:dyDescent="0.25">
      <c r="A155" s="52" t="s">
        <v>13</v>
      </c>
      <c r="B155" s="51" t="s">
        <v>67</v>
      </c>
      <c r="C155" s="51" t="s">
        <v>383</v>
      </c>
      <c r="D155" s="51">
        <v>6.5</v>
      </c>
      <c r="E155" s="51">
        <v>6.25</v>
      </c>
      <c r="F155" s="51" t="s">
        <v>384</v>
      </c>
      <c r="G155" s="51">
        <v>3</v>
      </c>
      <c r="H155" s="51">
        <v>3</v>
      </c>
      <c r="I155" s="51">
        <v>3.25</v>
      </c>
      <c r="J155" s="51">
        <v>1</v>
      </c>
      <c r="K155" s="51">
        <v>3</v>
      </c>
      <c r="L155" s="51">
        <v>0</v>
      </c>
      <c r="M155" s="51">
        <v>6.3492063492063489</v>
      </c>
      <c r="N155" s="56">
        <v>1</v>
      </c>
      <c r="O155" s="51" t="s">
        <v>425</v>
      </c>
      <c r="P155" s="51">
        <v>4</v>
      </c>
      <c r="Q155" s="77">
        <v>4</v>
      </c>
    </row>
    <row r="156" spans="1:17" x14ac:dyDescent="0.25">
      <c r="A156" s="52" t="s">
        <v>32</v>
      </c>
      <c r="B156" s="51" t="s">
        <v>31</v>
      </c>
      <c r="C156" s="51" t="s">
        <v>368</v>
      </c>
      <c r="D156" s="51">
        <v>9.5</v>
      </c>
      <c r="E156" s="51">
        <v>15.625</v>
      </c>
      <c r="F156" s="51" t="s">
        <v>380</v>
      </c>
      <c r="G156" s="51">
        <v>2</v>
      </c>
      <c r="H156" s="51">
        <v>17</v>
      </c>
      <c r="I156" s="51">
        <v>-1.375</v>
      </c>
      <c r="J156" s="51">
        <v>1</v>
      </c>
      <c r="K156" s="51">
        <v>3</v>
      </c>
      <c r="L156" s="51">
        <v>0</v>
      </c>
      <c r="M156" s="51">
        <v>6.3492063492063489</v>
      </c>
      <c r="N156" s="56">
        <v>1</v>
      </c>
      <c r="O156" s="51" t="s">
        <v>425</v>
      </c>
      <c r="P156" s="51">
        <v>4</v>
      </c>
      <c r="Q156" s="77">
        <v>4</v>
      </c>
    </row>
    <row r="157" spans="1:17" x14ac:dyDescent="0.25">
      <c r="A157" s="52" t="s">
        <v>50</v>
      </c>
      <c r="B157" s="51" t="s">
        <v>95</v>
      </c>
      <c r="C157" s="51" t="s">
        <v>363</v>
      </c>
      <c r="D157" s="51">
        <v>5.5</v>
      </c>
      <c r="E157" s="51">
        <v>3.125</v>
      </c>
      <c r="F157" s="51" t="s">
        <v>377</v>
      </c>
      <c r="G157" s="51">
        <v>3</v>
      </c>
      <c r="H157" s="51">
        <v>4</v>
      </c>
      <c r="I157" s="51">
        <v>-0.875</v>
      </c>
      <c r="J157" s="51">
        <v>1</v>
      </c>
      <c r="K157" s="51">
        <v>3</v>
      </c>
      <c r="L157" s="51">
        <v>0</v>
      </c>
      <c r="M157" s="51">
        <v>6.3492063492063489</v>
      </c>
      <c r="N157" s="56">
        <v>1</v>
      </c>
      <c r="O157" s="51" t="s">
        <v>425</v>
      </c>
      <c r="P157" s="51">
        <v>4</v>
      </c>
      <c r="Q157" s="77">
        <v>4</v>
      </c>
    </row>
    <row r="158" spans="1:17" x14ac:dyDescent="0.25">
      <c r="A158" s="52" t="s">
        <v>3</v>
      </c>
      <c r="B158" s="51" t="s">
        <v>2</v>
      </c>
      <c r="C158" s="51" t="s">
        <v>359</v>
      </c>
      <c r="D158" s="51">
        <v>7.5</v>
      </c>
      <c r="E158" s="51">
        <v>9.375</v>
      </c>
      <c r="F158" s="51" t="s">
        <v>381</v>
      </c>
      <c r="G158" s="51">
        <v>4</v>
      </c>
      <c r="H158" s="51">
        <v>8</v>
      </c>
      <c r="I158" s="51">
        <v>1.375</v>
      </c>
      <c r="J158" s="51">
        <v>1</v>
      </c>
      <c r="K158" s="51">
        <v>3</v>
      </c>
      <c r="L158" s="51">
        <v>0</v>
      </c>
      <c r="M158" s="51">
        <v>6.3492063492063489</v>
      </c>
      <c r="N158" s="56">
        <v>1</v>
      </c>
      <c r="O158" s="51" t="s">
        <v>425</v>
      </c>
      <c r="P158" s="51">
        <v>4</v>
      </c>
      <c r="Q158" s="77">
        <v>4</v>
      </c>
    </row>
    <row r="159" spans="1:17" x14ac:dyDescent="0.25">
      <c r="A159" s="52" t="s">
        <v>24</v>
      </c>
      <c r="B159" s="51" t="s">
        <v>79</v>
      </c>
      <c r="C159" s="51" t="s">
        <v>359</v>
      </c>
      <c r="D159" s="51">
        <v>5.5</v>
      </c>
      <c r="E159" s="51">
        <v>3.125</v>
      </c>
      <c r="F159" s="51" t="s">
        <v>379</v>
      </c>
      <c r="G159" s="51">
        <v>4</v>
      </c>
      <c r="H159" s="51">
        <v>9</v>
      </c>
      <c r="I159" s="51">
        <v>-5.875</v>
      </c>
      <c r="J159" s="51">
        <v>0</v>
      </c>
      <c r="K159" s="51">
        <v>4</v>
      </c>
      <c r="L159" s="51">
        <v>0</v>
      </c>
      <c r="M159" s="51">
        <v>0</v>
      </c>
      <c r="N159" s="56">
        <v>0</v>
      </c>
      <c r="O159" s="51" t="s">
        <v>425</v>
      </c>
      <c r="P159" s="51">
        <v>4</v>
      </c>
      <c r="Q159" s="77">
        <v>4</v>
      </c>
    </row>
    <row r="160" spans="1:17" x14ac:dyDescent="0.25">
      <c r="A160" s="52" t="s">
        <v>52</v>
      </c>
      <c r="B160" s="51" t="s">
        <v>403</v>
      </c>
      <c r="C160" s="51" t="s">
        <v>383</v>
      </c>
      <c r="D160" s="51">
        <v>5.5</v>
      </c>
      <c r="E160" s="51">
        <v>3.125</v>
      </c>
      <c r="F160" s="51" t="s">
        <v>377</v>
      </c>
      <c r="G160" s="51">
        <v>4</v>
      </c>
      <c r="H160" s="51">
        <v>3</v>
      </c>
      <c r="I160" s="51">
        <v>0.125</v>
      </c>
      <c r="J160" s="51">
        <v>0</v>
      </c>
      <c r="K160" s="51">
        <v>4</v>
      </c>
      <c r="L160" s="51">
        <v>0</v>
      </c>
      <c r="M160" s="51">
        <v>0</v>
      </c>
      <c r="N160" s="56">
        <v>0</v>
      </c>
      <c r="O160" s="51" t="s">
        <v>425</v>
      </c>
      <c r="P160" s="51">
        <v>4</v>
      </c>
      <c r="Q160" s="77">
        <v>4</v>
      </c>
    </row>
    <row r="161" spans="1:17" ht="15.75" thickBot="1" x14ac:dyDescent="0.3">
      <c r="A161" s="53" t="s">
        <v>20</v>
      </c>
      <c r="B161" s="54" t="s">
        <v>89</v>
      </c>
      <c r="C161" s="54" t="s">
        <v>368</v>
      </c>
      <c r="D161" s="54">
        <v>5.5</v>
      </c>
      <c r="E161" s="54">
        <v>3.125</v>
      </c>
      <c r="F161" s="54" t="s">
        <v>378</v>
      </c>
      <c r="G161" s="54">
        <v>4</v>
      </c>
      <c r="H161" s="54">
        <v>7</v>
      </c>
      <c r="I161" s="54">
        <v>-3.875</v>
      </c>
      <c r="J161" s="54">
        <v>0</v>
      </c>
      <c r="K161" s="54">
        <v>4</v>
      </c>
      <c r="L161" s="54">
        <v>0</v>
      </c>
      <c r="M161" s="54">
        <v>0</v>
      </c>
      <c r="N161" s="57">
        <v>0</v>
      </c>
      <c r="O161" s="54" t="s">
        <v>425</v>
      </c>
      <c r="P161" s="54">
        <v>4</v>
      </c>
      <c r="Q161" s="78">
        <v>4</v>
      </c>
    </row>
    <row r="162" spans="1:17" x14ac:dyDescent="0.25">
      <c r="A162" s="79" t="s">
        <v>26</v>
      </c>
      <c r="B162" s="80" t="s">
        <v>25</v>
      </c>
      <c r="C162" s="80" t="s">
        <v>359</v>
      </c>
      <c r="D162" s="80">
        <v>11.5</v>
      </c>
      <c r="E162" s="80">
        <v>21.875</v>
      </c>
      <c r="F162" s="80" t="s">
        <v>384</v>
      </c>
      <c r="G162" s="80">
        <v>1</v>
      </c>
      <c r="H162" s="80">
        <v>24</v>
      </c>
      <c r="I162" s="80">
        <v>-3.220779220779221</v>
      </c>
      <c r="J162" s="80">
        <v>4</v>
      </c>
      <c r="K162" s="80">
        <v>1</v>
      </c>
      <c r="L162" s="80">
        <v>0</v>
      </c>
      <c r="M162" s="80">
        <v>20.779220779220779</v>
      </c>
      <c r="N162" s="81">
        <v>4</v>
      </c>
      <c r="O162" s="80" t="s">
        <v>425</v>
      </c>
      <c r="P162" s="80">
        <v>5</v>
      </c>
      <c r="Q162" s="82">
        <v>5</v>
      </c>
    </row>
    <row r="163" spans="1:17" x14ac:dyDescent="0.25">
      <c r="A163" s="52" t="s">
        <v>39</v>
      </c>
      <c r="B163" s="51" t="s">
        <v>38</v>
      </c>
      <c r="C163" s="51" t="s">
        <v>363</v>
      </c>
      <c r="D163" s="51">
        <v>11.5</v>
      </c>
      <c r="E163" s="51">
        <v>21.875</v>
      </c>
      <c r="F163" s="51" t="s">
        <v>378</v>
      </c>
      <c r="G163" s="51">
        <v>1</v>
      </c>
      <c r="H163" s="51">
        <v>23</v>
      </c>
      <c r="I163" s="51">
        <v>-2.220779220779221</v>
      </c>
      <c r="J163" s="51">
        <v>4</v>
      </c>
      <c r="K163" s="51">
        <v>1</v>
      </c>
      <c r="L163" s="51">
        <v>0</v>
      </c>
      <c r="M163" s="51">
        <v>20.779220779220779</v>
      </c>
      <c r="N163" s="56">
        <v>4</v>
      </c>
      <c r="O163" s="51" t="s">
        <v>425</v>
      </c>
      <c r="P163" s="51">
        <v>5</v>
      </c>
      <c r="Q163" s="77">
        <v>5</v>
      </c>
    </row>
    <row r="164" spans="1:17" x14ac:dyDescent="0.25">
      <c r="A164" s="52" t="s">
        <v>7</v>
      </c>
      <c r="B164" s="51" t="s">
        <v>405</v>
      </c>
      <c r="C164" s="51" t="s">
        <v>355</v>
      </c>
      <c r="D164" s="51">
        <v>10.5</v>
      </c>
      <c r="E164" s="51">
        <v>18.75</v>
      </c>
      <c r="F164" s="51" t="s">
        <v>380</v>
      </c>
      <c r="G164" s="51">
        <v>1</v>
      </c>
      <c r="H164" s="51">
        <v>18</v>
      </c>
      <c r="I164" s="51">
        <v>2.779220779220779</v>
      </c>
      <c r="J164" s="51">
        <v>4</v>
      </c>
      <c r="K164" s="51">
        <v>1</v>
      </c>
      <c r="L164" s="51">
        <v>0</v>
      </c>
      <c r="M164" s="51">
        <v>20.779220779220779</v>
      </c>
      <c r="N164" s="56">
        <v>4</v>
      </c>
      <c r="O164" s="51" t="s">
        <v>425</v>
      </c>
      <c r="P164" s="51">
        <v>5</v>
      </c>
      <c r="Q164" s="77">
        <v>5</v>
      </c>
    </row>
    <row r="165" spans="1:17" x14ac:dyDescent="0.25">
      <c r="A165" s="52" t="s">
        <v>1</v>
      </c>
      <c r="B165" s="51" t="s">
        <v>402</v>
      </c>
      <c r="C165" s="51" t="s">
        <v>383</v>
      </c>
      <c r="D165" s="51">
        <v>9.5</v>
      </c>
      <c r="E165" s="51">
        <v>15.625</v>
      </c>
      <c r="F165" s="51" t="s">
        <v>381</v>
      </c>
      <c r="G165" s="51">
        <v>2</v>
      </c>
      <c r="H165" s="51">
        <v>15</v>
      </c>
      <c r="I165" s="51">
        <v>5.779220779220779</v>
      </c>
      <c r="J165" s="51">
        <v>4</v>
      </c>
      <c r="K165" s="51">
        <v>1</v>
      </c>
      <c r="L165" s="51">
        <v>0</v>
      </c>
      <c r="M165" s="51">
        <v>20.779220779220779</v>
      </c>
      <c r="N165" s="56">
        <v>4</v>
      </c>
      <c r="O165" s="51" t="s">
        <v>425</v>
      </c>
      <c r="P165" s="51">
        <v>5</v>
      </c>
      <c r="Q165" s="77">
        <v>5</v>
      </c>
    </row>
    <row r="166" spans="1:17" x14ac:dyDescent="0.25">
      <c r="A166" s="52" t="s">
        <v>43</v>
      </c>
      <c r="B166" s="51" t="s">
        <v>57</v>
      </c>
      <c r="C166" s="51" t="s">
        <v>368</v>
      </c>
      <c r="D166" s="51">
        <v>7.5</v>
      </c>
      <c r="E166" s="51">
        <v>9.375</v>
      </c>
      <c r="F166" s="51" t="s">
        <v>378</v>
      </c>
      <c r="G166" s="51">
        <v>3</v>
      </c>
      <c r="H166" s="51">
        <v>1</v>
      </c>
      <c r="I166" s="51">
        <v>19.779220779220779</v>
      </c>
      <c r="J166" s="51">
        <v>4</v>
      </c>
      <c r="K166" s="51">
        <v>1</v>
      </c>
      <c r="L166" s="51">
        <v>0</v>
      </c>
      <c r="M166" s="51">
        <v>20.779220779220779</v>
      </c>
      <c r="N166" s="56">
        <v>4</v>
      </c>
      <c r="O166" s="51" t="s">
        <v>425</v>
      </c>
      <c r="P166" s="51">
        <v>5</v>
      </c>
      <c r="Q166" s="77">
        <v>5</v>
      </c>
    </row>
    <row r="167" spans="1:17" x14ac:dyDescent="0.25">
      <c r="A167" s="52" t="s">
        <v>11</v>
      </c>
      <c r="B167" s="51" t="s">
        <v>10</v>
      </c>
      <c r="C167" s="51" t="s">
        <v>357</v>
      </c>
      <c r="D167" s="51">
        <v>10.5</v>
      </c>
      <c r="E167" s="51">
        <v>18.75</v>
      </c>
      <c r="F167" s="51" t="s">
        <v>378</v>
      </c>
      <c r="G167" s="51">
        <v>2</v>
      </c>
      <c r="H167" s="51">
        <v>19</v>
      </c>
      <c r="I167" s="51">
        <v>1.779220779220779</v>
      </c>
      <c r="J167" s="51">
        <v>4</v>
      </c>
      <c r="K167" s="51">
        <v>1</v>
      </c>
      <c r="L167" s="51">
        <v>0</v>
      </c>
      <c r="M167" s="51">
        <v>20.779220779220779</v>
      </c>
      <c r="N167" s="56">
        <v>4</v>
      </c>
      <c r="O167" s="51" t="s">
        <v>425</v>
      </c>
      <c r="P167" s="51">
        <v>5</v>
      </c>
      <c r="Q167" s="77">
        <v>5</v>
      </c>
    </row>
    <row r="168" spans="1:17" x14ac:dyDescent="0.25">
      <c r="A168" s="52" t="s">
        <v>37</v>
      </c>
      <c r="B168" s="51" t="s">
        <v>44</v>
      </c>
      <c r="C168" s="51" t="s">
        <v>368</v>
      </c>
      <c r="D168" s="51">
        <v>7.5</v>
      </c>
      <c r="E168" s="51">
        <v>9.375</v>
      </c>
      <c r="F168" s="51" t="s">
        <v>382</v>
      </c>
      <c r="G168" s="51">
        <v>3</v>
      </c>
      <c r="H168" s="51">
        <v>10</v>
      </c>
      <c r="I168" s="51">
        <v>10.779220779220779</v>
      </c>
      <c r="J168" s="51">
        <v>4</v>
      </c>
      <c r="K168" s="51">
        <v>1</v>
      </c>
      <c r="L168" s="51">
        <v>0</v>
      </c>
      <c r="M168" s="51">
        <v>20.779220779220779</v>
      </c>
      <c r="N168" s="56">
        <v>4</v>
      </c>
      <c r="O168" s="51" t="s">
        <v>425</v>
      </c>
      <c r="P168" s="51">
        <v>5</v>
      </c>
      <c r="Q168" s="77">
        <v>5</v>
      </c>
    </row>
    <row r="169" spans="1:17" x14ac:dyDescent="0.25">
      <c r="A169" s="52" t="s">
        <v>74</v>
      </c>
      <c r="B169" s="51" t="s">
        <v>85</v>
      </c>
      <c r="C169" s="51" t="s">
        <v>352</v>
      </c>
      <c r="D169" s="51">
        <v>8.5</v>
      </c>
      <c r="E169" s="51">
        <v>12.5</v>
      </c>
      <c r="F169" s="51" t="s">
        <v>384</v>
      </c>
      <c r="G169" s="51">
        <v>2</v>
      </c>
      <c r="H169" s="51">
        <v>14</v>
      </c>
      <c r="I169" s="51">
        <v>1.5844155844155843</v>
      </c>
      <c r="J169" s="51">
        <v>3</v>
      </c>
      <c r="K169" s="51">
        <v>1</v>
      </c>
      <c r="L169" s="51">
        <v>0</v>
      </c>
      <c r="M169" s="51">
        <v>15.584415584415584</v>
      </c>
      <c r="N169" s="56">
        <v>3</v>
      </c>
      <c r="O169" s="51" t="s">
        <v>421</v>
      </c>
      <c r="P169" s="51">
        <v>4</v>
      </c>
      <c r="Q169" s="77">
        <v>5</v>
      </c>
    </row>
    <row r="170" spans="1:17" x14ac:dyDescent="0.25">
      <c r="A170" s="52" t="s">
        <v>61</v>
      </c>
      <c r="B170" s="51" t="s">
        <v>60</v>
      </c>
      <c r="C170" s="51" t="s">
        <v>367</v>
      </c>
      <c r="D170" s="51">
        <v>9.5</v>
      </c>
      <c r="E170" s="51">
        <v>15.625</v>
      </c>
      <c r="F170" s="51" t="s">
        <v>376</v>
      </c>
      <c r="G170" s="51">
        <v>2</v>
      </c>
      <c r="H170" s="51">
        <v>13</v>
      </c>
      <c r="I170" s="51">
        <v>2.5844155844155843</v>
      </c>
      <c r="J170" s="51">
        <v>3</v>
      </c>
      <c r="K170" s="51">
        <v>2</v>
      </c>
      <c r="L170" s="51">
        <v>0</v>
      </c>
      <c r="M170" s="51">
        <v>15.584415584415584</v>
      </c>
      <c r="N170" s="56">
        <v>3</v>
      </c>
      <c r="O170" s="51" t="s">
        <v>425</v>
      </c>
      <c r="P170" s="51">
        <v>5</v>
      </c>
      <c r="Q170" s="77">
        <v>5</v>
      </c>
    </row>
    <row r="171" spans="1:17" x14ac:dyDescent="0.25">
      <c r="A171" s="52" t="s">
        <v>9</v>
      </c>
      <c r="B171" s="51" t="s">
        <v>55</v>
      </c>
      <c r="C171" s="51" t="s">
        <v>355</v>
      </c>
      <c r="D171" s="51">
        <v>8.5</v>
      </c>
      <c r="E171" s="51">
        <v>12.5</v>
      </c>
      <c r="F171" s="51" t="s">
        <v>376</v>
      </c>
      <c r="G171" s="51">
        <v>4</v>
      </c>
      <c r="H171" s="51">
        <v>11</v>
      </c>
      <c r="I171" s="51">
        <v>4.5844155844155843</v>
      </c>
      <c r="J171" s="51">
        <v>3</v>
      </c>
      <c r="K171" s="51">
        <v>2</v>
      </c>
      <c r="L171" s="51">
        <v>0</v>
      </c>
      <c r="M171" s="51">
        <v>15.584415584415584</v>
      </c>
      <c r="N171" s="56">
        <v>3</v>
      </c>
      <c r="O171" s="51" t="s">
        <v>425</v>
      </c>
      <c r="P171" s="51">
        <v>5</v>
      </c>
      <c r="Q171" s="77">
        <v>5</v>
      </c>
    </row>
    <row r="172" spans="1:17" x14ac:dyDescent="0.25">
      <c r="A172" s="52" t="s">
        <v>22</v>
      </c>
      <c r="B172" s="51" t="s">
        <v>21</v>
      </c>
      <c r="C172" s="51" t="s">
        <v>355</v>
      </c>
      <c r="D172" s="51">
        <v>9.5</v>
      </c>
      <c r="E172" s="51">
        <v>15.625</v>
      </c>
      <c r="F172" s="51" t="s">
        <v>382</v>
      </c>
      <c r="G172" s="51">
        <v>2</v>
      </c>
      <c r="H172" s="51">
        <v>15</v>
      </c>
      <c r="I172" s="51">
        <v>0.58441558441558428</v>
      </c>
      <c r="J172" s="51">
        <v>3</v>
      </c>
      <c r="K172" s="51">
        <v>2</v>
      </c>
      <c r="L172" s="51">
        <v>0</v>
      </c>
      <c r="M172" s="51">
        <v>15.584415584415584</v>
      </c>
      <c r="N172" s="56">
        <v>3</v>
      </c>
      <c r="O172" s="51" t="s">
        <v>425</v>
      </c>
      <c r="P172" s="51">
        <v>5</v>
      </c>
      <c r="Q172" s="77">
        <v>5</v>
      </c>
    </row>
    <row r="173" spans="1:17" x14ac:dyDescent="0.25">
      <c r="A173" s="52" t="s">
        <v>59</v>
      </c>
      <c r="B173" s="51" t="s">
        <v>75</v>
      </c>
      <c r="C173" s="51" t="s">
        <v>357</v>
      </c>
      <c r="D173" s="51">
        <v>8.5</v>
      </c>
      <c r="E173" s="51">
        <v>12.5</v>
      </c>
      <c r="F173" s="51" t="s">
        <v>376</v>
      </c>
      <c r="G173" s="51">
        <v>1</v>
      </c>
      <c r="H173" s="51">
        <v>14</v>
      </c>
      <c r="I173" s="51">
        <v>1.5844155844155843</v>
      </c>
      <c r="J173" s="51">
        <v>3</v>
      </c>
      <c r="K173" s="51">
        <v>2</v>
      </c>
      <c r="L173" s="51">
        <v>0</v>
      </c>
      <c r="M173" s="51">
        <v>15.584415584415584</v>
      </c>
      <c r="N173" s="56">
        <v>3</v>
      </c>
      <c r="O173" s="51" t="s">
        <v>425</v>
      </c>
      <c r="P173" s="51">
        <v>5</v>
      </c>
      <c r="Q173" s="77">
        <v>5</v>
      </c>
    </row>
    <row r="174" spans="1:17" x14ac:dyDescent="0.25">
      <c r="A174" s="52" t="s">
        <v>5</v>
      </c>
      <c r="B174" s="51" t="s">
        <v>41</v>
      </c>
      <c r="C174" s="51" t="s">
        <v>363</v>
      </c>
      <c r="D174" s="51">
        <v>9.5</v>
      </c>
      <c r="E174" s="51">
        <v>15.625</v>
      </c>
      <c r="F174" s="51" t="s">
        <v>377</v>
      </c>
      <c r="G174" s="51">
        <v>2</v>
      </c>
      <c r="H174" s="51">
        <v>19</v>
      </c>
      <c r="I174" s="51">
        <v>-3.4155844155844157</v>
      </c>
      <c r="J174" s="51">
        <v>3</v>
      </c>
      <c r="K174" s="51">
        <v>2</v>
      </c>
      <c r="L174" s="51">
        <v>0</v>
      </c>
      <c r="M174" s="51">
        <v>15.584415584415584</v>
      </c>
      <c r="N174" s="56">
        <v>3</v>
      </c>
      <c r="O174" s="51" t="s">
        <v>425</v>
      </c>
      <c r="P174" s="51">
        <v>5</v>
      </c>
      <c r="Q174" s="77">
        <v>5</v>
      </c>
    </row>
    <row r="175" spans="1:17" x14ac:dyDescent="0.25">
      <c r="A175" s="52" t="s">
        <v>46</v>
      </c>
      <c r="B175" s="51" t="s">
        <v>404</v>
      </c>
      <c r="C175" s="51" t="s">
        <v>359</v>
      </c>
      <c r="D175" s="51">
        <v>8.5</v>
      </c>
      <c r="E175" s="51">
        <v>12.5</v>
      </c>
      <c r="F175" s="51" t="s">
        <v>381</v>
      </c>
      <c r="G175" s="51">
        <v>3</v>
      </c>
      <c r="H175" s="51">
        <v>10</v>
      </c>
      <c r="I175" s="51">
        <v>5.5844155844155843</v>
      </c>
      <c r="J175" s="51">
        <v>3</v>
      </c>
      <c r="K175" s="51">
        <v>2</v>
      </c>
      <c r="L175" s="51">
        <v>0</v>
      </c>
      <c r="M175" s="51">
        <v>15.584415584415584</v>
      </c>
      <c r="N175" s="56">
        <v>3</v>
      </c>
      <c r="O175" s="51" t="s">
        <v>425</v>
      </c>
      <c r="P175" s="51">
        <v>5</v>
      </c>
      <c r="Q175" s="77">
        <v>5</v>
      </c>
    </row>
    <row r="176" spans="1:17" x14ac:dyDescent="0.25">
      <c r="A176" s="52" t="s">
        <v>64</v>
      </c>
      <c r="B176" s="51" t="s">
        <v>63</v>
      </c>
      <c r="C176" s="51" t="s">
        <v>367</v>
      </c>
      <c r="D176" s="51">
        <v>9.5</v>
      </c>
      <c r="E176" s="51">
        <v>15.625</v>
      </c>
      <c r="F176" s="51" t="s">
        <v>381</v>
      </c>
      <c r="G176" s="51">
        <v>1</v>
      </c>
      <c r="H176" s="51">
        <v>17</v>
      </c>
      <c r="I176" s="51">
        <v>-1.4155844155844157</v>
      </c>
      <c r="J176" s="51">
        <v>3</v>
      </c>
      <c r="K176" s="51">
        <v>2</v>
      </c>
      <c r="L176" s="51">
        <v>0</v>
      </c>
      <c r="M176" s="51">
        <v>15.584415584415584</v>
      </c>
      <c r="N176" s="56">
        <v>3</v>
      </c>
      <c r="O176" s="51" t="s">
        <v>425</v>
      </c>
      <c r="P176" s="51">
        <v>5</v>
      </c>
      <c r="Q176" s="77">
        <v>5</v>
      </c>
    </row>
    <row r="177" spans="1:17" x14ac:dyDescent="0.25">
      <c r="A177" s="52" t="s">
        <v>35</v>
      </c>
      <c r="B177" s="51" t="s">
        <v>400</v>
      </c>
      <c r="C177" s="51" t="s">
        <v>357</v>
      </c>
      <c r="D177" s="51">
        <v>10.5</v>
      </c>
      <c r="E177" s="51">
        <v>18.75</v>
      </c>
      <c r="F177" s="51" t="s">
        <v>382</v>
      </c>
      <c r="G177" s="51">
        <v>1</v>
      </c>
      <c r="H177" s="51">
        <v>17</v>
      </c>
      <c r="I177" s="51">
        <v>-6.6103896103896105</v>
      </c>
      <c r="J177" s="51">
        <v>2</v>
      </c>
      <c r="K177" s="51">
        <v>1</v>
      </c>
      <c r="L177" s="51">
        <v>1</v>
      </c>
      <c r="M177" s="51">
        <v>10.38961038961039</v>
      </c>
      <c r="N177" s="56">
        <v>2</v>
      </c>
      <c r="O177" s="51" t="s">
        <v>421</v>
      </c>
      <c r="P177" s="51">
        <v>4</v>
      </c>
      <c r="Q177" s="77">
        <v>5</v>
      </c>
    </row>
    <row r="178" spans="1:17" x14ac:dyDescent="0.25">
      <c r="A178" s="52" t="s">
        <v>70</v>
      </c>
      <c r="B178" s="51" t="s">
        <v>69</v>
      </c>
      <c r="C178" s="51" t="s">
        <v>383</v>
      </c>
      <c r="D178" s="51">
        <v>7.5</v>
      </c>
      <c r="E178" s="51">
        <v>9.375</v>
      </c>
      <c r="F178" s="51" t="s">
        <v>376</v>
      </c>
      <c r="G178" s="51">
        <v>3</v>
      </c>
      <c r="H178" s="51">
        <v>12</v>
      </c>
      <c r="I178" s="51">
        <v>-1.6103896103896105</v>
      </c>
      <c r="J178" s="51">
        <v>2</v>
      </c>
      <c r="K178" s="51">
        <v>2</v>
      </c>
      <c r="L178" s="51">
        <v>0</v>
      </c>
      <c r="M178" s="51">
        <v>10.38961038961039</v>
      </c>
      <c r="N178" s="56">
        <v>2</v>
      </c>
      <c r="O178" s="51" t="s">
        <v>421</v>
      </c>
      <c r="P178" s="51">
        <v>4</v>
      </c>
      <c r="Q178" s="77">
        <v>5</v>
      </c>
    </row>
    <row r="179" spans="1:17" x14ac:dyDescent="0.25">
      <c r="A179" s="52" t="s">
        <v>66</v>
      </c>
      <c r="B179" s="51" t="s">
        <v>72</v>
      </c>
      <c r="C179" s="51" t="s">
        <v>357</v>
      </c>
      <c r="D179" s="51">
        <v>8.5</v>
      </c>
      <c r="E179" s="51">
        <v>12.5</v>
      </c>
      <c r="F179" s="51" t="s">
        <v>379</v>
      </c>
      <c r="G179" s="51">
        <v>3</v>
      </c>
      <c r="H179" s="51">
        <v>4</v>
      </c>
      <c r="I179" s="51">
        <v>6.3896103896103895</v>
      </c>
      <c r="J179" s="51">
        <v>2</v>
      </c>
      <c r="K179" s="51">
        <v>2</v>
      </c>
      <c r="L179" s="51">
        <v>0</v>
      </c>
      <c r="M179" s="51">
        <v>10.38961038961039</v>
      </c>
      <c r="N179" s="56">
        <v>2</v>
      </c>
      <c r="O179" s="51" t="s">
        <v>421</v>
      </c>
      <c r="P179" s="51">
        <v>4</v>
      </c>
      <c r="Q179" s="77">
        <v>5</v>
      </c>
    </row>
    <row r="180" spans="1:17" x14ac:dyDescent="0.25">
      <c r="A180" s="52" t="s">
        <v>15</v>
      </c>
      <c r="B180" s="51" t="s">
        <v>14</v>
      </c>
      <c r="C180" s="51" t="s">
        <v>363</v>
      </c>
      <c r="D180" s="51">
        <v>7.5</v>
      </c>
      <c r="E180" s="51">
        <v>9.375</v>
      </c>
      <c r="F180" s="51" t="s">
        <v>382</v>
      </c>
      <c r="G180" s="51">
        <v>4</v>
      </c>
      <c r="H180" s="51">
        <v>8</v>
      </c>
      <c r="I180" s="51">
        <v>2.3896103896103895</v>
      </c>
      <c r="J180" s="51">
        <v>2</v>
      </c>
      <c r="K180" s="51">
        <v>2</v>
      </c>
      <c r="L180" s="51">
        <v>1</v>
      </c>
      <c r="M180" s="51">
        <v>10.38961038961039</v>
      </c>
      <c r="N180" s="56">
        <v>2</v>
      </c>
      <c r="O180" s="51" t="s">
        <v>425</v>
      </c>
      <c r="P180" s="51">
        <v>5</v>
      </c>
      <c r="Q180" s="77">
        <v>5</v>
      </c>
    </row>
    <row r="181" spans="1:17" x14ac:dyDescent="0.25">
      <c r="A181" s="52" t="s">
        <v>54</v>
      </c>
      <c r="B181" s="51" t="s">
        <v>77</v>
      </c>
      <c r="C181" s="51" t="s">
        <v>352</v>
      </c>
      <c r="D181" s="51">
        <v>9.5</v>
      </c>
      <c r="E181" s="51">
        <v>15.625</v>
      </c>
      <c r="F181" s="51" t="s">
        <v>380</v>
      </c>
      <c r="G181" s="51">
        <v>3</v>
      </c>
      <c r="H181" s="51">
        <v>14</v>
      </c>
      <c r="I181" s="51">
        <v>-3.6103896103896105</v>
      </c>
      <c r="J181" s="51">
        <v>2</v>
      </c>
      <c r="K181" s="51">
        <v>3</v>
      </c>
      <c r="L181" s="51">
        <v>0</v>
      </c>
      <c r="M181" s="51">
        <v>10.38961038961039</v>
      </c>
      <c r="N181" s="56">
        <v>2</v>
      </c>
      <c r="O181" s="51" t="s">
        <v>425</v>
      </c>
      <c r="P181" s="51">
        <v>5</v>
      </c>
      <c r="Q181" s="77">
        <v>5</v>
      </c>
    </row>
    <row r="182" spans="1:17" x14ac:dyDescent="0.25">
      <c r="A182" s="52" t="s">
        <v>28</v>
      </c>
      <c r="B182" s="51" t="s">
        <v>93</v>
      </c>
      <c r="C182" s="51" t="s">
        <v>355</v>
      </c>
      <c r="D182" s="51">
        <v>8.5</v>
      </c>
      <c r="E182" s="51">
        <v>12.5</v>
      </c>
      <c r="F182" s="51" t="s">
        <v>379</v>
      </c>
      <c r="G182" s="51">
        <v>2</v>
      </c>
      <c r="H182" s="51">
        <v>12</v>
      </c>
      <c r="I182" s="51">
        <v>-1.6103896103896105</v>
      </c>
      <c r="J182" s="51">
        <v>2</v>
      </c>
      <c r="K182" s="51">
        <v>3</v>
      </c>
      <c r="L182" s="51">
        <v>0</v>
      </c>
      <c r="M182" s="51">
        <v>10.38961038961039</v>
      </c>
      <c r="N182" s="56">
        <v>2</v>
      </c>
      <c r="O182" s="51" t="s">
        <v>425</v>
      </c>
      <c r="P182" s="51">
        <v>5</v>
      </c>
      <c r="Q182" s="77">
        <v>5</v>
      </c>
    </row>
    <row r="183" spans="1:17" x14ac:dyDescent="0.25">
      <c r="A183" s="52" t="s">
        <v>17</v>
      </c>
      <c r="B183" s="51" t="s">
        <v>399</v>
      </c>
      <c r="C183" s="51" t="s">
        <v>367</v>
      </c>
      <c r="D183" s="51">
        <v>11.5</v>
      </c>
      <c r="E183" s="51">
        <v>21.875</v>
      </c>
      <c r="F183" s="51" t="s">
        <v>377</v>
      </c>
      <c r="G183" s="51">
        <v>1</v>
      </c>
      <c r="H183" s="51">
        <v>24</v>
      </c>
      <c r="I183" s="51">
        <v>-13.61038961038961</v>
      </c>
      <c r="J183" s="51">
        <v>2</v>
      </c>
      <c r="K183" s="51">
        <v>3</v>
      </c>
      <c r="L183" s="51">
        <v>0</v>
      </c>
      <c r="M183" s="51">
        <v>10.38961038961039</v>
      </c>
      <c r="N183" s="56">
        <v>2</v>
      </c>
      <c r="O183" s="51" t="s">
        <v>425</v>
      </c>
      <c r="P183" s="51">
        <v>5</v>
      </c>
      <c r="Q183" s="77">
        <v>5</v>
      </c>
    </row>
    <row r="184" spans="1:17" x14ac:dyDescent="0.25">
      <c r="A184" s="52" t="s">
        <v>13</v>
      </c>
      <c r="B184" s="51" t="s">
        <v>67</v>
      </c>
      <c r="C184" s="51" t="s">
        <v>383</v>
      </c>
      <c r="D184" s="51">
        <v>6.5</v>
      </c>
      <c r="E184" s="51">
        <v>6.25</v>
      </c>
      <c r="F184" s="51" t="s">
        <v>384</v>
      </c>
      <c r="G184" s="51">
        <v>3</v>
      </c>
      <c r="H184" s="51">
        <v>3</v>
      </c>
      <c r="I184" s="51">
        <v>7.3896103896103895</v>
      </c>
      <c r="J184" s="51">
        <v>2</v>
      </c>
      <c r="K184" s="51">
        <v>3</v>
      </c>
      <c r="L184" s="51">
        <v>0</v>
      </c>
      <c r="M184" s="51">
        <v>10.38961038961039</v>
      </c>
      <c r="N184" s="56">
        <v>2</v>
      </c>
      <c r="O184" s="51" t="s">
        <v>425</v>
      </c>
      <c r="P184" s="51">
        <v>5</v>
      </c>
      <c r="Q184" s="77">
        <v>5</v>
      </c>
    </row>
    <row r="185" spans="1:17" x14ac:dyDescent="0.25">
      <c r="A185" s="52" t="s">
        <v>32</v>
      </c>
      <c r="B185" s="51" t="s">
        <v>31</v>
      </c>
      <c r="C185" s="51" t="s">
        <v>368</v>
      </c>
      <c r="D185" s="51">
        <v>9.5</v>
      </c>
      <c r="E185" s="51">
        <v>15.625</v>
      </c>
      <c r="F185" s="51" t="s">
        <v>380</v>
      </c>
      <c r="G185" s="51">
        <v>2</v>
      </c>
      <c r="H185" s="51">
        <v>17</v>
      </c>
      <c r="I185" s="51">
        <v>-6.6103896103896105</v>
      </c>
      <c r="J185" s="51">
        <v>2</v>
      </c>
      <c r="K185" s="51">
        <v>3</v>
      </c>
      <c r="L185" s="51">
        <v>0</v>
      </c>
      <c r="M185" s="51">
        <v>10.38961038961039</v>
      </c>
      <c r="N185" s="56">
        <v>2</v>
      </c>
      <c r="O185" s="51" t="s">
        <v>425</v>
      </c>
      <c r="P185" s="51">
        <v>5</v>
      </c>
      <c r="Q185" s="77">
        <v>5</v>
      </c>
    </row>
    <row r="186" spans="1:17" x14ac:dyDescent="0.25">
      <c r="A186" s="52" t="s">
        <v>81</v>
      </c>
      <c r="B186" s="51" t="s">
        <v>423</v>
      </c>
      <c r="C186" s="51" t="s">
        <v>367</v>
      </c>
      <c r="D186" s="51">
        <v>6.5</v>
      </c>
      <c r="E186" s="51">
        <v>6.25</v>
      </c>
      <c r="F186" s="51" t="s">
        <v>384</v>
      </c>
      <c r="G186" s="51">
        <v>4</v>
      </c>
      <c r="H186" s="51">
        <v>9</v>
      </c>
      <c r="I186" s="51">
        <v>-3.8051948051948052</v>
      </c>
      <c r="J186" s="51">
        <v>1</v>
      </c>
      <c r="K186" s="51">
        <v>4</v>
      </c>
      <c r="L186" s="51">
        <v>0</v>
      </c>
      <c r="M186" s="51">
        <v>5.1948051948051948</v>
      </c>
      <c r="N186" s="56">
        <v>1</v>
      </c>
      <c r="O186" s="51" t="s">
        <v>425</v>
      </c>
      <c r="P186" s="51">
        <v>5</v>
      </c>
      <c r="Q186" s="77">
        <v>5</v>
      </c>
    </row>
    <row r="187" spans="1:17" x14ac:dyDescent="0.25">
      <c r="A187" s="52" t="s">
        <v>48</v>
      </c>
      <c r="B187" s="51" t="s">
        <v>47</v>
      </c>
      <c r="C187" s="51" t="s">
        <v>352</v>
      </c>
      <c r="D187" s="51">
        <v>11.5</v>
      </c>
      <c r="E187" s="51">
        <v>21.875</v>
      </c>
      <c r="F187" s="51" t="s">
        <v>379</v>
      </c>
      <c r="G187" s="51">
        <v>1</v>
      </c>
      <c r="H187" s="51">
        <v>25</v>
      </c>
      <c r="I187" s="51">
        <v>-19.805194805194805</v>
      </c>
      <c r="J187" s="51">
        <v>1</v>
      </c>
      <c r="K187" s="51">
        <v>4</v>
      </c>
      <c r="L187" s="51">
        <v>0</v>
      </c>
      <c r="M187" s="51">
        <v>5.1948051948051948</v>
      </c>
      <c r="N187" s="56">
        <v>1</v>
      </c>
      <c r="O187" s="51" t="s">
        <v>425</v>
      </c>
      <c r="P187" s="51">
        <v>5</v>
      </c>
      <c r="Q187" s="77">
        <v>5</v>
      </c>
    </row>
    <row r="188" spans="1:17" x14ac:dyDescent="0.25">
      <c r="A188" s="52" t="s">
        <v>84</v>
      </c>
      <c r="B188" s="51" t="s">
        <v>91</v>
      </c>
      <c r="C188" s="51" t="s">
        <v>352</v>
      </c>
      <c r="D188" s="51">
        <v>4.5</v>
      </c>
      <c r="E188" s="51">
        <v>0</v>
      </c>
      <c r="F188" s="51" t="s">
        <v>380</v>
      </c>
      <c r="G188" s="51">
        <v>4</v>
      </c>
      <c r="H188" s="51">
        <v>1</v>
      </c>
      <c r="I188" s="51">
        <v>4.1948051948051948</v>
      </c>
      <c r="J188" s="51">
        <v>1</v>
      </c>
      <c r="K188" s="51">
        <v>4</v>
      </c>
      <c r="L188" s="51">
        <v>0</v>
      </c>
      <c r="M188" s="51">
        <v>5.1948051948051948</v>
      </c>
      <c r="N188" s="56">
        <v>1</v>
      </c>
      <c r="O188" s="51" t="s">
        <v>425</v>
      </c>
      <c r="P188" s="51">
        <v>5</v>
      </c>
      <c r="Q188" s="77">
        <v>5</v>
      </c>
    </row>
    <row r="189" spans="1:17" x14ac:dyDescent="0.25">
      <c r="A189" s="52" t="s">
        <v>50</v>
      </c>
      <c r="B189" s="51" t="s">
        <v>95</v>
      </c>
      <c r="C189" s="51" t="s">
        <v>363</v>
      </c>
      <c r="D189" s="51">
        <v>5.5</v>
      </c>
      <c r="E189" s="51">
        <v>3.125</v>
      </c>
      <c r="F189" s="51" t="s">
        <v>377</v>
      </c>
      <c r="G189" s="51">
        <v>3</v>
      </c>
      <c r="H189" s="51">
        <v>4</v>
      </c>
      <c r="I189" s="51">
        <v>1.1948051948051948</v>
      </c>
      <c r="J189" s="51">
        <v>1</v>
      </c>
      <c r="K189" s="51">
        <v>4</v>
      </c>
      <c r="L189" s="51">
        <v>0</v>
      </c>
      <c r="M189" s="51">
        <v>5.1948051948051948</v>
      </c>
      <c r="N189" s="56">
        <v>1</v>
      </c>
      <c r="O189" s="51" t="s">
        <v>425</v>
      </c>
      <c r="P189" s="51">
        <v>5</v>
      </c>
      <c r="Q189" s="77">
        <v>5</v>
      </c>
    </row>
    <row r="190" spans="1:17" x14ac:dyDescent="0.25">
      <c r="A190" s="52" t="s">
        <v>3</v>
      </c>
      <c r="B190" s="51" t="s">
        <v>2</v>
      </c>
      <c r="C190" s="51" t="s">
        <v>359</v>
      </c>
      <c r="D190" s="51">
        <v>7.5</v>
      </c>
      <c r="E190" s="51">
        <v>9.375</v>
      </c>
      <c r="F190" s="51" t="s">
        <v>381</v>
      </c>
      <c r="G190" s="51">
        <v>4</v>
      </c>
      <c r="H190" s="51">
        <v>8</v>
      </c>
      <c r="I190" s="51">
        <v>-2.8051948051948052</v>
      </c>
      <c r="J190" s="51">
        <v>1</v>
      </c>
      <c r="K190" s="51">
        <v>4</v>
      </c>
      <c r="L190" s="51">
        <v>0</v>
      </c>
      <c r="M190" s="51">
        <v>5.1948051948051948</v>
      </c>
      <c r="N190" s="56">
        <v>1</v>
      </c>
      <c r="O190" s="51" t="s">
        <v>425</v>
      </c>
      <c r="P190" s="51">
        <v>5</v>
      </c>
      <c r="Q190" s="77">
        <v>5</v>
      </c>
    </row>
    <row r="191" spans="1:17" x14ac:dyDescent="0.25">
      <c r="A191" s="52" t="s">
        <v>52</v>
      </c>
      <c r="B191" s="51" t="s">
        <v>403</v>
      </c>
      <c r="C191" s="51" t="s">
        <v>383</v>
      </c>
      <c r="D191" s="51">
        <v>5.5</v>
      </c>
      <c r="E191" s="51">
        <v>3.125</v>
      </c>
      <c r="F191" s="51" t="s">
        <v>377</v>
      </c>
      <c r="G191" s="51">
        <v>4</v>
      </c>
      <c r="H191" s="51">
        <v>3</v>
      </c>
      <c r="I191" s="51">
        <v>2.1948051948051948</v>
      </c>
      <c r="J191" s="51">
        <v>1</v>
      </c>
      <c r="K191" s="51">
        <v>4</v>
      </c>
      <c r="L191" s="51">
        <v>0</v>
      </c>
      <c r="M191" s="51">
        <v>5.1948051948051948</v>
      </c>
      <c r="N191" s="56">
        <v>1</v>
      </c>
      <c r="O191" s="51" t="s">
        <v>425</v>
      </c>
      <c r="P191" s="51">
        <v>5</v>
      </c>
      <c r="Q191" s="77">
        <v>5</v>
      </c>
    </row>
    <row r="192" spans="1:17" x14ac:dyDescent="0.25">
      <c r="A192" s="52" t="s">
        <v>20</v>
      </c>
      <c r="B192" s="51" t="s">
        <v>89</v>
      </c>
      <c r="C192" s="51" t="s">
        <v>368</v>
      </c>
      <c r="D192" s="51">
        <v>5.5</v>
      </c>
      <c r="E192" s="51">
        <v>3.125</v>
      </c>
      <c r="F192" s="51" t="s">
        <v>378</v>
      </c>
      <c r="G192" s="51">
        <v>4</v>
      </c>
      <c r="H192" s="51">
        <v>7</v>
      </c>
      <c r="I192" s="51">
        <v>-1.8051948051948052</v>
      </c>
      <c r="J192" s="51">
        <v>1</v>
      </c>
      <c r="K192" s="51">
        <v>4</v>
      </c>
      <c r="L192" s="51">
        <v>0</v>
      </c>
      <c r="M192" s="51">
        <v>5.1948051948051948</v>
      </c>
      <c r="N192" s="56">
        <v>1</v>
      </c>
      <c r="O192" s="51" t="s">
        <v>425</v>
      </c>
      <c r="P192" s="51">
        <v>5</v>
      </c>
      <c r="Q192" s="77">
        <v>5</v>
      </c>
    </row>
    <row r="193" spans="1:17" ht="15.75" thickBot="1" x14ac:dyDescent="0.3">
      <c r="A193" s="53" t="s">
        <v>24</v>
      </c>
      <c r="B193" s="54" t="s">
        <v>79</v>
      </c>
      <c r="C193" s="54" t="s">
        <v>359</v>
      </c>
      <c r="D193" s="54">
        <v>5.5</v>
      </c>
      <c r="E193" s="54">
        <v>3.125</v>
      </c>
      <c r="F193" s="54" t="s">
        <v>379</v>
      </c>
      <c r="G193" s="54">
        <v>4</v>
      </c>
      <c r="H193" s="54">
        <v>9</v>
      </c>
      <c r="I193" s="54">
        <v>-9</v>
      </c>
      <c r="J193" s="54">
        <v>0</v>
      </c>
      <c r="K193" s="54">
        <v>5</v>
      </c>
      <c r="L193" s="54">
        <v>0</v>
      </c>
      <c r="M193" s="54">
        <v>0</v>
      </c>
      <c r="N193" s="57">
        <v>0</v>
      </c>
      <c r="O193" s="54" t="s">
        <v>425</v>
      </c>
      <c r="P193" s="54">
        <v>5</v>
      </c>
      <c r="Q193" s="78">
        <v>5</v>
      </c>
    </row>
    <row r="194" spans="1:17" x14ac:dyDescent="0.25">
      <c r="A194" s="79" t="s">
        <v>1</v>
      </c>
      <c r="B194" s="80" t="s">
        <v>402</v>
      </c>
      <c r="C194" s="80" t="s">
        <v>383</v>
      </c>
      <c r="D194" s="80">
        <v>9.5</v>
      </c>
      <c r="E194" s="80">
        <v>15.625</v>
      </c>
      <c r="F194" s="80" t="s">
        <v>381</v>
      </c>
      <c r="G194" s="80">
        <v>2</v>
      </c>
      <c r="H194" s="80">
        <v>15</v>
      </c>
      <c r="I194" s="80">
        <v>6.7391304347826093</v>
      </c>
      <c r="J194" s="80">
        <v>5</v>
      </c>
      <c r="K194" s="80">
        <v>1</v>
      </c>
      <c r="L194" s="80">
        <v>0</v>
      </c>
      <c r="M194" s="80">
        <v>21.739130434782609</v>
      </c>
      <c r="N194" s="81">
        <v>5</v>
      </c>
      <c r="O194" s="80" t="s">
        <v>425</v>
      </c>
      <c r="P194" s="80">
        <v>6</v>
      </c>
      <c r="Q194" s="82">
        <v>6</v>
      </c>
    </row>
    <row r="195" spans="1:17" x14ac:dyDescent="0.25">
      <c r="A195" s="52" t="s">
        <v>43</v>
      </c>
      <c r="B195" s="51" t="s">
        <v>57</v>
      </c>
      <c r="C195" s="51" t="s">
        <v>368</v>
      </c>
      <c r="D195" s="51">
        <v>7.5</v>
      </c>
      <c r="E195" s="51">
        <v>9.375</v>
      </c>
      <c r="F195" s="51" t="s">
        <v>378</v>
      </c>
      <c r="G195" s="51">
        <v>3</v>
      </c>
      <c r="H195" s="51">
        <v>1</v>
      </c>
      <c r="I195" s="51">
        <v>20.739130434782609</v>
      </c>
      <c r="J195" s="51">
        <v>5</v>
      </c>
      <c r="K195" s="51">
        <v>1</v>
      </c>
      <c r="L195" s="51">
        <v>0</v>
      </c>
      <c r="M195" s="51">
        <v>21.739130434782609</v>
      </c>
      <c r="N195" s="56">
        <v>5</v>
      </c>
      <c r="O195" s="51" t="s">
        <v>425</v>
      </c>
      <c r="P195" s="51">
        <v>6</v>
      </c>
      <c r="Q195" s="77">
        <v>6</v>
      </c>
    </row>
    <row r="196" spans="1:17" x14ac:dyDescent="0.25">
      <c r="A196" s="52" t="s">
        <v>26</v>
      </c>
      <c r="B196" s="51" t="s">
        <v>25</v>
      </c>
      <c r="C196" s="51" t="s">
        <v>359</v>
      </c>
      <c r="D196" s="51">
        <v>11.5</v>
      </c>
      <c r="E196" s="51">
        <v>21.875</v>
      </c>
      <c r="F196" s="51" t="s">
        <v>384</v>
      </c>
      <c r="G196" s="51">
        <v>1</v>
      </c>
      <c r="H196" s="51">
        <v>24</v>
      </c>
      <c r="I196" s="51">
        <v>-6.608695652173914</v>
      </c>
      <c r="J196" s="51">
        <v>4</v>
      </c>
      <c r="K196" s="51">
        <v>2</v>
      </c>
      <c r="L196" s="51">
        <v>0</v>
      </c>
      <c r="M196" s="51">
        <v>17.391304347826086</v>
      </c>
      <c r="N196" s="56">
        <v>4</v>
      </c>
      <c r="O196" s="51" t="s">
        <v>425</v>
      </c>
      <c r="P196" s="51">
        <v>6</v>
      </c>
      <c r="Q196" s="77">
        <v>6</v>
      </c>
    </row>
    <row r="197" spans="1:17" x14ac:dyDescent="0.25">
      <c r="A197" s="52" t="s">
        <v>39</v>
      </c>
      <c r="B197" s="51" t="s">
        <v>38</v>
      </c>
      <c r="C197" s="51" t="s">
        <v>363</v>
      </c>
      <c r="D197" s="51">
        <v>11.5</v>
      </c>
      <c r="E197" s="51">
        <v>21.875</v>
      </c>
      <c r="F197" s="51" t="s">
        <v>378</v>
      </c>
      <c r="G197" s="51">
        <v>1</v>
      </c>
      <c r="H197" s="51">
        <v>23</v>
      </c>
      <c r="I197" s="51">
        <v>-5.608695652173914</v>
      </c>
      <c r="J197" s="51">
        <v>4</v>
      </c>
      <c r="K197" s="51">
        <v>2</v>
      </c>
      <c r="L197" s="51">
        <v>0</v>
      </c>
      <c r="M197" s="51">
        <v>17.391304347826086</v>
      </c>
      <c r="N197" s="56">
        <v>4</v>
      </c>
      <c r="O197" s="51" t="s">
        <v>425</v>
      </c>
      <c r="P197" s="51">
        <v>6</v>
      </c>
      <c r="Q197" s="77">
        <v>6</v>
      </c>
    </row>
    <row r="198" spans="1:17" x14ac:dyDescent="0.25">
      <c r="A198" s="52" t="s">
        <v>11</v>
      </c>
      <c r="B198" s="51" t="s">
        <v>10</v>
      </c>
      <c r="C198" s="51" t="s">
        <v>357</v>
      </c>
      <c r="D198" s="51">
        <v>10.5</v>
      </c>
      <c r="E198" s="51">
        <v>18.75</v>
      </c>
      <c r="F198" s="51" t="s">
        <v>378</v>
      </c>
      <c r="G198" s="51">
        <v>2</v>
      </c>
      <c r="H198" s="51">
        <v>19</v>
      </c>
      <c r="I198" s="51">
        <v>-1.608695652173914</v>
      </c>
      <c r="J198" s="51">
        <v>4</v>
      </c>
      <c r="K198" s="51">
        <v>2</v>
      </c>
      <c r="L198" s="51">
        <v>0</v>
      </c>
      <c r="M198" s="51">
        <v>17.391304347826086</v>
      </c>
      <c r="N198" s="56">
        <v>4</v>
      </c>
      <c r="O198" s="51" t="s">
        <v>425</v>
      </c>
      <c r="P198" s="51">
        <v>6</v>
      </c>
      <c r="Q198" s="77">
        <v>6</v>
      </c>
    </row>
    <row r="199" spans="1:17" x14ac:dyDescent="0.25">
      <c r="A199" s="52" t="s">
        <v>37</v>
      </c>
      <c r="B199" s="51" t="s">
        <v>44</v>
      </c>
      <c r="C199" s="51" t="s">
        <v>368</v>
      </c>
      <c r="D199" s="51">
        <v>7.5</v>
      </c>
      <c r="E199" s="51">
        <v>9.375</v>
      </c>
      <c r="F199" s="51" t="s">
        <v>382</v>
      </c>
      <c r="G199" s="51">
        <v>3</v>
      </c>
      <c r="H199" s="51">
        <v>10</v>
      </c>
      <c r="I199" s="51">
        <v>7.391304347826086</v>
      </c>
      <c r="J199" s="51">
        <v>4</v>
      </c>
      <c r="K199" s="51">
        <v>2</v>
      </c>
      <c r="L199" s="51">
        <v>0</v>
      </c>
      <c r="M199" s="51">
        <v>17.391304347826086</v>
      </c>
      <c r="N199" s="56">
        <v>4</v>
      </c>
      <c r="O199" s="51" t="s">
        <v>425</v>
      </c>
      <c r="P199" s="51">
        <v>6</v>
      </c>
      <c r="Q199" s="77">
        <v>6</v>
      </c>
    </row>
    <row r="200" spans="1:17" x14ac:dyDescent="0.25">
      <c r="A200" s="52" t="s">
        <v>61</v>
      </c>
      <c r="B200" s="51" t="s">
        <v>60</v>
      </c>
      <c r="C200" s="51" t="s">
        <v>367</v>
      </c>
      <c r="D200" s="51">
        <v>9.5</v>
      </c>
      <c r="E200" s="51">
        <v>15.625</v>
      </c>
      <c r="F200" s="51" t="s">
        <v>376</v>
      </c>
      <c r="G200" s="51">
        <v>2</v>
      </c>
      <c r="H200" s="51">
        <v>13</v>
      </c>
      <c r="I200" s="51">
        <v>4.391304347826086</v>
      </c>
      <c r="J200" s="51">
        <v>4</v>
      </c>
      <c r="K200" s="51">
        <v>2</v>
      </c>
      <c r="L200" s="51">
        <v>0</v>
      </c>
      <c r="M200" s="51">
        <v>17.391304347826086</v>
      </c>
      <c r="N200" s="56">
        <v>4</v>
      </c>
      <c r="O200" s="51" t="s">
        <v>425</v>
      </c>
      <c r="P200" s="51">
        <v>6</v>
      </c>
      <c r="Q200" s="77">
        <v>6</v>
      </c>
    </row>
    <row r="201" spans="1:17" x14ac:dyDescent="0.25">
      <c r="A201" s="52" t="s">
        <v>9</v>
      </c>
      <c r="B201" s="51" t="s">
        <v>55</v>
      </c>
      <c r="C201" s="51" t="s">
        <v>355</v>
      </c>
      <c r="D201" s="51">
        <v>8.5</v>
      </c>
      <c r="E201" s="51">
        <v>12.5</v>
      </c>
      <c r="F201" s="51" t="s">
        <v>376</v>
      </c>
      <c r="G201" s="51">
        <v>4</v>
      </c>
      <c r="H201" s="51">
        <v>11</v>
      </c>
      <c r="I201" s="51">
        <v>6.391304347826086</v>
      </c>
      <c r="J201" s="51">
        <v>4</v>
      </c>
      <c r="K201" s="51">
        <v>2</v>
      </c>
      <c r="L201" s="51">
        <v>0</v>
      </c>
      <c r="M201" s="51">
        <v>17.391304347826086</v>
      </c>
      <c r="N201" s="56">
        <v>4</v>
      </c>
      <c r="O201" s="51" t="s">
        <v>425</v>
      </c>
      <c r="P201" s="51">
        <v>6</v>
      </c>
      <c r="Q201" s="77">
        <v>6</v>
      </c>
    </row>
    <row r="202" spans="1:17" x14ac:dyDescent="0.25">
      <c r="A202" s="52" t="s">
        <v>64</v>
      </c>
      <c r="B202" s="51" t="s">
        <v>63</v>
      </c>
      <c r="C202" s="51" t="s">
        <v>367</v>
      </c>
      <c r="D202" s="51">
        <v>9.5</v>
      </c>
      <c r="E202" s="51">
        <v>15.625</v>
      </c>
      <c r="F202" s="51" t="s">
        <v>381</v>
      </c>
      <c r="G202" s="51">
        <v>1</v>
      </c>
      <c r="H202" s="51">
        <v>17</v>
      </c>
      <c r="I202" s="51">
        <v>0.39130434782608603</v>
      </c>
      <c r="J202" s="51">
        <v>4</v>
      </c>
      <c r="K202" s="51">
        <v>2</v>
      </c>
      <c r="L202" s="51">
        <v>0</v>
      </c>
      <c r="M202" s="51">
        <v>17.391304347826086</v>
      </c>
      <c r="N202" s="56">
        <v>4</v>
      </c>
      <c r="O202" s="51" t="s">
        <v>425</v>
      </c>
      <c r="P202" s="51">
        <v>6</v>
      </c>
      <c r="Q202" s="77">
        <v>6</v>
      </c>
    </row>
    <row r="203" spans="1:17" x14ac:dyDescent="0.25">
      <c r="A203" s="52" t="s">
        <v>7</v>
      </c>
      <c r="B203" s="51" t="s">
        <v>405</v>
      </c>
      <c r="C203" s="51" t="s">
        <v>355</v>
      </c>
      <c r="D203" s="51">
        <v>10.5</v>
      </c>
      <c r="E203" s="51">
        <v>18.75</v>
      </c>
      <c r="F203" s="51" t="s">
        <v>380</v>
      </c>
      <c r="G203" s="51">
        <v>1</v>
      </c>
      <c r="H203" s="51">
        <v>18</v>
      </c>
      <c r="I203" s="51">
        <v>-0.60869565217391397</v>
      </c>
      <c r="J203" s="51">
        <v>4</v>
      </c>
      <c r="K203" s="51">
        <v>2</v>
      </c>
      <c r="L203" s="51">
        <v>0</v>
      </c>
      <c r="M203" s="51">
        <v>17.391304347826086</v>
      </c>
      <c r="N203" s="56">
        <v>4</v>
      </c>
      <c r="O203" s="51" t="s">
        <v>425</v>
      </c>
      <c r="P203" s="51">
        <v>6</v>
      </c>
      <c r="Q203" s="77">
        <v>6</v>
      </c>
    </row>
    <row r="204" spans="1:17" x14ac:dyDescent="0.25">
      <c r="A204" s="52" t="s">
        <v>22</v>
      </c>
      <c r="B204" s="51" t="s">
        <v>21</v>
      </c>
      <c r="C204" s="51" t="s">
        <v>355</v>
      </c>
      <c r="D204" s="51">
        <v>9.5</v>
      </c>
      <c r="E204" s="51">
        <v>15.625</v>
      </c>
      <c r="F204" s="51" t="s">
        <v>382</v>
      </c>
      <c r="G204" s="51">
        <v>2</v>
      </c>
      <c r="H204" s="51">
        <v>15</v>
      </c>
      <c r="I204" s="51">
        <v>2.391304347826086</v>
      </c>
      <c r="J204" s="51">
        <v>4</v>
      </c>
      <c r="K204" s="51">
        <v>2</v>
      </c>
      <c r="L204" s="51">
        <v>0</v>
      </c>
      <c r="M204" s="51">
        <v>17.391304347826086</v>
      </c>
      <c r="N204" s="56">
        <v>4</v>
      </c>
      <c r="O204" s="51" t="s">
        <v>425</v>
      </c>
      <c r="P204" s="51">
        <v>6</v>
      </c>
      <c r="Q204" s="77">
        <v>6</v>
      </c>
    </row>
    <row r="205" spans="1:17" x14ac:dyDescent="0.25">
      <c r="A205" s="52" t="s">
        <v>46</v>
      </c>
      <c r="B205" s="51" t="s">
        <v>404</v>
      </c>
      <c r="C205" s="51" t="s">
        <v>359</v>
      </c>
      <c r="D205" s="51">
        <v>8.5</v>
      </c>
      <c r="E205" s="51">
        <v>12.5</v>
      </c>
      <c r="F205" s="51" t="s">
        <v>381</v>
      </c>
      <c r="G205" s="51">
        <v>3</v>
      </c>
      <c r="H205" s="51">
        <v>10</v>
      </c>
      <c r="I205" s="51">
        <v>7.391304347826086</v>
      </c>
      <c r="J205" s="51">
        <v>4</v>
      </c>
      <c r="K205" s="51">
        <v>2</v>
      </c>
      <c r="L205" s="51">
        <v>0</v>
      </c>
      <c r="M205" s="51">
        <v>17.391304347826086</v>
      </c>
      <c r="N205" s="56">
        <v>4</v>
      </c>
      <c r="O205" s="51" t="s">
        <v>425</v>
      </c>
      <c r="P205" s="51">
        <v>6</v>
      </c>
      <c r="Q205" s="77">
        <v>6</v>
      </c>
    </row>
    <row r="206" spans="1:17" x14ac:dyDescent="0.25">
      <c r="A206" s="52" t="s">
        <v>74</v>
      </c>
      <c r="B206" s="51" t="s">
        <v>85</v>
      </c>
      <c r="C206" s="51" t="s">
        <v>352</v>
      </c>
      <c r="D206" s="51">
        <v>8.5</v>
      </c>
      <c r="E206" s="51">
        <v>12.5</v>
      </c>
      <c r="F206" s="51" t="s">
        <v>384</v>
      </c>
      <c r="G206" s="51">
        <v>2</v>
      </c>
      <c r="H206" s="51">
        <v>14</v>
      </c>
      <c r="I206" s="51">
        <v>3.391304347826086</v>
      </c>
      <c r="J206" s="51">
        <v>4</v>
      </c>
      <c r="K206" s="51">
        <v>1</v>
      </c>
      <c r="L206" s="51">
        <v>0</v>
      </c>
      <c r="M206" s="51">
        <v>17.391304347826086</v>
      </c>
      <c r="N206" s="56">
        <v>4</v>
      </c>
      <c r="O206" s="51" t="s">
        <v>421</v>
      </c>
      <c r="P206" s="51">
        <v>5</v>
      </c>
      <c r="Q206" s="77">
        <v>6</v>
      </c>
    </row>
    <row r="207" spans="1:17" x14ac:dyDescent="0.25">
      <c r="A207" s="52" t="s">
        <v>13</v>
      </c>
      <c r="B207" s="51" t="s">
        <v>67</v>
      </c>
      <c r="C207" s="51" t="s">
        <v>383</v>
      </c>
      <c r="D207" s="51">
        <v>6.5</v>
      </c>
      <c r="E207" s="51">
        <v>6.25</v>
      </c>
      <c r="F207" s="51" t="s">
        <v>384</v>
      </c>
      <c r="G207" s="51">
        <v>3</v>
      </c>
      <c r="H207" s="51">
        <v>3</v>
      </c>
      <c r="I207" s="51">
        <v>10.043478260869565</v>
      </c>
      <c r="J207" s="51">
        <v>3</v>
      </c>
      <c r="K207" s="51">
        <v>3</v>
      </c>
      <c r="L207" s="51">
        <v>0</v>
      </c>
      <c r="M207" s="51">
        <v>13.043478260869565</v>
      </c>
      <c r="N207" s="56">
        <v>3</v>
      </c>
      <c r="O207" s="51" t="s">
        <v>425</v>
      </c>
      <c r="P207" s="51">
        <v>6</v>
      </c>
      <c r="Q207" s="77">
        <v>6</v>
      </c>
    </row>
    <row r="208" spans="1:17" x14ac:dyDescent="0.25">
      <c r="A208" s="52" t="s">
        <v>17</v>
      </c>
      <c r="B208" s="51" t="s">
        <v>399</v>
      </c>
      <c r="C208" s="51" t="s">
        <v>367</v>
      </c>
      <c r="D208" s="51">
        <v>11.5</v>
      </c>
      <c r="E208" s="51">
        <v>21.875</v>
      </c>
      <c r="F208" s="51" t="s">
        <v>377</v>
      </c>
      <c r="G208" s="51">
        <v>1</v>
      </c>
      <c r="H208" s="51">
        <v>24</v>
      </c>
      <c r="I208" s="51">
        <v>-10.956521739130435</v>
      </c>
      <c r="J208" s="51">
        <v>3</v>
      </c>
      <c r="K208" s="51">
        <v>3</v>
      </c>
      <c r="L208" s="51">
        <v>0</v>
      </c>
      <c r="M208" s="51">
        <v>13.043478260869565</v>
      </c>
      <c r="N208" s="56">
        <v>3</v>
      </c>
      <c r="O208" s="51" t="s">
        <v>425</v>
      </c>
      <c r="P208" s="51">
        <v>6</v>
      </c>
      <c r="Q208" s="77">
        <v>6</v>
      </c>
    </row>
    <row r="209" spans="1:17" x14ac:dyDescent="0.25">
      <c r="A209" s="52" t="s">
        <v>5</v>
      </c>
      <c r="B209" s="51" t="s">
        <v>41</v>
      </c>
      <c r="C209" s="51" t="s">
        <v>363</v>
      </c>
      <c r="D209" s="51">
        <v>9.5</v>
      </c>
      <c r="E209" s="51">
        <v>15.625</v>
      </c>
      <c r="F209" s="51" t="s">
        <v>377</v>
      </c>
      <c r="G209" s="51">
        <v>2</v>
      </c>
      <c r="H209" s="51">
        <v>19</v>
      </c>
      <c r="I209" s="51">
        <v>-5.9565217391304355</v>
      </c>
      <c r="J209" s="51">
        <v>3</v>
      </c>
      <c r="K209" s="51">
        <v>3</v>
      </c>
      <c r="L209" s="51">
        <v>0</v>
      </c>
      <c r="M209" s="51">
        <v>13.043478260869565</v>
      </c>
      <c r="N209" s="56">
        <v>3</v>
      </c>
      <c r="O209" s="51" t="s">
        <v>425</v>
      </c>
      <c r="P209" s="51">
        <v>6</v>
      </c>
      <c r="Q209" s="77">
        <v>6</v>
      </c>
    </row>
    <row r="210" spans="1:17" x14ac:dyDescent="0.25">
      <c r="A210" s="52" t="s">
        <v>59</v>
      </c>
      <c r="B210" s="51" t="s">
        <v>75</v>
      </c>
      <c r="C210" s="51" t="s">
        <v>357</v>
      </c>
      <c r="D210" s="51">
        <v>8.5</v>
      </c>
      <c r="E210" s="51">
        <v>12.5</v>
      </c>
      <c r="F210" s="51" t="s">
        <v>376</v>
      </c>
      <c r="G210" s="51">
        <v>1</v>
      </c>
      <c r="H210" s="51">
        <v>14</v>
      </c>
      <c r="I210" s="51">
        <v>-0.95652173913043548</v>
      </c>
      <c r="J210" s="51">
        <v>3</v>
      </c>
      <c r="K210" s="51">
        <v>2</v>
      </c>
      <c r="L210" s="51">
        <v>0</v>
      </c>
      <c r="M210" s="51">
        <v>13.043478260869565</v>
      </c>
      <c r="N210" s="56">
        <v>3</v>
      </c>
      <c r="O210" s="51" t="s">
        <v>421</v>
      </c>
      <c r="P210" s="51">
        <v>5</v>
      </c>
      <c r="Q210" s="77">
        <v>6</v>
      </c>
    </row>
    <row r="211" spans="1:17" x14ac:dyDescent="0.25">
      <c r="A211" s="52" t="s">
        <v>66</v>
      </c>
      <c r="B211" s="51" t="s">
        <v>72</v>
      </c>
      <c r="C211" s="51" t="s">
        <v>357</v>
      </c>
      <c r="D211" s="51">
        <v>8.5</v>
      </c>
      <c r="E211" s="51">
        <v>12.5</v>
      </c>
      <c r="F211" s="51" t="s">
        <v>379</v>
      </c>
      <c r="G211" s="51">
        <v>3</v>
      </c>
      <c r="H211" s="51">
        <v>4</v>
      </c>
      <c r="I211" s="51">
        <v>9.0434782608695645</v>
      </c>
      <c r="J211" s="51">
        <v>3</v>
      </c>
      <c r="K211" s="51">
        <v>2</v>
      </c>
      <c r="L211" s="51">
        <v>0</v>
      </c>
      <c r="M211" s="51">
        <v>13.043478260869565</v>
      </c>
      <c r="N211" s="56">
        <v>3</v>
      </c>
      <c r="O211" s="51" t="s">
        <v>421</v>
      </c>
      <c r="P211" s="51">
        <v>5</v>
      </c>
      <c r="Q211" s="77">
        <v>6</v>
      </c>
    </row>
    <row r="212" spans="1:17" x14ac:dyDescent="0.25">
      <c r="A212" s="52" t="s">
        <v>35</v>
      </c>
      <c r="B212" s="51" t="s">
        <v>400</v>
      </c>
      <c r="C212" s="51" t="s">
        <v>357</v>
      </c>
      <c r="D212" s="51">
        <v>10.5</v>
      </c>
      <c r="E212" s="51">
        <v>18.75</v>
      </c>
      <c r="F212" s="51" t="s">
        <v>382</v>
      </c>
      <c r="G212" s="51">
        <v>1</v>
      </c>
      <c r="H212" s="51">
        <v>17</v>
      </c>
      <c r="I212" s="51">
        <v>-3.9565217391304355</v>
      </c>
      <c r="J212" s="51">
        <v>3</v>
      </c>
      <c r="K212" s="51">
        <v>1</v>
      </c>
      <c r="L212" s="51">
        <v>1</v>
      </c>
      <c r="M212" s="51">
        <v>13.043478260869565</v>
      </c>
      <c r="N212" s="56">
        <v>3</v>
      </c>
      <c r="O212" s="51" t="s">
        <v>421</v>
      </c>
      <c r="P212" s="51">
        <v>5</v>
      </c>
      <c r="Q212" s="77">
        <v>6</v>
      </c>
    </row>
    <row r="213" spans="1:17" x14ac:dyDescent="0.25">
      <c r="A213" s="52" t="s">
        <v>70</v>
      </c>
      <c r="B213" s="51" t="s">
        <v>69</v>
      </c>
      <c r="C213" s="51" t="s">
        <v>383</v>
      </c>
      <c r="D213" s="51">
        <v>7.5</v>
      </c>
      <c r="E213" s="51">
        <v>9.375</v>
      </c>
      <c r="F213" s="51" t="s">
        <v>376</v>
      </c>
      <c r="G213" s="51">
        <v>3</v>
      </c>
      <c r="H213" s="51">
        <v>12</v>
      </c>
      <c r="I213" s="51">
        <v>1.0434782608695645</v>
      </c>
      <c r="J213" s="51">
        <v>3</v>
      </c>
      <c r="K213" s="51">
        <v>2</v>
      </c>
      <c r="L213" s="51">
        <v>0</v>
      </c>
      <c r="M213" s="51">
        <v>13.043478260869565</v>
      </c>
      <c r="N213" s="56">
        <v>3</v>
      </c>
      <c r="O213" s="51" t="s">
        <v>421</v>
      </c>
      <c r="P213" s="51">
        <v>5</v>
      </c>
      <c r="Q213" s="77">
        <v>6</v>
      </c>
    </row>
    <row r="214" spans="1:17" x14ac:dyDescent="0.25">
      <c r="A214" s="52" t="s">
        <v>50</v>
      </c>
      <c r="B214" s="51" t="s">
        <v>95</v>
      </c>
      <c r="C214" s="51" t="s">
        <v>363</v>
      </c>
      <c r="D214" s="51">
        <v>5.5</v>
      </c>
      <c r="E214" s="51">
        <v>3.125</v>
      </c>
      <c r="F214" s="51" t="s">
        <v>377</v>
      </c>
      <c r="G214" s="51">
        <v>3</v>
      </c>
      <c r="H214" s="51">
        <v>4</v>
      </c>
      <c r="I214" s="51">
        <v>4.695652173913043</v>
      </c>
      <c r="J214" s="51">
        <v>2</v>
      </c>
      <c r="K214" s="51">
        <v>4</v>
      </c>
      <c r="L214" s="51">
        <v>0</v>
      </c>
      <c r="M214" s="51">
        <v>8.695652173913043</v>
      </c>
      <c r="N214" s="56">
        <v>2</v>
      </c>
      <c r="O214" s="51" t="s">
        <v>425</v>
      </c>
      <c r="P214" s="51">
        <v>6</v>
      </c>
      <c r="Q214" s="77">
        <v>6</v>
      </c>
    </row>
    <row r="215" spans="1:17" x14ac:dyDescent="0.25">
      <c r="A215" s="52" t="s">
        <v>15</v>
      </c>
      <c r="B215" s="51" t="s">
        <v>14</v>
      </c>
      <c r="C215" s="51" t="s">
        <v>363</v>
      </c>
      <c r="D215" s="51">
        <v>7.5</v>
      </c>
      <c r="E215" s="51">
        <v>9.375</v>
      </c>
      <c r="F215" s="51" t="s">
        <v>382</v>
      </c>
      <c r="G215" s="51">
        <v>4</v>
      </c>
      <c r="H215" s="51">
        <v>8</v>
      </c>
      <c r="I215" s="51">
        <v>0.69565217391304301</v>
      </c>
      <c r="J215" s="51">
        <v>2</v>
      </c>
      <c r="K215" s="51">
        <v>3</v>
      </c>
      <c r="L215" s="51">
        <v>1</v>
      </c>
      <c r="M215" s="51">
        <v>8.695652173913043</v>
      </c>
      <c r="N215" s="56">
        <v>2</v>
      </c>
      <c r="O215" s="51" t="s">
        <v>425</v>
      </c>
      <c r="P215" s="51">
        <v>6</v>
      </c>
      <c r="Q215" s="77">
        <v>6</v>
      </c>
    </row>
    <row r="216" spans="1:17" x14ac:dyDescent="0.25">
      <c r="A216" s="52" t="s">
        <v>54</v>
      </c>
      <c r="B216" s="51" t="s">
        <v>77</v>
      </c>
      <c r="C216" s="51" t="s">
        <v>352</v>
      </c>
      <c r="D216" s="51">
        <v>9.5</v>
      </c>
      <c r="E216" s="51">
        <v>15.625</v>
      </c>
      <c r="F216" s="51" t="s">
        <v>380</v>
      </c>
      <c r="G216" s="51">
        <v>3</v>
      </c>
      <c r="H216" s="51">
        <v>14</v>
      </c>
      <c r="I216" s="51">
        <v>-5.304347826086957</v>
      </c>
      <c r="J216" s="51">
        <v>2</v>
      </c>
      <c r="K216" s="51">
        <v>4</v>
      </c>
      <c r="L216" s="51">
        <v>0</v>
      </c>
      <c r="M216" s="51">
        <v>8.695652173913043</v>
      </c>
      <c r="N216" s="56">
        <v>2</v>
      </c>
      <c r="O216" s="51" t="s">
        <v>425</v>
      </c>
      <c r="P216" s="51">
        <v>6</v>
      </c>
      <c r="Q216" s="77">
        <v>6</v>
      </c>
    </row>
    <row r="217" spans="1:17" x14ac:dyDescent="0.25">
      <c r="A217" s="52" t="s">
        <v>28</v>
      </c>
      <c r="B217" s="51" t="s">
        <v>93</v>
      </c>
      <c r="C217" s="51" t="s">
        <v>355</v>
      </c>
      <c r="D217" s="51">
        <v>8.5</v>
      </c>
      <c r="E217" s="51">
        <v>12.5</v>
      </c>
      <c r="F217" s="51" t="s">
        <v>379</v>
      </c>
      <c r="G217" s="51">
        <v>2</v>
      </c>
      <c r="H217" s="51">
        <v>12</v>
      </c>
      <c r="I217" s="51">
        <v>-3.304347826086957</v>
      </c>
      <c r="J217" s="51">
        <v>2</v>
      </c>
      <c r="K217" s="51">
        <v>4</v>
      </c>
      <c r="L217" s="51">
        <v>0</v>
      </c>
      <c r="M217" s="51">
        <v>8.695652173913043</v>
      </c>
      <c r="N217" s="56">
        <v>2</v>
      </c>
      <c r="O217" s="51" t="s">
        <v>425</v>
      </c>
      <c r="P217" s="51">
        <v>6</v>
      </c>
      <c r="Q217" s="77">
        <v>6</v>
      </c>
    </row>
    <row r="218" spans="1:17" x14ac:dyDescent="0.25">
      <c r="A218" s="52" t="s">
        <v>81</v>
      </c>
      <c r="B218" s="51" t="s">
        <v>423</v>
      </c>
      <c r="C218" s="51" t="s">
        <v>367</v>
      </c>
      <c r="D218" s="51">
        <v>6.5</v>
      </c>
      <c r="E218" s="51">
        <v>6.25</v>
      </c>
      <c r="F218" s="51" t="s">
        <v>384</v>
      </c>
      <c r="G218" s="51">
        <v>4</v>
      </c>
      <c r="H218" s="51">
        <v>9</v>
      </c>
      <c r="I218" s="51">
        <v>-0.30434782608695699</v>
      </c>
      <c r="J218" s="51">
        <v>2</v>
      </c>
      <c r="K218" s="51">
        <v>4</v>
      </c>
      <c r="L218" s="51">
        <v>0</v>
      </c>
      <c r="M218" s="51">
        <v>8.695652173913043</v>
      </c>
      <c r="N218" s="56">
        <v>2</v>
      </c>
      <c r="O218" s="51" t="s">
        <v>425</v>
      </c>
      <c r="P218" s="51">
        <v>6</v>
      </c>
      <c r="Q218" s="77">
        <v>6</v>
      </c>
    </row>
    <row r="219" spans="1:17" x14ac:dyDescent="0.25">
      <c r="A219" s="52" t="s">
        <v>32</v>
      </c>
      <c r="B219" s="51" t="s">
        <v>31</v>
      </c>
      <c r="C219" s="51" t="s">
        <v>368</v>
      </c>
      <c r="D219" s="51">
        <v>9.5</v>
      </c>
      <c r="E219" s="51">
        <v>15.625</v>
      </c>
      <c r="F219" s="51" t="s">
        <v>380</v>
      </c>
      <c r="G219" s="51">
        <v>2</v>
      </c>
      <c r="H219" s="51">
        <v>17</v>
      </c>
      <c r="I219" s="51">
        <v>-8.304347826086957</v>
      </c>
      <c r="J219" s="51">
        <v>2</v>
      </c>
      <c r="K219" s="51">
        <v>3</v>
      </c>
      <c r="L219" s="51">
        <v>0</v>
      </c>
      <c r="M219" s="51">
        <v>8.695652173913043</v>
      </c>
      <c r="N219" s="56">
        <v>2</v>
      </c>
      <c r="O219" s="51" t="s">
        <v>421</v>
      </c>
      <c r="P219" s="51">
        <v>5</v>
      </c>
      <c r="Q219" s="77">
        <v>6</v>
      </c>
    </row>
    <row r="220" spans="1:17" x14ac:dyDescent="0.25">
      <c r="A220" s="52" t="s">
        <v>48</v>
      </c>
      <c r="B220" s="51" t="s">
        <v>47</v>
      </c>
      <c r="C220" s="51" t="s">
        <v>352</v>
      </c>
      <c r="D220" s="51">
        <v>11.5</v>
      </c>
      <c r="E220" s="51">
        <v>21.875</v>
      </c>
      <c r="F220" s="51" t="s">
        <v>379</v>
      </c>
      <c r="G220" s="51">
        <v>1</v>
      </c>
      <c r="H220" s="51">
        <v>25</v>
      </c>
      <c r="I220" s="51">
        <v>-20.652173913043477</v>
      </c>
      <c r="J220" s="51">
        <v>1</v>
      </c>
      <c r="K220" s="51">
        <v>5</v>
      </c>
      <c r="L220" s="51">
        <v>0</v>
      </c>
      <c r="M220" s="51">
        <v>4.3478260869565215</v>
      </c>
      <c r="N220" s="56">
        <v>1</v>
      </c>
      <c r="O220" s="51" t="s">
        <v>425</v>
      </c>
      <c r="P220" s="51">
        <v>6</v>
      </c>
      <c r="Q220" s="77">
        <v>6</v>
      </c>
    </row>
    <row r="221" spans="1:17" x14ac:dyDescent="0.25">
      <c r="A221" s="52" t="s">
        <v>3</v>
      </c>
      <c r="B221" s="51" t="s">
        <v>2</v>
      </c>
      <c r="C221" s="51" t="s">
        <v>359</v>
      </c>
      <c r="D221" s="51">
        <v>7.5</v>
      </c>
      <c r="E221" s="51">
        <v>9.375</v>
      </c>
      <c r="F221" s="51" t="s">
        <v>381</v>
      </c>
      <c r="G221" s="51">
        <v>4</v>
      </c>
      <c r="H221" s="51">
        <v>8</v>
      </c>
      <c r="I221" s="51">
        <v>-3.6521739130434785</v>
      </c>
      <c r="J221" s="51">
        <v>1</v>
      </c>
      <c r="K221" s="51">
        <v>5</v>
      </c>
      <c r="L221" s="51">
        <v>0</v>
      </c>
      <c r="M221" s="51">
        <v>4.3478260869565215</v>
      </c>
      <c r="N221" s="56">
        <v>1</v>
      </c>
      <c r="O221" s="51" t="s">
        <v>425</v>
      </c>
      <c r="P221" s="51">
        <v>6</v>
      </c>
      <c r="Q221" s="77">
        <v>6</v>
      </c>
    </row>
    <row r="222" spans="1:17" x14ac:dyDescent="0.25">
      <c r="A222" s="52" t="s">
        <v>52</v>
      </c>
      <c r="B222" s="51" t="s">
        <v>403</v>
      </c>
      <c r="C222" s="51" t="s">
        <v>383</v>
      </c>
      <c r="D222" s="51">
        <v>5.5</v>
      </c>
      <c r="E222" s="51">
        <v>3.125</v>
      </c>
      <c r="F222" s="51" t="s">
        <v>377</v>
      </c>
      <c r="G222" s="51">
        <v>4</v>
      </c>
      <c r="H222" s="51">
        <v>3</v>
      </c>
      <c r="I222" s="51">
        <v>1.3478260869565215</v>
      </c>
      <c r="J222" s="51">
        <v>1</v>
      </c>
      <c r="K222" s="51">
        <v>5</v>
      </c>
      <c r="L222" s="51">
        <v>0</v>
      </c>
      <c r="M222" s="51">
        <v>4.3478260869565215</v>
      </c>
      <c r="N222" s="56">
        <v>1</v>
      </c>
      <c r="O222" s="51" t="s">
        <v>425</v>
      </c>
      <c r="P222" s="51">
        <v>6</v>
      </c>
      <c r="Q222" s="77">
        <v>6</v>
      </c>
    </row>
    <row r="223" spans="1:17" x14ac:dyDescent="0.25">
      <c r="A223" s="52" t="s">
        <v>20</v>
      </c>
      <c r="B223" s="51" t="s">
        <v>89</v>
      </c>
      <c r="C223" s="51" t="s">
        <v>368</v>
      </c>
      <c r="D223" s="51">
        <v>5.5</v>
      </c>
      <c r="E223" s="51">
        <v>3.125</v>
      </c>
      <c r="F223" s="51" t="s">
        <v>378</v>
      </c>
      <c r="G223" s="51">
        <v>4</v>
      </c>
      <c r="H223" s="51">
        <v>7</v>
      </c>
      <c r="I223" s="51">
        <v>-2.6521739130434785</v>
      </c>
      <c r="J223" s="51">
        <v>1</v>
      </c>
      <c r="K223" s="51">
        <v>5</v>
      </c>
      <c r="L223" s="51">
        <v>0</v>
      </c>
      <c r="M223" s="51">
        <v>4.3478260869565215</v>
      </c>
      <c r="N223" s="56">
        <v>1</v>
      </c>
      <c r="O223" s="51" t="s">
        <v>425</v>
      </c>
      <c r="P223" s="51">
        <v>6</v>
      </c>
      <c r="Q223" s="77">
        <v>6</v>
      </c>
    </row>
    <row r="224" spans="1:17" x14ac:dyDescent="0.25">
      <c r="A224" s="52" t="s">
        <v>84</v>
      </c>
      <c r="B224" s="51" t="s">
        <v>91</v>
      </c>
      <c r="C224" s="51" t="s">
        <v>352</v>
      </c>
      <c r="D224" s="51">
        <v>4.5</v>
      </c>
      <c r="E224" s="51">
        <v>0</v>
      </c>
      <c r="F224" s="51" t="s">
        <v>380</v>
      </c>
      <c r="G224" s="51">
        <v>4</v>
      </c>
      <c r="H224" s="51">
        <v>1</v>
      </c>
      <c r="I224" s="51">
        <v>3.3478260869565215</v>
      </c>
      <c r="J224" s="51">
        <v>1</v>
      </c>
      <c r="K224" s="51">
        <v>5</v>
      </c>
      <c r="L224" s="51">
        <v>0</v>
      </c>
      <c r="M224" s="51">
        <v>4.3478260869565215</v>
      </c>
      <c r="N224" s="56">
        <v>1</v>
      </c>
      <c r="O224" s="51" t="s">
        <v>425</v>
      </c>
      <c r="P224" s="51">
        <v>6</v>
      </c>
      <c r="Q224" s="77">
        <v>6</v>
      </c>
    </row>
    <row r="225" spans="1:17" ht="15.75" thickBot="1" x14ac:dyDescent="0.3">
      <c r="A225" s="53" t="s">
        <v>24</v>
      </c>
      <c r="B225" s="54" t="s">
        <v>79</v>
      </c>
      <c r="C225" s="54" t="s">
        <v>359</v>
      </c>
      <c r="D225" s="54">
        <v>5.5</v>
      </c>
      <c r="E225" s="54">
        <v>3.125</v>
      </c>
      <c r="F225" s="54" t="s">
        <v>379</v>
      </c>
      <c r="G225" s="54">
        <v>4</v>
      </c>
      <c r="H225" s="54">
        <v>9</v>
      </c>
      <c r="I225" s="54">
        <v>-9</v>
      </c>
      <c r="J225" s="54">
        <v>0</v>
      </c>
      <c r="K225" s="54">
        <v>6</v>
      </c>
      <c r="L225" s="54">
        <v>0</v>
      </c>
      <c r="M225" s="54">
        <v>0</v>
      </c>
      <c r="N225" s="57">
        <v>0</v>
      </c>
      <c r="O225" s="54" t="s">
        <v>425</v>
      </c>
      <c r="P225" s="54">
        <v>6</v>
      </c>
      <c r="Q225" s="78">
        <v>6</v>
      </c>
    </row>
    <row r="226" spans="1:17" x14ac:dyDescent="0.25">
      <c r="A226" s="79" t="s">
        <v>43</v>
      </c>
      <c r="B226" s="80" t="s">
        <v>57</v>
      </c>
      <c r="C226" s="80" t="s">
        <v>368</v>
      </c>
      <c r="D226" s="80">
        <v>7.5</v>
      </c>
      <c r="E226" s="80">
        <v>9.375</v>
      </c>
      <c r="F226" s="80" t="s">
        <v>378</v>
      </c>
      <c r="G226" s="80">
        <v>3</v>
      </c>
      <c r="H226" s="80">
        <v>1</v>
      </c>
      <c r="I226" s="80">
        <v>21.429906542056074</v>
      </c>
      <c r="J226" s="80">
        <v>6</v>
      </c>
      <c r="K226" s="80">
        <v>1</v>
      </c>
      <c r="L226" s="80">
        <v>0</v>
      </c>
      <c r="M226" s="80">
        <v>22.429906542056074</v>
      </c>
      <c r="N226" s="81">
        <v>6</v>
      </c>
      <c r="O226" s="80" t="s">
        <v>425</v>
      </c>
      <c r="P226" s="80">
        <v>7</v>
      </c>
      <c r="Q226" s="82">
        <v>7</v>
      </c>
    </row>
    <row r="227" spans="1:17" x14ac:dyDescent="0.25">
      <c r="A227" s="52" t="s">
        <v>1</v>
      </c>
      <c r="B227" s="51" t="s">
        <v>402</v>
      </c>
      <c r="C227" s="51" t="s">
        <v>383</v>
      </c>
      <c r="D227" s="51">
        <v>9.5</v>
      </c>
      <c r="E227" s="51">
        <v>15.625</v>
      </c>
      <c r="F227" s="51" t="s">
        <v>381</v>
      </c>
      <c r="G227" s="51">
        <v>2</v>
      </c>
      <c r="H227" s="51">
        <v>15</v>
      </c>
      <c r="I227" s="51">
        <v>3.6915887850467293</v>
      </c>
      <c r="J227" s="51">
        <v>5</v>
      </c>
      <c r="K227" s="51">
        <v>2</v>
      </c>
      <c r="L227" s="51">
        <v>0</v>
      </c>
      <c r="M227" s="51">
        <v>18.691588785046729</v>
      </c>
      <c r="N227" s="56">
        <v>5</v>
      </c>
      <c r="O227" s="51" t="s">
        <v>425</v>
      </c>
      <c r="P227" s="51">
        <v>7</v>
      </c>
      <c r="Q227" s="77">
        <v>7</v>
      </c>
    </row>
    <row r="228" spans="1:17" x14ac:dyDescent="0.25">
      <c r="A228" s="52" t="s">
        <v>39</v>
      </c>
      <c r="B228" s="51" t="s">
        <v>38</v>
      </c>
      <c r="C228" s="51" t="s">
        <v>363</v>
      </c>
      <c r="D228" s="51">
        <v>11.5</v>
      </c>
      <c r="E228" s="51">
        <v>21.875</v>
      </c>
      <c r="F228" s="51" t="s">
        <v>378</v>
      </c>
      <c r="G228" s="51">
        <v>1</v>
      </c>
      <c r="H228" s="51">
        <v>23</v>
      </c>
      <c r="I228" s="51">
        <v>-4.3084112149532707</v>
      </c>
      <c r="J228" s="51">
        <v>5</v>
      </c>
      <c r="K228" s="51">
        <v>2</v>
      </c>
      <c r="L228" s="51">
        <v>0</v>
      </c>
      <c r="M228" s="51">
        <v>18.691588785046729</v>
      </c>
      <c r="N228" s="56">
        <v>5</v>
      </c>
      <c r="O228" s="51" t="s">
        <v>425</v>
      </c>
      <c r="P228" s="51">
        <v>7</v>
      </c>
      <c r="Q228" s="77">
        <v>7</v>
      </c>
    </row>
    <row r="229" spans="1:17" x14ac:dyDescent="0.25">
      <c r="A229" s="52" t="s">
        <v>64</v>
      </c>
      <c r="B229" s="51" t="s">
        <v>63</v>
      </c>
      <c r="C229" s="51" t="s">
        <v>367</v>
      </c>
      <c r="D229" s="51">
        <v>9.5</v>
      </c>
      <c r="E229" s="51">
        <v>15.625</v>
      </c>
      <c r="F229" s="51" t="s">
        <v>381</v>
      </c>
      <c r="G229" s="51">
        <v>1</v>
      </c>
      <c r="H229" s="51">
        <v>17</v>
      </c>
      <c r="I229" s="51">
        <v>1.6915887850467293</v>
      </c>
      <c r="J229" s="51">
        <v>5</v>
      </c>
      <c r="K229" s="51">
        <v>2</v>
      </c>
      <c r="L229" s="51">
        <v>0</v>
      </c>
      <c r="M229" s="51">
        <v>18.691588785046729</v>
      </c>
      <c r="N229" s="56">
        <v>5</v>
      </c>
      <c r="O229" s="51" t="s">
        <v>425</v>
      </c>
      <c r="P229" s="51">
        <v>7</v>
      </c>
      <c r="Q229" s="77">
        <v>7</v>
      </c>
    </row>
    <row r="230" spans="1:17" x14ac:dyDescent="0.25">
      <c r="A230" s="52" t="s">
        <v>7</v>
      </c>
      <c r="B230" s="51" t="s">
        <v>405</v>
      </c>
      <c r="C230" s="51" t="s">
        <v>355</v>
      </c>
      <c r="D230" s="51">
        <v>10.5</v>
      </c>
      <c r="E230" s="51">
        <v>18.75</v>
      </c>
      <c r="F230" s="51" t="s">
        <v>380</v>
      </c>
      <c r="G230" s="51">
        <v>1</v>
      </c>
      <c r="H230" s="51">
        <v>18</v>
      </c>
      <c r="I230" s="51">
        <v>0.69158878504672927</v>
      </c>
      <c r="J230" s="51">
        <v>5</v>
      </c>
      <c r="K230" s="51">
        <v>2</v>
      </c>
      <c r="L230" s="51">
        <v>0</v>
      </c>
      <c r="M230" s="51">
        <v>18.691588785046729</v>
      </c>
      <c r="N230" s="56">
        <v>5</v>
      </c>
      <c r="O230" s="51" t="s">
        <v>425</v>
      </c>
      <c r="P230" s="51">
        <v>7</v>
      </c>
      <c r="Q230" s="77">
        <v>7</v>
      </c>
    </row>
    <row r="231" spans="1:17" x14ac:dyDescent="0.25">
      <c r="A231" s="52" t="s">
        <v>22</v>
      </c>
      <c r="B231" s="51" t="s">
        <v>21</v>
      </c>
      <c r="C231" s="51" t="s">
        <v>355</v>
      </c>
      <c r="D231" s="51">
        <v>9.5</v>
      </c>
      <c r="E231" s="51">
        <v>15.625</v>
      </c>
      <c r="F231" s="51" t="s">
        <v>382</v>
      </c>
      <c r="G231" s="51">
        <v>2</v>
      </c>
      <c r="H231" s="51">
        <v>15</v>
      </c>
      <c r="I231" s="51">
        <v>3.6915887850467293</v>
      </c>
      <c r="J231" s="51">
        <v>5</v>
      </c>
      <c r="K231" s="51">
        <v>2</v>
      </c>
      <c r="L231" s="51">
        <v>0</v>
      </c>
      <c r="M231" s="51">
        <v>18.691588785046729</v>
      </c>
      <c r="N231" s="56">
        <v>5</v>
      </c>
      <c r="O231" s="51" t="s">
        <v>425</v>
      </c>
      <c r="P231" s="51">
        <v>7</v>
      </c>
      <c r="Q231" s="77">
        <v>7</v>
      </c>
    </row>
    <row r="232" spans="1:17" x14ac:dyDescent="0.25">
      <c r="A232" s="52" t="s">
        <v>46</v>
      </c>
      <c r="B232" s="51" t="s">
        <v>404</v>
      </c>
      <c r="C232" s="51" t="s">
        <v>359</v>
      </c>
      <c r="D232" s="51">
        <v>8.5</v>
      </c>
      <c r="E232" s="51">
        <v>12.5</v>
      </c>
      <c r="F232" s="51" t="s">
        <v>381</v>
      </c>
      <c r="G232" s="51">
        <v>3</v>
      </c>
      <c r="H232" s="51">
        <v>10</v>
      </c>
      <c r="I232" s="51">
        <v>8.6915887850467293</v>
      </c>
      <c r="J232" s="51">
        <v>5</v>
      </c>
      <c r="K232" s="51">
        <v>2</v>
      </c>
      <c r="L232" s="51">
        <v>0</v>
      </c>
      <c r="M232" s="51">
        <v>18.691588785046729</v>
      </c>
      <c r="N232" s="56">
        <v>5</v>
      </c>
      <c r="O232" s="51" t="s">
        <v>425</v>
      </c>
      <c r="P232" s="51">
        <v>7</v>
      </c>
      <c r="Q232" s="77">
        <v>7</v>
      </c>
    </row>
    <row r="233" spans="1:17" x14ac:dyDescent="0.25">
      <c r="A233" s="52" t="s">
        <v>11</v>
      </c>
      <c r="B233" s="51" t="s">
        <v>10</v>
      </c>
      <c r="C233" s="51" t="s">
        <v>357</v>
      </c>
      <c r="D233" s="51">
        <v>10.5</v>
      </c>
      <c r="E233" s="51">
        <v>18.75</v>
      </c>
      <c r="F233" s="51" t="s">
        <v>378</v>
      </c>
      <c r="G233" s="51">
        <v>2</v>
      </c>
      <c r="H233" s="51">
        <v>19</v>
      </c>
      <c r="I233" s="51">
        <v>-0.30841121495327073</v>
      </c>
      <c r="J233" s="51">
        <v>5</v>
      </c>
      <c r="K233" s="51">
        <v>2</v>
      </c>
      <c r="L233" s="51">
        <v>0</v>
      </c>
      <c r="M233" s="51">
        <v>18.691588785046729</v>
      </c>
      <c r="N233" s="56">
        <v>5</v>
      </c>
      <c r="O233" s="51" t="s">
        <v>425</v>
      </c>
      <c r="P233" s="51">
        <v>7</v>
      </c>
      <c r="Q233" s="77">
        <v>7</v>
      </c>
    </row>
    <row r="234" spans="1:17" x14ac:dyDescent="0.25">
      <c r="A234" s="52" t="s">
        <v>9</v>
      </c>
      <c r="B234" s="51" t="s">
        <v>55</v>
      </c>
      <c r="C234" s="51" t="s">
        <v>355</v>
      </c>
      <c r="D234" s="51">
        <v>8.5</v>
      </c>
      <c r="E234" s="51">
        <v>12.5</v>
      </c>
      <c r="F234" s="51" t="s">
        <v>376</v>
      </c>
      <c r="G234" s="51">
        <v>4</v>
      </c>
      <c r="H234" s="51">
        <v>11</v>
      </c>
      <c r="I234" s="51">
        <v>7.6915887850467293</v>
      </c>
      <c r="J234" s="51">
        <v>5</v>
      </c>
      <c r="K234" s="51">
        <v>2</v>
      </c>
      <c r="L234" s="51">
        <v>0</v>
      </c>
      <c r="M234" s="51">
        <v>18.691588785046729</v>
      </c>
      <c r="N234" s="56">
        <v>5</v>
      </c>
      <c r="O234" s="51" t="s">
        <v>425</v>
      </c>
      <c r="P234" s="51">
        <v>7</v>
      </c>
      <c r="Q234" s="77">
        <v>7</v>
      </c>
    </row>
    <row r="235" spans="1:17" x14ac:dyDescent="0.25">
      <c r="A235" s="52" t="s">
        <v>26</v>
      </c>
      <c r="B235" s="51" t="s">
        <v>25</v>
      </c>
      <c r="C235" s="51" t="s">
        <v>359</v>
      </c>
      <c r="D235" s="51">
        <v>11.5</v>
      </c>
      <c r="E235" s="51">
        <v>21.875</v>
      </c>
      <c r="F235" s="51" t="s">
        <v>384</v>
      </c>
      <c r="G235" s="51">
        <v>1</v>
      </c>
      <c r="H235" s="51">
        <v>24</v>
      </c>
      <c r="I235" s="51">
        <v>-9.0467289719626169</v>
      </c>
      <c r="J235" s="51">
        <v>4</v>
      </c>
      <c r="K235" s="51">
        <v>2</v>
      </c>
      <c r="L235" s="51">
        <v>0</v>
      </c>
      <c r="M235" s="51">
        <v>14.953271028037383</v>
      </c>
      <c r="N235" s="56">
        <v>4</v>
      </c>
      <c r="O235" s="51" t="s">
        <v>421</v>
      </c>
      <c r="P235" s="51">
        <v>6</v>
      </c>
      <c r="Q235" s="77">
        <v>7</v>
      </c>
    </row>
    <row r="236" spans="1:17" x14ac:dyDescent="0.25">
      <c r="A236" s="52" t="s">
        <v>37</v>
      </c>
      <c r="B236" s="51" t="s">
        <v>44</v>
      </c>
      <c r="C236" s="51" t="s">
        <v>368</v>
      </c>
      <c r="D236" s="51">
        <v>7.5</v>
      </c>
      <c r="E236" s="51">
        <v>9.375</v>
      </c>
      <c r="F236" s="51" t="s">
        <v>382</v>
      </c>
      <c r="G236" s="51">
        <v>3</v>
      </c>
      <c r="H236" s="51">
        <v>10</v>
      </c>
      <c r="I236" s="51">
        <v>4.9532710280373831</v>
      </c>
      <c r="J236" s="51">
        <v>4</v>
      </c>
      <c r="K236" s="51">
        <v>3</v>
      </c>
      <c r="L236" s="51">
        <v>0</v>
      </c>
      <c r="M236" s="51">
        <v>14.953271028037383</v>
      </c>
      <c r="N236" s="56">
        <v>4</v>
      </c>
      <c r="O236" s="51" t="s">
        <v>425</v>
      </c>
      <c r="P236" s="51">
        <v>7</v>
      </c>
      <c r="Q236" s="77">
        <v>7</v>
      </c>
    </row>
    <row r="237" spans="1:17" x14ac:dyDescent="0.25">
      <c r="A237" s="52" t="s">
        <v>61</v>
      </c>
      <c r="B237" s="51" t="s">
        <v>60</v>
      </c>
      <c r="C237" s="51" t="s">
        <v>367</v>
      </c>
      <c r="D237" s="51">
        <v>9.5</v>
      </c>
      <c r="E237" s="51">
        <v>15.625</v>
      </c>
      <c r="F237" s="51" t="s">
        <v>376</v>
      </c>
      <c r="G237" s="51">
        <v>2</v>
      </c>
      <c r="H237" s="51">
        <v>13</v>
      </c>
      <c r="I237" s="51">
        <v>1.9532710280373831</v>
      </c>
      <c r="J237" s="51">
        <v>4</v>
      </c>
      <c r="K237" s="51">
        <v>3</v>
      </c>
      <c r="L237" s="51">
        <v>0</v>
      </c>
      <c r="M237" s="51">
        <v>14.953271028037383</v>
      </c>
      <c r="N237" s="56">
        <v>4</v>
      </c>
      <c r="O237" s="51" t="s">
        <v>425</v>
      </c>
      <c r="P237" s="51">
        <v>7</v>
      </c>
      <c r="Q237" s="77">
        <v>7</v>
      </c>
    </row>
    <row r="238" spans="1:17" x14ac:dyDescent="0.25">
      <c r="A238" s="52" t="s">
        <v>74</v>
      </c>
      <c r="B238" s="51" t="s">
        <v>85</v>
      </c>
      <c r="C238" s="51" t="s">
        <v>352</v>
      </c>
      <c r="D238" s="51">
        <v>8.5</v>
      </c>
      <c r="E238" s="51">
        <v>12.5</v>
      </c>
      <c r="F238" s="51" t="s">
        <v>384</v>
      </c>
      <c r="G238" s="51">
        <v>2</v>
      </c>
      <c r="H238" s="51">
        <v>14</v>
      </c>
      <c r="I238" s="51">
        <v>0.95327102803738306</v>
      </c>
      <c r="J238" s="51">
        <v>4</v>
      </c>
      <c r="K238" s="51">
        <v>2</v>
      </c>
      <c r="L238" s="51">
        <v>0</v>
      </c>
      <c r="M238" s="51">
        <v>14.953271028037383</v>
      </c>
      <c r="N238" s="56">
        <v>4</v>
      </c>
      <c r="O238" s="51" t="s">
        <v>421</v>
      </c>
      <c r="P238" s="51">
        <v>6</v>
      </c>
      <c r="Q238" s="77">
        <v>7</v>
      </c>
    </row>
    <row r="239" spans="1:17" x14ac:dyDescent="0.25">
      <c r="A239" s="52" t="s">
        <v>13</v>
      </c>
      <c r="B239" s="51" t="s">
        <v>67</v>
      </c>
      <c r="C239" s="51" t="s">
        <v>383</v>
      </c>
      <c r="D239" s="51">
        <v>6.5</v>
      </c>
      <c r="E239" s="51">
        <v>6.25</v>
      </c>
      <c r="F239" s="51" t="s">
        <v>384</v>
      </c>
      <c r="G239" s="51">
        <v>3</v>
      </c>
      <c r="H239" s="51">
        <v>3</v>
      </c>
      <c r="I239" s="51">
        <v>11.953271028037383</v>
      </c>
      <c r="J239" s="51">
        <v>4</v>
      </c>
      <c r="K239" s="51">
        <v>3</v>
      </c>
      <c r="L239" s="51">
        <v>0</v>
      </c>
      <c r="M239" s="51">
        <v>14.953271028037383</v>
      </c>
      <c r="N239" s="56">
        <v>4</v>
      </c>
      <c r="O239" s="51" t="s">
        <v>425</v>
      </c>
      <c r="P239" s="51">
        <v>7</v>
      </c>
      <c r="Q239" s="77">
        <v>7</v>
      </c>
    </row>
    <row r="240" spans="1:17" x14ac:dyDescent="0.25">
      <c r="A240" s="52" t="s">
        <v>17</v>
      </c>
      <c r="B240" s="51" t="s">
        <v>399</v>
      </c>
      <c r="C240" s="51" t="s">
        <v>367</v>
      </c>
      <c r="D240" s="51">
        <v>11.5</v>
      </c>
      <c r="E240" s="51">
        <v>21.875</v>
      </c>
      <c r="F240" s="51" t="s">
        <v>377</v>
      </c>
      <c r="G240" s="51">
        <v>1</v>
      </c>
      <c r="H240" s="51">
        <v>24</v>
      </c>
      <c r="I240" s="51">
        <v>-9.0467289719626169</v>
      </c>
      <c r="J240" s="51">
        <v>4</v>
      </c>
      <c r="K240" s="51">
        <v>3</v>
      </c>
      <c r="L240" s="51">
        <v>0</v>
      </c>
      <c r="M240" s="51">
        <v>14.953271028037383</v>
      </c>
      <c r="N240" s="56">
        <v>4</v>
      </c>
      <c r="O240" s="51" t="s">
        <v>425</v>
      </c>
      <c r="P240" s="51">
        <v>7</v>
      </c>
      <c r="Q240" s="77">
        <v>7</v>
      </c>
    </row>
    <row r="241" spans="1:17" x14ac:dyDescent="0.25">
      <c r="A241" s="52" t="s">
        <v>66</v>
      </c>
      <c r="B241" s="51" t="s">
        <v>72</v>
      </c>
      <c r="C241" s="51" t="s">
        <v>357</v>
      </c>
      <c r="D241" s="51">
        <v>8.5</v>
      </c>
      <c r="E241" s="51">
        <v>12.5</v>
      </c>
      <c r="F241" s="51" t="s">
        <v>379</v>
      </c>
      <c r="G241" s="51">
        <v>3</v>
      </c>
      <c r="H241" s="51">
        <v>4</v>
      </c>
      <c r="I241" s="51">
        <v>10.953271028037383</v>
      </c>
      <c r="J241" s="51">
        <v>4</v>
      </c>
      <c r="K241" s="51">
        <v>2</v>
      </c>
      <c r="L241" s="51">
        <v>0</v>
      </c>
      <c r="M241" s="51">
        <v>14.953271028037383</v>
      </c>
      <c r="N241" s="56">
        <v>4</v>
      </c>
      <c r="O241" s="51" t="s">
        <v>421</v>
      </c>
      <c r="P241" s="51">
        <v>6</v>
      </c>
      <c r="Q241" s="77">
        <v>7</v>
      </c>
    </row>
    <row r="242" spans="1:17" x14ac:dyDescent="0.25">
      <c r="A242" s="52" t="s">
        <v>35</v>
      </c>
      <c r="B242" s="51" t="s">
        <v>400</v>
      </c>
      <c r="C242" s="51" t="s">
        <v>357</v>
      </c>
      <c r="D242" s="51">
        <v>10.5</v>
      </c>
      <c r="E242" s="51">
        <v>18.75</v>
      </c>
      <c r="F242" s="51" t="s">
        <v>382</v>
      </c>
      <c r="G242" s="51">
        <v>1</v>
      </c>
      <c r="H242" s="51">
        <v>17</v>
      </c>
      <c r="I242" s="51">
        <v>-2.0467289719626169</v>
      </c>
      <c r="J242" s="51">
        <v>4</v>
      </c>
      <c r="K242" s="51">
        <v>1</v>
      </c>
      <c r="L242" s="51">
        <v>1</v>
      </c>
      <c r="M242" s="51">
        <v>14.953271028037383</v>
      </c>
      <c r="N242" s="56">
        <v>4</v>
      </c>
      <c r="O242" s="51" t="s">
        <v>421</v>
      </c>
      <c r="P242" s="51">
        <v>6</v>
      </c>
      <c r="Q242" s="77">
        <v>7</v>
      </c>
    </row>
    <row r="243" spans="1:17" x14ac:dyDescent="0.25">
      <c r="A243" s="52" t="s">
        <v>5</v>
      </c>
      <c r="B243" s="51" t="s">
        <v>41</v>
      </c>
      <c r="C243" s="51" t="s">
        <v>363</v>
      </c>
      <c r="D243" s="51">
        <v>9.5</v>
      </c>
      <c r="E243" s="51">
        <v>15.625</v>
      </c>
      <c r="F243" s="51" t="s">
        <v>377</v>
      </c>
      <c r="G243" s="51">
        <v>2</v>
      </c>
      <c r="H243" s="51">
        <v>19</v>
      </c>
      <c r="I243" s="51">
        <v>-7.7850467289719631</v>
      </c>
      <c r="J243" s="51">
        <v>3</v>
      </c>
      <c r="K243" s="51">
        <v>4</v>
      </c>
      <c r="L243" s="51">
        <v>0</v>
      </c>
      <c r="M243" s="51">
        <v>11.214953271028037</v>
      </c>
      <c r="N243" s="56">
        <v>3</v>
      </c>
      <c r="O243" s="51" t="s">
        <v>425</v>
      </c>
      <c r="P243" s="51">
        <v>7</v>
      </c>
      <c r="Q243" s="77">
        <v>7</v>
      </c>
    </row>
    <row r="244" spans="1:17" x14ac:dyDescent="0.25">
      <c r="A244" s="52" t="s">
        <v>59</v>
      </c>
      <c r="B244" s="51" t="s">
        <v>75</v>
      </c>
      <c r="C244" s="51" t="s">
        <v>357</v>
      </c>
      <c r="D244" s="51">
        <v>8.5</v>
      </c>
      <c r="E244" s="51">
        <v>12.5</v>
      </c>
      <c r="F244" s="51" t="s">
        <v>376</v>
      </c>
      <c r="G244" s="51">
        <v>1</v>
      </c>
      <c r="H244" s="51">
        <v>14</v>
      </c>
      <c r="I244" s="51">
        <v>-2.7850467289719631</v>
      </c>
      <c r="J244" s="51">
        <v>3</v>
      </c>
      <c r="K244" s="51">
        <v>3</v>
      </c>
      <c r="L244" s="51">
        <v>0</v>
      </c>
      <c r="M244" s="51">
        <v>11.214953271028037</v>
      </c>
      <c r="N244" s="56">
        <v>3</v>
      </c>
      <c r="O244" s="51" t="s">
        <v>421</v>
      </c>
      <c r="P244" s="51">
        <v>6</v>
      </c>
      <c r="Q244" s="77">
        <v>7</v>
      </c>
    </row>
    <row r="245" spans="1:17" x14ac:dyDescent="0.25">
      <c r="A245" s="52" t="s">
        <v>70</v>
      </c>
      <c r="B245" s="51" t="s">
        <v>69</v>
      </c>
      <c r="C245" s="51" t="s">
        <v>383</v>
      </c>
      <c r="D245" s="51">
        <v>7.5</v>
      </c>
      <c r="E245" s="51">
        <v>9.375</v>
      </c>
      <c r="F245" s="51" t="s">
        <v>376</v>
      </c>
      <c r="G245" s="51">
        <v>3</v>
      </c>
      <c r="H245" s="51">
        <v>12</v>
      </c>
      <c r="I245" s="51">
        <v>-0.78504672897196315</v>
      </c>
      <c r="J245" s="51">
        <v>3</v>
      </c>
      <c r="K245" s="51">
        <v>3</v>
      </c>
      <c r="L245" s="51">
        <v>0</v>
      </c>
      <c r="M245" s="51">
        <v>11.214953271028037</v>
      </c>
      <c r="N245" s="56">
        <v>3</v>
      </c>
      <c r="O245" s="51" t="s">
        <v>421</v>
      </c>
      <c r="P245" s="51">
        <v>6</v>
      </c>
      <c r="Q245" s="77">
        <v>7</v>
      </c>
    </row>
    <row r="246" spans="1:17" x14ac:dyDescent="0.25">
      <c r="A246" s="52" t="s">
        <v>54</v>
      </c>
      <c r="B246" s="51" t="s">
        <v>77</v>
      </c>
      <c r="C246" s="51" t="s">
        <v>352</v>
      </c>
      <c r="D246" s="51">
        <v>9.5</v>
      </c>
      <c r="E246" s="51">
        <v>15.625</v>
      </c>
      <c r="F246" s="51" t="s">
        <v>380</v>
      </c>
      <c r="G246" s="51">
        <v>3</v>
      </c>
      <c r="H246" s="51">
        <v>14</v>
      </c>
      <c r="I246" s="51">
        <v>-2.7850467289719631</v>
      </c>
      <c r="J246" s="51">
        <v>3</v>
      </c>
      <c r="K246" s="51">
        <v>4</v>
      </c>
      <c r="L246" s="51">
        <v>0</v>
      </c>
      <c r="M246" s="51">
        <v>11.214953271028037</v>
      </c>
      <c r="N246" s="56">
        <v>3</v>
      </c>
      <c r="O246" s="51" t="s">
        <v>425</v>
      </c>
      <c r="P246" s="51">
        <v>7</v>
      </c>
      <c r="Q246" s="77">
        <v>7</v>
      </c>
    </row>
    <row r="247" spans="1:17" x14ac:dyDescent="0.25">
      <c r="A247" s="52" t="s">
        <v>15</v>
      </c>
      <c r="B247" s="51" t="s">
        <v>14</v>
      </c>
      <c r="C247" s="51" t="s">
        <v>363</v>
      </c>
      <c r="D247" s="51">
        <v>7.5</v>
      </c>
      <c r="E247" s="51">
        <v>9.375</v>
      </c>
      <c r="F247" s="51" t="s">
        <v>382</v>
      </c>
      <c r="G247" s="51">
        <v>4</v>
      </c>
      <c r="H247" s="51">
        <v>8</v>
      </c>
      <c r="I247" s="51">
        <v>3.2149532710280369</v>
      </c>
      <c r="J247" s="51">
        <v>3</v>
      </c>
      <c r="K247" s="51">
        <v>3</v>
      </c>
      <c r="L247" s="51">
        <v>1</v>
      </c>
      <c r="M247" s="51">
        <v>11.214953271028037</v>
      </c>
      <c r="N247" s="56">
        <v>3</v>
      </c>
      <c r="O247" s="51" t="s">
        <v>425</v>
      </c>
      <c r="P247" s="51">
        <v>7</v>
      </c>
      <c r="Q247" s="77">
        <v>7</v>
      </c>
    </row>
    <row r="248" spans="1:17" x14ac:dyDescent="0.25">
      <c r="A248" s="52" t="s">
        <v>50</v>
      </c>
      <c r="B248" s="51" t="s">
        <v>95</v>
      </c>
      <c r="C248" s="51" t="s">
        <v>363</v>
      </c>
      <c r="D248" s="51">
        <v>5.5</v>
      </c>
      <c r="E248" s="51">
        <v>3.125</v>
      </c>
      <c r="F248" s="51" t="s">
        <v>377</v>
      </c>
      <c r="G248" s="51">
        <v>3</v>
      </c>
      <c r="H248" s="51">
        <v>4</v>
      </c>
      <c r="I248" s="51">
        <v>3.4766355140186915</v>
      </c>
      <c r="J248" s="51">
        <v>2</v>
      </c>
      <c r="K248" s="51">
        <v>5</v>
      </c>
      <c r="L248" s="51">
        <v>0</v>
      </c>
      <c r="M248" s="51">
        <v>7.4766355140186915</v>
      </c>
      <c r="N248" s="56">
        <v>2</v>
      </c>
      <c r="O248" s="51" t="s">
        <v>425</v>
      </c>
      <c r="P248" s="51">
        <v>7</v>
      </c>
      <c r="Q248" s="77">
        <v>7</v>
      </c>
    </row>
    <row r="249" spans="1:17" x14ac:dyDescent="0.25">
      <c r="A249" s="52" t="s">
        <v>28</v>
      </c>
      <c r="B249" s="51" t="s">
        <v>93</v>
      </c>
      <c r="C249" s="51" t="s">
        <v>355</v>
      </c>
      <c r="D249" s="51">
        <v>8.5</v>
      </c>
      <c r="E249" s="51">
        <v>12.5</v>
      </c>
      <c r="F249" s="51" t="s">
        <v>379</v>
      </c>
      <c r="G249" s="51">
        <v>2</v>
      </c>
      <c r="H249" s="51">
        <v>12</v>
      </c>
      <c r="I249" s="51">
        <v>-4.5233644859813085</v>
      </c>
      <c r="J249" s="51">
        <v>2</v>
      </c>
      <c r="K249" s="51">
        <v>5</v>
      </c>
      <c r="L249" s="51">
        <v>0</v>
      </c>
      <c r="M249" s="51">
        <v>7.4766355140186915</v>
      </c>
      <c r="N249" s="56">
        <v>2</v>
      </c>
      <c r="O249" s="51" t="s">
        <v>425</v>
      </c>
      <c r="P249" s="51">
        <v>7</v>
      </c>
      <c r="Q249" s="77">
        <v>7</v>
      </c>
    </row>
    <row r="250" spans="1:17" x14ac:dyDescent="0.25">
      <c r="A250" s="52" t="s">
        <v>81</v>
      </c>
      <c r="B250" s="51" t="s">
        <v>423</v>
      </c>
      <c r="C250" s="51" t="s">
        <v>367</v>
      </c>
      <c r="D250" s="51">
        <v>6.5</v>
      </c>
      <c r="E250" s="51">
        <v>6.25</v>
      </c>
      <c r="F250" s="51" t="s">
        <v>384</v>
      </c>
      <c r="G250" s="51">
        <v>4</v>
      </c>
      <c r="H250" s="51">
        <v>9</v>
      </c>
      <c r="I250" s="51">
        <v>-1.5233644859813085</v>
      </c>
      <c r="J250" s="51">
        <v>2</v>
      </c>
      <c r="K250" s="51">
        <v>5</v>
      </c>
      <c r="L250" s="51">
        <v>0</v>
      </c>
      <c r="M250" s="51">
        <v>7.4766355140186915</v>
      </c>
      <c r="N250" s="56">
        <v>2</v>
      </c>
      <c r="O250" s="51" t="s">
        <v>425</v>
      </c>
      <c r="P250" s="51">
        <v>7</v>
      </c>
      <c r="Q250" s="77">
        <v>7</v>
      </c>
    </row>
    <row r="251" spans="1:17" x14ac:dyDescent="0.25">
      <c r="A251" s="52" t="s">
        <v>32</v>
      </c>
      <c r="B251" s="51" t="s">
        <v>31</v>
      </c>
      <c r="C251" s="51" t="s">
        <v>368</v>
      </c>
      <c r="D251" s="51">
        <v>9.5</v>
      </c>
      <c r="E251" s="51">
        <v>15.625</v>
      </c>
      <c r="F251" s="51" t="s">
        <v>380</v>
      </c>
      <c r="G251" s="51">
        <v>2</v>
      </c>
      <c r="H251" s="51">
        <v>17</v>
      </c>
      <c r="I251" s="51">
        <v>-9.5233644859813076</v>
      </c>
      <c r="J251" s="51">
        <v>2</v>
      </c>
      <c r="K251" s="51">
        <v>4</v>
      </c>
      <c r="L251" s="51">
        <v>0</v>
      </c>
      <c r="M251" s="51">
        <v>7.4766355140186915</v>
      </c>
      <c r="N251" s="56">
        <v>2</v>
      </c>
      <c r="O251" s="51" t="s">
        <v>421</v>
      </c>
      <c r="P251" s="51">
        <v>6</v>
      </c>
      <c r="Q251" s="77">
        <v>7</v>
      </c>
    </row>
    <row r="252" spans="1:17" x14ac:dyDescent="0.25">
      <c r="A252" s="52" t="s">
        <v>84</v>
      </c>
      <c r="B252" s="51" t="s">
        <v>91</v>
      </c>
      <c r="C252" s="51" t="s">
        <v>352</v>
      </c>
      <c r="D252" s="51">
        <v>4.5</v>
      </c>
      <c r="E252" s="51">
        <v>0</v>
      </c>
      <c r="F252" s="51" t="s">
        <v>380</v>
      </c>
      <c r="G252" s="51">
        <v>4</v>
      </c>
      <c r="H252" s="51">
        <v>1</v>
      </c>
      <c r="I252" s="51">
        <v>6.4766355140186915</v>
      </c>
      <c r="J252" s="51">
        <v>2</v>
      </c>
      <c r="K252" s="51">
        <v>5</v>
      </c>
      <c r="L252" s="51">
        <v>0</v>
      </c>
      <c r="M252" s="51">
        <v>7.4766355140186915</v>
      </c>
      <c r="N252" s="56">
        <v>2</v>
      </c>
      <c r="O252" s="51" t="s">
        <v>425</v>
      </c>
      <c r="P252" s="51">
        <v>7</v>
      </c>
      <c r="Q252" s="77">
        <v>7</v>
      </c>
    </row>
    <row r="253" spans="1:17" x14ac:dyDescent="0.25">
      <c r="A253" s="52" t="s">
        <v>48</v>
      </c>
      <c r="B253" s="51" t="s">
        <v>47</v>
      </c>
      <c r="C253" s="51" t="s">
        <v>352</v>
      </c>
      <c r="D253" s="51">
        <v>11.5</v>
      </c>
      <c r="E253" s="51">
        <v>21.875</v>
      </c>
      <c r="F253" s="51" t="s">
        <v>379</v>
      </c>
      <c r="G253" s="51">
        <v>1</v>
      </c>
      <c r="H253" s="51">
        <v>25</v>
      </c>
      <c r="I253" s="51">
        <v>-21.261682242990656</v>
      </c>
      <c r="J253" s="51">
        <v>1</v>
      </c>
      <c r="K253" s="51">
        <v>5</v>
      </c>
      <c r="L253" s="51">
        <v>0</v>
      </c>
      <c r="M253" s="51">
        <v>3.7383177570093458</v>
      </c>
      <c r="N253" s="56">
        <v>1</v>
      </c>
      <c r="O253" s="51" t="s">
        <v>421</v>
      </c>
      <c r="P253" s="51">
        <v>6</v>
      </c>
      <c r="Q253" s="77">
        <v>7</v>
      </c>
    </row>
    <row r="254" spans="1:17" x14ac:dyDescent="0.25">
      <c r="A254" s="52" t="s">
        <v>3</v>
      </c>
      <c r="B254" s="51" t="s">
        <v>2</v>
      </c>
      <c r="C254" s="51" t="s">
        <v>359</v>
      </c>
      <c r="D254" s="51">
        <v>7.5</v>
      </c>
      <c r="E254" s="51">
        <v>9.375</v>
      </c>
      <c r="F254" s="51" t="s">
        <v>381</v>
      </c>
      <c r="G254" s="51">
        <v>4</v>
      </c>
      <c r="H254" s="51">
        <v>8</v>
      </c>
      <c r="I254" s="51">
        <v>-4.2616822429906538</v>
      </c>
      <c r="J254" s="51">
        <v>1</v>
      </c>
      <c r="K254" s="51">
        <v>6</v>
      </c>
      <c r="L254" s="51">
        <v>0</v>
      </c>
      <c r="M254" s="51">
        <v>3.7383177570093458</v>
      </c>
      <c r="N254" s="56">
        <v>1</v>
      </c>
      <c r="O254" s="51" t="s">
        <v>425</v>
      </c>
      <c r="P254" s="51">
        <v>7</v>
      </c>
      <c r="Q254" s="77">
        <v>7</v>
      </c>
    </row>
    <row r="255" spans="1:17" x14ac:dyDescent="0.25">
      <c r="A255" s="52" t="s">
        <v>52</v>
      </c>
      <c r="B255" s="51" t="s">
        <v>403</v>
      </c>
      <c r="C255" s="51" t="s">
        <v>383</v>
      </c>
      <c r="D255" s="51">
        <v>5.5</v>
      </c>
      <c r="E255" s="51">
        <v>3.125</v>
      </c>
      <c r="F255" s="51" t="s">
        <v>377</v>
      </c>
      <c r="G255" s="51">
        <v>4</v>
      </c>
      <c r="H255" s="51">
        <v>3</v>
      </c>
      <c r="I255" s="51">
        <v>0.73831775700934577</v>
      </c>
      <c r="J255" s="51">
        <v>1</v>
      </c>
      <c r="K255" s="51">
        <v>6</v>
      </c>
      <c r="L255" s="51">
        <v>0</v>
      </c>
      <c r="M255" s="51">
        <v>3.7383177570093458</v>
      </c>
      <c r="N255" s="56">
        <v>1</v>
      </c>
      <c r="O255" s="51" t="s">
        <v>425</v>
      </c>
      <c r="P255" s="51">
        <v>7</v>
      </c>
      <c r="Q255" s="77">
        <v>7</v>
      </c>
    </row>
    <row r="256" spans="1:17" x14ac:dyDescent="0.25">
      <c r="A256" s="52" t="s">
        <v>20</v>
      </c>
      <c r="B256" s="51" t="s">
        <v>89</v>
      </c>
      <c r="C256" s="51" t="s">
        <v>368</v>
      </c>
      <c r="D256" s="51">
        <v>5.5</v>
      </c>
      <c r="E256" s="51">
        <v>3.125</v>
      </c>
      <c r="F256" s="51" t="s">
        <v>378</v>
      </c>
      <c r="G256" s="51">
        <v>4</v>
      </c>
      <c r="H256" s="51">
        <v>7</v>
      </c>
      <c r="I256" s="51">
        <v>-3.2616822429906542</v>
      </c>
      <c r="J256" s="51">
        <v>1</v>
      </c>
      <c r="K256" s="51">
        <v>6</v>
      </c>
      <c r="L256" s="51">
        <v>0</v>
      </c>
      <c r="M256" s="51">
        <v>3.7383177570093458</v>
      </c>
      <c r="N256" s="56">
        <v>1</v>
      </c>
      <c r="O256" s="51" t="s">
        <v>425</v>
      </c>
      <c r="P256" s="51">
        <v>7</v>
      </c>
      <c r="Q256" s="77">
        <v>7</v>
      </c>
    </row>
    <row r="257" spans="1:17" ht="15.75" thickBot="1" x14ac:dyDescent="0.3">
      <c r="A257" s="53" t="s">
        <v>24</v>
      </c>
      <c r="B257" s="54" t="s">
        <v>79</v>
      </c>
      <c r="C257" s="54" t="s">
        <v>359</v>
      </c>
      <c r="D257" s="54">
        <v>5.5</v>
      </c>
      <c r="E257" s="54">
        <v>3.125</v>
      </c>
      <c r="F257" s="54" t="s">
        <v>379</v>
      </c>
      <c r="G257" s="54">
        <v>4</v>
      </c>
      <c r="H257" s="54">
        <v>9</v>
      </c>
      <c r="I257" s="54">
        <v>-9</v>
      </c>
      <c r="J257" s="54">
        <v>0</v>
      </c>
      <c r="K257" s="54">
        <v>7</v>
      </c>
      <c r="L257" s="54">
        <v>0</v>
      </c>
      <c r="M257" s="54">
        <v>0</v>
      </c>
      <c r="N257" s="57">
        <v>0</v>
      </c>
      <c r="O257" s="54" t="s">
        <v>425</v>
      </c>
      <c r="P257" s="54">
        <v>7</v>
      </c>
      <c r="Q257" s="78">
        <v>7</v>
      </c>
    </row>
    <row r="258" spans="1:17" x14ac:dyDescent="0.25">
      <c r="A258" s="79" t="s">
        <v>43</v>
      </c>
      <c r="B258" s="80" t="s">
        <v>57</v>
      </c>
      <c r="C258" s="80" t="s">
        <v>368</v>
      </c>
      <c r="D258" s="80">
        <v>7.5</v>
      </c>
      <c r="E258" s="80">
        <v>9.375</v>
      </c>
      <c r="F258" s="80" t="s">
        <v>378</v>
      </c>
      <c r="G258" s="80">
        <v>3</v>
      </c>
      <c r="H258" s="80">
        <v>1</v>
      </c>
      <c r="I258" s="80">
        <v>26.272727272727273</v>
      </c>
      <c r="J258" s="80">
        <v>7</v>
      </c>
      <c r="K258" s="80">
        <v>1</v>
      </c>
      <c r="L258" s="80">
        <v>0</v>
      </c>
      <c r="M258" s="80">
        <v>27.272727272727273</v>
      </c>
      <c r="N258" s="81">
        <v>6</v>
      </c>
      <c r="O258" s="80" t="s">
        <v>425</v>
      </c>
      <c r="P258" s="80">
        <v>8</v>
      </c>
      <c r="Q258" s="82">
        <v>8</v>
      </c>
    </row>
    <row r="259" spans="1:17" x14ac:dyDescent="0.25">
      <c r="A259" s="52" t="s">
        <v>1</v>
      </c>
      <c r="B259" s="51" t="s">
        <v>402</v>
      </c>
      <c r="C259" s="51" t="s">
        <v>383</v>
      </c>
      <c r="D259" s="51">
        <v>9.5</v>
      </c>
      <c r="E259" s="51">
        <v>15.625</v>
      </c>
      <c r="F259" s="51" t="s">
        <v>381</v>
      </c>
      <c r="G259" s="51">
        <v>2</v>
      </c>
      <c r="H259" s="51">
        <v>15</v>
      </c>
      <c r="I259" s="51">
        <v>7.7272727272727302</v>
      </c>
      <c r="J259" s="51">
        <v>6</v>
      </c>
      <c r="K259" s="51">
        <v>2</v>
      </c>
      <c r="L259" s="51">
        <v>0</v>
      </c>
      <c r="M259" s="51">
        <v>22.72727272727273</v>
      </c>
      <c r="N259" s="56">
        <v>5</v>
      </c>
      <c r="O259" s="51" t="s">
        <v>425</v>
      </c>
      <c r="P259" s="51">
        <v>8</v>
      </c>
      <c r="Q259" s="77">
        <v>8</v>
      </c>
    </row>
    <row r="260" spans="1:17" x14ac:dyDescent="0.25">
      <c r="A260" s="52" t="s">
        <v>39</v>
      </c>
      <c r="B260" s="51" t="s">
        <v>38</v>
      </c>
      <c r="C260" s="51" t="s">
        <v>363</v>
      </c>
      <c r="D260" s="51">
        <v>11.5</v>
      </c>
      <c r="E260" s="51">
        <v>21.875</v>
      </c>
      <c r="F260" s="51" t="s">
        <v>378</v>
      </c>
      <c r="G260" s="51">
        <v>1</v>
      </c>
      <c r="H260" s="51">
        <v>23</v>
      </c>
      <c r="I260" s="51">
        <v>-0.27272727272726982</v>
      </c>
      <c r="J260" s="51">
        <v>6</v>
      </c>
      <c r="K260" s="51">
        <v>2</v>
      </c>
      <c r="L260" s="51">
        <v>0</v>
      </c>
      <c r="M260" s="51">
        <v>22.72727272727273</v>
      </c>
      <c r="N260" s="56">
        <v>5</v>
      </c>
      <c r="O260" s="51" t="s">
        <v>425</v>
      </c>
      <c r="P260" s="51">
        <v>8</v>
      </c>
      <c r="Q260" s="77">
        <v>8</v>
      </c>
    </row>
    <row r="261" spans="1:17" x14ac:dyDescent="0.25">
      <c r="A261" s="52" t="s">
        <v>64</v>
      </c>
      <c r="B261" s="51" t="s">
        <v>63</v>
      </c>
      <c r="C261" s="51" t="s">
        <v>367</v>
      </c>
      <c r="D261" s="51">
        <v>9.5</v>
      </c>
      <c r="E261" s="51">
        <v>15.625</v>
      </c>
      <c r="F261" s="51" t="s">
        <v>381</v>
      </c>
      <c r="G261" s="51">
        <v>1</v>
      </c>
      <c r="H261" s="51">
        <v>17</v>
      </c>
      <c r="I261" s="51">
        <v>5.7272727272727302</v>
      </c>
      <c r="J261" s="51">
        <v>6</v>
      </c>
      <c r="K261" s="51">
        <v>2</v>
      </c>
      <c r="L261" s="51">
        <v>0</v>
      </c>
      <c r="M261" s="51">
        <v>22.72727272727273</v>
      </c>
      <c r="N261" s="56">
        <v>5</v>
      </c>
      <c r="O261" s="51" t="s">
        <v>425</v>
      </c>
      <c r="P261" s="51">
        <v>8</v>
      </c>
      <c r="Q261" s="77">
        <v>8</v>
      </c>
    </row>
    <row r="262" spans="1:17" x14ac:dyDescent="0.25">
      <c r="A262" s="52" t="s">
        <v>46</v>
      </c>
      <c r="B262" s="51" t="s">
        <v>404</v>
      </c>
      <c r="C262" s="51" t="s">
        <v>359</v>
      </c>
      <c r="D262" s="51">
        <v>8.5</v>
      </c>
      <c r="E262" s="51">
        <v>12.5</v>
      </c>
      <c r="F262" s="51" t="s">
        <v>381</v>
      </c>
      <c r="G262" s="51">
        <v>3</v>
      </c>
      <c r="H262" s="51">
        <v>10</v>
      </c>
      <c r="I262" s="51">
        <v>12.72727272727273</v>
      </c>
      <c r="J262" s="51">
        <v>6</v>
      </c>
      <c r="K262" s="51">
        <v>2</v>
      </c>
      <c r="L262" s="51">
        <v>0</v>
      </c>
      <c r="M262" s="51">
        <v>22.72727272727273</v>
      </c>
      <c r="N262" s="56">
        <v>5</v>
      </c>
      <c r="O262" s="51" t="s">
        <v>425</v>
      </c>
      <c r="P262" s="51">
        <v>8</v>
      </c>
      <c r="Q262" s="77">
        <v>8</v>
      </c>
    </row>
    <row r="263" spans="1:17" x14ac:dyDescent="0.25">
      <c r="A263" s="52" t="s">
        <v>7</v>
      </c>
      <c r="B263" s="51" t="s">
        <v>405</v>
      </c>
      <c r="C263" s="51" t="s">
        <v>355</v>
      </c>
      <c r="D263" s="51">
        <v>10.5</v>
      </c>
      <c r="E263" s="51">
        <v>18.75</v>
      </c>
      <c r="F263" s="51" t="s">
        <v>380</v>
      </c>
      <c r="G263" s="51">
        <v>1</v>
      </c>
      <c r="H263" s="51">
        <v>18</v>
      </c>
      <c r="I263" s="51">
        <v>0.18181818181818343</v>
      </c>
      <c r="J263" s="51">
        <v>5</v>
      </c>
      <c r="K263" s="51">
        <v>3</v>
      </c>
      <c r="L263" s="51">
        <v>0</v>
      </c>
      <c r="M263" s="51">
        <v>18.181818181818183</v>
      </c>
      <c r="N263" s="56">
        <v>4</v>
      </c>
      <c r="O263" s="51" t="s">
        <v>425</v>
      </c>
      <c r="P263" s="51">
        <v>8</v>
      </c>
      <c r="Q263" s="77">
        <v>8</v>
      </c>
    </row>
    <row r="264" spans="1:17" x14ac:dyDescent="0.25">
      <c r="A264" s="52" t="s">
        <v>22</v>
      </c>
      <c r="B264" s="51" t="s">
        <v>21</v>
      </c>
      <c r="C264" s="51" t="s">
        <v>355</v>
      </c>
      <c r="D264" s="51">
        <v>9.5</v>
      </c>
      <c r="E264" s="51">
        <v>15.625</v>
      </c>
      <c r="F264" s="51" t="s">
        <v>382</v>
      </c>
      <c r="G264" s="51">
        <v>2</v>
      </c>
      <c r="H264" s="51">
        <v>15</v>
      </c>
      <c r="I264" s="51">
        <v>3.1818181818181834</v>
      </c>
      <c r="J264" s="51">
        <v>5</v>
      </c>
      <c r="K264" s="51">
        <v>2</v>
      </c>
      <c r="L264" s="51">
        <v>0</v>
      </c>
      <c r="M264" s="51">
        <v>18.181818181818183</v>
      </c>
      <c r="N264" s="56">
        <v>4</v>
      </c>
      <c r="O264" s="51" t="s">
        <v>421</v>
      </c>
      <c r="P264" s="51">
        <v>7</v>
      </c>
      <c r="Q264" s="77">
        <v>8</v>
      </c>
    </row>
    <row r="265" spans="1:17" x14ac:dyDescent="0.25">
      <c r="A265" s="52" t="s">
        <v>11</v>
      </c>
      <c r="B265" s="51" t="s">
        <v>10</v>
      </c>
      <c r="C265" s="51" t="s">
        <v>357</v>
      </c>
      <c r="D265" s="51">
        <v>10.5</v>
      </c>
      <c r="E265" s="51">
        <v>18.75</v>
      </c>
      <c r="F265" s="51" t="s">
        <v>378</v>
      </c>
      <c r="G265" s="51">
        <v>2</v>
      </c>
      <c r="H265" s="51">
        <v>19</v>
      </c>
      <c r="I265" s="51">
        <v>-0.81818181818181657</v>
      </c>
      <c r="J265" s="51">
        <v>5</v>
      </c>
      <c r="K265" s="51">
        <v>2</v>
      </c>
      <c r="L265" s="51">
        <v>0</v>
      </c>
      <c r="M265" s="51">
        <v>18.181818181818183</v>
      </c>
      <c r="N265" s="56">
        <v>4</v>
      </c>
      <c r="O265" s="51" t="s">
        <v>421</v>
      </c>
      <c r="P265" s="51">
        <v>7</v>
      </c>
      <c r="Q265" s="77">
        <v>8</v>
      </c>
    </row>
    <row r="266" spans="1:17" x14ac:dyDescent="0.25">
      <c r="A266" s="52" t="s">
        <v>9</v>
      </c>
      <c r="B266" s="51" t="s">
        <v>55</v>
      </c>
      <c r="C266" s="51" t="s">
        <v>355</v>
      </c>
      <c r="D266" s="51">
        <v>8.5</v>
      </c>
      <c r="E266" s="51">
        <v>12.5</v>
      </c>
      <c r="F266" s="51" t="s">
        <v>376</v>
      </c>
      <c r="G266" s="51">
        <v>4</v>
      </c>
      <c r="H266" s="51">
        <v>11</v>
      </c>
      <c r="I266" s="51">
        <v>7.1818181818181834</v>
      </c>
      <c r="J266" s="51">
        <v>5</v>
      </c>
      <c r="K266" s="51">
        <v>2</v>
      </c>
      <c r="L266" s="51">
        <v>0</v>
      </c>
      <c r="M266" s="51">
        <v>18.181818181818183</v>
      </c>
      <c r="N266" s="56">
        <v>4</v>
      </c>
      <c r="O266" s="51" t="s">
        <v>421</v>
      </c>
      <c r="P266" s="51">
        <v>7</v>
      </c>
      <c r="Q266" s="77">
        <v>8</v>
      </c>
    </row>
    <row r="267" spans="1:17" x14ac:dyDescent="0.25">
      <c r="A267" s="52" t="s">
        <v>26</v>
      </c>
      <c r="B267" s="51" t="s">
        <v>25</v>
      </c>
      <c r="C267" s="51" t="s">
        <v>359</v>
      </c>
      <c r="D267" s="51">
        <v>11.5</v>
      </c>
      <c r="E267" s="51">
        <v>21.875</v>
      </c>
      <c r="F267" s="51" t="s">
        <v>384</v>
      </c>
      <c r="G267" s="51">
        <v>1</v>
      </c>
      <c r="H267" s="51">
        <v>24</v>
      </c>
      <c r="I267" s="51">
        <v>-5.8181818181818166</v>
      </c>
      <c r="J267" s="51">
        <v>5</v>
      </c>
      <c r="K267" s="51">
        <v>2</v>
      </c>
      <c r="L267" s="51">
        <v>0</v>
      </c>
      <c r="M267" s="51">
        <v>18.181818181818183</v>
      </c>
      <c r="N267" s="56">
        <v>4</v>
      </c>
      <c r="O267" s="51" t="s">
        <v>421</v>
      </c>
      <c r="P267" s="51">
        <v>7</v>
      </c>
      <c r="Q267" s="77">
        <v>8</v>
      </c>
    </row>
    <row r="268" spans="1:17" x14ac:dyDescent="0.25">
      <c r="A268" s="52" t="s">
        <v>61</v>
      </c>
      <c r="B268" s="51" t="s">
        <v>60</v>
      </c>
      <c r="C268" s="51" t="s">
        <v>367</v>
      </c>
      <c r="D268" s="51">
        <v>9.5</v>
      </c>
      <c r="E268" s="51">
        <v>15.625</v>
      </c>
      <c r="F268" s="51" t="s">
        <v>376</v>
      </c>
      <c r="G268" s="51">
        <v>2</v>
      </c>
      <c r="H268" s="51">
        <v>13</v>
      </c>
      <c r="I268" s="51">
        <v>5.1818181818181834</v>
      </c>
      <c r="J268" s="51">
        <v>5</v>
      </c>
      <c r="K268" s="51">
        <v>3</v>
      </c>
      <c r="L268" s="51">
        <v>0</v>
      </c>
      <c r="M268" s="51">
        <v>18.181818181818183</v>
      </c>
      <c r="N268" s="56">
        <v>4</v>
      </c>
      <c r="O268" s="51" t="s">
        <v>425</v>
      </c>
      <c r="P268" s="51">
        <v>8</v>
      </c>
      <c r="Q268" s="77">
        <v>8</v>
      </c>
    </row>
    <row r="269" spans="1:17" x14ac:dyDescent="0.25">
      <c r="A269" s="52" t="s">
        <v>35</v>
      </c>
      <c r="B269" s="51" t="s">
        <v>400</v>
      </c>
      <c r="C269" s="51" t="s">
        <v>357</v>
      </c>
      <c r="D269" s="51">
        <v>10.5</v>
      </c>
      <c r="E269" s="51">
        <v>18.75</v>
      </c>
      <c r="F269" s="51" t="s">
        <v>382</v>
      </c>
      <c r="G269" s="51">
        <v>1</v>
      </c>
      <c r="H269" s="51">
        <v>17</v>
      </c>
      <c r="I269" s="51">
        <v>1.1818181818181834</v>
      </c>
      <c r="J269" s="51">
        <v>5</v>
      </c>
      <c r="K269" s="51">
        <v>1</v>
      </c>
      <c r="L269" s="51">
        <v>1</v>
      </c>
      <c r="M269" s="51">
        <v>18.181818181818183</v>
      </c>
      <c r="N269" s="56">
        <v>4</v>
      </c>
      <c r="O269" s="51" t="s">
        <v>421</v>
      </c>
      <c r="P269" s="51">
        <v>7</v>
      </c>
      <c r="Q269" s="77">
        <v>8</v>
      </c>
    </row>
    <row r="270" spans="1:17" x14ac:dyDescent="0.25">
      <c r="A270" s="52" t="s">
        <v>37</v>
      </c>
      <c r="B270" s="51" t="s">
        <v>44</v>
      </c>
      <c r="C270" s="51" t="s">
        <v>368</v>
      </c>
      <c r="D270" s="51">
        <v>7.5</v>
      </c>
      <c r="E270" s="51">
        <v>9.375</v>
      </c>
      <c r="F270" s="51" t="s">
        <v>382</v>
      </c>
      <c r="G270" s="51">
        <v>3</v>
      </c>
      <c r="H270" s="51">
        <v>10</v>
      </c>
      <c r="I270" s="51">
        <v>3.6363636363636367</v>
      </c>
      <c r="J270" s="51">
        <v>4</v>
      </c>
      <c r="K270" s="51">
        <v>3</v>
      </c>
      <c r="L270" s="51">
        <v>0</v>
      </c>
      <c r="M270" s="51">
        <v>13.636363636363637</v>
      </c>
      <c r="N270" s="56">
        <v>3</v>
      </c>
      <c r="O270" s="51" t="s">
        <v>421</v>
      </c>
      <c r="P270" s="51">
        <v>7</v>
      </c>
      <c r="Q270" s="77">
        <v>8</v>
      </c>
    </row>
    <row r="271" spans="1:17" x14ac:dyDescent="0.25">
      <c r="A271" s="52" t="s">
        <v>74</v>
      </c>
      <c r="B271" s="51" t="s">
        <v>85</v>
      </c>
      <c r="C271" s="51" t="s">
        <v>352</v>
      </c>
      <c r="D271" s="51">
        <v>8.5</v>
      </c>
      <c r="E271" s="51">
        <v>12.5</v>
      </c>
      <c r="F271" s="51" t="s">
        <v>384</v>
      </c>
      <c r="G271" s="51">
        <v>2</v>
      </c>
      <c r="H271" s="51">
        <v>14</v>
      </c>
      <c r="I271" s="51">
        <v>-0.36363636363636331</v>
      </c>
      <c r="J271" s="51">
        <v>4</v>
      </c>
      <c r="K271" s="51">
        <v>3</v>
      </c>
      <c r="L271" s="51">
        <v>0</v>
      </c>
      <c r="M271" s="51">
        <v>13.636363636363637</v>
      </c>
      <c r="N271" s="56">
        <v>3</v>
      </c>
      <c r="O271" s="51" t="s">
        <v>421</v>
      </c>
      <c r="P271" s="51">
        <v>7</v>
      </c>
      <c r="Q271" s="77">
        <v>8</v>
      </c>
    </row>
    <row r="272" spans="1:17" x14ac:dyDescent="0.25">
      <c r="A272" s="52" t="s">
        <v>13</v>
      </c>
      <c r="B272" s="51" t="s">
        <v>67</v>
      </c>
      <c r="C272" s="51" t="s">
        <v>383</v>
      </c>
      <c r="D272" s="51">
        <v>6.5</v>
      </c>
      <c r="E272" s="51">
        <v>6.25</v>
      </c>
      <c r="F272" s="51" t="s">
        <v>384</v>
      </c>
      <c r="G272" s="51">
        <v>3</v>
      </c>
      <c r="H272" s="51">
        <v>3</v>
      </c>
      <c r="I272" s="51">
        <v>10.636363636363637</v>
      </c>
      <c r="J272" s="51">
        <v>4</v>
      </c>
      <c r="K272" s="51">
        <v>4</v>
      </c>
      <c r="L272" s="51">
        <v>0</v>
      </c>
      <c r="M272" s="51">
        <v>13.636363636363637</v>
      </c>
      <c r="N272" s="56">
        <v>3</v>
      </c>
      <c r="O272" s="51" t="s">
        <v>425</v>
      </c>
      <c r="P272" s="51">
        <v>8</v>
      </c>
      <c r="Q272" s="77">
        <v>8</v>
      </c>
    </row>
    <row r="273" spans="1:17" x14ac:dyDescent="0.25">
      <c r="A273" s="52" t="s">
        <v>17</v>
      </c>
      <c r="B273" s="51" t="s">
        <v>399</v>
      </c>
      <c r="C273" s="51" t="s">
        <v>367</v>
      </c>
      <c r="D273" s="51">
        <v>11.5</v>
      </c>
      <c r="E273" s="51">
        <v>21.875</v>
      </c>
      <c r="F273" s="51" t="s">
        <v>377</v>
      </c>
      <c r="G273" s="51">
        <v>1</v>
      </c>
      <c r="H273" s="51">
        <v>24</v>
      </c>
      <c r="I273" s="51">
        <v>-5.8181818181818166</v>
      </c>
      <c r="J273" s="51">
        <v>5</v>
      </c>
      <c r="K273" s="51">
        <v>3</v>
      </c>
      <c r="L273" s="51">
        <v>0</v>
      </c>
      <c r="M273" s="51">
        <v>18.181818181818183</v>
      </c>
      <c r="N273" s="56">
        <v>4</v>
      </c>
      <c r="O273" s="51" t="s">
        <v>425</v>
      </c>
      <c r="P273" s="51">
        <v>8</v>
      </c>
      <c r="Q273" s="77">
        <v>8</v>
      </c>
    </row>
    <row r="274" spans="1:17" x14ac:dyDescent="0.25">
      <c r="A274" s="52" t="s">
        <v>66</v>
      </c>
      <c r="B274" s="51" t="s">
        <v>72</v>
      </c>
      <c r="C274" s="51" t="s">
        <v>357</v>
      </c>
      <c r="D274" s="51">
        <v>8.5</v>
      </c>
      <c r="E274" s="51">
        <v>12.5</v>
      </c>
      <c r="F274" s="51" t="s">
        <v>379</v>
      </c>
      <c r="G274" s="51">
        <v>3</v>
      </c>
      <c r="H274" s="51">
        <v>4</v>
      </c>
      <c r="I274" s="51">
        <v>9.6363636363636367</v>
      </c>
      <c r="J274" s="51">
        <v>4</v>
      </c>
      <c r="K274" s="51">
        <v>3</v>
      </c>
      <c r="L274" s="51">
        <v>0</v>
      </c>
      <c r="M274" s="51">
        <v>13.636363636363637</v>
      </c>
      <c r="N274" s="56">
        <v>3</v>
      </c>
      <c r="O274" s="51" t="s">
        <v>421</v>
      </c>
      <c r="P274" s="51">
        <v>7</v>
      </c>
      <c r="Q274" s="77">
        <v>8</v>
      </c>
    </row>
    <row r="275" spans="1:17" x14ac:dyDescent="0.25">
      <c r="A275" s="52" t="s">
        <v>5</v>
      </c>
      <c r="B275" s="51" t="s">
        <v>41</v>
      </c>
      <c r="C275" s="51" t="s">
        <v>363</v>
      </c>
      <c r="D275" s="51">
        <v>9.5</v>
      </c>
      <c r="E275" s="51">
        <v>15.625</v>
      </c>
      <c r="F275" s="51" t="s">
        <v>377</v>
      </c>
      <c r="G275" s="51">
        <v>2</v>
      </c>
      <c r="H275" s="51">
        <v>19</v>
      </c>
      <c r="I275" s="51">
        <v>-9.9090909090909083</v>
      </c>
      <c r="J275" s="51">
        <v>3</v>
      </c>
      <c r="K275" s="51">
        <v>5</v>
      </c>
      <c r="L275" s="51">
        <v>0</v>
      </c>
      <c r="M275" s="51">
        <v>9.0909090909090917</v>
      </c>
      <c r="N275" s="56">
        <v>2</v>
      </c>
      <c r="O275" s="51" t="s">
        <v>425</v>
      </c>
      <c r="P275" s="51">
        <v>8</v>
      </c>
      <c r="Q275" s="77">
        <v>8</v>
      </c>
    </row>
    <row r="276" spans="1:17" x14ac:dyDescent="0.25">
      <c r="A276" s="52" t="s">
        <v>59</v>
      </c>
      <c r="B276" s="51" t="s">
        <v>75</v>
      </c>
      <c r="C276" s="51" t="s">
        <v>357</v>
      </c>
      <c r="D276" s="51">
        <v>8.5</v>
      </c>
      <c r="E276" s="51">
        <v>12.5</v>
      </c>
      <c r="F276" s="51" t="s">
        <v>376</v>
      </c>
      <c r="G276" s="51">
        <v>1</v>
      </c>
      <c r="H276" s="51">
        <v>14</v>
      </c>
      <c r="I276" s="51">
        <v>-4.9090909090909083</v>
      </c>
      <c r="J276" s="51">
        <v>3</v>
      </c>
      <c r="K276" s="51">
        <v>4</v>
      </c>
      <c r="L276" s="51">
        <v>0</v>
      </c>
      <c r="M276" s="51">
        <v>9.0909090909090917</v>
      </c>
      <c r="N276" s="56">
        <v>2</v>
      </c>
      <c r="O276" s="51" t="s">
        <v>421</v>
      </c>
      <c r="P276" s="51">
        <v>7</v>
      </c>
      <c r="Q276" s="77">
        <v>8</v>
      </c>
    </row>
    <row r="277" spans="1:17" x14ac:dyDescent="0.25">
      <c r="A277" s="52" t="s">
        <v>70</v>
      </c>
      <c r="B277" s="51" t="s">
        <v>69</v>
      </c>
      <c r="C277" s="51" t="s">
        <v>383</v>
      </c>
      <c r="D277" s="51">
        <v>7.5</v>
      </c>
      <c r="E277" s="51">
        <v>9.375</v>
      </c>
      <c r="F277" s="51" t="s">
        <v>376</v>
      </c>
      <c r="G277" s="51">
        <v>3</v>
      </c>
      <c r="H277" s="51">
        <v>12</v>
      </c>
      <c r="I277" s="51">
        <v>-2.9090909090909083</v>
      </c>
      <c r="J277" s="51">
        <v>3</v>
      </c>
      <c r="K277" s="51">
        <v>4</v>
      </c>
      <c r="L277" s="51">
        <v>0</v>
      </c>
      <c r="M277" s="51">
        <v>9.0909090909090917</v>
      </c>
      <c r="N277" s="56">
        <v>2</v>
      </c>
      <c r="O277" s="51" t="s">
        <v>421</v>
      </c>
      <c r="P277" s="51">
        <v>7</v>
      </c>
      <c r="Q277" s="77">
        <v>8</v>
      </c>
    </row>
    <row r="278" spans="1:17" x14ac:dyDescent="0.25">
      <c r="A278" s="52" t="s">
        <v>54</v>
      </c>
      <c r="B278" s="51" t="s">
        <v>77</v>
      </c>
      <c r="C278" s="51" t="s">
        <v>352</v>
      </c>
      <c r="D278" s="51">
        <v>9.5</v>
      </c>
      <c r="E278" s="51">
        <v>15.625</v>
      </c>
      <c r="F278" s="51" t="s">
        <v>380</v>
      </c>
      <c r="G278" s="51">
        <v>3</v>
      </c>
      <c r="H278" s="51">
        <v>14</v>
      </c>
      <c r="I278" s="51">
        <v>-4.9090909090909083</v>
      </c>
      <c r="J278" s="51">
        <v>3</v>
      </c>
      <c r="K278" s="51">
        <v>5</v>
      </c>
      <c r="L278" s="51">
        <v>0</v>
      </c>
      <c r="M278" s="51">
        <v>9.0909090909090917</v>
      </c>
      <c r="N278" s="56">
        <v>2</v>
      </c>
      <c r="O278" s="51" t="s">
        <v>425</v>
      </c>
      <c r="P278" s="51">
        <v>8</v>
      </c>
      <c r="Q278" s="77">
        <v>8</v>
      </c>
    </row>
    <row r="279" spans="1:17" x14ac:dyDescent="0.25">
      <c r="A279" s="52" t="s">
        <v>15</v>
      </c>
      <c r="B279" s="51" t="s">
        <v>14</v>
      </c>
      <c r="C279" s="51" t="s">
        <v>363</v>
      </c>
      <c r="D279" s="51">
        <v>7.5</v>
      </c>
      <c r="E279" s="51">
        <v>9.375</v>
      </c>
      <c r="F279" s="51" t="s">
        <v>382</v>
      </c>
      <c r="G279" s="51">
        <v>4</v>
      </c>
      <c r="H279" s="51">
        <v>8</v>
      </c>
      <c r="I279" s="51">
        <v>1.0909090909090917</v>
      </c>
      <c r="J279" s="51">
        <v>3</v>
      </c>
      <c r="K279" s="51">
        <v>4</v>
      </c>
      <c r="L279" s="51">
        <v>1</v>
      </c>
      <c r="M279" s="51">
        <v>9.0909090909090917</v>
      </c>
      <c r="N279" s="56">
        <v>2</v>
      </c>
      <c r="O279" s="51" t="s">
        <v>425</v>
      </c>
      <c r="P279" s="51">
        <v>8</v>
      </c>
      <c r="Q279" s="77">
        <v>8</v>
      </c>
    </row>
    <row r="280" spans="1:17" x14ac:dyDescent="0.25">
      <c r="A280" s="52" t="s">
        <v>32</v>
      </c>
      <c r="B280" s="51" t="s">
        <v>31</v>
      </c>
      <c r="C280" s="51" t="s">
        <v>368</v>
      </c>
      <c r="D280" s="51">
        <v>9.5</v>
      </c>
      <c r="E280" s="51">
        <v>15.625</v>
      </c>
      <c r="F280" s="51" t="s">
        <v>380</v>
      </c>
      <c r="G280" s="51">
        <v>2</v>
      </c>
      <c r="H280" s="51">
        <v>17</v>
      </c>
      <c r="I280" s="51">
        <v>-7.9090909090909083</v>
      </c>
      <c r="J280" s="51">
        <v>3</v>
      </c>
      <c r="K280" s="51">
        <v>4</v>
      </c>
      <c r="L280" s="51">
        <v>0</v>
      </c>
      <c r="M280" s="51">
        <v>9.0909090909090917</v>
      </c>
      <c r="N280" s="56">
        <v>2</v>
      </c>
      <c r="O280" s="51" t="s">
        <v>421</v>
      </c>
      <c r="P280" s="51">
        <v>7</v>
      </c>
      <c r="Q280" s="77">
        <v>8</v>
      </c>
    </row>
    <row r="281" spans="1:17" x14ac:dyDescent="0.25">
      <c r="A281" s="52" t="s">
        <v>50</v>
      </c>
      <c r="B281" s="51" t="s">
        <v>95</v>
      </c>
      <c r="C281" s="51" t="s">
        <v>363</v>
      </c>
      <c r="D281" s="51">
        <v>5.5</v>
      </c>
      <c r="E281" s="51">
        <v>3.125</v>
      </c>
      <c r="F281" s="51" t="s">
        <v>377</v>
      </c>
      <c r="G281" s="51">
        <v>3</v>
      </c>
      <c r="H281" s="51">
        <v>4</v>
      </c>
      <c r="I281" s="51">
        <v>0.54545454545454586</v>
      </c>
      <c r="J281" s="51">
        <v>2</v>
      </c>
      <c r="K281" s="51">
        <v>6</v>
      </c>
      <c r="L281" s="51">
        <v>0</v>
      </c>
      <c r="M281" s="51">
        <v>4.5454545454545459</v>
      </c>
      <c r="N281" s="56">
        <v>1</v>
      </c>
      <c r="O281" s="51" t="s">
        <v>425</v>
      </c>
      <c r="P281" s="51">
        <v>8</v>
      </c>
      <c r="Q281" s="77">
        <v>8</v>
      </c>
    </row>
    <row r="282" spans="1:17" x14ac:dyDescent="0.25">
      <c r="A282" s="52" t="s">
        <v>28</v>
      </c>
      <c r="B282" s="51" t="s">
        <v>93</v>
      </c>
      <c r="C282" s="51" t="s">
        <v>355</v>
      </c>
      <c r="D282" s="51">
        <v>8.5</v>
      </c>
      <c r="E282" s="51">
        <v>12.5</v>
      </c>
      <c r="F282" s="51" t="s">
        <v>379</v>
      </c>
      <c r="G282" s="51">
        <v>2</v>
      </c>
      <c r="H282" s="51">
        <v>12</v>
      </c>
      <c r="I282" s="51">
        <v>-7.4545454545454541</v>
      </c>
      <c r="J282" s="51">
        <v>2</v>
      </c>
      <c r="K282" s="51">
        <v>5</v>
      </c>
      <c r="L282" s="51">
        <v>0</v>
      </c>
      <c r="M282" s="51">
        <v>4.5454545454545459</v>
      </c>
      <c r="N282" s="56">
        <v>1</v>
      </c>
      <c r="O282" s="51" t="s">
        <v>421</v>
      </c>
      <c r="P282" s="51">
        <v>7</v>
      </c>
      <c r="Q282" s="77">
        <v>8</v>
      </c>
    </row>
    <row r="283" spans="1:17" x14ac:dyDescent="0.25">
      <c r="A283" s="52" t="s">
        <v>81</v>
      </c>
      <c r="B283" s="51" t="s">
        <v>423</v>
      </c>
      <c r="C283" s="51" t="s">
        <v>367</v>
      </c>
      <c r="D283" s="51">
        <v>6.5</v>
      </c>
      <c r="E283" s="51">
        <v>6.25</v>
      </c>
      <c r="F283" s="51" t="s">
        <v>384</v>
      </c>
      <c r="G283" s="51">
        <v>4</v>
      </c>
      <c r="H283" s="51">
        <v>9</v>
      </c>
      <c r="I283" s="51">
        <v>-4.4545454545454541</v>
      </c>
      <c r="J283" s="51">
        <v>2</v>
      </c>
      <c r="K283" s="51">
        <v>5</v>
      </c>
      <c r="L283" s="51">
        <v>0</v>
      </c>
      <c r="M283" s="51">
        <v>4.5454545454545459</v>
      </c>
      <c r="N283" s="56">
        <v>1</v>
      </c>
      <c r="O283" s="51" t="s">
        <v>421</v>
      </c>
      <c r="P283" s="51">
        <v>7</v>
      </c>
      <c r="Q283" s="77">
        <v>8</v>
      </c>
    </row>
    <row r="284" spans="1:17" x14ac:dyDescent="0.25">
      <c r="A284" s="52" t="s">
        <v>84</v>
      </c>
      <c r="B284" s="51" t="s">
        <v>91</v>
      </c>
      <c r="C284" s="51" t="s">
        <v>352</v>
      </c>
      <c r="D284" s="51">
        <v>4.5</v>
      </c>
      <c r="E284" s="51">
        <v>0</v>
      </c>
      <c r="F284" s="51" t="s">
        <v>380</v>
      </c>
      <c r="G284" s="51">
        <v>4</v>
      </c>
      <c r="H284" s="51">
        <v>1</v>
      </c>
      <c r="I284" s="51">
        <v>3.5454545454545459</v>
      </c>
      <c r="J284" s="51">
        <v>2</v>
      </c>
      <c r="K284" s="51">
        <v>6</v>
      </c>
      <c r="L284" s="51">
        <v>0</v>
      </c>
      <c r="M284" s="51">
        <v>4.5454545454545459</v>
      </c>
      <c r="N284" s="56">
        <v>1</v>
      </c>
      <c r="O284" s="51" t="s">
        <v>425</v>
      </c>
      <c r="P284" s="51">
        <v>8</v>
      </c>
      <c r="Q284" s="77">
        <v>8</v>
      </c>
    </row>
    <row r="285" spans="1:17" x14ac:dyDescent="0.25">
      <c r="A285" s="52" t="s">
        <v>48</v>
      </c>
      <c r="B285" s="51" t="s">
        <v>47</v>
      </c>
      <c r="C285" s="51" t="s">
        <v>352</v>
      </c>
      <c r="D285" s="51">
        <v>11.5</v>
      </c>
      <c r="E285" s="51">
        <v>21.875</v>
      </c>
      <c r="F285" s="51" t="s">
        <v>379</v>
      </c>
      <c r="G285" s="51">
        <v>1</v>
      </c>
      <c r="H285" s="51">
        <v>25</v>
      </c>
      <c r="I285" s="51">
        <v>-20.454545454545453</v>
      </c>
      <c r="J285" s="51">
        <v>2</v>
      </c>
      <c r="K285" s="51">
        <v>5</v>
      </c>
      <c r="L285" s="51">
        <v>0</v>
      </c>
      <c r="M285" s="51">
        <v>4.5454545454545459</v>
      </c>
      <c r="N285" s="56">
        <v>1</v>
      </c>
      <c r="O285" s="51" t="s">
        <v>421</v>
      </c>
      <c r="P285" s="51">
        <v>7</v>
      </c>
      <c r="Q285" s="77">
        <v>8</v>
      </c>
    </row>
    <row r="286" spans="1:17" x14ac:dyDescent="0.25">
      <c r="A286" s="52" t="s">
        <v>3</v>
      </c>
      <c r="B286" s="51" t="s">
        <v>2</v>
      </c>
      <c r="C286" s="51" t="s">
        <v>359</v>
      </c>
      <c r="D286" s="51">
        <v>7.5</v>
      </c>
      <c r="E286" s="51">
        <v>9.375</v>
      </c>
      <c r="F286" s="51" t="s">
        <v>381</v>
      </c>
      <c r="G286" s="51">
        <v>4</v>
      </c>
      <c r="H286" s="51">
        <v>8</v>
      </c>
      <c r="I286" s="51">
        <v>-3.4545454545454541</v>
      </c>
      <c r="J286" s="51">
        <v>2</v>
      </c>
      <c r="K286" s="51">
        <v>6</v>
      </c>
      <c r="L286" s="51">
        <v>0</v>
      </c>
      <c r="M286" s="51">
        <v>4.5454545454545459</v>
      </c>
      <c r="N286" s="56">
        <v>1</v>
      </c>
      <c r="O286" s="51" t="s">
        <v>425</v>
      </c>
      <c r="P286" s="51">
        <v>8</v>
      </c>
      <c r="Q286" s="77">
        <v>8</v>
      </c>
    </row>
    <row r="287" spans="1:17" x14ac:dyDescent="0.25">
      <c r="A287" s="52" t="s">
        <v>52</v>
      </c>
      <c r="B287" s="51" t="s">
        <v>403</v>
      </c>
      <c r="C287" s="51" t="s">
        <v>383</v>
      </c>
      <c r="D287" s="51">
        <v>5.5</v>
      </c>
      <c r="E287" s="51">
        <v>3.125</v>
      </c>
      <c r="F287" s="51" t="s">
        <v>377</v>
      </c>
      <c r="G287" s="51">
        <v>4</v>
      </c>
      <c r="H287" s="51">
        <v>3</v>
      </c>
      <c r="I287" s="51">
        <v>-3</v>
      </c>
      <c r="J287" s="51">
        <v>1</v>
      </c>
      <c r="K287" s="51">
        <v>7</v>
      </c>
      <c r="L287" s="51">
        <v>0</v>
      </c>
      <c r="M287" s="51">
        <v>0</v>
      </c>
      <c r="N287" s="56">
        <v>0</v>
      </c>
      <c r="O287" s="51" t="s">
        <v>425</v>
      </c>
      <c r="P287" s="51">
        <v>8</v>
      </c>
      <c r="Q287" s="77">
        <v>8</v>
      </c>
    </row>
    <row r="288" spans="1:17" x14ac:dyDescent="0.25">
      <c r="A288" s="52" t="s">
        <v>20</v>
      </c>
      <c r="B288" s="51" t="s">
        <v>89</v>
      </c>
      <c r="C288" s="51" t="s">
        <v>368</v>
      </c>
      <c r="D288" s="51">
        <v>5.5</v>
      </c>
      <c r="E288" s="51">
        <v>3.125</v>
      </c>
      <c r="F288" s="51" t="s">
        <v>378</v>
      </c>
      <c r="G288" s="51">
        <v>4</v>
      </c>
      <c r="H288" s="51">
        <v>7</v>
      </c>
      <c r="I288" s="51">
        <v>-7</v>
      </c>
      <c r="J288" s="51">
        <v>1</v>
      </c>
      <c r="K288" s="51">
        <v>7</v>
      </c>
      <c r="L288" s="51">
        <v>0</v>
      </c>
      <c r="M288" s="51">
        <v>0</v>
      </c>
      <c r="N288" s="56">
        <v>0</v>
      </c>
      <c r="O288" s="51" t="s">
        <v>425</v>
      </c>
      <c r="P288" s="51">
        <v>8</v>
      </c>
      <c r="Q288" s="77">
        <v>8</v>
      </c>
    </row>
    <row r="289" spans="1:17" ht="15.75" thickBot="1" x14ac:dyDescent="0.3">
      <c r="A289" s="53" t="s">
        <v>24</v>
      </c>
      <c r="B289" s="54" t="s">
        <v>79</v>
      </c>
      <c r="C289" s="54" t="s">
        <v>359</v>
      </c>
      <c r="D289" s="54">
        <v>5.5</v>
      </c>
      <c r="E289" s="54">
        <v>3.125</v>
      </c>
      <c r="F289" s="54" t="s">
        <v>379</v>
      </c>
      <c r="G289" s="54">
        <v>4</v>
      </c>
      <c r="H289" s="54">
        <v>9</v>
      </c>
      <c r="I289" s="54">
        <v>-9</v>
      </c>
      <c r="J289" s="54">
        <v>1</v>
      </c>
      <c r="K289" s="54">
        <v>7</v>
      </c>
      <c r="L289" s="54">
        <v>0</v>
      </c>
      <c r="M289" s="54">
        <v>0</v>
      </c>
      <c r="N289" s="57">
        <v>0</v>
      </c>
      <c r="O289" s="54" t="s">
        <v>425</v>
      </c>
      <c r="P289" s="54">
        <v>8</v>
      </c>
      <c r="Q289" s="78">
        <v>8</v>
      </c>
    </row>
    <row r="290" spans="1:17" x14ac:dyDescent="0.25">
      <c r="A290" s="79" t="s">
        <v>43</v>
      </c>
      <c r="B290" s="80" t="s">
        <v>57</v>
      </c>
      <c r="C290" s="80" t="s">
        <v>368</v>
      </c>
      <c r="D290" s="80">
        <v>7.5</v>
      </c>
      <c r="E290" s="80">
        <v>9.375</v>
      </c>
      <c r="F290" s="80" t="s">
        <v>378</v>
      </c>
      <c r="G290" s="80">
        <v>3</v>
      </c>
      <c r="H290" s="80">
        <v>1</v>
      </c>
      <c r="I290" s="80">
        <v>22.52941176470588</v>
      </c>
      <c r="J290" s="80">
        <v>7</v>
      </c>
      <c r="K290" s="80">
        <v>2</v>
      </c>
      <c r="L290" s="80">
        <v>0</v>
      </c>
      <c r="M290" s="80">
        <v>23.52941176470588</v>
      </c>
      <c r="N290" s="81">
        <v>6</v>
      </c>
      <c r="O290" s="80" t="s">
        <v>425</v>
      </c>
      <c r="P290" s="80">
        <v>9</v>
      </c>
      <c r="Q290" s="82">
        <v>9</v>
      </c>
    </row>
    <row r="291" spans="1:17" x14ac:dyDescent="0.25">
      <c r="A291" s="52" t="s">
        <v>64</v>
      </c>
      <c r="B291" s="51" t="s">
        <v>63</v>
      </c>
      <c r="C291" s="51" t="s">
        <v>367</v>
      </c>
      <c r="D291" s="51">
        <v>9.5</v>
      </c>
      <c r="E291" s="51">
        <v>15.625</v>
      </c>
      <c r="F291" s="51" t="s">
        <v>381</v>
      </c>
      <c r="G291" s="51">
        <v>1</v>
      </c>
      <c r="H291" s="51">
        <v>17</v>
      </c>
      <c r="I291" s="51">
        <v>6.5294117647058805</v>
      </c>
      <c r="J291" s="51">
        <v>7</v>
      </c>
      <c r="K291" s="51">
        <v>2</v>
      </c>
      <c r="L291" s="51">
        <v>0</v>
      </c>
      <c r="M291" s="51">
        <v>23.52941176470588</v>
      </c>
      <c r="N291" s="56">
        <v>6</v>
      </c>
      <c r="O291" s="51" t="s">
        <v>425</v>
      </c>
      <c r="P291" s="51">
        <v>9</v>
      </c>
      <c r="Q291" s="77">
        <v>9</v>
      </c>
    </row>
    <row r="292" spans="1:17" x14ac:dyDescent="0.25">
      <c r="A292" s="52" t="s">
        <v>46</v>
      </c>
      <c r="B292" s="51" t="s">
        <v>404</v>
      </c>
      <c r="C292" s="51" t="s">
        <v>359</v>
      </c>
      <c r="D292" s="51">
        <v>8.5</v>
      </c>
      <c r="E292" s="51">
        <v>12.5</v>
      </c>
      <c r="F292" s="51" t="s">
        <v>381</v>
      </c>
      <c r="G292" s="51">
        <v>3</v>
      </c>
      <c r="H292" s="51">
        <v>10</v>
      </c>
      <c r="I292" s="51">
        <v>13.52941176470588</v>
      </c>
      <c r="J292" s="51">
        <v>7</v>
      </c>
      <c r="K292" s="51">
        <v>2</v>
      </c>
      <c r="L292" s="51">
        <v>0</v>
      </c>
      <c r="M292" s="51">
        <v>23.52941176470588</v>
      </c>
      <c r="N292" s="56">
        <v>6</v>
      </c>
      <c r="O292" s="51" t="s">
        <v>425</v>
      </c>
      <c r="P292" s="51">
        <v>9</v>
      </c>
      <c r="Q292" s="77">
        <v>9</v>
      </c>
    </row>
    <row r="293" spans="1:17" x14ac:dyDescent="0.25">
      <c r="A293" s="52" t="s">
        <v>1</v>
      </c>
      <c r="B293" s="51" t="s">
        <v>402</v>
      </c>
      <c r="C293" s="51" t="s">
        <v>383</v>
      </c>
      <c r="D293" s="51">
        <v>9.5</v>
      </c>
      <c r="E293" s="51">
        <v>15.625</v>
      </c>
      <c r="F293" s="51" t="s">
        <v>381</v>
      </c>
      <c r="G293" s="51">
        <v>2</v>
      </c>
      <c r="H293" s="51">
        <v>15</v>
      </c>
      <c r="I293" s="51">
        <v>4.6078431372548998</v>
      </c>
      <c r="J293" s="51">
        <v>6</v>
      </c>
      <c r="K293" s="51">
        <v>2</v>
      </c>
      <c r="L293" s="51">
        <v>0</v>
      </c>
      <c r="M293" s="51">
        <v>19.6078431372549</v>
      </c>
      <c r="N293" s="56">
        <v>5</v>
      </c>
      <c r="O293" s="51" t="s">
        <v>421</v>
      </c>
      <c r="P293" s="51">
        <v>8</v>
      </c>
      <c r="Q293" s="77">
        <v>9</v>
      </c>
    </row>
    <row r="294" spans="1:17" x14ac:dyDescent="0.25">
      <c r="A294" s="52" t="s">
        <v>39</v>
      </c>
      <c r="B294" s="51" t="s">
        <v>38</v>
      </c>
      <c r="C294" s="51" t="s">
        <v>363</v>
      </c>
      <c r="D294" s="51">
        <v>11.5</v>
      </c>
      <c r="E294" s="51">
        <v>21.875</v>
      </c>
      <c r="F294" s="51" t="s">
        <v>378</v>
      </c>
      <c r="G294" s="51">
        <v>1</v>
      </c>
      <c r="H294" s="51">
        <v>23</v>
      </c>
      <c r="I294" s="51">
        <v>-3.3921568627451002</v>
      </c>
      <c r="J294" s="51">
        <v>6</v>
      </c>
      <c r="K294" s="51">
        <v>2</v>
      </c>
      <c r="L294" s="51">
        <v>0</v>
      </c>
      <c r="M294" s="51">
        <v>19.6078431372549</v>
      </c>
      <c r="N294" s="56">
        <v>5</v>
      </c>
      <c r="O294" s="51" t="s">
        <v>421</v>
      </c>
      <c r="P294" s="51">
        <v>8</v>
      </c>
      <c r="Q294" s="77">
        <v>9</v>
      </c>
    </row>
    <row r="295" spans="1:17" x14ac:dyDescent="0.25">
      <c r="A295" s="52" t="s">
        <v>22</v>
      </c>
      <c r="B295" s="51" t="s">
        <v>21</v>
      </c>
      <c r="C295" s="51" t="s">
        <v>355</v>
      </c>
      <c r="D295" s="51">
        <v>9.5</v>
      </c>
      <c r="E295" s="51">
        <v>15.625</v>
      </c>
      <c r="F295" s="51" t="s">
        <v>382</v>
      </c>
      <c r="G295" s="51">
        <v>2</v>
      </c>
      <c r="H295" s="51">
        <v>15</v>
      </c>
      <c r="I295" s="51">
        <v>4.6078431372548998</v>
      </c>
      <c r="J295" s="51">
        <v>6</v>
      </c>
      <c r="K295" s="51">
        <v>2</v>
      </c>
      <c r="L295" s="51">
        <v>0</v>
      </c>
      <c r="M295" s="51">
        <v>19.6078431372549</v>
      </c>
      <c r="N295" s="56">
        <v>5</v>
      </c>
      <c r="O295" s="51" t="s">
        <v>421</v>
      </c>
      <c r="P295" s="51">
        <v>8</v>
      </c>
      <c r="Q295" s="77">
        <v>9</v>
      </c>
    </row>
    <row r="296" spans="1:17" x14ac:dyDescent="0.25">
      <c r="A296" s="52" t="s">
        <v>9</v>
      </c>
      <c r="B296" s="51" t="s">
        <v>55</v>
      </c>
      <c r="C296" s="51" t="s">
        <v>355</v>
      </c>
      <c r="D296" s="51">
        <v>8.5</v>
      </c>
      <c r="E296" s="51">
        <v>12.5</v>
      </c>
      <c r="F296" s="51" t="s">
        <v>376</v>
      </c>
      <c r="G296" s="51">
        <v>4</v>
      </c>
      <c r="H296" s="51">
        <v>11</v>
      </c>
      <c r="I296" s="51">
        <v>8.6078431372548998</v>
      </c>
      <c r="J296" s="51">
        <v>6</v>
      </c>
      <c r="K296" s="51">
        <v>2</v>
      </c>
      <c r="L296" s="51">
        <v>0</v>
      </c>
      <c r="M296" s="51">
        <v>19.6078431372549</v>
      </c>
      <c r="N296" s="56">
        <v>5</v>
      </c>
      <c r="O296" s="51" t="s">
        <v>421</v>
      </c>
      <c r="P296" s="51">
        <v>8</v>
      </c>
      <c r="Q296" s="77">
        <v>9</v>
      </c>
    </row>
    <row r="297" spans="1:17" x14ac:dyDescent="0.25">
      <c r="A297" s="52" t="s">
        <v>26</v>
      </c>
      <c r="B297" s="51" t="s">
        <v>25</v>
      </c>
      <c r="C297" s="51" t="s">
        <v>359</v>
      </c>
      <c r="D297" s="51">
        <v>11.5</v>
      </c>
      <c r="E297" s="51">
        <v>21.875</v>
      </c>
      <c r="F297" s="51" t="s">
        <v>384</v>
      </c>
      <c r="G297" s="51">
        <v>1</v>
      </c>
      <c r="H297" s="51">
        <v>24</v>
      </c>
      <c r="I297" s="51">
        <v>-4.3921568627451002</v>
      </c>
      <c r="J297" s="51">
        <v>6</v>
      </c>
      <c r="K297" s="51">
        <v>2</v>
      </c>
      <c r="L297" s="51">
        <v>0</v>
      </c>
      <c r="M297" s="51">
        <v>19.6078431372549</v>
      </c>
      <c r="N297" s="56">
        <v>5</v>
      </c>
      <c r="O297" s="51" t="s">
        <v>421</v>
      </c>
      <c r="P297" s="51">
        <v>8</v>
      </c>
      <c r="Q297" s="77">
        <v>9</v>
      </c>
    </row>
    <row r="298" spans="1:17" x14ac:dyDescent="0.25">
      <c r="A298" s="52" t="s">
        <v>7</v>
      </c>
      <c r="B298" s="51" t="s">
        <v>405</v>
      </c>
      <c r="C298" s="51" t="s">
        <v>355</v>
      </c>
      <c r="D298" s="51">
        <v>10.5</v>
      </c>
      <c r="E298" s="51">
        <v>18.75</v>
      </c>
      <c r="F298" s="51" t="s">
        <v>380</v>
      </c>
      <c r="G298" s="51">
        <v>1</v>
      </c>
      <c r="H298" s="51">
        <v>18</v>
      </c>
      <c r="I298" s="51">
        <v>1.6078431372548998</v>
      </c>
      <c r="J298" s="51">
        <v>6</v>
      </c>
      <c r="K298" s="51">
        <v>3</v>
      </c>
      <c r="L298" s="51">
        <v>0</v>
      </c>
      <c r="M298" s="51">
        <v>19.6078431372549</v>
      </c>
      <c r="N298" s="56">
        <v>5</v>
      </c>
      <c r="O298" s="51" t="s">
        <v>425</v>
      </c>
      <c r="P298" s="51">
        <v>9</v>
      </c>
      <c r="Q298" s="77">
        <v>9</v>
      </c>
    </row>
    <row r="299" spans="1:17" x14ac:dyDescent="0.25">
      <c r="A299" s="52" t="s">
        <v>61</v>
      </c>
      <c r="B299" s="51" t="s">
        <v>60</v>
      </c>
      <c r="C299" s="51" t="s">
        <v>367</v>
      </c>
      <c r="D299" s="51">
        <v>9.5</v>
      </c>
      <c r="E299" s="51">
        <v>15.625</v>
      </c>
      <c r="F299" s="51" t="s">
        <v>376</v>
      </c>
      <c r="G299" s="51">
        <v>2</v>
      </c>
      <c r="H299" s="51">
        <v>13</v>
      </c>
      <c r="I299" s="51">
        <v>6.6078431372548998</v>
      </c>
      <c r="J299" s="51">
        <v>6</v>
      </c>
      <c r="K299" s="51">
        <v>3</v>
      </c>
      <c r="L299" s="51">
        <v>0</v>
      </c>
      <c r="M299" s="51">
        <v>19.6078431372549</v>
      </c>
      <c r="N299" s="56">
        <v>5</v>
      </c>
      <c r="O299" s="51" t="s">
        <v>425</v>
      </c>
      <c r="P299" s="51">
        <v>9</v>
      </c>
      <c r="Q299" s="77">
        <v>9</v>
      </c>
    </row>
    <row r="300" spans="1:17" x14ac:dyDescent="0.25">
      <c r="A300" s="52" t="s">
        <v>35</v>
      </c>
      <c r="B300" s="51" t="s">
        <v>400</v>
      </c>
      <c r="C300" s="51" t="s">
        <v>357</v>
      </c>
      <c r="D300" s="51">
        <v>10.5</v>
      </c>
      <c r="E300" s="51">
        <v>18.75</v>
      </c>
      <c r="F300" s="51" t="s">
        <v>382</v>
      </c>
      <c r="G300" s="51">
        <v>1</v>
      </c>
      <c r="H300" s="51">
        <v>17</v>
      </c>
      <c r="I300" s="51">
        <v>-1.3137254901960791</v>
      </c>
      <c r="J300" s="51">
        <v>5</v>
      </c>
      <c r="K300" s="51">
        <v>2</v>
      </c>
      <c r="L300" s="51">
        <v>1</v>
      </c>
      <c r="M300" s="51">
        <v>15.686274509803921</v>
      </c>
      <c r="N300" s="56">
        <v>4</v>
      </c>
      <c r="O300" s="51" t="s">
        <v>421</v>
      </c>
      <c r="P300" s="51">
        <v>8</v>
      </c>
      <c r="Q300" s="77">
        <v>9</v>
      </c>
    </row>
    <row r="301" spans="1:17" x14ac:dyDescent="0.25">
      <c r="A301" s="52" t="s">
        <v>17</v>
      </c>
      <c r="B301" s="51" t="s">
        <v>399</v>
      </c>
      <c r="C301" s="51" t="s">
        <v>367</v>
      </c>
      <c r="D301" s="51">
        <v>11.5</v>
      </c>
      <c r="E301" s="51">
        <v>21.875</v>
      </c>
      <c r="F301" s="51" t="s">
        <v>377</v>
      </c>
      <c r="G301" s="51">
        <v>1</v>
      </c>
      <c r="H301" s="51">
        <v>24</v>
      </c>
      <c r="I301" s="51">
        <v>-8.3137254901960791</v>
      </c>
      <c r="J301" s="51">
        <v>5</v>
      </c>
      <c r="K301" s="51">
        <v>4</v>
      </c>
      <c r="L301" s="51">
        <v>0</v>
      </c>
      <c r="M301" s="51">
        <v>15.686274509803921</v>
      </c>
      <c r="N301" s="56">
        <v>4</v>
      </c>
      <c r="O301" s="51" t="s">
        <v>425</v>
      </c>
      <c r="P301" s="51">
        <v>9</v>
      </c>
      <c r="Q301" s="77">
        <v>9</v>
      </c>
    </row>
    <row r="302" spans="1:17" x14ac:dyDescent="0.25">
      <c r="A302" s="52" t="s">
        <v>11</v>
      </c>
      <c r="B302" s="51" t="s">
        <v>10</v>
      </c>
      <c r="C302" s="51" t="s">
        <v>357</v>
      </c>
      <c r="D302" s="51">
        <v>10.5</v>
      </c>
      <c r="E302" s="51">
        <v>18.75</v>
      </c>
      <c r="F302" s="51" t="s">
        <v>378</v>
      </c>
      <c r="G302" s="51">
        <v>2</v>
      </c>
      <c r="H302" s="51">
        <v>19</v>
      </c>
      <c r="I302" s="51">
        <v>-3.3137254901960791</v>
      </c>
      <c r="J302" s="51">
        <v>5</v>
      </c>
      <c r="K302" s="51">
        <v>3</v>
      </c>
      <c r="L302" s="51">
        <v>0</v>
      </c>
      <c r="M302" s="51">
        <v>15.686274509803921</v>
      </c>
      <c r="N302" s="56">
        <v>4</v>
      </c>
      <c r="O302" s="51" t="s">
        <v>421</v>
      </c>
      <c r="P302" s="51">
        <v>8</v>
      </c>
      <c r="Q302" s="77">
        <v>9</v>
      </c>
    </row>
    <row r="303" spans="1:17" x14ac:dyDescent="0.25">
      <c r="A303" s="52" t="s">
        <v>37</v>
      </c>
      <c r="B303" s="51" t="s">
        <v>44</v>
      </c>
      <c r="C303" s="51" t="s">
        <v>368</v>
      </c>
      <c r="D303" s="51">
        <v>7.5</v>
      </c>
      <c r="E303" s="51">
        <v>9.375</v>
      </c>
      <c r="F303" s="51" t="s">
        <v>382</v>
      </c>
      <c r="G303" s="51">
        <v>3</v>
      </c>
      <c r="H303" s="51">
        <v>10</v>
      </c>
      <c r="I303" s="51">
        <v>5.6862745098039209</v>
      </c>
      <c r="J303" s="51">
        <v>5</v>
      </c>
      <c r="K303" s="51">
        <v>3</v>
      </c>
      <c r="L303" s="51">
        <v>0</v>
      </c>
      <c r="M303" s="51">
        <v>15.686274509803921</v>
      </c>
      <c r="N303" s="56">
        <v>4</v>
      </c>
      <c r="O303" s="51" t="s">
        <v>421</v>
      </c>
      <c r="P303" s="51">
        <v>8</v>
      </c>
      <c r="Q303" s="77">
        <v>9</v>
      </c>
    </row>
    <row r="304" spans="1:17" x14ac:dyDescent="0.25">
      <c r="A304" s="52" t="s">
        <v>74</v>
      </c>
      <c r="B304" s="51" t="s">
        <v>85</v>
      </c>
      <c r="C304" s="51" t="s">
        <v>352</v>
      </c>
      <c r="D304" s="51">
        <v>8.5</v>
      </c>
      <c r="E304" s="51">
        <v>12.5</v>
      </c>
      <c r="F304" s="51" t="s">
        <v>384</v>
      </c>
      <c r="G304" s="51">
        <v>2</v>
      </c>
      <c r="H304" s="51">
        <v>14</v>
      </c>
      <c r="I304" s="51">
        <v>1.6862745098039209</v>
      </c>
      <c r="J304" s="51">
        <v>5</v>
      </c>
      <c r="K304" s="51">
        <v>3</v>
      </c>
      <c r="L304" s="51">
        <v>0</v>
      </c>
      <c r="M304" s="51">
        <v>15.686274509803921</v>
      </c>
      <c r="N304" s="56">
        <v>4</v>
      </c>
      <c r="O304" s="51" t="s">
        <v>421</v>
      </c>
      <c r="P304" s="51">
        <v>8</v>
      </c>
      <c r="Q304" s="77">
        <v>9</v>
      </c>
    </row>
    <row r="305" spans="1:17" x14ac:dyDescent="0.25">
      <c r="A305" s="52" t="s">
        <v>66</v>
      </c>
      <c r="B305" s="51" t="s">
        <v>72</v>
      </c>
      <c r="C305" s="51" t="s">
        <v>357</v>
      </c>
      <c r="D305" s="51">
        <v>8.5</v>
      </c>
      <c r="E305" s="51">
        <v>12.5</v>
      </c>
      <c r="F305" s="51" t="s">
        <v>379</v>
      </c>
      <c r="G305" s="51">
        <v>3</v>
      </c>
      <c r="H305" s="51">
        <v>4</v>
      </c>
      <c r="I305" s="51">
        <v>11.686274509803921</v>
      </c>
      <c r="J305" s="51">
        <v>5</v>
      </c>
      <c r="K305" s="51">
        <v>3</v>
      </c>
      <c r="L305" s="51">
        <v>0</v>
      </c>
      <c r="M305" s="51">
        <v>15.686274509803921</v>
      </c>
      <c r="N305" s="56">
        <v>4</v>
      </c>
      <c r="O305" s="51" t="s">
        <v>421</v>
      </c>
      <c r="P305" s="51">
        <v>8</v>
      </c>
      <c r="Q305" s="77">
        <v>9</v>
      </c>
    </row>
    <row r="306" spans="1:17" x14ac:dyDescent="0.25">
      <c r="A306" s="52" t="s">
        <v>13</v>
      </c>
      <c r="B306" s="51" t="s">
        <v>67</v>
      </c>
      <c r="C306" s="51" t="s">
        <v>383</v>
      </c>
      <c r="D306" s="51">
        <v>6.5</v>
      </c>
      <c r="E306" s="51">
        <v>6.25</v>
      </c>
      <c r="F306" s="51" t="s">
        <v>384</v>
      </c>
      <c r="G306" s="51">
        <v>3</v>
      </c>
      <c r="H306" s="51">
        <v>3</v>
      </c>
      <c r="I306" s="51">
        <v>12.686274509803921</v>
      </c>
      <c r="J306" s="51">
        <v>5</v>
      </c>
      <c r="K306" s="51">
        <v>4</v>
      </c>
      <c r="L306" s="51">
        <v>0</v>
      </c>
      <c r="M306" s="51">
        <v>15.686274509803921</v>
      </c>
      <c r="N306" s="56">
        <v>4</v>
      </c>
      <c r="O306" s="51" t="s">
        <v>425</v>
      </c>
      <c r="P306" s="51">
        <v>9</v>
      </c>
      <c r="Q306" s="77">
        <v>9</v>
      </c>
    </row>
    <row r="307" spans="1:17" x14ac:dyDescent="0.25">
      <c r="A307" s="52" t="s">
        <v>59</v>
      </c>
      <c r="B307" s="51" t="s">
        <v>75</v>
      </c>
      <c r="C307" s="51" t="s">
        <v>357</v>
      </c>
      <c r="D307" s="51">
        <v>8.5</v>
      </c>
      <c r="E307" s="51">
        <v>12.5</v>
      </c>
      <c r="F307" s="51" t="s">
        <v>376</v>
      </c>
      <c r="G307" s="51">
        <v>1</v>
      </c>
      <c r="H307" s="51">
        <v>14</v>
      </c>
      <c r="I307" s="51">
        <v>-2.2352941176470598</v>
      </c>
      <c r="J307" s="51">
        <v>4</v>
      </c>
      <c r="K307" s="51">
        <v>4</v>
      </c>
      <c r="L307" s="51">
        <v>0</v>
      </c>
      <c r="M307" s="51">
        <v>11.76470588235294</v>
      </c>
      <c r="N307" s="56">
        <v>3</v>
      </c>
      <c r="O307" s="51" t="s">
        <v>421</v>
      </c>
      <c r="P307" s="51">
        <v>8</v>
      </c>
      <c r="Q307" s="77">
        <v>9</v>
      </c>
    </row>
    <row r="308" spans="1:17" x14ac:dyDescent="0.25">
      <c r="A308" s="52" t="s">
        <v>15</v>
      </c>
      <c r="B308" s="51" t="s">
        <v>14</v>
      </c>
      <c r="C308" s="51" t="s">
        <v>363</v>
      </c>
      <c r="D308" s="51">
        <v>7.5</v>
      </c>
      <c r="E308" s="51">
        <v>9.375</v>
      </c>
      <c r="F308" s="51" t="s">
        <v>382</v>
      </c>
      <c r="G308" s="51">
        <v>4</v>
      </c>
      <c r="H308" s="51">
        <v>8</v>
      </c>
      <c r="I308" s="51">
        <v>-0.15686274509803955</v>
      </c>
      <c r="J308" s="51">
        <v>3</v>
      </c>
      <c r="K308" s="51">
        <v>5</v>
      </c>
      <c r="L308" s="51">
        <v>1</v>
      </c>
      <c r="M308" s="51">
        <v>7.8431372549019605</v>
      </c>
      <c r="N308" s="56">
        <v>2</v>
      </c>
      <c r="O308" s="51" t="s">
        <v>425</v>
      </c>
      <c r="P308" s="51">
        <v>9</v>
      </c>
      <c r="Q308" s="77">
        <v>9</v>
      </c>
    </row>
    <row r="309" spans="1:17" x14ac:dyDescent="0.25">
      <c r="A309" s="52" t="s">
        <v>5</v>
      </c>
      <c r="B309" s="51" t="s">
        <v>41</v>
      </c>
      <c r="C309" s="51" t="s">
        <v>363</v>
      </c>
      <c r="D309" s="51">
        <v>9.5</v>
      </c>
      <c r="E309" s="51">
        <v>15.625</v>
      </c>
      <c r="F309" s="51" t="s">
        <v>377</v>
      </c>
      <c r="G309" s="51">
        <v>2</v>
      </c>
      <c r="H309" s="51">
        <v>19</v>
      </c>
      <c r="I309" s="51">
        <v>-11.156862745098039</v>
      </c>
      <c r="J309" s="51">
        <v>3</v>
      </c>
      <c r="K309" s="51">
        <v>6</v>
      </c>
      <c r="L309" s="51">
        <v>0</v>
      </c>
      <c r="M309" s="51">
        <v>7.8431372549019605</v>
      </c>
      <c r="N309" s="56">
        <v>2</v>
      </c>
      <c r="O309" s="51" t="s">
        <v>425</v>
      </c>
      <c r="P309" s="51">
        <v>9</v>
      </c>
      <c r="Q309" s="77">
        <v>9</v>
      </c>
    </row>
    <row r="310" spans="1:17" x14ac:dyDescent="0.25">
      <c r="A310" s="52" t="s">
        <v>54</v>
      </c>
      <c r="B310" s="51" t="s">
        <v>77</v>
      </c>
      <c r="C310" s="51" t="s">
        <v>352</v>
      </c>
      <c r="D310" s="51">
        <v>9.5</v>
      </c>
      <c r="E310" s="51">
        <v>15.625</v>
      </c>
      <c r="F310" s="51" t="s">
        <v>380</v>
      </c>
      <c r="G310" s="51">
        <v>3</v>
      </c>
      <c r="H310" s="51">
        <v>14</v>
      </c>
      <c r="I310" s="51">
        <v>-6.1568627450980395</v>
      </c>
      <c r="J310" s="51">
        <v>3</v>
      </c>
      <c r="K310" s="51">
        <v>6</v>
      </c>
      <c r="L310" s="51">
        <v>0</v>
      </c>
      <c r="M310" s="51">
        <v>7.8431372549019605</v>
      </c>
      <c r="N310" s="56">
        <v>2</v>
      </c>
      <c r="O310" s="51" t="s">
        <v>425</v>
      </c>
      <c r="P310" s="51">
        <v>9</v>
      </c>
      <c r="Q310" s="77">
        <v>9</v>
      </c>
    </row>
    <row r="311" spans="1:17" x14ac:dyDescent="0.25">
      <c r="A311" s="52" t="s">
        <v>70</v>
      </c>
      <c r="B311" s="51" t="s">
        <v>69</v>
      </c>
      <c r="C311" s="51" t="s">
        <v>383</v>
      </c>
      <c r="D311" s="51">
        <v>7.5</v>
      </c>
      <c r="E311" s="51">
        <v>9.375</v>
      </c>
      <c r="F311" s="51" t="s">
        <v>376</v>
      </c>
      <c r="G311" s="51">
        <v>3</v>
      </c>
      <c r="H311" s="51">
        <v>12</v>
      </c>
      <c r="I311" s="51">
        <v>-4.1568627450980395</v>
      </c>
      <c r="J311" s="51">
        <v>3</v>
      </c>
      <c r="K311" s="51">
        <v>5</v>
      </c>
      <c r="L311" s="51">
        <v>0</v>
      </c>
      <c r="M311" s="51">
        <v>7.8431372549019605</v>
      </c>
      <c r="N311" s="56">
        <v>2</v>
      </c>
      <c r="O311" s="51" t="s">
        <v>421</v>
      </c>
      <c r="P311" s="51">
        <v>8</v>
      </c>
      <c r="Q311" s="77">
        <v>9</v>
      </c>
    </row>
    <row r="312" spans="1:17" x14ac:dyDescent="0.25">
      <c r="A312" s="52" t="s">
        <v>32</v>
      </c>
      <c r="B312" s="51" t="s">
        <v>31</v>
      </c>
      <c r="C312" s="51" t="s">
        <v>368</v>
      </c>
      <c r="D312" s="51">
        <v>9.5</v>
      </c>
      <c r="E312" s="51">
        <v>15.625</v>
      </c>
      <c r="F312" s="51" t="s">
        <v>380</v>
      </c>
      <c r="G312" s="51">
        <v>2</v>
      </c>
      <c r="H312" s="51">
        <v>17</v>
      </c>
      <c r="I312" s="51">
        <v>-9.1568627450980387</v>
      </c>
      <c r="J312" s="51">
        <v>3</v>
      </c>
      <c r="K312" s="51">
        <v>5</v>
      </c>
      <c r="L312" s="51">
        <v>0</v>
      </c>
      <c r="M312" s="51">
        <v>7.8431372549019605</v>
      </c>
      <c r="N312" s="56">
        <v>2</v>
      </c>
      <c r="O312" s="51" t="s">
        <v>421</v>
      </c>
      <c r="P312" s="51">
        <v>8</v>
      </c>
      <c r="Q312" s="77">
        <v>9</v>
      </c>
    </row>
    <row r="313" spans="1:17" x14ac:dyDescent="0.25">
      <c r="A313" s="52" t="s">
        <v>48</v>
      </c>
      <c r="B313" s="51" t="s">
        <v>47</v>
      </c>
      <c r="C313" s="51" t="s">
        <v>352</v>
      </c>
      <c r="D313" s="51">
        <v>11.5</v>
      </c>
      <c r="E313" s="51">
        <v>21.875</v>
      </c>
      <c r="F313" s="51" t="s">
        <v>379</v>
      </c>
      <c r="G313" s="51">
        <v>1</v>
      </c>
      <c r="H313" s="51">
        <v>25</v>
      </c>
      <c r="I313" s="51">
        <v>-17.156862745098039</v>
      </c>
      <c r="J313" s="51">
        <v>3</v>
      </c>
      <c r="K313" s="51">
        <v>5</v>
      </c>
      <c r="L313" s="51">
        <v>0</v>
      </c>
      <c r="M313" s="51">
        <v>7.8431372549019605</v>
      </c>
      <c r="N313" s="56">
        <v>2</v>
      </c>
      <c r="O313" s="51" t="s">
        <v>421</v>
      </c>
      <c r="P313" s="51">
        <v>8</v>
      </c>
      <c r="Q313" s="77">
        <v>9</v>
      </c>
    </row>
    <row r="314" spans="1:17" x14ac:dyDescent="0.25">
      <c r="A314" s="52" t="s">
        <v>28</v>
      </c>
      <c r="B314" s="51" t="s">
        <v>93</v>
      </c>
      <c r="C314" s="51" t="s">
        <v>355</v>
      </c>
      <c r="D314" s="51">
        <v>8.5</v>
      </c>
      <c r="E314" s="51">
        <v>12.5</v>
      </c>
      <c r="F314" s="51" t="s">
        <v>379</v>
      </c>
      <c r="G314" s="51">
        <v>2</v>
      </c>
      <c r="H314" s="51">
        <v>12</v>
      </c>
      <c r="I314" s="51">
        <v>-4.1568627450980395</v>
      </c>
      <c r="J314" s="51">
        <v>3</v>
      </c>
      <c r="K314" s="51">
        <v>5</v>
      </c>
      <c r="L314" s="51">
        <v>0</v>
      </c>
      <c r="M314" s="51">
        <v>7.8431372549019605</v>
      </c>
      <c r="N314" s="56">
        <v>2</v>
      </c>
      <c r="O314" s="51" t="s">
        <v>421</v>
      </c>
      <c r="P314" s="51">
        <v>8</v>
      </c>
      <c r="Q314" s="77">
        <v>9</v>
      </c>
    </row>
    <row r="315" spans="1:17" x14ac:dyDescent="0.25">
      <c r="A315" s="52" t="s">
        <v>50</v>
      </c>
      <c r="B315" s="51" t="s">
        <v>95</v>
      </c>
      <c r="C315" s="51" t="s">
        <v>363</v>
      </c>
      <c r="D315" s="51">
        <v>5.5</v>
      </c>
      <c r="E315" s="51">
        <v>3.125</v>
      </c>
      <c r="F315" s="51" t="s">
        <v>377</v>
      </c>
      <c r="G315" s="51">
        <v>3</v>
      </c>
      <c r="H315" s="51">
        <v>4</v>
      </c>
      <c r="I315" s="51">
        <v>-7.8431372549019773E-2</v>
      </c>
      <c r="J315" s="51">
        <v>2</v>
      </c>
      <c r="K315" s="51">
        <v>7</v>
      </c>
      <c r="L315" s="51">
        <v>0</v>
      </c>
      <c r="M315" s="51">
        <v>3.9215686274509802</v>
      </c>
      <c r="N315" s="56">
        <v>1</v>
      </c>
      <c r="O315" s="51" t="s">
        <v>425</v>
      </c>
      <c r="P315" s="51">
        <v>9</v>
      </c>
      <c r="Q315" s="77">
        <v>9</v>
      </c>
    </row>
    <row r="316" spans="1:17" x14ac:dyDescent="0.25">
      <c r="A316" s="52" t="s">
        <v>84</v>
      </c>
      <c r="B316" s="51" t="s">
        <v>91</v>
      </c>
      <c r="C316" s="51" t="s">
        <v>352</v>
      </c>
      <c r="D316" s="51">
        <v>4.5</v>
      </c>
      <c r="E316" s="51">
        <v>0</v>
      </c>
      <c r="F316" s="51" t="s">
        <v>380</v>
      </c>
      <c r="G316" s="51">
        <v>4</v>
      </c>
      <c r="H316" s="51">
        <v>1</v>
      </c>
      <c r="I316" s="51">
        <v>2.9215686274509802</v>
      </c>
      <c r="J316" s="51">
        <v>2</v>
      </c>
      <c r="K316" s="51">
        <v>6</v>
      </c>
      <c r="L316" s="51">
        <v>0</v>
      </c>
      <c r="M316" s="51">
        <v>3.9215686274509802</v>
      </c>
      <c r="N316" s="56">
        <v>1</v>
      </c>
      <c r="O316" s="51" t="s">
        <v>421</v>
      </c>
      <c r="P316" s="51">
        <v>8</v>
      </c>
      <c r="Q316" s="77">
        <v>9</v>
      </c>
    </row>
    <row r="317" spans="1:17" x14ac:dyDescent="0.25">
      <c r="A317" s="52" t="s">
        <v>3</v>
      </c>
      <c r="B317" s="51" t="s">
        <v>2</v>
      </c>
      <c r="C317" s="51" t="s">
        <v>359</v>
      </c>
      <c r="D317" s="51">
        <v>7.5</v>
      </c>
      <c r="E317" s="51">
        <v>9.375</v>
      </c>
      <c r="F317" s="51" t="s">
        <v>381</v>
      </c>
      <c r="G317" s="51">
        <v>4</v>
      </c>
      <c r="H317" s="51">
        <v>8</v>
      </c>
      <c r="I317" s="51">
        <v>-4.0784313725490193</v>
      </c>
      <c r="J317" s="51">
        <v>2</v>
      </c>
      <c r="K317" s="51">
        <v>7</v>
      </c>
      <c r="L317" s="51">
        <v>0</v>
      </c>
      <c r="M317" s="51">
        <v>3.9215686274509802</v>
      </c>
      <c r="N317" s="56">
        <v>1</v>
      </c>
      <c r="O317" s="51" t="s">
        <v>425</v>
      </c>
      <c r="P317" s="51">
        <v>9</v>
      </c>
      <c r="Q317" s="77">
        <v>9</v>
      </c>
    </row>
    <row r="318" spans="1:17" x14ac:dyDescent="0.25">
      <c r="A318" s="52" t="s">
        <v>81</v>
      </c>
      <c r="B318" s="51" t="s">
        <v>423</v>
      </c>
      <c r="C318" s="51" t="s">
        <v>367</v>
      </c>
      <c r="D318" s="51">
        <v>6.5</v>
      </c>
      <c r="E318" s="51">
        <v>6.25</v>
      </c>
      <c r="F318" s="51" t="s">
        <v>384</v>
      </c>
      <c r="G318" s="51">
        <v>4</v>
      </c>
      <c r="H318" s="51">
        <v>9</v>
      </c>
      <c r="I318" s="51">
        <v>-5.0784313725490193</v>
      </c>
      <c r="J318" s="51">
        <v>2</v>
      </c>
      <c r="K318" s="51">
        <v>6</v>
      </c>
      <c r="L318" s="51">
        <v>0</v>
      </c>
      <c r="M318" s="51">
        <v>3.9215686274509802</v>
      </c>
      <c r="N318" s="56">
        <v>1</v>
      </c>
      <c r="O318" s="51" t="s">
        <v>421</v>
      </c>
      <c r="P318" s="51">
        <v>8</v>
      </c>
      <c r="Q318" s="77">
        <v>9</v>
      </c>
    </row>
    <row r="319" spans="1:17" x14ac:dyDescent="0.25">
      <c r="A319" s="52" t="s">
        <v>52</v>
      </c>
      <c r="B319" s="51" t="s">
        <v>403</v>
      </c>
      <c r="C319" s="51" t="s">
        <v>383</v>
      </c>
      <c r="D319" s="51">
        <v>5.5</v>
      </c>
      <c r="E319" s="51">
        <v>3.125</v>
      </c>
      <c r="F319" s="51" t="s">
        <v>377</v>
      </c>
      <c r="G319" s="51">
        <v>4</v>
      </c>
      <c r="H319" s="51">
        <v>3</v>
      </c>
      <c r="I319" s="51">
        <v>-3</v>
      </c>
      <c r="J319" s="51">
        <v>1</v>
      </c>
      <c r="K319" s="51">
        <v>8</v>
      </c>
      <c r="L319" s="51">
        <v>0</v>
      </c>
      <c r="M319" s="51">
        <v>0</v>
      </c>
      <c r="N319" s="56">
        <v>0</v>
      </c>
      <c r="O319" s="51" t="s">
        <v>425</v>
      </c>
      <c r="P319" s="51">
        <v>9</v>
      </c>
      <c r="Q319" s="77">
        <v>9</v>
      </c>
    </row>
    <row r="320" spans="1:17" x14ac:dyDescent="0.25">
      <c r="A320" s="52" t="s">
        <v>20</v>
      </c>
      <c r="B320" s="51" t="s">
        <v>89</v>
      </c>
      <c r="C320" s="51" t="s">
        <v>368</v>
      </c>
      <c r="D320" s="51">
        <v>5.5</v>
      </c>
      <c r="E320" s="51">
        <v>3.125</v>
      </c>
      <c r="F320" s="51" t="s">
        <v>378</v>
      </c>
      <c r="G320" s="51">
        <v>4</v>
      </c>
      <c r="H320" s="51">
        <v>7</v>
      </c>
      <c r="I320" s="51">
        <v>-7</v>
      </c>
      <c r="J320" s="51">
        <v>1</v>
      </c>
      <c r="K320" s="51">
        <v>8</v>
      </c>
      <c r="L320" s="51">
        <v>0</v>
      </c>
      <c r="M320" s="51">
        <v>0</v>
      </c>
      <c r="N320" s="56">
        <v>0</v>
      </c>
      <c r="O320" s="51" t="s">
        <v>425</v>
      </c>
      <c r="P320" s="51">
        <v>9</v>
      </c>
      <c r="Q320" s="77">
        <v>9</v>
      </c>
    </row>
    <row r="321" spans="1:17" ht="15.75" thickBot="1" x14ac:dyDescent="0.3">
      <c r="A321" s="53" t="s">
        <v>24</v>
      </c>
      <c r="B321" s="54" t="s">
        <v>79</v>
      </c>
      <c r="C321" s="54" t="s">
        <v>359</v>
      </c>
      <c r="D321" s="54">
        <v>5.5</v>
      </c>
      <c r="E321" s="54">
        <v>3.125</v>
      </c>
      <c r="F321" s="54" t="s">
        <v>379</v>
      </c>
      <c r="G321" s="54">
        <v>4</v>
      </c>
      <c r="H321" s="54">
        <v>9</v>
      </c>
      <c r="I321" s="54">
        <v>-9</v>
      </c>
      <c r="J321" s="54">
        <v>1</v>
      </c>
      <c r="K321" s="54">
        <v>7</v>
      </c>
      <c r="L321" s="54">
        <v>0</v>
      </c>
      <c r="M321" s="54">
        <v>0</v>
      </c>
      <c r="N321" s="57">
        <v>0</v>
      </c>
      <c r="O321" s="54" t="s">
        <v>421</v>
      </c>
      <c r="P321" s="54">
        <v>8</v>
      </c>
      <c r="Q321" s="78">
        <v>9</v>
      </c>
    </row>
    <row r="322" spans="1:17" x14ac:dyDescent="0.25">
      <c r="A322" s="79" t="s">
        <v>64</v>
      </c>
      <c r="B322" s="80" t="s">
        <v>63</v>
      </c>
      <c r="C322" s="80" t="s">
        <v>367</v>
      </c>
      <c r="D322" s="80">
        <v>9.5</v>
      </c>
      <c r="E322" s="80">
        <v>15.625</v>
      </c>
      <c r="F322" s="80" t="s">
        <v>381</v>
      </c>
      <c r="G322" s="80">
        <v>1</v>
      </c>
      <c r="H322" s="80">
        <v>17</v>
      </c>
      <c r="I322" s="80">
        <v>7.137931034482758</v>
      </c>
      <c r="J322" s="80">
        <v>8</v>
      </c>
      <c r="K322" s="80">
        <v>2</v>
      </c>
      <c r="L322" s="80">
        <v>0</v>
      </c>
      <c r="M322" s="80">
        <v>24.137931034482758</v>
      </c>
      <c r="N322" s="81">
        <v>7</v>
      </c>
      <c r="O322" s="80" t="s">
        <v>425</v>
      </c>
      <c r="P322" s="80">
        <v>10</v>
      </c>
      <c r="Q322" s="82">
        <v>10</v>
      </c>
    </row>
    <row r="323" spans="1:17" x14ac:dyDescent="0.25">
      <c r="A323" s="52" t="s">
        <v>43</v>
      </c>
      <c r="B323" s="51" t="s">
        <v>57</v>
      </c>
      <c r="C323" s="51" t="s">
        <v>368</v>
      </c>
      <c r="D323" s="51">
        <v>7.5</v>
      </c>
      <c r="E323" s="51">
        <v>9.375</v>
      </c>
      <c r="F323" s="51" t="s">
        <v>378</v>
      </c>
      <c r="G323" s="51">
        <v>3</v>
      </c>
      <c r="H323" s="51">
        <v>1</v>
      </c>
      <c r="I323" s="51">
        <v>23.137931034482758</v>
      </c>
      <c r="J323" s="51">
        <v>8</v>
      </c>
      <c r="K323" s="51">
        <v>2</v>
      </c>
      <c r="L323" s="51">
        <v>0</v>
      </c>
      <c r="M323" s="51">
        <v>24.137931034482758</v>
      </c>
      <c r="N323" s="56">
        <v>7</v>
      </c>
      <c r="O323" s="51" t="s">
        <v>425</v>
      </c>
      <c r="P323" s="51">
        <v>10</v>
      </c>
      <c r="Q323" s="77">
        <v>10</v>
      </c>
    </row>
    <row r="324" spans="1:17" x14ac:dyDescent="0.25">
      <c r="A324" s="52" t="s">
        <v>46</v>
      </c>
      <c r="B324" s="51" t="s">
        <v>404</v>
      </c>
      <c r="C324" s="51" t="s">
        <v>359</v>
      </c>
      <c r="D324" s="51">
        <v>8.5</v>
      </c>
      <c r="E324" s="51">
        <v>12.5</v>
      </c>
      <c r="F324" s="51" t="s">
        <v>381</v>
      </c>
      <c r="G324" s="51">
        <v>3</v>
      </c>
      <c r="H324" s="51">
        <v>10</v>
      </c>
      <c r="I324" s="51">
        <v>14.137931034482758</v>
      </c>
      <c r="J324" s="51">
        <v>8</v>
      </c>
      <c r="K324" s="51">
        <v>2</v>
      </c>
      <c r="L324" s="51">
        <v>0</v>
      </c>
      <c r="M324" s="51">
        <v>24.137931034482758</v>
      </c>
      <c r="N324" s="56">
        <v>7</v>
      </c>
      <c r="O324" s="51" t="s">
        <v>425</v>
      </c>
      <c r="P324" s="51">
        <v>10</v>
      </c>
      <c r="Q324" s="77">
        <v>10</v>
      </c>
    </row>
    <row r="325" spans="1:17" x14ac:dyDescent="0.25">
      <c r="A325" s="52" t="s">
        <v>22</v>
      </c>
      <c r="B325" s="51" t="s">
        <v>21</v>
      </c>
      <c r="C325" s="51" t="s">
        <v>355</v>
      </c>
      <c r="D325" s="51">
        <v>9.5</v>
      </c>
      <c r="E325" s="51">
        <v>15.625</v>
      </c>
      <c r="F325" s="51" t="s">
        <v>382</v>
      </c>
      <c r="G325" s="51">
        <v>2</v>
      </c>
      <c r="H325" s="51">
        <v>15</v>
      </c>
      <c r="I325" s="51">
        <v>5.6896551724137936</v>
      </c>
      <c r="J325" s="51">
        <v>7</v>
      </c>
      <c r="K325" s="51">
        <v>2</v>
      </c>
      <c r="L325" s="51">
        <v>0</v>
      </c>
      <c r="M325" s="51">
        <v>20.689655172413794</v>
      </c>
      <c r="N325" s="56">
        <v>6</v>
      </c>
      <c r="O325" s="51" t="s">
        <v>421</v>
      </c>
      <c r="P325" s="51">
        <v>9</v>
      </c>
      <c r="Q325" s="77">
        <v>10</v>
      </c>
    </row>
    <row r="326" spans="1:17" x14ac:dyDescent="0.25">
      <c r="A326" s="52" t="s">
        <v>9</v>
      </c>
      <c r="B326" s="51" t="s">
        <v>55</v>
      </c>
      <c r="C326" s="51" t="s">
        <v>355</v>
      </c>
      <c r="D326" s="51">
        <v>8.5</v>
      </c>
      <c r="E326" s="51">
        <v>12.5</v>
      </c>
      <c r="F326" s="51" t="s">
        <v>376</v>
      </c>
      <c r="G326" s="51">
        <v>4</v>
      </c>
      <c r="H326" s="51">
        <v>11</v>
      </c>
      <c r="I326" s="51">
        <v>9.6896551724137936</v>
      </c>
      <c r="J326" s="51">
        <v>7</v>
      </c>
      <c r="K326" s="51">
        <v>2</v>
      </c>
      <c r="L326" s="51">
        <v>0</v>
      </c>
      <c r="M326" s="51">
        <v>20.689655172413794</v>
      </c>
      <c r="N326" s="56">
        <v>6</v>
      </c>
      <c r="O326" s="51" t="s">
        <v>421</v>
      </c>
      <c r="P326" s="51">
        <v>9</v>
      </c>
      <c r="Q326" s="77">
        <v>10</v>
      </c>
    </row>
    <row r="327" spans="1:17" x14ac:dyDescent="0.25">
      <c r="A327" s="52" t="s">
        <v>61</v>
      </c>
      <c r="B327" s="51" t="s">
        <v>60</v>
      </c>
      <c r="C327" s="51" t="s">
        <v>367</v>
      </c>
      <c r="D327" s="51">
        <v>9.5</v>
      </c>
      <c r="E327" s="51">
        <v>15.625</v>
      </c>
      <c r="F327" s="51" t="s">
        <v>376</v>
      </c>
      <c r="G327" s="51">
        <v>2</v>
      </c>
      <c r="H327" s="51">
        <v>13</v>
      </c>
      <c r="I327" s="51">
        <v>7.6896551724137936</v>
      </c>
      <c r="J327" s="51">
        <v>7</v>
      </c>
      <c r="K327" s="51">
        <v>3</v>
      </c>
      <c r="L327" s="51">
        <v>0</v>
      </c>
      <c r="M327" s="51">
        <v>20.689655172413794</v>
      </c>
      <c r="N327" s="56">
        <v>6</v>
      </c>
      <c r="O327" s="51" t="s">
        <v>425</v>
      </c>
      <c r="P327" s="51">
        <v>10</v>
      </c>
      <c r="Q327" s="77">
        <v>10</v>
      </c>
    </row>
    <row r="328" spans="1:17" x14ac:dyDescent="0.25">
      <c r="A328" s="52" t="s">
        <v>1</v>
      </c>
      <c r="B328" s="51" t="s">
        <v>402</v>
      </c>
      <c r="C328" s="51" t="s">
        <v>383</v>
      </c>
      <c r="D328" s="51">
        <v>9.5</v>
      </c>
      <c r="E328" s="51">
        <v>15.625</v>
      </c>
      <c r="F328" s="51" t="s">
        <v>381</v>
      </c>
      <c r="G328" s="51">
        <v>2</v>
      </c>
      <c r="H328" s="51">
        <v>15</v>
      </c>
      <c r="I328" s="51">
        <v>2.2413793103448256</v>
      </c>
      <c r="J328" s="51">
        <v>6</v>
      </c>
      <c r="K328" s="51">
        <v>3</v>
      </c>
      <c r="L328" s="51">
        <v>0</v>
      </c>
      <c r="M328" s="51">
        <v>17.241379310344826</v>
      </c>
      <c r="N328" s="56">
        <v>5</v>
      </c>
      <c r="O328" s="51" t="s">
        <v>421</v>
      </c>
      <c r="P328" s="51">
        <v>9</v>
      </c>
      <c r="Q328" s="77">
        <v>10</v>
      </c>
    </row>
    <row r="329" spans="1:17" x14ac:dyDescent="0.25">
      <c r="A329" s="52" t="s">
        <v>39</v>
      </c>
      <c r="B329" s="51" t="s">
        <v>38</v>
      </c>
      <c r="C329" s="51" t="s">
        <v>363</v>
      </c>
      <c r="D329" s="51">
        <v>11.5</v>
      </c>
      <c r="E329" s="51">
        <v>21.875</v>
      </c>
      <c r="F329" s="51" t="s">
        <v>378</v>
      </c>
      <c r="G329" s="51">
        <v>1</v>
      </c>
      <c r="H329" s="51">
        <v>23</v>
      </c>
      <c r="I329" s="51">
        <v>-2.3103448275862064</v>
      </c>
      <c r="J329" s="51">
        <v>7</v>
      </c>
      <c r="K329" s="51">
        <v>2</v>
      </c>
      <c r="L329" s="51">
        <v>0</v>
      </c>
      <c r="M329" s="51">
        <v>20.689655172413794</v>
      </c>
      <c r="N329" s="56">
        <v>6</v>
      </c>
      <c r="O329" s="51" t="s">
        <v>421</v>
      </c>
      <c r="P329" s="51">
        <v>9</v>
      </c>
      <c r="Q329" s="77">
        <v>10</v>
      </c>
    </row>
    <row r="330" spans="1:17" x14ac:dyDescent="0.25">
      <c r="A330" s="52" t="s">
        <v>26</v>
      </c>
      <c r="B330" s="51" t="s">
        <v>25</v>
      </c>
      <c r="C330" s="51" t="s">
        <v>359</v>
      </c>
      <c r="D330" s="51">
        <v>11.5</v>
      </c>
      <c r="E330" s="51">
        <v>21.875</v>
      </c>
      <c r="F330" s="51" t="s">
        <v>384</v>
      </c>
      <c r="G330" s="51">
        <v>1</v>
      </c>
      <c r="H330" s="51">
        <v>24</v>
      </c>
      <c r="I330" s="51">
        <v>-6.7586206896551744</v>
      </c>
      <c r="J330" s="51">
        <v>6</v>
      </c>
      <c r="K330" s="51">
        <v>3</v>
      </c>
      <c r="L330" s="51">
        <v>0</v>
      </c>
      <c r="M330" s="51">
        <v>17.241379310344826</v>
      </c>
      <c r="N330" s="56">
        <v>5</v>
      </c>
      <c r="O330" s="51" t="s">
        <v>421</v>
      </c>
      <c r="P330" s="51">
        <v>9</v>
      </c>
      <c r="Q330" s="77">
        <v>10</v>
      </c>
    </row>
    <row r="331" spans="1:17" x14ac:dyDescent="0.25">
      <c r="A331" s="52" t="s">
        <v>7</v>
      </c>
      <c r="B331" s="51" t="s">
        <v>405</v>
      </c>
      <c r="C331" s="51" t="s">
        <v>355</v>
      </c>
      <c r="D331" s="51">
        <v>10.5</v>
      </c>
      <c r="E331" s="51">
        <v>18.75</v>
      </c>
      <c r="F331" s="51" t="s">
        <v>380</v>
      </c>
      <c r="G331" s="51">
        <v>1</v>
      </c>
      <c r="H331" s="51">
        <v>18</v>
      </c>
      <c r="I331" s="51">
        <v>-0.75862068965517437</v>
      </c>
      <c r="J331" s="51">
        <v>6</v>
      </c>
      <c r="K331" s="51">
        <v>4</v>
      </c>
      <c r="L331" s="51">
        <v>0</v>
      </c>
      <c r="M331" s="51">
        <v>17.241379310344826</v>
      </c>
      <c r="N331" s="56">
        <v>5</v>
      </c>
      <c r="O331" s="51" t="s">
        <v>425</v>
      </c>
      <c r="P331" s="51">
        <v>10</v>
      </c>
      <c r="Q331" s="77">
        <v>10</v>
      </c>
    </row>
    <row r="332" spans="1:17" x14ac:dyDescent="0.25">
      <c r="A332" s="52" t="s">
        <v>11</v>
      </c>
      <c r="B332" s="51" t="s">
        <v>10</v>
      </c>
      <c r="C332" s="51" t="s">
        <v>357</v>
      </c>
      <c r="D332" s="51">
        <v>10.5</v>
      </c>
      <c r="E332" s="51">
        <v>18.75</v>
      </c>
      <c r="F332" s="51" t="s">
        <v>378</v>
      </c>
      <c r="G332" s="51">
        <v>2</v>
      </c>
      <c r="H332" s="51">
        <v>19</v>
      </c>
      <c r="I332" s="51">
        <v>-1.7586206896551744</v>
      </c>
      <c r="J332" s="51">
        <v>6</v>
      </c>
      <c r="K332" s="51">
        <v>3</v>
      </c>
      <c r="L332" s="51">
        <v>0</v>
      </c>
      <c r="M332" s="51">
        <v>17.241379310344826</v>
      </c>
      <c r="N332" s="56">
        <v>5</v>
      </c>
      <c r="O332" s="51" t="s">
        <v>421</v>
      </c>
      <c r="P332" s="51">
        <v>9</v>
      </c>
      <c r="Q332" s="77">
        <v>10</v>
      </c>
    </row>
    <row r="333" spans="1:17" x14ac:dyDescent="0.25">
      <c r="A333" s="52" t="s">
        <v>66</v>
      </c>
      <c r="B333" s="51" t="s">
        <v>72</v>
      </c>
      <c r="C333" s="51" t="s">
        <v>357</v>
      </c>
      <c r="D333" s="51">
        <v>8.5</v>
      </c>
      <c r="E333" s="51">
        <v>12.5</v>
      </c>
      <c r="F333" s="51" t="s">
        <v>379</v>
      </c>
      <c r="G333" s="51">
        <v>3</v>
      </c>
      <c r="H333" s="51">
        <v>4</v>
      </c>
      <c r="I333" s="51">
        <v>13.241379310344826</v>
      </c>
      <c r="J333" s="51">
        <v>6</v>
      </c>
      <c r="K333" s="51">
        <v>3</v>
      </c>
      <c r="L333" s="51">
        <v>0</v>
      </c>
      <c r="M333" s="51">
        <v>17.241379310344826</v>
      </c>
      <c r="N333" s="56">
        <v>5</v>
      </c>
      <c r="O333" s="51" t="s">
        <v>421</v>
      </c>
      <c r="P333" s="51">
        <v>9</v>
      </c>
      <c r="Q333" s="77">
        <v>10</v>
      </c>
    </row>
    <row r="334" spans="1:17" x14ac:dyDescent="0.25">
      <c r="A334" s="52" t="s">
        <v>35</v>
      </c>
      <c r="B334" s="51" t="s">
        <v>400</v>
      </c>
      <c r="C334" s="51" t="s">
        <v>357</v>
      </c>
      <c r="D334" s="51">
        <v>10.5</v>
      </c>
      <c r="E334" s="51">
        <v>18.75</v>
      </c>
      <c r="F334" s="51" t="s">
        <v>382</v>
      </c>
      <c r="G334" s="51">
        <v>1</v>
      </c>
      <c r="H334" s="51">
        <v>17</v>
      </c>
      <c r="I334" s="51">
        <v>-3.2068965517241388</v>
      </c>
      <c r="J334" s="51">
        <v>5</v>
      </c>
      <c r="K334" s="51">
        <v>3</v>
      </c>
      <c r="L334" s="51">
        <v>1</v>
      </c>
      <c r="M334" s="51">
        <v>13.793103448275861</v>
      </c>
      <c r="N334" s="56">
        <v>4</v>
      </c>
      <c r="O334" s="51" t="s">
        <v>421</v>
      </c>
      <c r="P334" s="51">
        <v>9</v>
      </c>
      <c r="Q334" s="77">
        <v>10</v>
      </c>
    </row>
    <row r="335" spans="1:17" x14ac:dyDescent="0.25">
      <c r="A335" s="52" t="s">
        <v>17</v>
      </c>
      <c r="B335" s="51" t="s">
        <v>399</v>
      </c>
      <c r="C335" s="51" t="s">
        <v>367</v>
      </c>
      <c r="D335" s="51">
        <v>11.5</v>
      </c>
      <c r="E335" s="51">
        <v>21.875</v>
      </c>
      <c r="F335" s="51" t="s">
        <v>377</v>
      </c>
      <c r="G335" s="51">
        <v>1</v>
      </c>
      <c r="H335" s="51">
        <v>24</v>
      </c>
      <c r="I335" s="51">
        <v>-10.206896551724139</v>
      </c>
      <c r="J335" s="51">
        <v>5</v>
      </c>
      <c r="K335" s="51">
        <v>4</v>
      </c>
      <c r="L335" s="51">
        <v>0</v>
      </c>
      <c r="M335" s="51">
        <v>13.793103448275861</v>
      </c>
      <c r="N335" s="56">
        <v>4</v>
      </c>
      <c r="O335" s="51" t="s">
        <v>421</v>
      </c>
      <c r="P335" s="51">
        <v>9</v>
      </c>
      <c r="Q335" s="77">
        <v>10</v>
      </c>
    </row>
    <row r="336" spans="1:17" x14ac:dyDescent="0.25">
      <c r="A336" s="52" t="s">
        <v>37</v>
      </c>
      <c r="B336" s="51" t="s">
        <v>44</v>
      </c>
      <c r="C336" s="51" t="s">
        <v>368</v>
      </c>
      <c r="D336" s="51">
        <v>7.5</v>
      </c>
      <c r="E336" s="51">
        <v>9.375</v>
      </c>
      <c r="F336" s="51" t="s">
        <v>382</v>
      </c>
      <c r="G336" s="51">
        <v>3</v>
      </c>
      <c r="H336" s="51">
        <v>10</v>
      </c>
      <c r="I336" s="51">
        <v>3.7931034482758612</v>
      </c>
      <c r="J336" s="51">
        <v>5</v>
      </c>
      <c r="K336" s="51">
        <v>4</v>
      </c>
      <c r="L336" s="51">
        <v>0</v>
      </c>
      <c r="M336" s="51">
        <v>13.793103448275861</v>
      </c>
      <c r="N336" s="56">
        <v>4</v>
      </c>
      <c r="O336" s="51" t="s">
        <v>421</v>
      </c>
      <c r="P336" s="51">
        <v>9</v>
      </c>
      <c r="Q336" s="77">
        <v>10</v>
      </c>
    </row>
    <row r="337" spans="1:17" x14ac:dyDescent="0.25">
      <c r="A337" s="52" t="s">
        <v>74</v>
      </c>
      <c r="B337" s="51" t="s">
        <v>85</v>
      </c>
      <c r="C337" s="51" t="s">
        <v>352</v>
      </c>
      <c r="D337" s="51">
        <v>8.5</v>
      </c>
      <c r="E337" s="51">
        <v>12.5</v>
      </c>
      <c r="F337" s="51" t="s">
        <v>384</v>
      </c>
      <c r="G337" s="51">
        <v>2</v>
      </c>
      <c r="H337" s="51">
        <v>14</v>
      </c>
      <c r="I337" s="51">
        <v>-0.20689655172413879</v>
      </c>
      <c r="J337" s="51">
        <v>5</v>
      </c>
      <c r="K337" s="51">
        <v>4</v>
      </c>
      <c r="L337" s="51">
        <v>0</v>
      </c>
      <c r="M337" s="51">
        <v>13.793103448275861</v>
      </c>
      <c r="N337" s="56">
        <v>4</v>
      </c>
      <c r="O337" s="51" t="s">
        <v>421</v>
      </c>
      <c r="P337" s="51">
        <v>9</v>
      </c>
      <c r="Q337" s="77">
        <v>10</v>
      </c>
    </row>
    <row r="338" spans="1:17" x14ac:dyDescent="0.25">
      <c r="A338" s="52" t="s">
        <v>13</v>
      </c>
      <c r="B338" s="51" t="s">
        <v>67</v>
      </c>
      <c r="C338" s="51" t="s">
        <v>383</v>
      </c>
      <c r="D338" s="51">
        <v>6.5</v>
      </c>
      <c r="E338" s="51">
        <v>6.25</v>
      </c>
      <c r="F338" s="51" t="s">
        <v>384</v>
      </c>
      <c r="G338" s="51">
        <v>3</v>
      </c>
      <c r="H338" s="51">
        <v>3</v>
      </c>
      <c r="I338" s="51">
        <v>10.793103448275861</v>
      </c>
      <c r="J338" s="51">
        <v>5</v>
      </c>
      <c r="K338" s="51">
        <v>5</v>
      </c>
      <c r="L338" s="51">
        <v>0</v>
      </c>
      <c r="M338" s="51">
        <v>13.793103448275861</v>
      </c>
      <c r="N338" s="56">
        <v>4</v>
      </c>
      <c r="O338" s="51" t="s">
        <v>425</v>
      </c>
      <c r="P338" s="51">
        <v>10</v>
      </c>
      <c r="Q338" s="77">
        <v>10</v>
      </c>
    </row>
    <row r="339" spans="1:17" x14ac:dyDescent="0.25">
      <c r="A339" s="52" t="s">
        <v>59</v>
      </c>
      <c r="B339" s="51" t="s">
        <v>75</v>
      </c>
      <c r="C339" s="51" t="s">
        <v>357</v>
      </c>
      <c r="D339" s="51">
        <v>8.5</v>
      </c>
      <c r="E339" s="51">
        <v>12.5</v>
      </c>
      <c r="F339" s="51" t="s">
        <v>376</v>
      </c>
      <c r="G339" s="51">
        <v>1</v>
      </c>
      <c r="H339" s="51">
        <v>14</v>
      </c>
      <c r="I339" s="51">
        <v>-3.6551724137931032</v>
      </c>
      <c r="J339" s="51">
        <v>4</v>
      </c>
      <c r="K339" s="51">
        <v>5</v>
      </c>
      <c r="L339" s="51">
        <v>0</v>
      </c>
      <c r="M339" s="51">
        <v>10.344827586206897</v>
      </c>
      <c r="N339" s="56">
        <v>3</v>
      </c>
      <c r="O339" s="51" t="s">
        <v>421</v>
      </c>
      <c r="P339" s="51">
        <v>9</v>
      </c>
      <c r="Q339" s="77">
        <v>10</v>
      </c>
    </row>
    <row r="340" spans="1:17" x14ac:dyDescent="0.25">
      <c r="A340" s="52" t="s">
        <v>32</v>
      </c>
      <c r="B340" s="51" t="s">
        <v>31</v>
      </c>
      <c r="C340" s="51" t="s">
        <v>368</v>
      </c>
      <c r="D340" s="51">
        <v>9.5</v>
      </c>
      <c r="E340" s="51">
        <v>15.625</v>
      </c>
      <c r="F340" s="51" t="s">
        <v>380</v>
      </c>
      <c r="G340" s="51">
        <v>2</v>
      </c>
      <c r="H340" s="51">
        <v>17</v>
      </c>
      <c r="I340" s="51">
        <v>-6.6551724137931032</v>
      </c>
      <c r="J340" s="51">
        <v>4</v>
      </c>
      <c r="K340" s="51">
        <v>5</v>
      </c>
      <c r="L340" s="51">
        <v>0</v>
      </c>
      <c r="M340" s="51">
        <v>10.344827586206897</v>
      </c>
      <c r="N340" s="56">
        <v>3</v>
      </c>
      <c r="O340" s="51" t="s">
        <v>421</v>
      </c>
      <c r="P340" s="51">
        <v>9</v>
      </c>
      <c r="Q340" s="77">
        <v>10</v>
      </c>
    </row>
    <row r="341" spans="1:17" x14ac:dyDescent="0.25">
      <c r="A341" s="52" t="s">
        <v>48</v>
      </c>
      <c r="B341" s="51" t="s">
        <v>47</v>
      </c>
      <c r="C341" s="51" t="s">
        <v>352</v>
      </c>
      <c r="D341" s="51">
        <v>11.5</v>
      </c>
      <c r="E341" s="51">
        <v>21.875</v>
      </c>
      <c r="F341" s="51" t="s">
        <v>379</v>
      </c>
      <c r="G341" s="51">
        <v>1</v>
      </c>
      <c r="H341" s="51">
        <v>25</v>
      </c>
      <c r="I341" s="51">
        <v>-14.655172413793103</v>
      </c>
      <c r="J341" s="51">
        <v>4</v>
      </c>
      <c r="K341" s="51">
        <v>5</v>
      </c>
      <c r="L341" s="51">
        <v>0</v>
      </c>
      <c r="M341" s="51">
        <v>10.344827586206897</v>
      </c>
      <c r="N341" s="56">
        <v>3</v>
      </c>
      <c r="O341" s="51" t="s">
        <v>421</v>
      </c>
      <c r="P341" s="51">
        <v>9</v>
      </c>
      <c r="Q341" s="77">
        <v>10</v>
      </c>
    </row>
    <row r="342" spans="1:17" x14ac:dyDescent="0.25">
      <c r="A342" s="52" t="s">
        <v>15</v>
      </c>
      <c r="B342" s="51" t="s">
        <v>14</v>
      </c>
      <c r="C342" s="51" t="s">
        <v>363</v>
      </c>
      <c r="D342" s="51">
        <v>7.5</v>
      </c>
      <c r="E342" s="51">
        <v>9.375</v>
      </c>
      <c r="F342" s="51" t="s">
        <v>382</v>
      </c>
      <c r="G342" s="51">
        <v>4</v>
      </c>
      <c r="H342" s="51">
        <v>8</v>
      </c>
      <c r="I342" s="51">
        <v>-1.1034482758620694</v>
      </c>
      <c r="J342" s="51">
        <v>3</v>
      </c>
      <c r="K342" s="51">
        <v>5</v>
      </c>
      <c r="L342" s="51">
        <v>1</v>
      </c>
      <c r="M342" s="51">
        <v>6.8965517241379306</v>
      </c>
      <c r="N342" s="56">
        <v>2</v>
      </c>
      <c r="O342" s="51" t="s">
        <v>421</v>
      </c>
      <c r="P342" s="51">
        <v>9</v>
      </c>
      <c r="Q342" s="77">
        <v>10</v>
      </c>
    </row>
    <row r="343" spans="1:17" x14ac:dyDescent="0.25">
      <c r="A343" s="52" t="s">
        <v>5</v>
      </c>
      <c r="B343" s="51" t="s">
        <v>41</v>
      </c>
      <c r="C343" s="51" t="s">
        <v>363</v>
      </c>
      <c r="D343" s="51">
        <v>9.5</v>
      </c>
      <c r="E343" s="51">
        <v>15.625</v>
      </c>
      <c r="F343" s="51" t="s">
        <v>377</v>
      </c>
      <c r="G343" s="51">
        <v>2</v>
      </c>
      <c r="H343" s="51">
        <v>19</v>
      </c>
      <c r="I343" s="51">
        <v>-12.103448275862069</v>
      </c>
      <c r="J343" s="51">
        <v>3</v>
      </c>
      <c r="K343" s="51">
        <v>7</v>
      </c>
      <c r="L343" s="51">
        <v>0</v>
      </c>
      <c r="M343" s="51">
        <v>6.8965517241379306</v>
      </c>
      <c r="N343" s="56">
        <v>2</v>
      </c>
      <c r="O343" s="51" t="s">
        <v>425</v>
      </c>
      <c r="P343" s="51">
        <v>10</v>
      </c>
      <c r="Q343" s="77">
        <v>10</v>
      </c>
    </row>
    <row r="344" spans="1:17" x14ac:dyDescent="0.25">
      <c r="A344" s="52" t="s">
        <v>54</v>
      </c>
      <c r="B344" s="51" t="s">
        <v>77</v>
      </c>
      <c r="C344" s="51" t="s">
        <v>352</v>
      </c>
      <c r="D344" s="51">
        <v>9.5</v>
      </c>
      <c r="E344" s="51">
        <v>15.625</v>
      </c>
      <c r="F344" s="51" t="s">
        <v>380</v>
      </c>
      <c r="G344" s="51">
        <v>3</v>
      </c>
      <c r="H344" s="51">
        <v>14</v>
      </c>
      <c r="I344" s="51">
        <v>-7.1034482758620694</v>
      </c>
      <c r="J344" s="51">
        <v>3</v>
      </c>
      <c r="K344" s="51">
        <v>6</v>
      </c>
      <c r="L344" s="51">
        <v>0</v>
      </c>
      <c r="M344" s="51">
        <v>6.8965517241379306</v>
      </c>
      <c r="N344" s="56">
        <v>2</v>
      </c>
      <c r="O344" s="51" t="s">
        <v>421</v>
      </c>
      <c r="P344" s="51">
        <v>9</v>
      </c>
      <c r="Q344" s="77">
        <v>10</v>
      </c>
    </row>
    <row r="345" spans="1:17" x14ac:dyDescent="0.25">
      <c r="A345" s="52" t="s">
        <v>70</v>
      </c>
      <c r="B345" s="51" t="s">
        <v>69</v>
      </c>
      <c r="C345" s="51" t="s">
        <v>383</v>
      </c>
      <c r="D345" s="51">
        <v>7.5</v>
      </c>
      <c r="E345" s="51">
        <v>9.375</v>
      </c>
      <c r="F345" s="51" t="s">
        <v>376</v>
      </c>
      <c r="G345" s="51">
        <v>3</v>
      </c>
      <c r="H345" s="51">
        <v>12</v>
      </c>
      <c r="I345" s="51">
        <v>-5.1034482758620694</v>
      </c>
      <c r="J345" s="51">
        <v>3</v>
      </c>
      <c r="K345" s="51">
        <v>6</v>
      </c>
      <c r="L345" s="51">
        <v>0</v>
      </c>
      <c r="M345" s="51">
        <v>6.8965517241379306</v>
      </c>
      <c r="N345" s="56">
        <v>2</v>
      </c>
      <c r="O345" s="51" t="s">
        <v>421</v>
      </c>
      <c r="P345" s="51">
        <v>9</v>
      </c>
      <c r="Q345" s="77">
        <v>10</v>
      </c>
    </row>
    <row r="346" spans="1:17" x14ac:dyDescent="0.25">
      <c r="A346" s="52" t="s">
        <v>28</v>
      </c>
      <c r="B346" s="51" t="s">
        <v>93</v>
      </c>
      <c r="C346" s="51" t="s">
        <v>355</v>
      </c>
      <c r="D346" s="51">
        <v>8.5</v>
      </c>
      <c r="E346" s="51">
        <v>12.5</v>
      </c>
      <c r="F346" s="51" t="s">
        <v>379</v>
      </c>
      <c r="G346" s="51">
        <v>2</v>
      </c>
      <c r="H346" s="51">
        <v>12</v>
      </c>
      <c r="I346" s="51">
        <v>-5.1034482758620694</v>
      </c>
      <c r="J346" s="51">
        <v>3</v>
      </c>
      <c r="K346" s="51">
        <v>6</v>
      </c>
      <c r="L346" s="51">
        <v>0</v>
      </c>
      <c r="M346" s="51">
        <v>6.8965517241379306</v>
      </c>
      <c r="N346" s="56">
        <v>2</v>
      </c>
      <c r="O346" s="51" t="s">
        <v>421</v>
      </c>
      <c r="P346" s="51">
        <v>9</v>
      </c>
      <c r="Q346" s="77">
        <v>10</v>
      </c>
    </row>
    <row r="347" spans="1:17" x14ac:dyDescent="0.25">
      <c r="A347" s="52" t="s">
        <v>3</v>
      </c>
      <c r="B347" s="51" t="s">
        <v>2</v>
      </c>
      <c r="C347" s="51" t="s">
        <v>359</v>
      </c>
      <c r="D347" s="51">
        <v>7.5</v>
      </c>
      <c r="E347" s="51">
        <v>9.375</v>
      </c>
      <c r="F347" s="51" t="s">
        <v>381</v>
      </c>
      <c r="G347" s="51">
        <v>4</v>
      </c>
      <c r="H347" s="51">
        <v>8</v>
      </c>
      <c r="I347" s="51">
        <v>-1.1034482758620694</v>
      </c>
      <c r="J347" s="51">
        <v>3</v>
      </c>
      <c r="K347" s="51">
        <v>7</v>
      </c>
      <c r="L347" s="51">
        <v>0</v>
      </c>
      <c r="M347" s="51">
        <v>6.8965517241379306</v>
      </c>
      <c r="N347" s="56">
        <v>2</v>
      </c>
      <c r="O347" s="51" t="s">
        <v>425</v>
      </c>
      <c r="P347" s="51">
        <v>10</v>
      </c>
      <c r="Q347" s="77">
        <v>10</v>
      </c>
    </row>
    <row r="348" spans="1:17" x14ac:dyDescent="0.25">
      <c r="A348" s="52" t="s">
        <v>50</v>
      </c>
      <c r="B348" s="51" t="s">
        <v>95</v>
      </c>
      <c r="C348" s="51" t="s">
        <v>363</v>
      </c>
      <c r="D348" s="51">
        <v>5.5</v>
      </c>
      <c r="E348" s="51">
        <v>3.125</v>
      </c>
      <c r="F348" s="51" t="s">
        <v>377</v>
      </c>
      <c r="G348" s="51">
        <v>3</v>
      </c>
      <c r="H348" s="51">
        <v>4</v>
      </c>
      <c r="I348" s="51">
        <v>-0.5517241379310347</v>
      </c>
      <c r="J348" s="51">
        <v>2</v>
      </c>
      <c r="K348" s="51">
        <v>8</v>
      </c>
      <c r="L348" s="51">
        <v>0</v>
      </c>
      <c r="M348" s="51">
        <v>3.4482758620689653</v>
      </c>
      <c r="N348" s="56">
        <v>1</v>
      </c>
      <c r="O348" s="51" t="s">
        <v>425</v>
      </c>
      <c r="P348" s="51">
        <v>10</v>
      </c>
      <c r="Q348" s="77">
        <v>10</v>
      </c>
    </row>
    <row r="349" spans="1:17" x14ac:dyDescent="0.25">
      <c r="A349" s="52" t="s">
        <v>84</v>
      </c>
      <c r="B349" s="51" t="s">
        <v>91</v>
      </c>
      <c r="C349" s="51" t="s">
        <v>352</v>
      </c>
      <c r="D349" s="51">
        <v>4.5</v>
      </c>
      <c r="E349" s="51">
        <v>0</v>
      </c>
      <c r="F349" s="51" t="s">
        <v>380</v>
      </c>
      <c r="G349" s="51">
        <v>4</v>
      </c>
      <c r="H349" s="51">
        <v>1</v>
      </c>
      <c r="I349" s="51">
        <v>2.4482758620689653</v>
      </c>
      <c r="J349" s="51">
        <v>2</v>
      </c>
      <c r="K349" s="51">
        <v>7</v>
      </c>
      <c r="L349" s="51">
        <v>0</v>
      </c>
      <c r="M349" s="51">
        <v>3.4482758620689653</v>
      </c>
      <c r="N349" s="56">
        <v>1</v>
      </c>
      <c r="O349" s="51" t="s">
        <v>421</v>
      </c>
      <c r="P349" s="51">
        <v>9</v>
      </c>
      <c r="Q349" s="77">
        <v>10</v>
      </c>
    </row>
    <row r="350" spans="1:17" x14ac:dyDescent="0.25">
      <c r="A350" s="52" t="s">
        <v>81</v>
      </c>
      <c r="B350" s="51" t="s">
        <v>423</v>
      </c>
      <c r="C350" s="51" t="s">
        <v>367</v>
      </c>
      <c r="D350" s="51">
        <v>6.5</v>
      </c>
      <c r="E350" s="51">
        <v>6.25</v>
      </c>
      <c r="F350" s="51" t="s">
        <v>384</v>
      </c>
      <c r="G350" s="51">
        <v>4</v>
      </c>
      <c r="H350" s="51">
        <v>9</v>
      </c>
      <c r="I350" s="51">
        <v>-5.5517241379310347</v>
      </c>
      <c r="J350" s="51">
        <v>2</v>
      </c>
      <c r="K350" s="51">
        <v>7</v>
      </c>
      <c r="L350" s="51">
        <v>0</v>
      </c>
      <c r="M350" s="51">
        <v>3.4482758620689653</v>
      </c>
      <c r="N350" s="56">
        <v>1</v>
      </c>
      <c r="O350" s="51" t="s">
        <v>421</v>
      </c>
      <c r="P350" s="51">
        <v>9</v>
      </c>
      <c r="Q350" s="77">
        <v>10</v>
      </c>
    </row>
    <row r="351" spans="1:17" x14ac:dyDescent="0.25">
      <c r="A351" s="52" t="s">
        <v>52</v>
      </c>
      <c r="B351" s="51" t="s">
        <v>403</v>
      </c>
      <c r="C351" s="51" t="s">
        <v>383</v>
      </c>
      <c r="D351" s="51">
        <v>5.5</v>
      </c>
      <c r="E351" s="51">
        <v>3.125</v>
      </c>
      <c r="F351" s="51" t="s">
        <v>377</v>
      </c>
      <c r="G351" s="51">
        <v>4</v>
      </c>
      <c r="H351" s="51">
        <v>3</v>
      </c>
      <c r="I351" s="51">
        <v>0.4482758620689653</v>
      </c>
      <c r="J351" s="51">
        <v>2</v>
      </c>
      <c r="K351" s="51">
        <v>8</v>
      </c>
      <c r="L351" s="51">
        <v>0</v>
      </c>
      <c r="M351" s="51">
        <v>3.4482758620689653</v>
      </c>
      <c r="N351" s="56">
        <v>1</v>
      </c>
      <c r="O351" s="51" t="s">
        <v>425</v>
      </c>
      <c r="P351" s="51">
        <v>10</v>
      </c>
      <c r="Q351" s="77">
        <v>10</v>
      </c>
    </row>
    <row r="352" spans="1:17" x14ac:dyDescent="0.25">
      <c r="A352" s="52" t="s">
        <v>24</v>
      </c>
      <c r="B352" s="51" t="s">
        <v>79</v>
      </c>
      <c r="C352" s="51" t="s">
        <v>359</v>
      </c>
      <c r="D352" s="51">
        <v>5.5</v>
      </c>
      <c r="E352" s="51">
        <v>3.125</v>
      </c>
      <c r="F352" s="51" t="s">
        <v>379</v>
      </c>
      <c r="G352" s="51">
        <v>4</v>
      </c>
      <c r="H352" s="51">
        <v>9</v>
      </c>
      <c r="I352" s="51">
        <v>-5.5517241379310347</v>
      </c>
      <c r="J352" s="51">
        <v>2</v>
      </c>
      <c r="K352" s="51">
        <v>7</v>
      </c>
      <c r="L352" s="51">
        <v>0</v>
      </c>
      <c r="M352" s="51">
        <v>3.4482758620689653</v>
      </c>
      <c r="N352" s="56">
        <v>1</v>
      </c>
      <c r="O352" s="51" t="s">
        <v>421</v>
      </c>
      <c r="P352" s="51">
        <v>9</v>
      </c>
      <c r="Q352" s="77">
        <v>10</v>
      </c>
    </row>
    <row r="353" spans="1:17" ht="15.75" thickBot="1" x14ac:dyDescent="0.3">
      <c r="A353" s="53" t="s">
        <v>20</v>
      </c>
      <c r="B353" s="54" t="s">
        <v>89</v>
      </c>
      <c r="C353" s="54" t="s">
        <v>368</v>
      </c>
      <c r="D353" s="54">
        <v>5.5</v>
      </c>
      <c r="E353" s="54">
        <v>3.125</v>
      </c>
      <c r="F353" s="54" t="s">
        <v>378</v>
      </c>
      <c r="G353" s="54">
        <v>4</v>
      </c>
      <c r="H353" s="54">
        <v>7</v>
      </c>
      <c r="I353" s="54">
        <v>-7</v>
      </c>
      <c r="J353" s="54">
        <v>1</v>
      </c>
      <c r="K353" s="54">
        <v>8</v>
      </c>
      <c r="L353" s="54">
        <v>0</v>
      </c>
      <c r="M353" s="54">
        <v>0</v>
      </c>
      <c r="N353" s="57">
        <v>0</v>
      </c>
      <c r="O353" s="54" t="s">
        <v>421</v>
      </c>
      <c r="P353" s="54">
        <v>9</v>
      </c>
      <c r="Q353" s="78">
        <v>10</v>
      </c>
    </row>
    <row r="354" spans="1:17" x14ac:dyDescent="0.25">
      <c r="A354" s="79" t="s">
        <v>64</v>
      </c>
      <c r="B354" s="80" t="s">
        <v>63</v>
      </c>
      <c r="C354" s="80" t="s">
        <v>367</v>
      </c>
      <c r="D354" s="80">
        <v>9.5</v>
      </c>
      <c r="E354" s="80">
        <v>15.625</v>
      </c>
      <c r="F354" s="80" t="s">
        <v>381</v>
      </c>
      <c r="G354" s="80">
        <v>1</v>
      </c>
      <c r="H354" s="80">
        <v>17</v>
      </c>
      <c r="I354" s="80">
        <v>7.427480916030536</v>
      </c>
      <c r="J354" s="80">
        <v>9</v>
      </c>
      <c r="K354" s="80">
        <v>2</v>
      </c>
      <c r="L354" s="80">
        <v>0</v>
      </c>
      <c r="M354" s="80">
        <v>24.427480916030536</v>
      </c>
      <c r="N354" s="81">
        <v>8</v>
      </c>
      <c r="O354" s="80" t="s">
        <v>425</v>
      </c>
      <c r="P354" s="80">
        <v>11</v>
      </c>
      <c r="Q354" s="82">
        <v>11</v>
      </c>
    </row>
    <row r="355" spans="1:17" x14ac:dyDescent="0.25">
      <c r="A355" s="52" t="s">
        <v>46</v>
      </c>
      <c r="B355" s="51" t="s">
        <v>404</v>
      </c>
      <c r="C355" s="51" t="s">
        <v>359</v>
      </c>
      <c r="D355" s="51">
        <v>8.5</v>
      </c>
      <c r="E355" s="51">
        <v>12.5</v>
      </c>
      <c r="F355" s="51" t="s">
        <v>381</v>
      </c>
      <c r="G355" s="51">
        <v>3</v>
      </c>
      <c r="H355" s="51">
        <v>10</v>
      </c>
      <c r="I355" s="51">
        <v>14.427480916030536</v>
      </c>
      <c r="J355" s="51">
        <v>9</v>
      </c>
      <c r="K355" s="51">
        <v>2</v>
      </c>
      <c r="L355" s="51">
        <v>0</v>
      </c>
      <c r="M355" s="51">
        <v>24.427480916030536</v>
      </c>
      <c r="N355" s="56">
        <v>8</v>
      </c>
      <c r="O355" s="51" t="s">
        <v>425</v>
      </c>
      <c r="P355" s="51">
        <v>11</v>
      </c>
      <c r="Q355" s="77">
        <v>11</v>
      </c>
    </row>
    <row r="356" spans="1:17" x14ac:dyDescent="0.25">
      <c r="A356" s="52" t="s">
        <v>43</v>
      </c>
      <c r="B356" s="51" t="s">
        <v>57</v>
      </c>
      <c r="C356" s="51" t="s">
        <v>368</v>
      </c>
      <c r="D356" s="51">
        <v>7.5</v>
      </c>
      <c r="E356" s="51">
        <v>9.375</v>
      </c>
      <c r="F356" s="51" t="s">
        <v>378</v>
      </c>
      <c r="G356" s="51">
        <v>3</v>
      </c>
      <c r="H356" s="51">
        <v>1</v>
      </c>
      <c r="I356" s="51">
        <v>20.374045801526719</v>
      </c>
      <c r="J356" s="51">
        <v>8</v>
      </c>
      <c r="K356" s="51">
        <v>2</v>
      </c>
      <c r="L356" s="51">
        <v>0</v>
      </c>
      <c r="M356" s="51">
        <v>21.374045801526719</v>
      </c>
      <c r="N356" s="56">
        <v>7</v>
      </c>
      <c r="O356" s="51" t="s">
        <v>421</v>
      </c>
      <c r="P356" s="51">
        <v>10</v>
      </c>
      <c r="Q356" s="77">
        <v>11</v>
      </c>
    </row>
    <row r="357" spans="1:17" x14ac:dyDescent="0.25">
      <c r="A357" s="52" t="s">
        <v>22</v>
      </c>
      <c r="B357" s="51" t="s">
        <v>21</v>
      </c>
      <c r="C357" s="51" t="s">
        <v>355</v>
      </c>
      <c r="D357" s="51">
        <v>9.5</v>
      </c>
      <c r="E357" s="51">
        <v>15.625</v>
      </c>
      <c r="F357" s="51" t="s">
        <v>382</v>
      </c>
      <c r="G357" s="51">
        <v>2</v>
      </c>
      <c r="H357" s="51">
        <v>15</v>
      </c>
      <c r="I357" s="51">
        <v>6.3740458015267194</v>
      </c>
      <c r="J357" s="51">
        <v>8</v>
      </c>
      <c r="K357" s="51">
        <v>2</v>
      </c>
      <c r="L357" s="51">
        <v>0</v>
      </c>
      <c r="M357" s="51">
        <v>21.374045801526719</v>
      </c>
      <c r="N357" s="56">
        <v>7</v>
      </c>
      <c r="O357" s="51" t="s">
        <v>421</v>
      </c>
      <c r="P357" s="51">
        <v>10</v>
      </c>
      <c r="Q357" s="77">
        <v>11</v>
      </c>
    </row>
    <row r="358" spans="1:17" x14ac:dyDescent="0.25">
      <c r="A358" s="52" t="s">
        <v>39</v>
      </c>
      <c r="B358" s="51" t="s">
        <v>38</v>
      </c>
      <c r="C358" s="51" t="s">
        <v>363</v>
      </c>
      <c r="D358" s="51">
        <v>11.5</v>
      </c>
      <c r="E358" s="51">
        <v>21.875</v>
      </c>
      <c r="F358" s="51" t="s">
        <v>378</v>
      </c>
      <c r="G358" s="51">
        <v>1</v>
      </c>
      <c r="H358" s="51">
        <v>23</v>
      </c>
      <c r="I358" s="51">
        <v>-1.6259541984732806</v>
      </c>
      <c r="J358" s="51">
        <v>8</v>
      </c>
      <c r="K358" s="51">
        <v>2</v>
      </c>
      <c r="L358" s="51">
        <v>0</v>
      </c>
      <c r="M358" s="51">
        <v>21.374045801526719</v>
      </c>
      <c r="N358" s="56">
        <v>7</v>
      </c>
      <c r="O358" s="51" t="s">
        <v>421</v>
      </c>
      <c r="P358" s="51">
        <v>10</v>
      </c>
      <c r="Q358" s="77">
        <v>11</v>
      </c>
    </row>
    <row r="359" spans="1:17" x14ac:dyDescent="0.25">
      <c r="A359" s="52" t="s">
        <v>9</v>
      </c>
      <c r="B359" s="51" t="s">
        <v>55</v>
      </c>
      <c r="C359" s="51" t="s">
        <v>355</v>
      </c>
      <c r="D359" s="51">
        <v>8.5</v>
      </c>
      <c r="E359" s="51">
        <v>12.5</v>
      </c>
      <c r="F359" s="51" t="s">
        <v>376</v>
      </c>
      <c r="G359" s="51">
        <v>4</v>
      </c>
      <c r="H359" s="51">
        <v>11</v>
      </c>
      <c r="I359" s="51">
        <v>7.3206106870229029</v>
      </c>
      <c r="J359" s="51">
        <v>7</v>
      </c>
      <c r="K359" s="51">
        <v>3</v>
      </c>
      <c r="L359" s="51">
        <v>0</v>
      </c>
      <c r="M359" s="51">
        <v>18.320610687022903</v>
      </c>
      <c r="N359" s="56">
        <v>6</v>
      </c>
      <c r="O359" s="51" t="s">
        <v>421</v>
      </c>
      <c r="P359" s="51">
        <v>10</v>
      </c>
      <c r="Q359" s="77">
        <v>11</v>
      </c>
    </row>
    <row r="360" spans="1:17" x14ac:dyDescent="0.25">
      <c r="A360" s="52" t="s">
        <v>61</v>
      </c>
      <c r="B360" s="51" t="s">
        <v>60</v>
      </c>
      <c r="C360" s="51" t="s">
        <v>367</v>
      </c>
      <c r="D360" s="51">
        <v>9.5</v>
      </c>
      <c r="E360" s="51">
        <v>15.625</v>
      </c>
      <c r="F360" s="51" t="s">
        <v>376</v>
      </c>
      <c r="G360" s="51">
        <v>2</v>
      </c>
      <c r="H360" s="51">
        <v>13</v>
      </c>
      <c r="I360" s="51">
        <v>5.3206106870229029</v>
      </c>
      <c r="J360" s="51">
        <v>7</v>
      </c>
      <c r="K360" s="51">
        <v>4</v>
      </c>
      <c r="L360" s="51">
        <v>0</v>
      </c>
      <c r="M360" s="51">
        <v>18.320610687022903</v>
      </c>
      <c r="N360" s="56">
        <v>6</v>
      </c>
      <c r="O360" s="51" t="s">
        <v>425</v>
      </c>
      <c r="P360" s="51">
        <v>11</v>
      </c>
      <c r="Q360" s="77">
        <v>11</v>
      </c>
    </row>
    <row r="361" spans="1:17" x14ac:dyDescent="0.25">
      <c r="A361" s="52" t="s">
        <v>26</v>
      </c>
      <c r="B361" s="51" t="s">
        <v>25</v>
      </c>
      <c r="C361" s="51" t="s">
        <v>359</v>
      </c>
      <c r="D361" s="51">
        <v>11.5</v>
      </c>
      <c r="E361" s="51">
        <v>21.875</v>
      </c>
      <c r="F361" s="51" t="s">
        <v>384</v>
      </c>
      <c r="G361" s="51">
        <v>1</v>
      </c>
      <c r="H361" s="51">
        <v>24</v>
      </c>
      <c r="I361" s="51">
        <v>-5.6793893129770971</v>
      </c>
      <c r="J361" s="51">
        <v>7</v>
      </c>
      <c r="K361" s="51">
        <v>3</v>
      </c>
      <c r="L361" s="51">
        <v>0</v>
      </c>
      <c r="M361" s="51">
        <v>18.320610687022903</v>
      </c>
      <c r="N361" s="56">
        <v>6</v>
      </c>
      <c r="O361" s="51" t="s">
        <v>421</v>
      </c>
      <c r="P361" s="51">
        <v>10</v>
      </c>
      <c r="Q361" s="77">
        <v>11</v>
      </c>
    </row>
    <row r="362" spans="1:17" x14ac:dyDescent="0.25">
      <c r="A362" s="52" t="s">
        <v>7</v>
      </c>
      <c r="B362" s="51" t="s">
        <v>405</v>
      </c>
      <c r="C362" s="51" t="s">
        <v>355</v>
      </c>
      <c r="D362" s="51">
        <v>10.5</v>
      </c>
      <c r="E362" s="51">
        <v>18.75</v>
      </c>
      <c r="F362" s="51" t="s">
        <v>380</v>
      </c>
      <c r="G362" s="51">
        <v>1</v>
      </c>
      <c r="H362" s="51">
        <v>18</v>
      </c>
      <c r="I362" s="51">
        <v>0.32061068702290285</v>
      </c>
      <c r="J362" s="51">
        <v>7</v>
      </c>
      <c r="K362" s="51">
        <v>4</v>
      </c>
      <c r="L362" s="51">
        <v>0</v>
      </c>
      <c r="M362" s="51">
        <v>18.320610687022903</v>
      </c>
      <c r="N362" s="56">
        <v>6</v>
      </c>
      <c r="O362" s="51" t="s">
        <v>425</v>
      </c>
      <c r="P362" s="51">
        <v>11</v>
      </c>
      <c r="Q362" s="77">
        <v>11</v>
      </c>
    </row>
    <row r="363" spans="1:17" x14ac:dyDescent="0.25">
      <c r="A363" s="52" t="s">
        <v>66</v>
      </c>
      <c r="B363" s="51" t="s">
        <v>72</v>
      </c>
      <c r="C363" s="51" t="s">
        <v>357</v>
      </c>
      <c r="D363" s="51">
        <v>8.5</v>
      </c>
      <c r="E363" s="51">
        <v>12.5</v>
      </c>
      <c r="F363" s="51" t="s">
        <v>379</v>
      </c>
      <c r="G363" s="51">
        <v>3</v>
      </c>
      <c r="H363" s="51">
        <v>4</v>
      </c>
      <c r="I363" s="51">
        <v>14.320610687022903</v>
      </c>
      <c r="J363" s="51">
        <v>7</v>
      </c>
      <c r="K363" s="51">
        <v>3</v>
      </c>
      <c r="L363" s="51">
        <v>0</v>
      </c>
      <c r="M363" s="51">
        <v>18.320610687022903</v>
      </c>
      <c r="N363" s="56">
        <v>6</v>
      </c>
      <c r="O363" s="51" t="s">
        <v>421</v>
      </c>
      <c r="P363" s="51">
        <v>10</v>
      </c>
      <c r="Q363" s="77">
        <v>11</v>
      </c>
    </row>
    <row r="364" spans="1:17" x14ac:dyDescent="0.25">
      <c r="A364" s="52" t="s">
        <v>1</v>
      </c>
      <c r="B364" s="51" t="s">
        <v>402</v>
      </c>
      <c r="C364" s="51" t="s">
        <v>383</v>
      </c>
      <c r="D364" s="51">
        <v>9.5</v>
      </c>
      <c r="E364" s="51">
        <v>15.625</v>
      </c>
      <c r="F364" s="51" t="s">
        <v>381</v>
      </c>
      <c r="G364" s="51">
        <v>2</v>
      </c>
      <c r="H364" s="51">
        <v>15</v>
      </c>
      <c r="I364" s="51">
        <v>0.26717557251908453</v>
      </c>
      <c r="J364" s="51">
        <v>6</v>
      </c>
      <c r="K364" s="51">
        <v>4</v>
      </c>
      <c r="L364" s="51">
        <v>0</v>
      </c>
      <c r="M364" s="51">
        <v>15.267175572519085</v>
      </c>
      <c r="N364" s="56">
        <v>5</v>
      </c>
      <c r="O364" s="51" t="s">
        <v>421</v>
      </c>
      <c r="P364" s="51">
        <v>10</v>
      </c>
      <c r="Q364" s="77">
        <v>11</v>
      </c>
    </row>
    <row r="365" spans="1:17" x14ac:dyDescent="0.25">
      <c r="A365" s="52" t="s">
        <v>11</v>
      </c>
      <c r="B365" s="51" t="s">
        <v>10</v>
      </c>
      <c r="C365" s="51" t="s">
        <v>357</v>
      </c>
      <c r="D365" s="51">
        <v>10.5</v>
      </c>
      <c r="E365" s="51">
        <v>18.75</v>
      </c>
      <c r="F365" s="51" t="s">
        <v>378</v>
      </c>
      <c r="G365" s="51">
        <v>2</v>
      </c>
      <c r="H365" s="51">
        <v>19</v>
      </c>
      <c r="I365" s="51">
        <v>-3.7328244274809155</v>
      </c>
      <c r="J365" s="51">
        <v>6</v>
      </c>
      <c r="K365" s="51">
        <v>4</v>
      </c>
      <c r="L365" s="51">
        <v>0</v>
      </c>
      <c r="M365" s="51">
        <v>15.267175572519085</v>
      </c>
      <c r="N365" s="56">
        <v>5</v>
      </c>
      <c r="O365" s="51" t="s">
        <v>421</v>
      </c>
      <c r="P365" s="51">
        <v>10</v>
      </c>
      <c r="Q365" s="77">
        <v>11</v>
      </c>
    </row>
    <row r="366" spans="1:17" x14ac:dyDescent="0.25">
      <c r="A366" s="52" t="s">
        <v>35</v>
      </c>
      <c r="B366" s="51" t="s">
        <v>400</v>
      </c>
      <c r="C366" s="51" t="s">
        <v>357</v>
      </c>
      <c r="D366" s="51">
        <v>10.5</v>
      </c>
      <c r="E366" s="51">
        <v>18.75</v>
      </c>
      <c r="F366" s="51" t="s">
        <v>382</v>
      </c>
      <c r="G366" s="51">
        <v>1</v>
      </c>
      <c r="H366" s="51">
        <v>17</v>
      </c>
      <c r="I366" s="51">
        <v>-1.7328244274809155</v>
      </c>
      <c r="J366" s="51">
        <v>6</v>
      </c>
      <c r="K366" s="51">
        <v>3</v>
      </c>
      <c r="L366" s="51">
        <v>1</v>
      </c>
      <c r="M366" s="51">
        <v>15.267175572519085</v>
      </c>
      <c r="N366" s="56">
        <v>5</v>
      </c>
      <c r="O366" s="51" t="s">
        <v>421</v>
      </c>
      <c r="P366" s="51">
        <v>10</v>
      </c>
      <c r="Q366" s="77">
        <v>11</v>
      </c>
    </row>
    <row r="367" spans="1:17" x14ac:dyDescent="0.25">
      <c r="A367" s="52" t="s">
        <v>37</v>
      </c>
      <c r="B367" s="51" t="s">
        <v>44</v>
      </c>
      <c r="C367" s="51" t="s">
        <v>368</v>
      </c>
      <c r="D367" s="51">
        <v>7.5</v>
      </c>
      <c r="E367" s="51">
        <v>9.375</v>
      </c>
      <c r="F367" s="51" t="s">
        <v>382</v>
      </c>
      <c r="G367" s="51">
        <v>3</v>
      </c>
      <c r="H367" s="51">
        <v>10</v>
      </c>
      <c r="I367" s="51">
        <v>5.2671755725190845</v>
      </c>
      <c r="J367" s="51">
        <v>6</v>
      </c>
      <c r="K367" s="51">
        <v>4</v>
      </c>
      <c r="L367" s="51">
        <v>0</v>
      </c>
      <c r="M367" s="51">
        <v>15.267175572519085</v>
      </c>
      <c r="N367" s="56">
        <v>5</v>
      </c>
      <c r="O367" s="51" t="s">
        <v>421</v>
      </c>
      <c r="P367" s="51">
        <v>10</v>
      </c>
      <c r="Q367" s="77">
        <v>11</v>
      </c>
    </row>
    <row r="368" spans="1:17" x14ac:dyDescent="0.25">
      <c r="A368" s="52" t="s">
        <v>74</v>
      </c>
      <c r="B368" s="51" t="s">
        <v>85</v>
      </c>
      <c r="C368" s="51" t="s">
        <v>352</v>
      </c>
      <c r="D368" s="51">
        <v>8.5</v>
      </c>
      <c r="E368" s="51">
        <v>12.5</v>
      </c>
      <c r="F368" s="51" t="s">
        <v>384</v>
      </c>
      <c r="G368" s="51">
        <v>2</v>
      </c>
      <c r="H368" s="51">
        <v>14</v>
      </c>
      <c r="I368" s="51">
        <v>1.2671755725190845</v>
      </c>
      <c r="J368" s="51">
        <v>6</v>
      </c>
      <c r="K368" s="51">
        <v>4</v>
      </c>
      <c r="L368" s="51">
        <v>0</v>
      </c>
      <c r="M368" s="51">
        <v>15.267175572519085</v>
      </c>
      <c r="N368" s="56">
        <v>5</v>
      </c>
      <c r="O368" s="51" t="s">
        <v>421</v>
      </c>
      <c r="P368" s="51">
        <v>10</v>
      </c>
      <c r="Q368" s="77">
        <v>11</v>
      </c>
    </row>
    <row r="369" spans="1:17" x14ac:dyDescent="0.25">
      <c r="A369" s="52" t="s">
        <v>13</v>
      </c>
      <c r="B369" s="51" t="s">
        <v>67</v>
      </c>
      <c r="C369" s="51" t="s">
        <v>383</v>
      </c>
      <c r="D369" s="51">
        <v>6.5</v>
      </c>
      <c r="E369" s="51">
        <v>6.25</v>
      </c>
      <c r="F369" s="51" t="s">
        <v>384</v>
      </c>
      <c r="G369" s="51">
        <v>3</v>
      </c>
      <c r="H369" s="51">
        <v>3</v>
      </c>
      <c r="I369" s="51">
        <v>12.267175572519085</v>
      </c>
      <c r="J369" s="51">
        <v>6</v>
      </c>
      <c r="K369" s="51">
        <v>5</v>
      </c>
      <c r="L369" s="51">
        <v>0</v>
      </c>
      <c r="M369" s="51">
        <v>15.267175572519085</v>
      </c>
      <c r="N369" s="56">
        <v>5</v>
      </c>
      <c r="O369" s="51" t="s">
        <v>425</v>
      </c>
      <c r="P369" s="51">
        <v>11</v>
      </c>
      <c r="Q369" s="77">
        <v>11</v>
      </c>
    </row>
    <row r="370" spans="1:17" x14ac:dyDescent="0.25">
      <c r="A370" s="52" t="s">
        <v>17</v>
      </c>
      <c r="B370" s="51" t="s">
        <v>399</v>
      </c>
      <c r="C370" s="51" t="s">
        <v>367</v>
      </c>
      <c r="D370" s="51">
        <v>11.5</v>
      </c>
      <c r="E370" s="51">
        <v>21.875</v>
      </c>
      <c r="F370" s="51" t="s">
        <v>377</v>
      </c>
      <c r="G370" s="51">
        <v>1</v>
      </c>
      <c r="H370" s="51">
        <v>24</v>
      </c>
      <c r="I370" s="51">
        <v>-11.786259541984732</v>
      </c>
      <c r="J370" s="51">
        <v>5</v>
      </c>
      <c r="K370" s="51">
        <v>5</v>
      </c>
      <c r="L370" s="51">
        <v>0</v>
      </c>
      <c r="M370" s="51">
        <v>12.213740458015268</v>
      </c>
      <c r="N370" s="56">
        <v>4</v>
      </c>
      <c r="O370" s="51" t="s">
        <v>421</v>
      </c>
      <c r="P370" s="51">
        <v>10</v>
      </c>
      <c r="Q370" s="77">
        <v>11</v>
      </c>
    </row>
    <row r="371" spans="1:17" x14ac:dyDescent="0.25">
      <c r="A371" s="52" t="s">
        <v>32</v>
      </c>
      <c r="B371" s="51" t="s">
        <v>31</v>
      </c>
      <c r="C371" s="51" t="s">
        <v>368</v>
      </c>
      <c r="D371" s="51">
        <v>9.5</v>
      </c>
      <c r="E371" s="51">
        <v>15.625</v>
      </c>
      <c r="F371" s="51" t="s">
        <v>380</v>
      </c>
      <c r="G371" s="51">
        <v>2</v>
      </c>
      <c r="H371" s="51">
        <v>17</v>
      </c>
      <c r="I371" s="51">
        <v>-4.786259541984732</v>
      </c>
      <c r="J371" s="51">
        <v>5</v>
      </c>
      <c r="K371" s="51">
        <v>5</v>
      </c>
      <c r="L371" s="51">
        <v>0</v>
      </c>
      <c r="M371" s="51">
        <v>12.213740458015268</v>
      </c>
      <c r="N371" s="56">
        <v>4</v>
      </c>
      <c r="O371" s="51" t="s">
        <v>421</v>
      </c>
      <c r="P371" s="51">
        <v>10</v>
      </c>
      <c r="Q371" s="77">
        <v>11</v>
      </c>
    </row>
    <row r="372" spans="1:17" x14ac:dyDescent="0.25">
      <c r="A372" s="52" t="s">
        <v>48</v>
      </c>
      <c r="B372" s="51" t="s">
        <v>47</v>
      </c>
      <c r="C372" s="51" t="s">
        <v>352</v>
      </c>
      <c r="D372" s="51">
        <v>11.5</v>
      </c>
      <c r="E372" s="51">
        <v>21.875</v>
      </c>
      <c r="F372" s="51" t="s">
        <v>379</v>
      </c>
      <c r="G372" s="51">
        <v>1</v>
      </c>
      <c r="H372" s="51">
        <v>25</v>
      </c>
      <c r="I372" s="51">
        <v>-12.786259541984732</v>
      </c>
      <c r="J372" s="51">
        <v>5</v>
      </c>
      <c r="K372" s="51">
        <v>5</v>
      </c>
      <c r="L372" s="51">
        <v>0</v>
      </c>
      <c r="M372" s="51">
        <v>12.213740458015268</v>
      </c>
      <c r="N372" s="56">
        <v>4</v>
      </c>
      <c r="O372" s="51" t="s">
        <v>421</v>
      </c>
      <c r="P372" s="51">
        <v>10</v>
      </c>
      <c r="Q372" s="77">
        <v>11</v>
      </c>
    </row>
    <row r="373" spans="1:17" x14ac:dyDescent="0.25">
      <c r="A373" s="52" t="s">
        <v>59</v>
      </c>
      <c r="B373" s="51" t="s">
        <v>75</v>
      </c>
      <c r="C373" s="51" t="s">
        <v>357</v>
      </c>
      <c r="D373" s="51">
        <v>8.5</v>
      </c>
      <c r="E373" s="51">
        <v>12.5</v>
      </c>
      <c r="F373" s="51" t="s">
        <v>376</v>
      </c>
      <c r="G373" s="51">
        <v>1</v>
      </c>
      <c r="H373" s="51">
        <v>14</v>
      </c>
      <c r="I373" s="51">
        <v>-4.8396946564885486</v>
      </c>
      <c r="J373" s="51">
        <v>4</v>
      </c>
      <c r="K373" s="51">
        <v>6</v>
      </c>
      <c r="L373" s="51">
        <v>0</v>
      </c>
      <c r="M373" s="51">
        <v>9.1603053435114514</v>
      </c>
      <c r="N373" s="56">
        <v>3</v>
      </c>
      <c r="O373" s="51" t="s">
        <v>421</v>
      </c>
      <c r="P373" s="51">
        <v>10</v>
      </c>
      <c r="Q373" s="77">
        <v>11</v>
      </c>
    </row>
    <row r="374" spans="1:17" x14ac:dyDescent="0.25">
      <c r="A374" s="52" t="s">
        <v>3</v>
      </c>
      <c r="B374" s="51" t="s">
        <v>2</v>
      </c>
      <c r="C374" s="51" t="s">
        <v>359</v>
      </c>
      <c r="D374" s="51">
        <v>7.5</v>
      </c>
      <c r="E374" s="51">
        <v>9.375</v>
      </c>
      <c r="F374" s="51" t="s">
        <v>381</v>
      </c>
      <c r="G374" s="51">
        <v>4</v>
      </c>
      <c r="H374" s="51">
        <v>8</v>
      </c>
      <c r="I374" s="51">
        <v>1.1603053435114514</v>
      </c>
      <c r="J374" s="51">
        <v>4</v>
      </c>
      <c r="K374" s="51">
        <v>7</v>
      </c>
      <c r="L374" s="51">
        <v>0</v>
      </c>
      <c r="M374" s="51">
        <v>9.1603053435114514</v>
      </c>
      <c r="N374" s="56">
        <v>3</v>
      </c>
      <c r="O374" s="51" t="s">
        <v>425</v>
      </c>
      <c r="P374" s="51">
        <v>11</v>
      </c>
      <c r="Q374" s="77">
        <v>11</v>
      </c>
    </row>
    <row r="375" spans="1:17" x14ac:dyDescent="0.25">
      <c r="A375" s="52" t="s">
        <v>15</v>
      </c>
      <c r="B375" s="51" t="s">
        <v>14</v>
      </c>
      <c r="C375" s="51" t="s">
        <v>363</v>
      </c>
      <c r="D375" s="51">
        <v>7.5</v>
      </c>
      <c r="E375" s="51">
        <v>9.375</v>
      </c>
      <c r="F375" s="51" t="s">
        <v>382</v>
      </c>
      <c r="G375" s="51">
        <v>4</v>
      </c>
      <c r="H375" s="51">
        <v>8</v>
      </c>
      <c r="I375" s="51">
        <v>1.1603053435114514</v>
      </c>
      <c r="J375" s="51">
        <v>4</v>
      </c>
      <c r="K375" s="51">
        <v>5</v>
      </c>
      <c r="L375" s="51">
        <v>1</v>
      </c>
      <c r="M375" s="51">
        <v>9.1603053435114514</v>
      </c>
      <c r="N375" s="56">
        <v>3</v>
      </c>
      <c r="O375" s="51" t="s">
        <v>421</v>
      </c>
      <c r="P375" s="51">
        <v>10</v>
      </c>
      <c r="Q375" s="77">
        <v>11</v>
      </c>
    </row>
    <row r="376" spans="1:17" x14ac:dyDescent="0.25">
      <c r="A376" s="52" t="s">
        <v>5</v>
      </c>
      <c r="B376" s="51" t="s">
        <v>41</v>
      </c>
      <c r="C376" s="51" t="s">
        <v>363</v>
      </c>
      <c r="D376" s="51">
        <v>9.5</v>
      </c>
      <c r="E376" s="51">
        <v>15.625</v>
      </c>
      <c r="F376" s="51" t="s">
        <v>377</v>
      </c>
      <c r="G376" s="51">
        <v>2</v>
      </c>
      <c r="H376" s="51">
        <v>19</v>
      </c>
      <c r="I376" s="51">
        <v>-12.893129770992367</v>
      </c>
      <c r="J376" s="51">
        <v>3</v>
      </c>
      <c r="K376" s="51">
        <v>8</v>
      </c>
      <c r="L376" s="51">
        <v>0</v>
      </c>
      <c r="M376" s="51">
        <v>6.106870229007634</v>
      </c>
      <c r="N376" s="56">
        <v>2</v>
      </c>
      <c r="O376" s="51" t="s">
        <v>425</v>
      </c>
      <c r="P376" s="51">
        <v>11</v>
      </c>
      <c r="Q376" s="77">
        <v>11</v>
      </c>
    </row>
    <row r="377" spans="1:17" x14ac:dyDescent="0.25">
      <c r="A377" s="52" t="s">
        <v>54</v>
      </c>
      <c r="B377" s="51" t="s">
        <v>77</v>
      </c>
      <c r="C377" s="51" t="s">
        <v>352</v>
      </c>
      <c r="D377" s="51">
        <v>9.5</v>
      </c>
      <c r="E377" s="51">
        <v>15.625</v>
      </c>
      <c r="F377" s="51" t="s">
        <v>380</v>
      </c>
      <c r="G377" s="51">
        <v>3</v>
      </c>
      <c r="H377" s="51">
        <v>14</v>
      </c>
      <c r="I377" s="51">
        <v>-7.893129770992366</v>
      </c>
      <c r="J377" s="51">
        <v>3</v>
      </c>
      <c r="K377" s="51">
        <v>7</v>
      </c>
      <c r="L377" s="51">
        <v>0</v>
      </c>
      <c r="M377" s="51">
        <v>6.106870229007634</v>
      </c>
      <c r="N377" s="56">
        <v>2</v>
      </c>
      <c r="O377" s="51" t="s">
        <v>421</v>
      </c>
      <c r="P377" s="51">
        <v>10</v>
      </c>
      <c r="Q377" s="77">
        <v>11</v>
      </c>
    </row>
    <row r="378" spans="1:17" x14ac:dyDescent="0.25">
      <c r="A378" s="52" t="s">
        <v>70</v>
      </c>
      <c r="B378" s="51" t="s">
        <v>69</v>
      </c>
      <c r="C378" s="51" t="s">
        <v>383</v>
      </c>
      <c r="D378" s="51">
        <v>7.5</v>
      </c>
      <c r="E378" s="51">
        <v>9.375</v>
      </c>
      <c r="F378" s="51" t="s">
        <v>376</v>
      </c>
      <c r="G378" s="51">
        <v>3</v>
      </c>
      <c r="H378" s="51">
        <v>12</v>
      </c>
      <c r="I378" s="51">
        <v>-5.893129770992366</v>
      </c>
      <c r="J378" s="51">
        <v>3</v>
      </c>
      <c r="K378" s="51">
        <v>7</v>
      </c>
      <c r="L378" s="51">
        <v>0</v>
      </c>
      <c r="M378" s="51">
        <v>6.106870229007634</v>
      </c>
      <c r="N378" s="56">
        <v>2</v>
      </c>
      <c r="O378" s="51" t="s">
        <v>421</v>
      </c>
      <c r="P378" s="51">
        <v>10</v>
      </c>
      <c r="Q378" s="77">
        <v>11</v>
      </c>
    </row>
    <row r="379" spans="1:17" x14ac:dyDescent="0.25">
      <c r="A379" s="52" t="s">
        <v>28</v>
      </c>
      <c r="B379" s="51" t="s">
        <v>93</v>
      </c>
      <c r="C379" s="51" t="s">
        <v>355</v>
      </c>
      <c r="D379" s="51">
        <v>8.5</v>
      </c>
      <c r="E379" s="51">
        <v>12.5</v>
      </c>
      <c r="F379" s="51" t="s">
        <v>379</v>
      </c>
      <c r="G379" s="51">
        <v>2</v>
      </c>
      <c r="H379" s="51">
        <v>12</v>
      </c>
      <c r="I379" s="51">
        <v>-5.893129770992366</v>
      </c>
      <c r="J379" s="51">
        <v>3</v>
      </c>
      <c r="K379" s="51">
        <v>7</v>
      </c>
      <c r="L379" s="51">
        <v>0</v>
      </c>
      <c r="M379" s="51">
        <v>6.106870229007634</v>
      </c>
      <c r="N379" s="56">
        <v>2</v>
      </c>
      <c r="O379" s="51" t="s">
        <v>421</v>
      </c>
      <c r="P379" s="51">
        <v>10</v>
      </c>
      <c r="Q379" s="77">
        <v>11</v>
      </c>
    </row>
    <row r="380" spans="1:17" x14ac:dyDescent="0.25">
      <c r="A380" s="52" t="s">
        <v>50</v>
      </c>
      <c r="B380" s="51" t="s">
        <v>95</v>
      </c>
      <c r="C380" s="51" t="s">
        <v>363</v>
      </c>
      <c r="D380" s="51">
        <v>5.5</v>
      </c>
      <c r="E380" s="51">
        <v>3.125</v>
      </c>
      <c r="F380" s="51" t="s">
        <v>377</v>
      </c>
      <c r="G380" s="51">
        <v>3</v>
      </c>
      <c r="H380" s="51">
        <v>4</v>
      </c>
      <c r="I380" s="51">
        <v>-0.94656488549618301</v>
      </c>
      <c r="J380" s="51">
        <v>2</v>
      </c>
      <c r="K380" s="51">
        <v>9</v>
      </c>
      <c r="L380" s="51">
        <v>0</v>
      </c>
      <c r="M380" s="51">
        <v>3.053435114503817</v>
      </c>
      <c r="N380" s="56">
        <v>1</v>
      </c>
      <c r="O380" s="51" t="s">
        <v>425</v>
      </c>
      <c r="P380" s="51">
        <v>11</v>
      </c>
      <c r="Q380" s="77">
        <v>11</v>
      </c>
    </row>
    <row r="381" spans="1:17" x14ac:dyDescent="0.25">
      <c r="A381" s="52" t="s">
        <v>84</v>
      </c>
      <c r="B381" s="51" t="s">
        <v>91</v>
      </c>
      <c r="C381" s="51" t="s">
        <v>352</v>
      </c>
      <c r="D381" s="51">
        <v>4.5</v>
      </c>
      <c r="E381" s="51">
        <v>0</v>
      </c>
      <c r="F381" s="51" t="s">
        <v>380</v>
      </c>
      <c r="G381" s="51">
        <v>4</v>
      </c>
      <c r="H381" s="51">
        <v>1</v>
      </c>
      <c r="I381" s="51">
        <v>2.053435114503817</v>
      </c>
      <c r="J381" s="51">
        <v>2</v>
      </c>
      <c r="K381" s="51">
        <v>8</v>
      </c>
      <c r="L381" s="51">
        <v>0</v>
      </c>
      <c r="M381" s="51">
        <v>3.053435114503817</v>
      </c>
      <c r="N381" s="56">
        <v>1</v>
      </c>
      <c r="O381" s="51" t="s">
        <v>421</v>
      </c>
      <c r="P381" s="51">
        <v>10</v>
      </c>
      <c r="Q381" s="77">
        <v>11</v>
      </c>
    </row>
    <row r="382" spans="1:17" x14ac:dyDescent="0.25">
      <c r="A382" s="52" t="s">
        <v>81</v>
      </c>
      <c r="B382" s="51" t="s">
        <v>423</v>
      </c>
      <c r="C382" s="51" t="s">
        <v>367</v>
      </c>
      <c r="D382" s="51">
        <v>6.5</v>
      </c>
      <c r="E382" s="51">
        <v>6.25</v>
      </c>
      <c r="F382" s="51" t="s">
        <v>384</v>
      </c>
      <c r="G382" s="51">
        <v>4</v>
      </c>
      <c r="H382" s="51">
        <v>9</v>
      </c>
      <c r="I382" s="51">
        <v>-5.9465648854961835</v>
      </c>
      <c r="J382" s="51">
        <v>2</v>
      </c>
      <c r="K382" s="51">
        <v>8</v>
      </c>
      <c r="L382" s="51">
        <v>0</v>
      </c>
      <c r="M382" s="51">
        <v>3.053435114503817</v>
      </c>
      <c r="N382" s="56">
        <v>1</v>
      </c>
      <c r="O382" s="51" t="s">
        <v>421</v>
      </c>
      <c r="P382" s="51">
        <v>10</v>
      </c>
      <c r="Q382" s="77">
        <v>11</v>
      </c>
    </row>
    <row r="383" spans="1:17" x14ac:dyDescent="0.25">
      <c r="A383" s="52" t="s">
        <v>52</v>
      </c>
      <c r="B383" s="51" t="s">
        <v>403</v>
      </c>
      <c r="C383" s="51" t="s">
        <v>383</v>
      </c>
      <c r="D383" s="51">
        <v>5.5</v>
      </c>
      <c r="E383" s="51">
        <v>3.125</v>
      </c>
      <c r="F383" s="51" t="s">
        <v>377</v>
      </c>
      <c r="G383" s="51">
        <v>4</v>
      </c>
      <c r="H383" s="51">
        <v>3</v>
      </c>
      <c r="I383" s="51">
        <v>5.3435114503816994E-2</v>
      </c>
      <c r="J383" s="51">
        <v>2</v>
      </c>
      <c r="K383" s="51">
        <v>8</v>
      </c>
      <c r="L383" s="51">
        <v>0</v>
      </c>
      <c r="M383" s="51">
        <v>3.053435114503817</v>
      </c>
      <c r="N383" s="56">
        <v>1</v>
      </c>
      <c r="O383" s="51" t="s">
        <v>421</v>
      </c>
      <c r="P383" s="51">
        <v>10</v>
      </c>
      <c r="Q383" s="77">
        <v>11</v>
      </c>
    </row>
    <row r="384" spans="1:17" x14ac:dyDescent="0.25">
      <c r="A384" s="52" t="s">
        <v>24</v>
      </c>
      <c r="B384" s="51" t="s">
        <v>79</v>
      </c>
      <c r="C384" s="51" t="s">
        <v>359</v>
      </c>
      <c r="D384" s="51">
        <v>5.5</v>
      </c>
      <c r="E384" s="51">
        <v>3.125</v>
      </c>
      <c r="F384" s="51" t="s">
        <v>379</v>
      </c>
      <c r="G384" s="51">
        <v>4</v>
      </c>
      <c r="H384" s="51">
        <v>9</v>
      </c>
      <c r="I384" s="51">
        <v>-5.9465648854961835</v>
      </c>
      <c r="J384" s="51">
        <v>2</v>
      </c>
      <c r="K384" s="51">
        <v>8</v>
      </c>
      <c r="L384" s="51">
        <v>0</v>
      </c>
      <c r="M384" s="51">
        <v>3.053435114503817</v>
      </c>
      <c r="N384" s="56">
        <v>1</v>
      </c>
      <c r="O384" s="51" t="s">
        <v>421</v>
      </c>
      <c r="P384" s="51">
        <v>10</v>
      </c>
      <c r="Q384" s="77">
        <v>11</v>
      </c>
    </row>
    <row r="385" spans="1:17" ht="15.75" thickBot="1" x14ac:dyDescent="0.3">
      <c r="A385" s="53" t="s">
        <v>20</v>
      </c>
      <c r="B385" s="54" t="s">
        <v>89</v>
      </c>
      <c r="C385" s="54" t="s">
        <v>368</v>
      </c>
      <c r="D385" s="54">
        <v>5.5</v>
      </c>
      <c r="E385" s="54">
        <v>3.125</v>
      </c>
      <c r="F385" s="54" t="s">
        <v>378</v>
      </c>
      <c r="G385" s="54">
        <v>4</v>
      </c>
      <c r="H385" s="54">
        <v>7</v>
      </c>
      <c r="I385" s="54">
        <v>-7</v>
      </c>
      <c r="J385" s="54">
        <v>1</v>
      </c>
      <c r="K385" s="54">
        <v>9</v>
      </c>
      <c r="L385" s="54">
        <v>0</v>
      </c>
      <c r="M385" s="54">
        <v>0</v>
      </c>
      <c r="N385" s="57">
        <v>0</v>
      </c>
      <c r="O385" s="54" t="s">
        <v>421</v>
      </c>
      <c r="P385" s="54">
        <v>10</v>
      </c>
      <c r="Q385" s="78">
        <v>11</v>
      </c>
    </row>
    <row r="386" spans="1:17" x14ac:dyDescent="0.25">
      <c r="A386" s="79" t="s">
        <v>46</v>
      </c>
      <c r="B386" s="80" t="s">
        <v>404</v>
      </c>
      <c r="C386" s="80" t="s">
        <v>359</v>
      </c>
      <c r="D386" s="80">
        <v>8.5</v>
      </c>
      <c r="E386" s="80">
        <v>12.5</v>
      </c>
      <c r="F386" s="80" t="s">
        <v>381</v>
      </c>
      <c r="G386" s="80">
        <v>3</v>
      </c>
      <c r="H386" s="80">
        <v>10</v>
      </c>
      <c r="I386" s="80">
        <v>14.827586206896555</v>
      </c>
      <c r="J386" s="80">
        <v>10</v>
      </c>
      <c r="K386" s="80">
        <v>2</v>
      </c>
      <c r="L386" s="80">
        <v>0</v>
      </c>
      <c r="M386" s="80">
        <v>24.827586206896555</v>
      </c>
      <c r="N386" s="81">
        <v>9</v>
      </c>
      <c r="O386" s="80" t="s">
        <v>425</v>
      </c>
      <c r="P386" s="80">
        <v>12</v>
      </c>
      <c r="Q386" s="82">
        <v>12</v>
      </c>
    </row>
    <row r="387" spans="1:17" x14ac:dyDescent="0.25">
      <c r="A387" s="52" t="s">
        <v>64</v>
      </c>
      <c r="B387" s="51" t="s">
        <v>63</v>
      </c>
      <c r="C387" s="51" t="s">
        <v>367</v>
      </c>
      <c r="D387" s="51">
        <v>9.5</v>
      </c>
      <c r="E387" s="51">
        <v>15.625</v>
      </c>
      <c r="F387" s="51" t="s">
        <v>381</v>
      </c>
      <c r="G387" s="51">
        <v>1</v>
      </c>
      <c r="H387" s="51">
        <v>17</v>
      </c>
      <c r="I387" s="51">
        <v>5.0689655172413808</v>
      </c>
      <c r="J387" s="51">
        <v>9</v>
      </c>
      <c r="K387" s="51">
        <v>2</v>
      </c>
      <c r="L387" s="51">
        <v>0</v>
      </c>
      <c r="M387" s="51">
        <v>22.068965517241381</v>
      </c>
      <c r="N387" s="56">
        <v>8</v>
      </c>
      <c r="O387" s="51" t="s">
        <v>421</v>
      </c>
      <c r="P387" s="51">
        <v>11</v>
      </c>
      <c r="Q387" s="77">
        <v>12</v>
      </c>
    </row>
    <row r="388" spans="1:17" x14ac:dyDescent="0.25">
      <c r="A388" s="52" t="s">
        <v>22</v>
      </c>
      <c r="B388" s="51" t="s">
        <v>21</v>
      </c>
      <c r="C388" s="51" t="s">
        <v>355</v>
      </c>
      <c r="D388" s="51">
        <v>9.5</v>
      </c>
      <c r="E388" s="51">
        <v>15.625</v>
      </c>
      <c r="F388" s="51" t="s">
        <v>382</v>
      </c>
      <c r="G388" s="51">
        <v>2</v>
      </c>
      <c r="H388" s="51">
        <v>15</v>
      </c>
      <c r="I388" s="51">
        <v>7.0689655172413808</v>
      </c>
      <c r="J388" s="51">
        <v>9</v>
      </c>
      <c r="K388" s="51">
        <v>2</v>
      </c>
      <c r="L388" s="51">
        <v>0</v>
      </c>
      <c r="M388" s="51">
        <v>22.068965517241381</v>
      </c>
      <c r="N388" s="56">
        <v>8</v>
      </c>
      <c r="O388" s="51" t="s">
        <v>421</v>
      </c>
      <c r="P388" s="51">
        <v>11</v>
      </c>
      <c r="Q388" s="77">
        <v>12</v>
      </c>
    </row>
    <row r="389" spans="1:17" x14ac:dyDescent="0.25">
      <c r="A389" s="52" t="s">
        <v>66</v>
      </c>
      <c r="B389" s="51" t="s">
        <v>72</v>
      </c>
      <c r="C389" s="51" t="s">
        <v>357</v>
      </c>
      <c r="D389" s="51">
        <v>8.5</v>
      </c>
      <c r="E389" s="51">
        <v>12.5</v>
      </c>
      <c r="F389" s="51" t="s">
        <v>379</v>
      </c>
      <c r="G389" s="51">
        <v>3</v>
      </c>
      <c r="H389" s="51">
        <v>4</v>
      </c>
      <c r="I389" s="51">
        <v>15.310344827586206</v>
      </c>
      <c r="J389" s="51">
        <v>8</v>
      </c>
      <c r="K389" s="51">
        <v>3</v>
      </c>
      <c r="L389" s="51">
        <v>0</v>
      </c>
      <c r="M389" s="51">
        <v>19.310344827586206</v>
      </c>
      <c r="N389" s="56">
        <v>7</v>
      </c>
      <c r="O389" s="51" t="s">
        <v>421</v>
      </c>
      <c r="P389" s="51">
        <v>11</v>
      </c>
      <c r="Q389" s="77">
        <v>12</v>
      </c>
    </row>
    <row r="390" spans="1:17" x14ac:dyDescent="0.25">
      <c r="A390" s="52" t="s">
        <v>9</v>
      </c>
      <c r="B390" s="51" t="s">
        <v>55</v>
      </c>
      <c r="C390" s="51" t="s">
        <v>355</v>
      </c>
      <c r="D390" s="51">
        <v>8.5</v>
      </c>
      <c r="E390" s="51">
        <v>12.5</v>
      </c>
      <c r="F390" s="51" t="s">
        <v>376</v>
      </c>
      <c r="G390" s="51">
        <v>4</v>
      </c>
      <c r="H390" s="51">
        <v>11</v>
      </c>
      <c r="I390" s="51">
        <v>8.3103448275862064</v>
      </c>
      <c r="J390" s="51">
        <v>8</v>
      </c>
      <c r="K390" s="51">
        <v>3</v>
      </c>
      <c r="L390" s="51">
        <v>0</v>
      </c>
      <c r="M390" s="51">
        <v>19.310344827586206</v>
      </c>
      <c r="N390" s="56">
        <v>7</v>
      </c>
      <c r="O390" s="51" t="s">
        <v>421</v>
      </c>
      <c r="P390" s="51">
        <v>11</v>
      </c>
      <c r="Q390" s="77">
        <v>12</v>
      </c>
    </row>
    <row r="391" spans="1:17" x14ac:dyDescent="0.25">
      <c r="A391" s="52" t="s">
        <v>43</v>
      </c>
      <c r="B391" s="51" t="s">
        <v>57</v>
      </c>
      <c r="C391" s="51" t="s">
        <v>368</v>
      </c>
      <c r="D391" s="51">
        <v>7.5</v>
      </c>
      <c r="E391" s="51">
        <v>9.375</v>
      </c>
      <c r="F391" s="51" t="s">
        <v>378</v>
      </c>
      <c r="G391" s="51">
        <v>3</v>
      </c>
      <c r="H391" s="51">
        <v>1</v>
      </c>
      <c r="I391" s="51">
        <v>18.310344827586206</v>
      </c>
      <c r="J391" s="51">
        <v>8</v>
      </c>
      <c r="K391" s="51">
        <v>3</v>
      </c>
      <c r="L391" s="51">
        <v>0</v>
      </c>
      <c r="M391" s="51">
        <v>19.310344827586206</v>
      </c>
      <c r="N391" s="56">
        <v>7</v>
      </c>
      <c r="O391" s="51" t="s">
        <v>421</v>
      </c>
      <c r="P391" s="51">
        <v>11</v>
      </c>
      <c r="Q391" s="77">
        <v>12</v>
      </c>
    </row>
    <row r="392" spans="1:17" x14ac:dyDescent="0.25">
      <c r="A392" s="52" t="s">
        <v>39</v>
      </c>
      <c r="B392" s="51" t="s">
        <v>38</v>
      </c>
      <c r="C392" s="51" t="s">
        <v>363</v>
      </c>
      <c r="D392" s="51">
        <v>11.5</v>
      </c>
      <c r="E392" s="51">
        <v>21.875</v>
      </c>
      <c r="F392" s="51" t="s">
        <v>378</v>
      </c>
      <c r="G392" s="51">
        <v>1</v>
      </c>
      <c r="H392" s="51">
        <v>23</v>
      </c>
      <c r="I392" s="51">
        <v>-3.6896551724137936</v>
      </c>
      <c r="J392" s="51">
        <v>8</v>
      </c>
      <c r="K392" s="51">
        <v>3</v>
      </c>
      <c r="L392" s="51">
        <v>0</v>
      </c>
      <c r="M392" s="51">
        <v>19.310344827586206</v>
      </c>
      <c r="N392" s="56">
        <v>7</v>
      </c>
      <c r="O392" s="51" t="s">
        <v>421</v>
      </c>
      <c r="P392" s="51">
        <v>11</v>
      </c>
      <c r="Q392" s="77">
        <v>12</v>
      </c>
    </row>
    <row r="393" spans="1:17" x14ac:dyDescent="0.25">
      <c r="A393" s="52" t="s">
        <v>7</v>
      </c>
      <c r="B393" s="51" t="s">
        <v>405</v>
      </c>
      <c r="C393" s="51" t="s">
        <v>355</v>
      </c>
      <c r="D393" s="51">
        <v>10.5</v>
      </c>
      <c r="E393" s="51">
        <v>18.75</v>
      </c>
      <c r="F393" s="51" t="s">
        <v>380</v>
      </c>
      <c r="G393" s="51">
        <v>1</v>
      </c>
      <c r="H393" s="51">
        <v>18</v>
      </c>
      <c r="I393" s="51">
        <v>1.3103448275862064</v>
      </c>
      <c r="J393" s="51">
        <v>8</v>
      </c>
      <c r="K393" s="51">
        <v>4</v>
      </c>
      <c r="L393" s="51">
        <v>0</v>
      </c>
      <c r="M393" s="51">
        <v>19.310344827586206</v>
      </c>
      <c r="N393" s="56">
        <v>7</v>
      </c>
      <c r="O393" s="51" t="s">
        <v>425</v>
      </c>
      <c r="P393" s="51">
        <v>12</v>
      </c>
      <c r="Q393" s="77">
        <v>12</v>
      </c>
    </row>
    <row r="394" spans="1:17" x14ac:dyDescent="0.25">
      <c r="A394" s="52" t="s">
        <v>35</v>
      </c>
      <c r="B394" s="51" t="s">
        <v>400</v>
      </c>
      <c r="C394" s="51" t="s">
        <v>357</v>
      </c>
      <c r="D394" s="51">
        <v>10.5</v>
      </c>
      <c r="E394" s="51">
        <v>18.75</v>
      </c>
      <c r="F394" s="51" t="s">
        <v>382</v>
      </c>
      <c r="G394" s="51">
        <v>1</v>
      </c>
      <c r="H394" s="51">
        <v>17</v>
      </c>
      <c r="I394" s="51">
        <v>-0.44827586206896441</v>
      </c>
      <c r="J394" s="51">
        <v>7</v>
      </c>
      <c r="K394" s="51">
        <v>3</v>
      </c>
      <c r="L394" s="51">
        <v>1</v>
      </c>
      <c r="M394" s="51">
        <v>16.551724137931036</v>
      </c>
      <c r="N394" s="56">
        <v>6</v>
      </c>
      <c r="O394" s="51" t="s">
        <v>421</v>
      </c>
      <c r="P394" s="51">
        <v>11</v>
      </c>
      <c r="Q394" s="77">
        <v>12</v>
      </c>
    </row>
    <row r="395" spans="1:17" x14ac:dyDescent="0.25">
      <c r="A395" s="52" t="s">
        <v>37</v>
      </c>
      <c r="B395" s="51" t="s">
        <v>44</v>
      </c>
      <c r="C395" s="51" t="s">
        <v>368</v>
      </c>
      <c r="D395" s="51">
        <v>7.5</v>
      </c>
      <c r="E395" s="51">
        <v>9.375</v>
      </c>
      <c r="F395" s="51" t="s">
        <v>382</v>
      </c>
      <c r="G395" s="51">
        <v>3</v>
      </c>
      <c r="H395" s="51">
        <v>10</v>
      </c>
      <c r="I395" s="51">
        <v>6.5517241379310356</v>
      </c>
      <c r="J395" s="51">
        <v>7</v>
      </c>
      <c r="K395" s="51">
        <v>4</v>
      </c>
      <c r="L395" s="51">
        <v>0</v>
      </c>
      <c r="M395" s="51">
        <v>16.551724137931036</v>
      </c>
      <c r="N395" s="56">
        <v>6</v>
      </c>
      <c r="O395" s="51" t="s">
        <v>421</v>
      </c>
      <c r="P395" s="51">
        <v>11</v>
      </c>
      <c r="Q395" s="77">
        <v>12</v>
      </c>
    </row>
    <row r="396" spans="1:17" x14ac:dyDescent="0.25">
      <c r="A396" s="52" t="s">
        <v>26</v>
      </c>
      <c r="B396" s="51" t="s">
        <v>25</v>
      </c>
      <c r="C396" s="51" t="s">
        <v>359</v>
      </c>
      <c r="D396" s="51">
        <v>11.5</v>
      </c>
      <c r="E396" s="51">
        <v>21.875</v>
      </c>
      <c r="F396" s="51" t="s">
        <v>384</v>
      </c>
      <c r="G396" s="51">
        <v>1</v>
      </c>
      <c r="H396" s="51">
        <v>24</v>
      </c>
      <c r="I396" s="51">
        <v>-7.4482758620689644</v>
      </c>
      <c r="J396" s="51">
        <v>7</v>
      </c>
      <c r="K396" s="51">
        <v>4</v>
      </c>
      <c r="L396" s="51">
        <v>0</v>
      </c>
      <c r="M396" s="51">
        <v>16.551724137931036</v>
      </c>
      <c r="N396" s="56">
        <v>6</v>
      </c>
      <c r="O396" s="51" t="s">
        <v>421</v>
      </c>
      <c r="P396" s="51">
        <v>11</v>
      </c>
      <c r="Q396" s="77">
        <v>12</v>
      </c>
    </row>
    <row r="397" spans="1:17" x14ac:dyDescent="0.25">
      <c r="A397" s="52" t="s">
        <v>61</v>
      </c>
      <c r="B397" s="51" t="s">
        <v>60</v>
      </c>
      <c r="C397" s="51" t="s">
        <v>367</v>
      </c>
      <c r="D397" s="51">
        <v>9.5</v>
      </c>
      <c r="E397" s="51">
        <v>15.625</v>
      </c>
      <c r="F397" s="51" t="s">
        <v>376</v>
      </c>
      <c r="G397" s="51">
        <v>2</v>
      </c>
      <c r="H397" s="51">
        <v>13</v>
      </c>
      <c r="I397" s="51">
        <v>3.5517241379310356</v>
      </c>
      <c r="J397" s="51">
        <v>7</v>
      </c>
      <c r="K397" s="51">
        <v>4</v>
      </c>
      <c r="L397" s="51">
        <v>0</v>
      </c>
      <c r="M397" s="51">
        <v>16.551724137931036</v>
      </c>
      <c r="N397" s="56">
        <v>6</v>
      </c>
      <c r="O397" s="51" t="s">
        <v>421</v>
      </c>
      <c r="P397" s="51">
        <v>11</v>
      </c>
      <c r="Q397" s="77">
        <v>12</v>
      </c>
    </row>
    <row r="398" spans="1:17" x14ac:dyDescent="0.25">
      <c r="A398" s="52" t="s">
        <v>11</v>
      </c>
      <c r="B398" s="51" t="s">
        <v>10</v>
      </c>
      <c r="C398" s="51" t="s">
        <v>357</v>
      </c>
      <c r="D398" s="51">
        <v>10.5</v>
      </c>
      <c r="E398" s="51">
        <v>18.75</v>
      </c>
      <c r="F398" s="51" t="s">
        <v>378</v>
      </c>
      <c r="G398" s="51">
        <v>2</v>
      </c>
      <c r="H398" s="51">
        <v>19</v>
      </c>
      <c r="I398" s="51">
        <v>-2.4482758620689644</v>
      </c>
      <c r="J398" s="51">
        <v>7</v>
      </c>
      <c r="K398" s="51">
        <v>4</v>
      </c>
      <c r="L398" s="51">
        <v>0</v>
      </c>
      <c r="M398" s="51">
        <v>16.551724137931036</v>
      </c>
      <c r="N398" s="56">
        <v>6</v>
      </c>
      <c r="O398" s="51" t="s">
        <v>421</v>
      </c>
      <c r="P398" s="51">
        <v>11</v>
      </c>
      <c r="Q398" s="77">
        <v>12</v>
      </c>
    </row>
    <row r="399" spans="1:17" x14ac:dyDescent="0.25">
      <c r="A399" s="52" t="s">
        <v>32</v>
      </c>
      <c r="B399" s="51" t="s">
        <v>31</v>
      </c>
      <c r="C399" s="51" t="s">
        <v>368</v>
      </c>
      <c r="D399" s="51">
        <v>9.5</v>
      </c>
      <c r="E399" s="51">
        <v>15.625</v>
      </c>
      <c r="F399" s="51" t="s">
        <v>380</v>
      </c>
      <c r="G399" s="51">
        <v>2</v>
      </c>
      <c r="H399" s="51">
        <v>17</v>
      </c>
      <c r="I399" s="51">
        <v>-3.206896551724137</v>
      </c>
      <c r="J399" s="51">
        <v>6</v>
      </c>
      <c r="K399" s="51">
        <v>5</v>
      </c>
      <c r="L399" s="51">
        <v>0</v>
      </c>
      <c r="M399" s="51">
        <v>13.793103448275863</v>
      </c>
      <c r="N399" s="56">
        <v>5</v>
      </c>
      <c r="O399" s="51" t="s">
        <v>421</v>
      </c>
      <c r="P399" s="51">
        <v>11</v>
      </c>
      <c r="Q399" s="77">
        <v>12</v>
      </c>
    </row>
    <row r="400" spans="1:17" x14ac:dyDescent="0.25">
      <c r="A400" s="52" t="s">
        <v>1</v>
      </c>
      <c r="B400" s="51" t="s">
        <v>402</v>
      </c>
      <c r="C400" s="51" t="s">
        <v>383</v>
      </c>
      <c r="D400" s="51">
        <v>9.5</v>
      </c>
      <c r="E400" s="51">
        <v>15.625</v>
      </c>
      <c r="F400" s="51" t="s">
        <v>381</v>
      </c>
      <c r="G400" s="51">
        <v>2</v>
      </c>
      <c r="H400" s="51">
        <v>15</v>
      </c>
      <c r="I400" s="51">
        <v>-1.206896551724137</v>
      </c>
      <c r="J400" s="51">
        <v>6</v>
      </c>
      <c r="K400" s="51">
        <v>5</v>
      </c>
      <c r="L400" s="51">
        <v>0</v>
      </c>
      <c r="M400" s="51">
        <v>13.793103448275863</v>
      </c>
      <c r="N400" s="56">
        <v>5</v>
      </c>
      <c r="O400" s="51" t="s">
        <v>421</v>
      </c>
      <c r="P400" s="51">
        <v>11</v>
      </c>
      <c r="Q400" s="77">
        <v>12</v>
      </c>
    </row>
    <row r="401" spans="1:17" x14ac:dyDescent="0.25">
      <c r="A401" s="52" t="s">
        <v>74</v>
      </c>
      <c r="B401" s="51" t="s">
        <v>85</v>
      </c>
      <c r="C401" s="51" t="s">
        <v>352</v>
      </c>
      <c r="D401" s="51">
        <v>8.5</v>
      </c>
      <c r="E401" s="51">
        <v>12.5</v>
      </c>
      <c r="F401" s="51" t="s">
        <v>384</v>
      </c>
      <c r="G401" s="51">
        <v>2</v>
      </c>
      <c r="H401" s="51">
        <v>14</v>
      </c>
      <c r="I401" s="51">
        <v>-0.20689655172413701</v>
      </c>
      <c r="J401" s="51">
        <v>6</v>
      </c>
      <c r="K401" s="51">
        <v>5</v>
      </c>
      <c r="L401" s="51">
        <v>0</v>
      </c>
      <c r="M401" s="51">
        <v>13.793103448275863</v>
      </c>
      <c r="N401" s="56">
        <v>5</v>
      </c>
      <c r="O401" s="51" t="s">
        <v>421</v>
      </c>
      <c r="P401" s="51">
        <v>11</v>
      </c>
      <c r="Q401" s="77">
        <v>12</v>
      </c>
    </row>
    <row r="402" spans="1:17" x14ac:dyDescent="0.25">
      <c r="A402" s="52" t="s">
        <v>13</v>
      </c>
      <c r="B402" s="51" t="s">
        <v>67</v>
      </c>
      <c r="C402" s="51" t="s">
        <v>383</v>
      </c>
      <c r="D402" s="51">
        <v>6.5</v>
      </c>
      <c r="E402" s="51">
        <v>6.25</v>
      </c>
      <c r="F402" s="51" t="s">
        <v>384</v>
      </c>
      <c r="G402" s="51">
        <v>3</v>
      </c>
      <c r="H402" s="51">
        <v>3</v>
      </c>
      <c r="I402" s="51">
        <v>10.793103448275863</v>
      </c>
      <c r="J402" s="51">
        <v>6</v>
      </c>
      <c r="K402" s="51">
        <v>6</v>
      </c>
      <c r="L402" s="51">
        <v>0</v>
      </c>
      <c r="M402" s="51">
        <v>13.793103448275863</v>
      </c>
      <c r="N402" s="56">
        <v>5</v>
      </c>
      <c r="O402" s="51" t="s">
        <v>425</v>
      </c>
      <c r="P402" s="51">
        <v>12</v>
      </c>
      <c r="Q402" s="77">
        <v>12</v>
      </c>
    </row>
    <row r="403" spans="1:17" x14ac:dyDescent="0.25">
      <c r="A403" s="52" t="s">
        <v>48</v>
      </c>
      <c r="B403" s="51" t="s">
        <v>47</v>
      </c>
      <c r="C403" s="51" t="s">
        <v>352</v>
      </c>
      <c r="D403" s="51">
        <v>11.5</v>
      </c>
      <c r="E403" s="51">
        <v>21.875</v>
      </c>
      <c r="F403" s="51" t="s">
        <v>379</v>
      </c>
      <c r="G403" s="51">
        <v>1</v>
      </c>
      <c r="H403" s="51">
        <v>25</v>
      </c>
      <c r="I403" s="51">
        <v>-11.206896551724137</v>
      </c>
      <c r="J403" s="51">
        <v>6</v>
      </c>
      <c r="K403" s="51">
        <v>5</v>
      </c>
      <c r="L403" s="51">
        <v>0</v>
      </c>
      <c r="M403" s="51">
        <v>13.793103448275863</v>
      </c>
      <c r="N403" s="56">
        <v>5</v>
      </c>
      <c r="O403" s="51" t="s">
        <v>421</v>
      </c>
      <c r="P403" s="51">
        <v>11</v>
      </c>
      <c r="Q403" s="77">
        <v>12</v>
      </c>
    </row>
    <row r="404" spans="1:17" x14ac:dyDescent="0.25">
      <c r="A404" s="52" t="s">
        <v>17</v>
      </c>
      <c r="B404" s="51" t="s">
        <v>399</v>
      </c>
      <c r="C404" s="51" t="s">
        <v>367</v>
      </c>
      <c r="D404" s="51">
        <v>11.5</v>
      </c>
      <c r="E404" s="51">
        <v>21.875</v>
      </c>
      <c r="F404" s="51" t="s">
        <v>377</v>
      </c>
      <c r="G404" s="51">
        <v>1</v>
      </c>
      <c r="H404" s="51">
        <v>24</v>
      </c>
      <c r="I404" s="51">
        <v>-10.206896551724137</v>
      </c>
      <c r="J404" s="51">
        <v>6</v>
      </c>
      <c r="K404" s="51">
        <v>5</v>
      </c>
      <c r="L404" s="51">
        <v>0</v>
      </c>
      <c r="M404" s="51">
        <v>13.793103448275863</v>
      </c>
      <c r="N404" s="56">
        <v>5</v>
      </c>
      <c r="O404" s="51" t="s">
        <v>421</v>
      </c>
      <c r="P404" s="51">
        <v>11</v>
      </c>
      <c r="Q404" s="77">
        <v>12</v>
      </c>
    </row>
    <row r="405" spans="1:17" x14ac:dyDescent="0.25">
      <c r="A405" s="52" t="s">
        <v>15</v>
      </c>
      <c r="B405" s="51" t="s">
        <v>14</v>
      </c>
      <c r="C405" s="51" t="s">
        <v>363</v>
      </c>
      <c r="D405" s="51">
        <v>7.5</v>
      </c>
      <c r="E405" s="51">
        <v>9.375</v>
      </c>
      <c r="F405" s="51" t="s">
        <v>382</v>
      </c>
      <c r="G405" s="51">
        <v>4</v>
      </c>
      <c r="H405" s="51">
        <v>8</v>
      </c>
      <c r="I405" s="51">
        <v>3.0344827586206904</v>
      </c>
      <c r="J405" s="51">
        <v>5</v>
      </c>
      <c r="K405" s="51">
        <v>5</v>
      </c>
      <c r="L405" s="51">
        <v>1</v>
      </c>
      <c r="M405" s="51">
        <v>11.03448275862069</v>
      </c>
      <c r="N405" s="56">
        <v>4</v>
      </c>
      <c r="O405" s="51" t="s">
        <v>421</v>
      </c>
      <c r="P405" s="51">
        <v>11</v>
      </c>
      <c r="Q405" s="77">
        <v>12</v>
      </c>
    </row>
    <row r="406" spans="1:17" x14ac:dyDescent="0.25">
      <c r="A406" s="52" t="s">
        <v>3</v>
      </c>
      <c r="B406" s="51" t="s">
        <v>2</v>
      </c>
      <c r="C406" s="51" t="s">
        <v>359</v>
      </c>
      <c r="D406" s="51">
        <v>7.5</v>
      </c>
      <c r="E406" s="51">
        <v>9.375</v>
      </c>
      <c r="F406" s="51" t="s">
        <v>381</v>
      </c>
      <c r="G406" s="51">
        <v>4</v>
      </c>
      <c r="H406" s="51">
        <v>8</v>
      </c>
      <c r="I406" s="51">
        <v>0.27586206896551779</v>
      </c>
      <c r="J406" s="51">
        <v>4</v>
      </c>
      <c r="K406" s="51">
        <v>7</v>
      </c>
      <c r="L406" s="51">
        <v>0</v>
      </c>
      <c r="M406" s="51">
        <v>8.2758620689655178</v>
      </c>
      <c r="N406" s="56">
        <v>3</v>
      </c>
      <c r="O406" s="51" t="s">
        <v>421</v>
      </c>
      <c r="P406" s="51">
        <v>11</v>
      </c>
      <c r="Q406" s="77">
        <v>12</v>
      </c>
    </row>
    <row r="407" spans="1:17" x14ac:dyDescent="0.25">
      <c r="A407" s="52" t="s">
        <v>59</v>
      </c>
      <c r="B407" s="51" t="s">
        <v>75</v>
      </c>
      <c r="C407" s="51" t="s">
        <v>357</v>
      </c>
      <c r="D407" s="51">
        <v>8.5</v>
      </c>
      <c r="E407" s="51">
        <v>12.5</v>
      </c>
      <c r="F407" s="51" t="s">
        <v>376</v>
      </c>
      <c r="G407" s="51">
        <v>1</v>
      </c>
      <c r="H407" s="51">
        <v>14</v>
      </c>
      <c r="I407" s="51">
        <v>-5.7241379310344822</v>
      </c>
      <c r="J407" s="51">
        <v>4</v>
      </c>
      <c r="K407" s="51">
        <v>7</v>
      </c>
      <c r="L407" s="51">
        <v>0</v>
      </c>
      <c r="M407" s="51">
        <v>8.2758620689655178</v>
      </c>
      <c r="N407" s="56">
        <v>3</v>
      </c>
      <c r="O407" s="51" t="s">
        <v>421</v>
      </c>
      <c r="P407" s="51">
        <v>11</v>
      </c>
      <c r="Q407" s="77">
        <v>12</v>
      </c>
    </row>
    <row r="408" spans="1:17" x14ac:dyDescent="0.25">
      <c r="A408" s="52" t="s">
        <v>70</v>
      </c>
      <c r="B408" s="51" t="s">
        <v>69</v>
      </c>
      <c r="C408" s="51" t="s">
        <v>383</v>
      </c>
      <c r="D408" s="51">
        <v>7.5</v>
      </c>
      <c r="E408" s="51">
        <v>9.375</v>
      </c>
      <c r="F408" s="51" t="s">
        <v>376</v>
      </c>
      <c r="G408" s="51">
        <v>3</v>
      </c>
      <c r="H408" s="51">
        <v>12</v>
      </c>
      <c r="I408" s="51">
        <v>-3.7241379310344822</v>
      </c>
      <c r="J408" s="51">
        <v>4</v>
      </c>
      <c r="K408" s="51">
        <v>7</v>
      </c>
      <c r="L408" s="51">
        <v>0</v>
      </c>
      <c r="M408" s="51">
        <v>8.2758620689655178</v>
      </c>
      <c r="N408" s="56">
        <v>3</v>
      </c>
      <c r="O408" s="51" t="s">
        <v>421</v>
      </c>
      <c r="P408" s="51">
        <v>11</v>
      </c>
      <c r="Q408" s="77">
        <v>12</v>
      </c>
    </row>
    <row r="409" spans="1:17" x14ac:dyDescent="0.25">
      <c r="A409" s="52" t="s">
        <v>54</v>
      </c>
      <c r="B409" s="51" t="s">
        <v>77</v>
      </c>
      <c r="C409" s="51" t="s">
        <v>352</v>
      </c>
      <c r="D409" s="51">
        <v>9.5</v>
      </c>
      <c r="E409" s="51">
        <v>15.625</v>
      </c>
      <c r="F409" s="51" t="s">
        <v>380</v>
      </c>
      <c r="G409" s="51">
        <v>3</v>
      </c>
      <c r="H409" s="51">
        <v>14</v>
      </c>
      <c r="I409" s="51">
        <v>-8.4827586206896548</v>
      </c>
      <c r="J409" s="51">
        <v>3</v>
      </c>
      <c r="K409" s="51">
        <v>8</v>
      </c>
      <c r="L409" s="51">
        <v>0</v>
      </c>
      <c r="M409" s="51">
        <v>5.5172413793103452</v>
      </c>
      <c r="N409" s="56">
        <v>2</v>
      </c>
      <c r="O409" s="51" t="s">
        <v>421</v>
      </c>
      <c r="P409" s="51">
        <v>11</v>
      </c>
      <c r="Q409" s="77">
        <v>12</v>
      </c>
    </row>
    <row r="410" spans="1:17" x14ac:dyDescent="0.25">
      <c r="A410" s="52" t="s">
        <v>84</v>
      </c>
      <c r="B410" s="51" t="s">
        <v>91</v>
      </c>
      <c r="C410" s="51" t="s">
        <v>352</v>
      </c>
      <c r="D410" s="51">
        <v>4.5</v>
      </c>
      <c r="E410" s="51">
        <v>0</v>
      </c>
      <c r="F410" s="51" t="s">
        <v>380</v>
      </c>
      <c r="G410" s="51">
        <v>4</v>
      </c>
      <c r="H410" s="51">
        <v>1</v>
      </c>
      <c r="I410" s="51">
        <v>4.5172413793103452</v>
      </c>
      <c r="J410" s="51">
        <v>3</v>
      </c>
      <c r="K410" s="51">
        <v>8</v>
      </c>
      <c r="L410" s="51">
        <v>0</v>
      </c>
      <c r="M410" s="51">
        <v>5.5172413793103452</v>
      </c>
      <c r="N410" s="56">
        <v>2</v>
      </c>
      <c r="O410" s="51" t="s">
        <v>421</v>
      </c>
      <c r="P410" s="51">
        <v>11</v>
      </c>
      <c r="Q410" s="77">
        <v>12</v>
      </c>
    </row>
    <row r="411" spans="1:17" x14ac:dyDescent="0.25">
      <c r="A411" s="52" t="s">
        <v>28</v>
      </c>
      <c r="B411" s="51" t="s">
        <v>93</v>
      </c>
      <c r="C411" s="51" t="s">
        <v>355</v>
      </c>
      <c r="D411" s="51">
        <v>8.5</v>
      </c>
      <c r="E411" s="51">
        <v>12.5</v>
      </c>
      <c r="F411" s="51" t="s">
        <v>379</v>
      </c>
      <c r="G411" s="51">
        <v>2</v>
      </c>
      <c r="H411" s="51">
        <v>12</v>
      </c>
      <c r="I411" s="51">
        <v>-6.4827586206896548</v>
      </c>
      <c r="J411" s="51">
        <v>3</v>
      </c>
      <c r="K411" s="51">
        <v>8</v>
      </c>
      <c r="L411" s="51">
        <v>0</v>
      </c>
      <c r="M411" s="51">
        <v>5.5172413793103452</v>
      </c>
      <c r="N411" s="56">
        <v>2</v>
      </c>
      <c r="O411" s="51" t="s">
        <v>421</v>
      </c>
      <c r="P411" s="51">
        <v>11</v>
      </c>
      <c r="Q411" s="77">
        <v>12</v>
      </c>
    </row>
    <row r="412" spans="1:17" x14ac:dyDescent="0.25">
      <c r="A412" s="52" t="s">
        <v>5</v>
      </c>
      <c r="B412" s="51" t="s">
        <v>41</v>
      </c>
      <c r="C412" s="51" t="s">
        <v>363</v>
      </c>
      <c r="D412" s="51">
        <v>9.5</v>
      </c>
      <c r="E412" s="51">
        <v>15.625</v>
      </c>
      <c r="F412" s="51" t="s">
        <v>377</v>
      </c>
      <c r="G412" s="51">
        <v>2</v>
      </c>
      <c r="H412" s="51">
        <v>19</v>
      </c>
      <c r="I412" s="51">
        <v>-13.482758620689655</v>
      </c>
      <c r="J412" s="51">
        <v>3</v>
      </c>
      <c r="K412" s="51">
        <v>8</v>
      </c>
      <c r="L412" s="51">
        <v>0</v>
      </c>
      <c r="M412" s="51">
        <v>5.5172413793103452</v>
      </c>
      <c r="N412" s="56">
        <v>2</v>
      </c>
      <c r="O412" s="51" t="s">
        <v>421</v>
      </c>
      <c r="P412" s="51">
        <v>11</v>
      </c>
      <c r="Q412" s="77">
        <v>12</v>
      </c>
    </row>
    <row r="413" spans="1:17" x14ac:dyDescent="0.25">
      <c r="A413" s="52" t="s">
        <v>81</v>
      </c>
      <c r="B413" s="51" t="s">
        <v>423</v>
      </c>
      <c r="C413" s="51" t="s">
        <v>367</v>
      </c>
      <c r="D413" s="51">
        <v>6.5</v>
      </c>
      <c r="E413" s="51">
        <v>6.25</v>
      </c>
      <c r="F413" s="51" t="s">
        <v>384</v>
      </c>
      <c r="G413" s="51">
        <v>4</v>
      </c>
      <c r="H413" s="51">
        <v>9</v>
      </c>
      <c r="I413" s="51">
        <v>-6.2413793103448274</v>
      </c>
      <c r="J413" s="51">
        <v>2</v>
      </c>
      <c r="K413" s="51">
        <v>9</v>
      </c>
      <c r="L413" s="51">
        <v>0</v>
      </c>
      <c r="M413" s="51">
        <v>2.7586206896551726</v>
      </c>
      <c r="N413" s="56">
        <v>1</v>
      </c>
      <c r="O413" s="51" t="s">
        <v>421</v>
      </c>
      <c r="P413" s="51">
        <v>11</v>
      </c>
      <c r="Q413" s="77">
        <v>12</v>
      </c>
    </row>
    <row r="414" spans="1:17" x14ac:dyDescent="0.25">
      <c r="A414" s="52" t="s">
        <v>24</v>
      </c>
      <c r="B414" s="51" t="s">
        <v>79</v>
      </c>
      <c r="C414" s="51" t="s">
        <v>359</v>
      </c>
      <c r="D414" s="51">
        <v>5.5</v>
      </c>
      <c r="E414" s="51">
        <v>3.125</v>
      </c>
      <c r="F414" s="51" t="s">
        <v>379</v>
      </c>
      <c r="G414" s="51">
        <v>4</v>
      </c>
      <c r="H414" s="51">
        <v>9</v>
      </c>
      <c r="I414" s="51">
        <v>-6.2413793103448274</v>
      </c>
      <c r="J414" s="51">
        <v>2</v>
      </c>
      <c r="K414" s="51">
        <v>9</v>
      </c>
      <c r="L414" s="51">
        <v>0</v>
      </c>
      <c r="M414" s="51">
        <v>2.7586206896551726</v>
      </c>
      <c r="N414" s="56">
        <v>1</v>
      </c>
      <c r="O414" s="51" t="s">
        <v>421</v>
      </c>
      <c r="P414" s="51">
        <v>11</v>
      </c>
      <c r="Q414" s="77">
        <v>12</v>
      </c>
    </row>
    <row r="415" spans="1:17" x14ac:dyDescent="0.25">
      <c r="A415" s="52" t="s">
        <v>52</v>
      </c>
      <c r="B415" s="51" t="s">
        <v>403</v>
      </c>
      <c r="C415" s="51" t="s">
        <v>383</v>
      </c>
      <c r="D415" s="51">
        <v>5.5</v>
      </c>
      <c r="E415" s="51">
        <v>3.125</v>
      </c>
      <c r="F415" s="51" t="s">
        <v>377</v>
      </c>
      <c r="G415" s="51">
        <v>4</v>
      </c>
      <c r="H415" s="51">
        <v>3</v>
      </c>
      <c r="I415" s="51">
        <v>-0.2413793103448274</v>
      </c>
      <c r="J415" s="51">
        <v>2</v>
      </c>
      <c r="K415" s="51">
        <v>9</v>
      </c>
      <c r="L415" s="51">
        <v>0</v>
      </c>
      <c r="M415" s="51">
        <v>2.7586206896551726</v>
      </c>
      <c r="N415" s="56">
        <v>1</v>
      </c>
      <c r="O415" s="51" t="s">
        <v>421</v>
      </c>
      <c r="P415" s="51">
        <v>11</v>
      </c>
      <c r="Q415" s="77">
        <v>12</v>
      </c>
    </row>
    <row r="416" spans="1:17" x14ac:dyDescent="0.25">
      <c r="A416" s="52" t="s">
        <v>50</v>
      </c>
      <c r="B416" s="51" t="s">
        <v>95</v>
      </c>
      <c r="C416" s="51" t="s">
        <v>363</v>
      </c>
      <c r="D416" s="51">
        <v>5.5</v>
      </c>
      <c r="E416" s="51">
        <v>3.125</v>
      </c>
      <c r="F416" s="51" t="s">
        <v>377</v>
      </c>
      <c r="G416" s="51">
        <v>3</v>
      </c>
      <c r="H416" s="51">
        <v>4</v>
      </c>
      <c r="I416" s="51">
        <v>-1.2413793103448274</v>
      </c>
      <c r="J416" s="51">
        <v>2</v>
      </c>
      <c r="K416" s="51">
        <v>10</v>
      </c>
      <c r="L416" s="51">
        <v>0</v>
      </c>
      <c r="M416" s="51">
        <v>2.7586206896551726</v>
      </c>
      <c r="N416" s="56">
        <v>1</v>
      </c>
      <c r="O416" s="51" t="s">
        <v>425</v>
      </c>
      <c r="P416" s="51">
        <v>12</v>
      </c>
      <c r="Q416" s="77">
        <v>12</v>
      </c>
    </row>
    <row r="417" spans="1:17" ht="15.75" thickBot="1" x14ac:dyDescent="0.3">
      <c r="A417" s="53" t="s">
        <v>20</v>
      </c>
      <c r="B417" s="54" t="s">
        <v>89</v>
      </c>
      <c r="C417" s="54" t="s">
        <v>368</v>
      </c>
      <c r="D417" s="54">
        <v>5.5</v>
      </c>
      <c r="E417" s="54">
        <v>3.125</v>
      </c>
      <c r="F417" s="54" t="s">
        <v>378</v>
      </c>
      <c r="G417" s="54">
        <v>4</v>
      </c>
      <c r="H417" s="54">
        <v>7</v>
      </c>
      <c r="I417" s="54">
        <v>-7</v>
      </c>
      <c r="J417" s="54">
        <v>1</v>
      </c>
      <c r="K417" s="54">
        <v>10</v>
      </c>
      <c r="L417" s="54">
        <v>0</v>
      </c>
      <c r="M417" s="54">
        <v>0</v>
      </c>
      <c r="N417" s="57">
        <v>0</v>
      </c>
      <c r="O417" s="54" t="s">
        <v>421</v>
      </c>
      <c r="P417" s="54">
        <v>11</v>
      </c>
      <c r="Q417" s="78">
        <v>12</v>
      </c>
    </row>
    <row r="418" spans="1:17" x14ac:dyDescent="0.25">
      <c r="A418" s="79" t="s">
        <v>46</v>
      </c>
      <c r="B418" s="80" t="s">
        <v>404</v>
      </c>
      <c r="C418" s="80" t="s">
        <v>359</v>
      </c>
      <c r="D418" s="80">
        <v>8.5</v>
      </c>
      <c r="E418" s="80">
        <v>12.5</v>
      </c>
      <c r="F418" s="80" t="s">
        <v>381</v>
      </c>
      <c r="G418" s="80">
        <v>3</v>
      </c>
      <c r="H418" s="80">
        <v>10</v>
      </c>
      <c r="I418" s="80">
        <v>14.844720496894407</v>
      </c>
      <c r="J418" s="80">
        <v>11</v>
      </c>
      <c r="K418" s="80">
        <v>2</v>
      </c>
      <c r="L418" s="80">
        <v>0</v>
      </c>
      <c r="M418" s="80">
        <v>24.844720496894407</v>
      </c>
      <c r="N418" s="81">
        <v>10</v>
      </c>
      <c r="O418" s="80" t="s">
        <v>425</v>
      </c>
      <c r="P418" s="80">
        <v>13</v>
      </c>
      <c r="Q418" s="82">
        <v>13</v>
      </c>
    </row>
    <row r="419" spans="1:17" x14ac:dyDescent="0.25">
      <c r="A419" s="52" t="s">
        <v>64</v>
      </c>
      <c r="B419" s="51" t="s">
        <v>63</v>
      </c>
      <c r="C419" s="51" t="s">
        <v>367</v>
      </c>
      <c r="D419" s="51">
        <v>9.5</v>
      </c>
      <c r="E419" s="51">
        <v>15.625</v>
      </c>
      <c r="F419" s="51" t="s">
        <v>381</v>
      </c>
      <c r="G419" s="51">
        <v>1</v>
      </c>
      <c r="H419" s="51">
        <v>17</v>
      </c>
      <c r="I419" s="51">
        <v>5.3602484472049667</v>
      </c>
      <c r="J419" s="51">
        <v>10</v>
      </c>
      <c r="K419" s="51">
        <v>2</v>
      </c>
      <c r="L419" s="51">
        <v>0</v>
      </c>
      <c r="M419" s="51">
        <v>22.360248447204967</v>
      </c>
      <c r="N419" s="56">
        <v>9</v>
      </c>
      <c r="O419" s="51" t="s">
        <v>421</v>
      </c>
      <c r="P419" s="51">
        <v>12</v>
      </c>
      <c r="Q419" s="77">
        <v>13</v>
      </c>
    </row>
    <row r="420" spans="1:17" x14ac:dyDescent="0.25">
      <c r="A420" s="52" t="s">
        <v>22</v>
      </c>
      <c r="B420" s="51" t="s">
        <v>21</v>
      </c>
      <c r="C420" s="51" t="s">
        <v>355</v>
      </c>
      <c r="D420" s="51">
        <v>9.5</v>
      </c>
      <c r="E420" s="51">
        <v>15.625</v>
      </c>
      <c r="F420" s="51" t="s">
        <v>382</v>
      </c>
      <c r="G420" s="51">
        <v>2</v>
      </c>
      <c r="H420" s="51">
        <v>15</v>
      </c>
      <c r="I420" s="51">
        <v>4.8757763975155264</v>
      </c>
      <c r="J420" s="51">
        <v>9</v>
      </c>
      <c r="K420" s="51">
        <v>3</v>
      </c>
      <c r="L420" s="51">
        <v>0</v>
      </c>
      <c r="M420" s="51">
        <v>19.875776397515526</v>
      </c>
      <c r="N420" s="56">
        <v>8</v>
      </c>
      <c r="O420" s="51" t="s">
        <v>421</v>
      </c>
      <c r="P420" s="51">
        <v>12</v>
      </c>
      <c r="Q420" s="77">
        <v>13</v>
      </c>
    </row>
    <row r="421" spans="1:17" x14ac:dyDescent="0.25">
      <c r="A421" s="52" t="s">
        <v>66</v>
      </c>
      <c r="B421" s="51" t="s">
        <v>72</v>
      </c>
      <c r="C421" s="51" t="s">
        <v>357</v>
      </c>
      <c r="D421" s="51">
        <v>8.5</v>
      </c>
      <c r="E421" s="51">
        <v>12.5</v>
      </c>
      <c r="F421" s="51" t="s">
        <v>379</v>
      </c>
      <c r="G421" s="51">
        <v>3</v>
      </c>
      <c r="H421" s="51">
        <v>4</v>
      </c>
      <c r="I421" s="51">
        <v>15.875776397515526</v>
      </c>
      <c r="J421" s="51">
        <v>9</v>
      </c>
      <c r="K421" s="51">
        <v>3</v>
      </c>
      <c r="L421" s="51">
        <v>0</v>
      </c>
      <c r="M421" s="51">
        <v>19.875776397515526</v>
      </c>
      <c r="N421" s="56">
        <v>8</v>
      </c>
      <c r="O421" s="51" t="s">
        <v>421</v>
      </c>
      <c r="P421" s="51">
        <v>12</v>
      </c>
      <c r="Q421" s="77">
        <v>13</v>
      </c>
    </row>
    <row r="422" spans="1:17" x14ac:dyDescent="0.25">
      <c r="A422" s="52" t="s">
        <v>9</v>
      </c>
      <c r="B422" s="51" t="s">
        <v>55</v>
      </c>
      <c r="C422" s="51" t="s">
        <v>355</v>
      </c>
      <c r="D422" s="51">
        <v>8.5</v>
      </c>
      <c r="E422" s="51">
        <v>12.5</v>
      </c>
      <c r="F422" s="51" t="s">
        <v>376</v>
      </c>
      <c r="G422" s="51">
        <v>4</v>
      </c>
      <c r="H422" s="51">
        <v>11</v>
      </c>
      <c r="I422" s="51">
        <v>8.8757763975155264</v>
      </c>
      <c r="J422" s="51">
        <v>9</v>
      </c>
      <c r="K422" s="51">
        <v>3</v>
      </c>
      <c r="L422" s="51">
        <v>0</v>
      </c>
      <c r="M422" s="51">
        <v>19.875776397515526</v>
      </c>
      <c r="N422" s="56">
        <v>8</v>
      </c>
      <c r="O422" s="51" t="s">
        <v>421</v>
      </c>
      <c r="P422" s="51">
        <v>12</v>
      </c>
      <c r="Q422" s="77">
        <v>13</v>
      </c>
    </row>
    <row r="423" spans="1:17" x14ac:dyDescent="0.25">
      <c r="A423" s="52" t="s">
        <v>7</v>
      </c>
      <c r="B423" s="51" t="s">
        <v>405</v>
      </c>
      <c r="C423" s="51" t="s">
        <v>355</v>
      </c>
      <c r="D423" s="51">
        <v>10.5</v>
      </c>
      <c r="E423" s="51">
        <v>18.75</v>
      </c>
      <c r="F423" s="51" t="s">
        <v>380</v>
      </c>
      <c r="G423" s="51">
        <v>1</v>
      </c>
      <c r="H423" s="51">
        <v>18</v>
      </c>
      <c r="I423" s="51">
        <v>1.8757763975155264</v>
      </c>
      <c r="J423" s="51">
        <v>9</v>
      </c>
      <c r="K423" s="51">
        <v>4</v>
      </c>
      <c r="L423" s="51">
        <v>0</v>
      </c>
      <c r="M423" s="51">
        <v>19.875776397515526</v>
      </c>
      <c r="N423" s="56">
        <v>8</v>
      </c>
      <c r="O423" s="51" t="s">
        <v>425</v>
      </c>
      <c r="P423" s="51">
        <v>13</v>
      </c>
      <c r="Q423" s="77">
        <v>13</v>
      </c>
    </row>
    <row r="424" spans="1:17" x14ac:dyDescent="0.25">
      <c r="A424" s="52" t="s">
        <v>43</v>
      </c>
      <c r="B424" s="51" t="s">
        <v>57</v>
      </c>
      <c r="C424" s="51" t="s">
        <v>368</v>
      </c>
      <c r="D424" s="51">
        <v>7.5</v>
      </c>
      <c r="E424" s="51">
        <v>9.375</v>
      </c>
      <c r="F424" s="51" t="s">
        <v>378</v>
      </c>
      <c r="G424" s="51">
        <v>3</v>
      </c>
      <c r="H424" s="51">
        <v>1</v>
      </c>
      <c r="I424" s="51">
        <v>16.391304347826086</v>
      </c>
      <c r="J424" s="51">
        <v>8</v>
      </c>
      <c r="K424" s="51">
        <v>4</v>
      </c>
      <c r="L424" s="51">
        <v>0</v>
      </c>
      <c r="M424" s="51">
        <v>17.391304347826086</v>
      </c>
      <c r="N424" s="56">
        <v>7</v>
      </c>
      <c r="O424" s="51" t="s">
        <v>421</v>
      </c>
      <c r="P424" s="51">
        <v>12</v>
      </c>
      <c r="Q424" s="77">
        <v>13</v>
      </c>
    </row>
    <row r="425" spans="1:17" x14ac:dyDescent="0.25">
      <c r="A425" s="52" t="s">
        <v>39</v>
      </c>
      <c r="B425" s="51" t="s">
        <v>38</v>
      </c>
      <c r="C425" s="51" t="s">
        <v>363</v>
      </c>
      <c r="D425" s="51">
        <v>11.5</v>
      </c>
      <c r="E425" s="51">
        <v>21.875</v>
      </c>
      <c r="F425" s="51" t="s">
        <v>378</v>
      </c>
      <c r="G425" s="51">
        <v>1</v>
      </c>
      <c r="H425" s="51">
        <v>23</v>
      </c>
      <c r="I425" s="51">
        <v>-5.608695652173914</v>
      </c>
      <c r="J425" s="51">
        <v>8</v>
      </c>
      <c r="K425" s="51">
        <v>4</v>
      </c>
      <c r="L425" s="51">
        <v>0</v>
      </c>
      <c r="M425" s="51">
        <v>17.391304347826086</v>
      </c>
      <c r="N425" s="56">
        <v>7</v>
      </c>
      <c r="O425" s="51" t="s">
        <v>421</v>
      </c>
      <c r="P425" s="51">
        <v>12</v>
      </c>
      <c r="Q425" s="77">
        <v>13</v>
      </c>
    </row>
    <row r="426" spans="1:17" x14ac:dyDescent="0.25">
      <c r="A426" s="52" t="s">
        <v>35</v>
      </c>
      <c r="B426" s="51" t="s">
        <v>400</v>
      </c>
      <c r="C426" s="51" t="s">
        <v>357</v>
      </c>
      <c r="D426" s="51">
        <v>10.5</v>
      </c>
      <c r="E426" s="51">
        <v>18.75</v>
      </c>
      <c r="F426" s="51" t="s">
        <v>382</v>
      </c>
      <c r="G426" s="51">
        <v>1</v>
      </c>
      <c r="H426" s="51">
        <v>17</v>
      </c>
      <c r="I426" s="51">
        <v>0.39130434782608603</v>
      </c>
      <c r="J426" s="51">
        <v>8</v>
      </c>
      <c r="K426" s="51">
        <v>3</v>
      </c>
      <c r="L426" s="51">
        <v>1</v>
      </c>
      <c r="M426" s="51">
        <v>17.391304347826086</v>
      </c>
      <c r="N426" s="56">
        <v>7</v>
      </c>
      <c r="O426" s="51" t="s">
        <v>421</v>
      </c>
      <c r="P426" s="51">
        <v>12</v>
      </c>
      <c r="Q426" s="77">
        <v>13</v>
      </c>
    </row>
    <row r="427" spans="1:17" x14ac:dyDescent="0.25">
      <c r="A427" s="52" t="s">
        <v>37</v>
      </c>
      <c r="B427" s="51" t="s">
        <v>44</v>
      </c>
      <c r="C427" s="51" t="s">
        <v>368</v>
      </c>
      <c r="D427" s="51">
        <v>7.5</v>
      </c>
      <c r="E427" s="51">
        <v>9.375</v>
      </c>
      <c r="F427" s="51" t="s">
        <v>382</v>
      </c>
      <c r="G427" s="51">
        <v>3</v>
      </c>
      <c r="H427" s="51">
        <v>10</v>
      </c>
      <c r="I427" s="51">
        <v>7.391304347826086</v>
      </c>
      <c r="J427" s="51">
        <v>8</v>
      </c>
      <c r="K427" s="51">
        <v>4</v>
      </c>
      <c r="L427" s="51">
        <v>0</v>
      </c>
      <c r="M427" s="51">
        <v>17.391304347826086</v>
      </c>
      <c r="N427" s="56">
        <v>7</v>
      </c>
      <c r="O427" s="51" t="s">
        <v>421</v>
      </c>
      <c r="P427" s="51">
        <v>12</v>
      </c>
      <c r="Q427" s="77">
        <v>13</v>
      </c>
    </row>
    <row r="428" spans="1:17" x14ac:dyDescent="0.25">
      <c r="A428" s="52" t="s">
        <v>26</v>
      </c>
      <c r="B428" s="51" t="s">
        <v>25</v>
      </c>
      <c r="C428" s="51" t="s">
        <v>359</v>
      </c>
      <c r="D428" s="51">
        <v>11.5</v>
      </c>
      <c r="E428" s="51">
        <v>21.875</v>
      </c>
      <c r="F428" s="51" t="s">
        <v>384</v>
      </c>
      <c r="G428" s="51">
        <v>1</v>
      </c>
      <c r="H428" s="51">
        <v>24</v>
      </c>
      <c r="I428" s="51">
        <v>-6.608695652173914</v>
      </c>
      <c r="J428" s="51">
        <v>8</v>
      </c>
      <c r="K428" s="51">
        <v>4</v>
      </c>
      <c r="L428" s="51">
        <v>0</v>
      </c>
      <c r="M428" s="51">
        <v>17.391304347826086</v>
      </c>
      <c r="N428" s="56">
        <v>7</v>
      </c>
      <c r="O428" s="51" t="s">
        <v>421</v>
      </c>
      <c r="P428" s="51">
        <v>12</v>
      </c>
      <c r="Q428" s="77">
        <v>13</v>
      </c>
    </row>
    <row r="429" spans="1:17" x14ac:dyDescent="0.25">
      <c r="A429" s="52" t="s">
        <v>61</v>
      </c>
      <c r="B429" s="51" t="s">
        <v>60</v>
      </c>
      <c r="C429" s="51" t="s">
        <v>367</v>
      </c>
      <c r="D429" s="51">
        <v>9.5</v>
      </c>
      <c r="E429" s="51">
        <v>15.625</v>
      </c>
      <c r="F429" s="51" t="s">
        <v>376</v>
      </c>
      <c r="G429" s="51">
        <v>2</v>
      </c>
      <c r="H429" s="51">
        <v>13</v>
      </c>
      <c r="I429" s="51">
        <v>4.391304347826086</v>
      </c>
      <c r="J429" s="51">
        <v>8</v>
      </c>
      <c r="K429" s="51">
        <v>4</v>
      </c>
      <c r="L429" s="51">
        <v>0</v>
      </c>
      <c r="M429" s="51">
        <v>17.391304347826086</v>
      </c>
      <c r="N429" s="56">
        <v>7</v>
      </c>
      <c r="O429" s="51" t="s">
        <v>421</v>
      </c>
      <c r="P429" s="51">
        <v>12</v>
      </c>
      <c r="Q429" s="77">
        <v>13</v>
      </c>
    </row>
    <row r="430" spans="1:17" x14ac:dyDescent="0.25">
      <c r="A430" s="52" t="s">
        <v>11</v>
      </c>
      <c r="B430" s="51" t="s">
        <v>10</v>
      </c>
      <c r="C430" s="51" t="s">
        <v>357</v>
      </c>
      <c r="D430" s="51">
        <v>10.5</v>
      </c>
      <c r="E430" s="51">
        <v>18.75</v>
      </c>
      <c r="F430" s="51" t="s">
        <v>378</v>
      </c>
      <c r="G430" s="51">
        <v>2</v>
      </c>
      <c r="H430" s="51">
        <v>19</v>
      </c>
      <c r="I430" s="51">
        <v>-4.0931677018633543</v>
      </c>
      <c r="J430" s="51">
        <v>7</v>
      </c>
      <c r="K430" s="51">
        <v>5</v>
      </c>
      <c r="L430" s="51">
        <v>0</v>
      </c>
      <c r="M430" s="51">
        <v>14.906832298136646</v>
      </c>
      <c r="N430" s="56">
        <v>6</v>
      </c>
      <c r="O430" s="51" t="s">
        <v>421</v>
      </c>
      <c r="P430" s="51">
        <v>12</v>
      </c>
      <c r="Q430" s="77">
        <v>13</v>
      </c>
    </row>
    <row r="431" spans="1:17" x14ac:dyDescent="0.25">
      <c r="A431" s="52" t="s">
        <v>32</v>
      </c>
      <c r="B431" s="51" t="s">
        <v>31</v>
      </c>
      <c r="C431" s="51" t="s">
        <v>368</v>
      </c>
      <c r="D431" s="51">
        <v>9.5</v>
      </c>
      <c r="E431" s="51">
        <v>15.625</v>
      </c>
      <c r="F431" s="51" t="s">
        <v>380</v>
      </c>
      <c r="G431" s="51">
        <v>2</v>
      </c>
      <c r="H431" s="51">
        <v>17</v>
      </c>
      <c r="I431" s="51">
        <v>-2.0931677018633543</v>
      </c>
      <c r="J431" s="51">
        <v>7</v>
      </c>
      <c r="K431" s="51">
        <v>5</v>
      </c>
      <c r="L431" s="51">
        <v>0</v>
      </c>
      <c r="M431" s="51">
        <v>14.906832298136646</v>
      </c>
      <c r="N431" s="56">
        <v>6</v>
      </c>
      <c r="O431" s="51" t="s">
        <v>421</v>
      </c>
      <c r="P431" s="51">
        <v>12</v>
      </c>
      <c r="Q431" s="77">
        <v>13</v>
      </c>
    </row>
    <row r="432" spans="1:17" x14ac:dyDescent="0.25">
      <c r="A432" s="52" t="s">
        <v>1</v>
      </c>
      <c r="B432" s="51" t="s">
        <v>402</v>
      </c>
      <c r="C432" s="51" t="s">
        <v>383</v>
      </c>
      <c r="D432" s="51">
        <v>9.5</v>
      </c>
      <c r="E432" s="51">
        <v>15.625</v>
      </c>
      <c r="F432" s="51" t="s">
        <v>381</v>
      </c>
      <c r="G432" s="51">
        <v>2</v>
      </c>
      <c r="H432" s="51">
        <v>15</v>
      </c>
      <c r="I432" s="51">
        <v>-9.3167701863354324E-2</v>
      </c>
      <c r="J432" s="51">
        <v>7</v>
      </c>
      <c r="K432" s="51">
        <v>5</v>
      </c>
      <c r="L432" s="51">
        <v>0</v>
      </c>
      <c r="M432" s="51">
        <v>14.906832298136646</v>
      </c>
      <c r="N432" s="56">
        <v>6</v>
      </c>
      <c r="O432" s="51" t="s">
        <v>421</v>
      </c>
      <c r="P432" s="51">
        <v>12</v>
      </c>
      <c r="Q432" s="77">
        <v>13</v>
      </c>
    </row>
    <row r="433" spans="1:17" x14ac:dyDescent="0.25">
      <c r="A433" s="52" t="s">
        <v>13</v>
      </c>
      <c r="B433" s="51" t="s">
        <v>67</v>
      </c>
      <c r="C433" s="51" t="s">
        <v>383</v>
      </c>
      <c r="D433" s="51">
        <v>6.5</v>
      </c>
      <c r="E433" s="51">
        <v>6.25</v>
      </c>
      <c r="F433" s="51" t="s">
        <v>384</v>
      </c>
      <c r="G433" s="51">
        <v>3</v>
      </c>
      <c r="H433" s="51">
        <v>3</v>
      </c>
      <c r="I433" s="51">
        <v>11.906832298136646</v>
      </c>
      <c r="J433" s="51">
        <v>7</v>
      </c>
      <c r="K433" s="51">
        <v>6</v>
      </c>
      <c r="L433" s="51">
        <v>0</v>
      </c>
      <c r="M433" s="51">
        <v>14.906832298136646</v>
      </c>
      <c r="N433" s="56">
        <v>6</v>
      </c>
      <c r="O433" s="51" t="s">
        <v>425</v>
      </c>
      <c r="P433" s="51">
        <v>13</v>
      </c>
      <c r="Q433" s="77">
        <v>13</v>
      </c>
    </row>
    <row r="434" spans="1:17" x14ac:dyDescent="0.25">
      <c r="A434" s="52" t="s">
        <v>74</v>
      </c>
      <c r="B434" s="51" t="s">
        <v>85</v>
      </c>
      <c r="C434" s="51" t="s">
        <v>352</v>
      </c>
      <c r="D434" s="51">
        <v>8.5</v>
      </c>
      <c r="E434" s="51">
        <v>12.5</v>
      </c>
      <c r="F434" s="51" t="s">
        <v>384</v>
      </c>
      <c r="G434" s="51">
        <v>2</v>
      </c>
      <c r="H434" s="51">
        <v>14</v>
      </c>
      <c r="I434" s="51">
        <v>-1.5776397515527965</v>
      </c>
      <c r="J434" s="51">
        <v>6</v>
      </c>
      <c r="K434" s="51">
        <v>6</v>
      </c>
      <c r="L434" s="51">
        <v>0</v>
      </c>
      <c r="M434" s="51">
        <v>12.422360248447204</v>
      </c>
      <c r="N434" s="56">
        <v>5</v>
      </c>
      <c r="O434" s="51" t="s">
        <v>421</v>
      </c>
      <c r="P434" s="51">
        <v>12</v>
      </c>
      <c r="Q434" s="77">
        <v>13</v>
      </c>
    </row>
    <row r="435" spans="1:17" x14ac:dyDescent="0.25">
      <c r="A435" s="52" t="s">
        <v>48</v>
      </c>
      <c r="B435" s="51" t="s">
        <v>47</v>
      </c>
      <c r="C435" s="51" t="s">
        <v>352</v>
      </c>
      <c r="D435" s="51">
        <v>11.5</v>
      </c>
      <c r="E435" s="51">
        <v>21.875</v>
      </c>
      <c r="F435" s="51" t="s">
        <v>379</v>
      </c>
      <c r="G435" s="51">
        <v>1</v>
      </c>
      <c r="H435" s="51">
        <v>25</v>
      </c>
      <c r="I435" s="51">
        <v>-12.577639751552796</v>
      </c>
      <c r="J435" s="51">
        <v>6</v>
      </c>
      <c r="K435" s="51">
        <v>6</v>
      </c>
      <c r="L435" s="51">
        <v>0</v>
      </c>
      <c r="M435" s="51">
        <v>12.422360248447204</v>
      </c>
      <c r="N435" s="56">
        <v>5</v>
      </c>
      <c r="O435" s="51" t="s">
        <v>421</v>
      </c>
      <c r="P435" s="51">
        <v>12</v>
      </c>
      <c r="Q435" s="77">
        <v>13</v>
      </c>
    </row>
    <row r="436" spans="1:17" x14ac:dyDescent="0.25">
      <c r="A436" s="52" t="s">
        <v>17</v>
      </c>
      <c r="B436" s="51" t="s">
        <v>399</v>
      </c>
      <c r="C436" s="51" t="s">
        <v>367</v>
      </c>
      <c r="D436" s="51">
        <v>11.5</v>
      </c>
      <c r="E436" s="51">
        <v>21.875</v>
      </c>
      <c r="F436" s="51" t="s">
        <v>377</v>
      </c>
      <c r="G436" s="51">
        <v>1</v>
      </c>
      <c r="H436" s="51">
        <v>24</v>
      </c>
      <c r="I436" s="51">
        <v>-11.577639751552796</v>
      </c>
      <c r="J436" s="51">
        <v>6</v>
      </c>
      <c r="K436" s="51">
        <v>6</v>
      </c>
      <c r="L436" s="51">
        <v>0</v>
      </c>
      <c r="M436" s="51">
        <v>12.422360248447204</v>
      </c>
      <c r="N436" s="56">
        <v>5</v>
      </c>
      <c r="O436" s="51" t="s">
        <v>421</v>
      </c>
      <c r="P436" s="51">
        <v>12</v>
      </c>
      <c r="Q436" s="77">
        <v>13</v>
      </c>
    </row>
    <row r="437" spans="1:17" x14ac:dyDescent="0.25">
      <c r="A437" s="52" t="s">
        <v>15</v>
      </c>
      <c r="B437" s="51" t="s">
        <v>14</v>
      </c>
      <c r="C437" s="51" t="s">
        <v>363</v>
      </c>
      <c r="D437" s="51">
        <v>7.5</v>
      </c>
      <c r="E437" s="51">
        <v>9.375</v>
      </c>
      <c r="F437" s="51" t="s">
        <v>382</v>
      </c>
      <c r="G437" s="51">
        <v>4</v>
      </c>
      <c r="H437" s="51">
        <v>8</v>
      </c>
      <c r="I437" s="51">
        <v>4.4223602484472035</v>
      </c>
      <c r="J437" s="51">
        <v>6</v>
      </c>
      <c r="K437" s="51">
        <v>5</v>
      </c>
      <c r="L437" s="51">
        <v>1</v>
      </c>
      <c r="M437" s="51">
        <v>12.422360248447204</v>
      </c>
      <c r="N437" s="56">
        <v>5</v>
      </c>
      <c r="O437" s="51" t="s">
        <v>421</v>
      </c>
      <c r="P437" s="51">
        <v>12</v>
      </c>
      <c r="Q437" s="77">
        <v>13</v>
      </c>
    </row>
    <row r="438" spans="1:17" x14ac:dyDescent="0.25">
      <c r="A438" s="52" t="s">
        <v>3</v>
      </c>
      <c r="B438" s="51" t="s">
        <v>2</v>
      </c>
      <c r="C438" s="51" t="s">
        <v>359</v>
      </c>
      <c r="D438" s="51">
        <v>7.5</v>
      </c>
      <c r="E438" s="51">
        <v>9.375</v>
      </c>
      <c r="F438" s="51" t="s">
        <v>381</v>
      </c>
      <c r="G438" s="51">
        <v>4</v>
      </c>
      <c r="H438" s="51">
        <v>8</v>
      </c>
      <c r="I438" s="51">
        <v>1.9378881987577632</v>
      </c>
      <c r="J438" s="51">
        <v>5</v>
      </c>
      <c r="K438" s="51">
        <v>7</v>
      </c>
      <c r="L438" s="51">
        <v>0</v>
      </c>
      <c r="M438" s="51">
        <v>9.9378881987577632</v>
      </c>
      <c r="N438" s="56">
        <v>4</v>
      </c>
      <c r="O438" s="51" t="s">
        <v>421</v>
      </c>
      <c r="P438" s="51">
        <v>12</v>
      </c>
      <c r="Q438" s="77">
        <v>13</v>
      </c>
    </row>
    <row r="439" spans="1:17" x14ac:dyDescent="0.25">
      <c r="A439" s="52" t="s">
        <v>59</v>
      </c>
      <c r="B439" s="51" t="s">
        <v>75</v>
      </c>
      <c r="C439" s="51" t="s">
        <v>357</v>
      </c>
      <c r="D439" s="51">
        <v>8.5</v>
      </c>
      <c r="E439" s="51">
        <v>12.5</v>
      </c>
      <c r="F439" s="51" t="s">
        <v>376</v>
      </c>
      <c r="G439" s="51">
        <v>1</v>
      </c>
      <c r="H439" s="51">
        <v>14</v>
      </c>
      <c r="I439" s="51">
        <v>-6.5465838509316772</v>
      </c>
      <c r="J439" s="51">
        <v>4</v>
      </c>
      <c r="K439" s="51">
        <v>8</v>
      </c>
      <c r="L439" s="51">
        <v>0</v>
      </c>
      <c r="M439" s="51">
        <v>7.4534161490683228</v>
      </c>
      <c r="N439" s="56">
        <v>3</v>
      </c>
      <c r="O439" s="51" t="s">
        <v>421</v>
      </c>
      <c r="P439" s="51">
        <v>12</v>
      </c>
      <c r="Q439" s="77">
        <v>13</v>
      </c>
    </row>
    <row r="440" spans="1:17" x14ac:dyDescent="0.25">
      <c r="A440" s="52" t="s">
        <v>70</v>
      </c>
      <c r="B440" s="51" t="s">
        <v>69</v>
      </c>
      <c r="C440" s="51" t="s">
        <v>383</v>
      </c>
      <c r="D440" s="51">
        <v>7.5</v>
      </c>
      <c r="E440" s="51">
        <v>9.375</v>
      </c>
      <c r="F440" s="51" t="s">
        <v>376</v>
      </c>
      <c r="G440" s="51">
        <v>3</v>
      </c>
      <c r="H440" s="51">
        <v>12</v>
      </c>
      <c r="I440" s="51">
        <v>-4.5465838509316772</v>
      </c>
      <c r="J440" s="51">
        <v>4</v>
      </c>
      <c r="K440" s="51">
        <v>8</v>
      </c>
      <c r="L440" s="51">
        <v>0</v>
      </c>
      <c r="M440" s="51">
        <v>7.4534161490683228</v>
      </c>
      <c r="N440" s="56">
        <v>3</v>
      </c>
      <c r="O440" s="51" t="s">
        <v>421</v>
      </c>
      <c r="P440" s="51">
        <v>12</v>
      </c>
      <c r="Q440" s="77">
        <v>13</v>
      </c>
    </row>
    <row r="441" spans="1:17" x14ac:dyDescent="0.25">
      <c r="A441" s="52" t="s">
        <v>54</v>
      </c>
      <c r="B441" s="51" t="s">
        <v>77</v>
      </c>
      <c r="C441" s="51" t="s">
        <v>352</v>
      </c>
      <c r="D441" s="51">
        <v>9.5</v>
      </c>
      <c r="E441" s="51">
        <v>15.625</v>
      </c>
      <c r="F441" s="51" t="s">
        <v>380</v>
      </c>
      <c r="G441" s="51">
        <v>3</v>
      </c>
      <c r="H441" s="51">
        <v>14</v>
      </c>
      <c r="I441" s="51">
        <v>-6.5465838509316772</v>
      </c>
      <c r="J441" s="51">
        <v>4</v>
      </c>
      <c r="K441" s="51">
        <v>8</v>
      </c>
      <c r="L441" s="51">
        <v>0</v>
      </c>
      <c r="M441" s="51">
        <v>7.4534161490683228</v>
      </c>
      <c r="N441" s="56">
        <v>3</v>
      </c>
      <c r="O441" s="51" t="s">
        <v>421</v>
      </c>
      <c r="P441" s="51">
        <v>12</v>
      </c>
      <c r="Q441" s="77">
        <v>13</v>
      </c>
    </row>
    <row r="442" spans="1:17" x14ac:dyDescent="0.25">
      <c r="A442" s="52" t="s">
        <v>84</v>
      </c>
      <c r="B442" s="51" t="s">
        <v>91</v>
      </c>
      <c r="C442" s="51" t="s">
        <v>352</v>
      </c>
      <c r="D442" s="51">
        <v>4.5</v>
      </c>
      <c r="E442" s="51">
        <v>0</v>
      </c>
      <c r="F442" s="51" t="s">
        <v>380</v>
      </c>
      <c r="G442" s="51">
        <v>4</v>
      </c>
      <c r="H442" s="51">
        <v>1</v>
      </c>
      <c r="I442" s="51">
        <v>3.9689440993788816</v>
      </c>
      <c r="J442" s="51">
        <v>3</v>
      </c>
      <c r="K442" s="51">
        <v>9</v>
      </c>
      <c r="L442" s="51">
        <v>0</v>
      </c>
      <c r="M442" s="51">
        <v>4.9689440993788816</v>
      </c>
      <c r="N442" s="56">
        <v>2</v>
      </c>
      <c r="O442" s="51" t="s">
        <v>421</v>
      </c>
      <c r="P442" s="51">
        <v>12</v>
      </c>
      <c r="Q442" s="77">
        <v>13</v>
      </c>
    </row>
    <row r="443" spans="1:17" x14ac:dyDescent="0.25">
      <c r="A443" s="52" t="s">
        <v>28</v>
      </c>
      <c r="B443" s="51" t="s">
        <v>93</v>
      </c>
      <c r="C443" s="51" t="s">
        <v>355</v>
      </c>
      <c r="D443" s="51">
        <v>8.5</v>
      </c>
      <c r="E443" s="51">
        <v>12.5</v>
      </c>
      <c r="F443" s="51" t="s">
        <v>379</v>
      </c>
      <c r="G443" s="51">
        <v>2</v>
      </c>
      <c r="H443" s="51">
        <v>12</v>
      </c>
      <c r="I443" s="51">
        <v>-7.0310559006211184</v>
      </c>
      <c r="J443" s="51">
        <v>3</v>
      </c>
      <c r="K443" s="51">
        <v>9</v>
      </c>
      <c r="L443" s="51">
        <v>0</v>
      </c>
      <c r="M443" s="51">
        <v>4.9689440993788816</v>
      </c>
      <c r="N443" s="56">
        <v>2</v>
      </c>
      <c r="O443" s="51" t="s">
        <v>421</v>
      </c>
      <c r="P443" s="51">
        <v>12</v>
      </c>
      <c r="Q443" s="77">
        <v>13</v>
      </c>
    </row>
    <row r="444" spans="1:17" x14ac:dyDescent="0.25">
      <c r="A444" s="52" t="s">
        <v>5</v>
      </c>
      <c r="B444" s="51" t="s">
        <v>41</v>
      </c>
      <c r="C444" s="51" t="s">
        <v>363</v>
      </c>
      <c r="D444" s="51">
        <v>9.5</v>
      </c>
      <c r="E444" s="51">
        <v>15.625</v>
      </c>
      <c r="F444" s="51" t="s">
        <v>377</v>
      </c>
      <c r="G444" s="51">
        <v>2</v>
      </c>
      <c r="H444" s="51">
        <v>19</v>
      </c>
      <c r="I444" s="51">
        <v>-14.031055900621119</v>
      </c>
      <c r="J444" s="51">
        <v>3</v>
      </c>
      <c r="K444" s="51">
        <v>9</v>
      </c>
      <c r="L444" s="51">
        <v>0</v>
      </c>
      <c r="M444" s="51">
        <v>4.9689440993788816</v>
      </c>
      <c r="N444" s="56">
        <v>2</v>
      </c>
      <c r="O444" s="51" t="s">
        <v>421</v>
      </c>
      <c r="P444" s="51">
        <v>12</v>
      </c>
      <c r="Q444" s="77">
        <v>13</v>
      </c>
    </row>
    <row r="445" spans="1:17" x14ac:dyDescent="0.25">
      <c r="A445" s="52" t="s">
        <v>24</v>
      </c>
      <c r="B445" s="51" t="s">
        <v>79</v>
      </c>
      <c r="C445" s="51" t="s">
        <v>359</v>
      </c>
      <c r="D445" s="51">
        <v>5.5</v>
      </c>
      <c r="E445" s="51">
        <v>3.125</v>
      </c>
      <c r="F445" s="51" t="s">
        <v>379</v>
      </c>
      <c r="G445" s="51">
        <v>4</v>
      </c>
      <c r="H445" s="51">
        <v>9</v>
      </c>
      <c r="I445" s="51">
        <v>-4.0310559006211184</v>
      </c>
      <c r="J445" s="51">
        <v>3</v>
      </c>
      <c r="K445" s="51">
        <v>9</v>
      </c>
      <c r="L445" s="51">
        <v>0</v>
      </c>
      <c r="M445" s="51">
        <v>4.9689440993788816</v>
      </c>
      <c r="N445" s="56">
        <v>2</v>
      </c>
      <c r="O445" s="51" t="s">
        <v>421</v>
      </c>
      <c r="P445" s="51">
        <v>12</v>
      </c>
      <c r="Q445" s="77">
        <v>13</v>
      </c>
    </row>
    <row r="446" spans="1:17" x14ac:dyDescent="0.25">
      <c r="A446" s="52" t="s">
        <v>81</v>
      </c>
      <c r="B446" s="51" t="s">
        <v>423</v>
      </c>
      <c r="C446" s="51" t="s">
        <v>367</v>
      </c>
      <c r="D446" s="51">
        <v>6.5</v>
      </c>
      <c r="E446" s="51">
        <v>6.25</v>
      </c>
      <c r="F446" s="51" t="s">
        <v>384</v>
      </c>
      <c r="G446" s="51">
        <v>4</v>
      </c>
      <c r="H446" s="51">
        <v>9</v>
      </c>
      <c r="I446" s="51">
        <v>-6.5155279503105596</v>
      </c>
      <c r="J446" s="51">
        <v>2</v>
      </c>
      <c r="K446" s="51">
        <v>10</v>
      </c>
      <c r="L446" s="51">
        <v>0</v>
      </c>
      <c r="M446" s="51">
        <v>2.4844720496894408</v>
      </c>
      <c r="N446" s="56">
        <v>1</v>
      </c>
      <c r="O446" s="51" t="s">
        <v>421</v>
      </c>
      <c r="P446" s="51">
        <v>12</v>
      </c>
      <c r="Q446" s="77">
        <v>13</v>
      </c>
    </row>
    <row r="447" spans="1:17" x14ac:dyDescent="0.25">
      <c r="A447" s="52" t="s">
        <v>52</v>
      </c>
      <c r="B447" s="51" t="s">
        <v>403</v>
      </c>
      <c r="C447" s="51" t="s">
        <v>383</v>
      </c>
      <c r="D447" s="51">
        <v>5.5</v>
      </c>
      <c r="E447" s="51">
        <v>3.125</v>
      </c>
      <c r="F447" s="51" t="s">
        <v>377</v>
      </c>
      <c r="G447" s="51">
        <v>4</v>
      </c>
      <c r="H447" s="51">
        <v>3</v>
      </c>
      <c r="I447" s="51">
        <v>-0.5155279503105592</v>
      </c>
      <c r="J447" s="51">
        <v>2</v>
      </c>
      <c r="K447" s="51">
        <v>10</v>
      </c>
      <c r="L447" s="51">
        <v>0</v>
      </c>
      <c r="M447" s="51">
        <v>2.4844720496894408</v>
      </c>
      <c r="N447" s="56">
        <v>1</v>
      </c>
      <c r="O447" s="51" t="s">
        <v>421</v>
      </c>
      <c r="P447" s="51">
        <v>12</v>
      </c>
      <c r="Q447" s="77">
        <v>13</v>
      </c>
    </row>
    <row r="448" spans="1:17" x14ac:dyDescent="0.25">
      <c r="A448" s="52" t="s">
        <v>50</v>
      </c>
      <c r="B448" s="51" t="s">
        <v>95</v>
      </c>
      <c r="C448" s="51" t="s">
        <v>363</v>
      </c>
      <c r="D448" s="51">
        <v>5.5</v>
      </c>
      <c r="E448" s="51">
        <v>3.125</v>
      </c>
      <c r="F448" s="51" t="s">
        <v>377</v>
      </c>
      <c r="G448" s="51">
        <v>3</v>
      </c>
      <c r="H448" s="51">
        <v>4</v>
      </c>
      <c r="I448" s="51">
        <v>-1.5155279503105592</v>
      </c>
      <c r="J448" s="51">
        <v>2</v>
      </c>
      <c r="K448" s="51">
        <v>11</v>
      </c>
      <c r="L448" s="51">
        <v>0</v>
      </c>
      <c r="M448" s="51">
        <v>2.4844720496894408</v>
      </c>
      <c r="N448" s="56">
        <v>1</v>
      </c>
      <c r="O448" s="51" t="s">
        <v>425</v>
      </c>
      <c r="P448" s="51">
        <v>13</v>
      </c>
      <c r="Q448" s="77">
        <v>13</v>
      </c>
    </row>
    <row r="449" spans="1:17" ht="15.75" thickBot="1" x14ac:dyDescent="0.3">
      <c r="A449" s="53" t="s">
        <v>20</v>
      </c>
      <c r="B449" s="54" t="s">
        <v>89</v>
      </c>
      <c r="C449" s="54" t="s">
        <v>368</v>
      </c>
      <c r="D449" s="54">
        <v>5.5</v>
      </c>
      <c r="E449" s="54">
        <v>3.125</v>
      </c>
      <c r="F449" s="54" t="s">
        <v>378</v>
      </c>
      <c r="G449" s="54">
        <v>4</v>
      </c>
      <c r="H449" s="54">
        <v>7</v>
      </c>
      <c r="I449" s="54">
        <v>-7</v>
      </c>
      <c r="J449" s="54">
        <v>1</v>
      </c>
      <c r="K449" s="54">
        <v>11</v>
      </c>
      <c r="L449" s="54">
        <v>0</v>
      </c>
      <c r="M449" s="54">
        <v>0</v>
      </c>
      <c r="N449" s="57">
        <v>0</v>
      </c>
      <c r="O449" s="54" t="s">
        <v>421</v>
      </c>
      <c r="P449" s="54">
        <v>12</v>
      </c>
      <c r="Q449" s="78">
        <v>13</v>
      </c>
    </row>
    <row r="450" spans="1:17" x14ac:dyDescent="0.25">
      <c r="A450" s="79" t="s">
        <v>46</v>
      </c>
      <c r="B450" s="80" t="s">
        <v>404</v>
      </c>
      <c r="C450" s="80" t="s">
        <v>359</v>
      </c>
      <c r="D450" s="80">
        <v>8.5</v>
      </c>
      <c r="E450" s="80">
        <v>12.5</v>
      </c>
      <c r="F450" s="80" t="s">
        <v>381</v>
      </c>
      <c r="G450" s="80">
        <v>3</v>
      </c>
      <c r="H450" s="80">
        <v>10</v>
      </c>
      <c r="I450" s="80">
        <v>15.174825174825173</v>
      </c>
      <c r="J450" s="80">
        <v>11</v>
      </c>
      <c r="K450" s="80">
        <v>2</v>
      </c>
      <c r="L450" s="80">
        <v>0</v>
      </c>
      <c r="M450" s="80">
        <v>25.174825174825173</v>
      </c>
      <c r="N450" s="81">
        <v>9</v>
      </c>
      <c r="O450" s="80" t="s">
        <v>421</v>
      </c>
      <c r="P450" s="80">
        <v>13</v>
      </c>
      <c r="Q450" s="82">
        <v>14</v>
      </c>
    </row>
    <row r="451" spans="1:17" x14ac:dyDescent="0.25">
      <c r="A451" s="52" t="s">
        <v>64</v>
      </c>
      <c r="B451" s="51" t="s">
        <v>63</v>
      </c>
      <c r="C451" s="51" t="s">
        <v>367</v>
      </c>
      <c r="D451" s="51">
        <v>9.5</v>
      </c>
      <c r="E451" s="51">
        <v>15.625</v>
      </c>
      <c r="F451" s="51" t="s">
        <v>381</v>
      </c>
      <c r="G451" s="51">
        <v>1</v>
      </c>
      <c r="H451" s="51">
        <v>17</v>
      </c>
      <c r="I451" s="51">
        <v>8.1748251748251732</v>
      </c>
      <c r="J451" s="51">
        <v>11</v>
      </c>
      <c r="K451" s="51">
        <v>2</v>
      </c>
      <c r="L451" s="51">
        <v>0</v>
      </c>
      <c r="M451" s="51">
        <v>25.174825174825173</v>
      </c>
      <c r="N451" s="56">
        <v>9</v>
      </c>
      <c r="O451" s="51" t="s">
        <v>421</v>
      </c>
      <c r="P451" s="51">
        <v>13</v>
      </c>
      <c r="Q451" s="77">
        <v>14</v>
      </c>
    </row>
    <row r="452" spans="1:17" x14ac:dyDescent="0.25">
      <c r="A452" s="52" t="s">
        <v>22</v>
      </c>
      <c r="B452" s="51" t="s">
        <v>21</v>
      </c>
      <c r="C452" s="51" t="s">
        <v>355</v>
      </c>
      <c r="D452" s="51">
        <v>9.5</v>
      </c>
      <c r="E452" s="51">
        <v>15.625</v>
      </c>
      <c r="F452" s="51" t="s">
        <v>382</v>
      </c>
      <c r="G452" s="51">
        <v>2</v>
      </c>
      <c r="H452" s="51">
        <v>15</v>
      </c>
      <c r="I452" s="51">
        <v>7.3776223776223766</v>
      </c>
      <c r="J452" s="51">
        <v>10</v>
      </c>
      <c r="K452" s="51">
        <v>3</v>
      </c>
      <c r="L452" s="51">
        <v>0</v>
      </c>
      <c r="M452" s="51">
        <v>22.377622377622377</v>
      </c>
      <c r="N452" s="56">
        <v>8</v>
      </c>
      <c r="O452" s="51" t="s">
        <v>421</v>
      </c>
      <c r="P452" s="51">
        <v>13</v>
      </c>
      <c r="Q452" s="77">
        <v>14</v>
      </c>
    </row>
    <row r="453" spans="1:17" x14ac:dyDescent="0.25">
      <c r="A453" s="52" t="s">
        <v>9</v>
      </c>
      <c r="B453" s="51" t="s">
        <v>55</v>
      </c>
      <c r="C453" s="51" t="s">
        <v>355</v>
      </c>
      <c r="D453" s="51">
        <v>8.5</v>
      </c>
      <c r="E453" s="51">
        <v>12.5</v>
      </c>
      <c r="F453" s="51" t="s">
        <v>376</v>
      </c>
      <c r="G453" s="51">
        <v>4</v>
      </c>
      <c r="H453" s="51">
        <v>11</v>
      </c>
      <c r="I453" s="51">
        <v>11.377622377622377</v>
      </c>
      <c r="J453" s="51">
        <v>10</v>
      </c>
      <c r="K453" s="51">
        <v>3</v>
      </c>
      <c r="L453" s="51">
        <v>0</v>
      </c>
      <c r="M453" s="51">
        <v>22.377622377622377</v>
      </c>
      <c r="N453" s="56">
        <v>8</v>
      </c>
      <c r="O453" s="51" t="s">
        <v>421</v>
      </c>
      <c r="P453" s="51">
        <v>13</v>
      </c>
      <c r="Q453" s="77">
        <v>14</v>
      </c>
    </row>
    <row r="454" spans="1:17" x14ac:dyDescent="0.25">
      <c r="A454" s="52" t="s">
        <v>66</v>
      </c>
      <c r="B454" s="51" t="s">
        <v>72</v>
      </c>
      <c r="C454" s="51" t="s">
        <v>357</v>
      </c>
      <c r="D454" s="51">
        <v>8.5</v>
      </c>
      <c r="E454" s="51">
        <v>12.5</v>
      </c>
      <c r="F454" s="51" t="s">
        <v>379</v>
      </c>
      <c r="G454" s="51">
        <v>3</v>
      </c>
      <c r="H454" s="51">
        <v>4</v>
      </c>
      <c r="I454" s="51">
        <v>15.58041958041958</v>
      </c>
      <c r="J454" s="51">
        <v>9</v>
      </c>
      <c r="K454" s="51">
        <v>4</v>
      </c>
      <c r="L454" s="51">
        <v>0</v>
      </c>
      <c r="M454" s="51">
        <v>19.58041958041958</v>
      </c>
      <c r="N454" s="56">
        <v>7</v>
      </c>
      <c r="O454" s="51" t="s">
        <v>421</v>
      </c>
      <c r="P454" s="51">
        <v>13</v>
      </c>
      <c r="Q454" s="77">
        <v>14</v>
      </c>
    </row>
    <row r="455" spans="1:17" x14ac:dyDescent="0.25">
      <c r="A455" s="52" t="s">
        <v>7</v>
      </c>
      <c r="B455" s="51" t="s">
        <v>405</v>
      </c>
      <c r="C455" s="51" t="s">
        <v>355</v>
      </c>
      <c r="D455" s="51">
        <v>10.5</v>
      </c>
      <c r="E455" s="51">
        <v>18.75</v>
      </c>
      <c r="F455" s="51" t="s">
        <v>380</v>
      </c>
      <c r="G455" s="51">
        <v>1</v>
      </c>
      <c r="H455" s="51">
        <v>18</v>
      </c>
      <c r="I455" s="51">
        <v>1.58041958041958</v>
      </c>
      <c r="J455" s="51">
        <v>9</v>
      </c>
      <c r="K455" s="51">
        <v>4</v>
      </c>
      <c r="L455" s="51">
        <v>0</v>
      </c>
      <c r="M455" s="51">
        <v>19.58041958041958</v>
      </c>
      <c r="N455" s="56">
        <v>7</v>
      </c>
      <c r="O455" s="51" t="s">
        <v>421</v>
      </c>
      <c r="P455" s="51">
        <v>13</v>
      </c>
      <c r="Q455" s="77">
        <v>14</v>
      </c>
    </row>
    <row r="456" spans="1:17" x14ac:dyDescent="0.25">
      <c r="A456" s="52" t="s">
        <v>35</v>
      </c>
      <c r="B456" s="51" t="s">
        <v>400</v>
      </c>
      <c r="C456" s="51" t="s">
        <v>357</v>
      </c>
      <c r="D456" s="51">
        <v>10.5</v>
      </c>
      <c r="E456" s="51">
        <v>18.75</v>
      </c>
      <c r="F456" s="51" t="s">
        <v>382</v>
      </c>
      <c r="G456" s="51">
        <v>1</v>
      </c>
      <c r="H456" s="51">
        <v>17</v>
      </c>
      <c r="I456" s="51">
        <v>2.58041958041958</v>
      </c>
      <c r="J456" s="51">
        <v>9</v>
      </c>
      <c r="K456" s="51">
        <v>3</v>
      </c>
      <c r="L456" s="51">
        <v>1</v>
      </c>
      <c r="M456" s="51">
        <v>19.58041958041958</v>
      </c>
      <c r="N456" s="56">
        <v>7</v>
      </c>
      <c r="O456" s="51" t="s">
        <v>421</v>
      </c>
      <c r="P456" s="51">
        <v>13</v>
      </c>
      <c r="Q456" s="77">
        <v>14</v>
      </c>
    </row>
    <row r="457" spans="1:17" x14ac:dyDescent="0.25">
      <c r="A457" s="52" t="s">
        <v>37</v>
      </c>
      <c r="B457" s="51" t="s">
        <v>44</v>
      </c>
      <c r="C457" s="51" t="s">
        <v>368</v>
      </c>
      <c r="D457" s="51">
        <v>7.5</v>
      </c>
      <c r="E457" s="51">
        <v>9.375</v>
      </c>
      <c r="F457" s="51" t="s">
        <v>382</v>
      </c>
      <c r="G457" s="51">
        <v>3</v>
      </c>
      <c r="H457" s="51">
        <v>10</v>
      </c>
      <c r="I457" s="51">
        <v>9.58041958041958</v>
      </c>
      <c r="J457" s="51">
        <v>9</v>
      </c>
      <c r="K457" s="51">
        <v>4</v>
      </c>
      <c r="L457" s="51">
        <v>0</v>
      </c>
      <c r="M457" s="51">
        <v>19.58041958041958</v>
      </c>
      <c r="N457" s="56">
        <v>7</v>
      </c>
      <c r="O457" s="51" t="s">
        <v>421</v>
      </c>
      <c r="P457" s="51">
        <v>13</v>
      </c>
      <c r="Q457" s="77">
        <v>14</v>
      </c>
    </row>
    <row r="458" spans="1:17" x14ac:dyDescent="0.25">
      <c r="A458" s="52" t="s">
        <v>26</v>
      </c>
      <c r="B458" s="51" t="s">
        <v>25</v>
      </c>
      <c r="C458" s="51" t="s">
        <v>359</v>
      </c>
      <c r="D458" s="51">
        <v>11.5</v>
      </c>
      <c r="E458" s="51">
        <v>21.875</v>
      </c>
      <c r="F458" s="51" t="s">
        <v>384</v>
      </c>
      <c r="G458" s="51">
        <v>1</v>
      </c>
      <c r="H458" s="51">
        <v>24</v>
      </c>
      <c r="I458" s="51">
        <v>-4.41958041958042</v>
      </c>
      <c r="J458" s="51">
        <v>9</v>
      </c>
      <c r="K458" s="51">
        <v>4</v>
      </c>
      <c r="L458" s="51">
        <v>0</v>
      </c>
      <c r="M458" s="51">
        <v>19.58041958041958</v>
      </c>
      <c r="N458" s="56">
        <v>7</v>
      </c>
      <c r="O458" s="51" t="s">
        <v>421</v>
      </c>
      <c r="P458" s="51">
        <v>13</v>
      </c>
      <c r="Q458" s="77">
        <v>14</v>
      </c>
    </row>
    <row r="459" spans="1:17" x14ac:dyDescent="0.25">
      <c r="A459" s="52" t="s">
        <v>61</v>
      </c>
      <c r="B459" s="51" t="s">
        <v>60</v>
      </c>
      <c r="C459" s="51" t="s">
        <v>367</v>
      </c>
      <c r="D459" s="51">
        <v>9.5</v>
      </c>
      <c r="E459" s="51">
        <v>15.625</v>
      </c>
      <c r="F459" s="51" t="s">
        <v>376</v>
      </c>
      <c r="G459" s="51">
        <v>2</v>
      </c>
      <c r="H459" s="51">
        <v>13</v>
      </c>
      <c r="I459" s="51">
        <v>6.58041958041958</v>
      </c>
      <c r="J459" s="51">
        <v>9</v>
      </c>
      <c r="K459" s="51">
        <v>4</v>
      </c>
      <c r="L459" s="51">
        <v>0</v>
      </c>
      <c r="M459" s="51">
        <v>19.58041958041958</v>
      </c>
      <c r="N459" s="56">
        <v>7</v>
      </c>
      <c r="O459" s="51" t="s">
        <v>421</v>
      </c>
      <c r="P459" s="51">
        <v>13</v>
      </c>
      <c r="Q459" s="77">
        <v>14</v>
      </c>
    </row>
    <row r="460" spans="1:17" x14ac:dyDescent="0.25">
      <c r="A460" s="52" t="s">
        <v>43</v>
      </c>
      <c r="B460" s="51" t="s">
        <v>57</v>
      </c>
      <c r="C460" s="51" t="s">
        <v>368</v>
      </c>
      <c r="D460" s="51">
        <v>7.5</v>
      </c>
      <c r="E460" s="51">
        <v>9.375</v>
      </c>
      <c r="F460" s="51" t="s">
        <v>378</v>
      </c>
      <c r="G460" s="51">
        <v>3</v>
      </c>
      <c r="H460" s="51">
        <v>1</v>
      </c>
      <c r="I460" s="51">
        <v>15.783216783216783</v>
      </c>
      <c r="J460" s="51">
        <v>8</v>
      </c>
      <c r="K460" s="51">
        <v>5</v>
      </c>
      <c r="L460" s="51">
        <v>0</v>
      </c>
      <c r="M460" s="51">
        <v>16.783216783216783</v>
      </c>
      <c r="N460" s="56">
        <v>6</v>
      </c>
      <c r="O460" s="51" t="s">
        <v>421</v>
      </c>
      <c r="P460" s="51">
        <v>13</v>
      </c>
      <c r="Q460" s="77">
        <v>14</v>
      </c>
    </row>
    <row r="461" spans="1:17" x14ac:dyDescent="0.25">
      <c r="A461" s="52" t="s">
        <v>39</v>
      </c>
      <c r="B461" s="51" t="s">
        <v>38</v>
      </c>
      <c r="C461" s="51" t="s">
        <v>363</v>
      </c>
      <c r="D461" s="51">
        <v>11.5</v>
      </c>
      <c r="E461" s="51">
        <v>21.875</v>
      </c>
      <c r="F461" s="51" t="s">
        <v>378</v>
      </c>
      <c r="G461" s="51">
        <v>1</v>
      </c>
      <c r="H461" s="51">
        <v>23</v>
      </c>
      <c r="I461" s="51">
        <v>-6.2167832167832167</v>
      </c>
      <c r="J461" s="51">
        <v>8</v>
      </c>
      <c r="K461" s="51">
        <v>5</v>
      </c>
      <c r="L461" s="51">
        <v>0</v>
      </c>
      <c r="M461" s="51">
        <v>16.783216783216783</v>
      </c>
      <c r="N461" s="56">
        <v>6</v>
      </c>
      <c r="O461" s="51" t="s">
        <v>421</v>
      </c>
      <c r="P461" s="51">
        <v>13</v>
      </c>
      <c r="Q461" s="77">
        <v>14</v>
      </c>
    </row>
    <row r="462" spans="1:17" x14ac:dyDescent="0.25">
      <c r="A462" s="52" t="s">
        <v>11</v>
      </c>
      <c r="B462" s="51" t="s">
        <v>10</v>
      </c>
      <c r="C462" s="51" t="s">
        <v>357</v>
      </c>
      <c r="D462" s="51">
        <v>10.5</v>
      </c>
      <c r="E462" s="51">
        <v>18.75</v>
      </c>
      <c r="F462" s="51" t="s">
        <v>378</v>
      </c>
      <c r="G462" s="51">
        <v>2</v>
      </c>
      <c r="H462" s="51">
        <v>19</v>
      </c>
      <c r="I462" s="51">
        <v>-2.2167832167832167</v>
      </c>
      <c r="J462" s="51">
        <v>8</v>
      </c>
      <c r="K462" s="51">
        <v>5</v>
      </c>
      <c r="L462" s="51">
        <v>0</v>
      </c>
      <c r="M462" s="51">
        <v>16.783216783216783</v>
      </c>
      <c r="N462" s="56">
        <v>6</v>
      </c>
      <c r="O462" s="51" t="s">
        <v>421</v>
      </c>
      <c r="P462" s="51">
        <v>13</v>
      </c>
      <c r="Q462" s="77">
        <v>14</v>
      </c>
    </row>
    <row r="463" spans="1:17" x14ac:dyDescent="0.25">
      <c r="A463" s="52" t="s">
        <v>32</v>
      </c>
      <c r="B463" s="51" t="s">
        <v>31</v>
      </c>
      <c r="C463" s="51" t="s">
        <v>368</v>
      </c>
      <c r="D463" s="51">
        <v>9.5</v>
      </c>
      <c r="E463" s="51">
        <v>15.625</v>
      </c>
      <c r="F463" s="51" t="s">
        <v>380</v>
      </c>
      <c r="G463" s="51">
        <v>2</v>
      </c>
      <c r="H463" s="51">
        <v>17</v>
      </c>
      <c r="I463" s="51">
        <v>-0.21678321678321666</v>
      </c>
      <c r="J463" s="51">
        <v>8</v>
      </c>
      <c r="K463" s="51">
        <v>5</v>
      </c>
      <c r="L463" s="51">
        <v>0</v>
      </c>
      <c r="M463" s="51">
        <v>16.783216783216783</v>
      </c>
      <c r="N463" s="56">
        <v>6</v>
      </c>
      <c r="O463" s="51" t="s">
        <v>421</v>
      </c>
      <c r="P463" s="51">
        <v>13</v>
      </c>
      <c r="Q463" s="77">
        <v>14</v>
      </c>
    </row>
    <row r="464" spans="1:17" x14ac:dyDescent="0.25">
      <c r="A464" s="52" t="s">
        <v>1</v>
      </c>
      <c r="B464" s="51" t="s">
        <v>402</v>
      </c>
      <c r="C464" s="51" t="s">
        <v>383</v>
      </c>
      <c r="D464" s="51">
        <v>9.5</v>
      </c>
      <c r="E464" s="51">
        <v>15.625</v>
      </c>
      <c r="F464" s="51" t="s">
        <v>381</v>
      </c>
      <c r="G464" s="51">
        <v>2</v>
      </c>
      <c r="H464" s="51">
        <v>15</v>
      </c>
      <c r="I464" s="51">
        <v>-1.0139860139860151</v>
      </c>
      <c r="J464" s="51">
        <v>7</v>
      </c>
      <c r="K464" s="51">
        <v>6</v>
      </c>
      <c r="L464" s="51">
        <v>0</v>
      </c>
      <c r="M464" s="51">
        <v>13.986013986013985</v>
      </c>
      <c r="N464" s="56">
        <v>5</v>
      </c>
      <c r="O464" s="51" t="s">
        <v>421</v>
      </c>
      <c r="P464" s="51">
        <v>13</v>
      </c>
      <c r="Q464" s="77">
        <v>14</v>
      </c>
    </row>
    <row r="465" spans="1:17" x14ac:dyDescent="0.25">
      <c r="A465" s="52" t="s">
        <v>13</v>
      </c>
      <c r="B465" s="51" t="s">
        <v>67</v>
      </c>
      <c r="C465" s="51" t="s">
        <v>383</v>
      </c>
      <c r="D465" s="51">
        <v>6.5</v>
      </c>
      <c r="E465" s="51">
        <v>6.25</v>
      </c>
      <c r="F465" s="51" t="s">
        <v>384</v>
      </c>
      <c r="G465" s="51">
        <v>3</v>
      </c>
      <c r="H465" s="51">
        <v>3</v>
      </c>
      <c r="I465" s="51">
        <v>10.986013986013985</v>
      </c>
      <c r="J465" s="51">
        <v>7</v>
      </c>
      <c r="K465" s="51">
        <v>6</v>
      </c>
      <c r="L465" s="51">
        <v>0</v>
      </c>
      <c r="M465" s="51">
        <v>13.986013986013985</v>
      </c>
      <c r="N465" s="56">
        <v>5</v>
      </c>
      <c r="O465" s="51" t="s">
        <v>421</v>
      </c>
      <c r="P465" s="51">
        <v>13</v>
      </c>
      <c r="Q465" s="77">
        <v>14</v>
      </c>
    </row>
    <row r="466" spans="1:17" x14ac:dyDescent="0.25">
      <c r="A466" s="52" t="s">
        <v>74</v>
      </c>
      <c r="B466" s="51" t="s">
        <v>85</v>
      </c>
      <c r="C466" s="51" t="s">
        <v>352</v>
      </c>
      <c r="D466" s="51">
        <v>8.5</v>
      </c>
      <c r="E466" s="51">
        <v>12.5</v>
      </c>
      <c r="F466" s="51" t="s">
        <v>384</v>
      </c>
      <c r="G466" s="51">
        <v>2</v>
      </c>
      <c r="H466" s="51">
        <v>14</v>
      </c>
      <c r="I466" s="51">
        <v>-1.3986013986015067E-2</v>
      </c>
      <c r="J466" s="51">
        <v>7</v>
      </c>
      <c r="K466" s="51">
        <v>6</v>
      </c>
      <c r="L466" s="51">
        <v>0</v>
      </c>
      <c r="M466" s="51">
        <v>13.986013986013985</v>
      </c>
      <c r="N466" s="56">
        <v>5</v>
      </c>
      <c r="O466" s="51" t="s">
        <v>421</v>
      </c>
      <c r="P466" s="51">
        <v>13</v>
      </c>
      <c r="Q466" s="77">
        <v>14</v>
      </c>
    </row>
    <row r="467" spans="1:17" x14ac:dyDescent="0.25">
      <c r="A467" s="52" t="s">
        <v>48</v>
      </c>
      <c r="B467" s="51" t="s">
        <v>47</v>
      </c>
      <c r="C467" s="51" t="s">
        <v>352</v>
      </c>
      <c r="D467" s="51">
        <v>11.5</v>
      </c>
      <c r="E467" s="51">
        <v>21.875</v>
      </c>
      <c r="F467" s="51" t="s">
        <v>379</v>
      </c>
      <c r="G467" s="51">
        <v>1</v>
      </c>
      <c r="H467" s="51">
        <v>25</v>
      </c>
      <c r="I467" s="51">
        <v>-13.811188811188812</v>
      </c>
      <c r="J467" s="51">
        <v>6</v>
      </c>
      <c r="K467" s="51">
        <v>7</v>
      </c>
      <c r="L467" s="51">
        <v>0</v>
      </c>
      <c r="M467" s="51">
        <v>11.188811188811188</v>
      </c>
      <c r="N467" s="56">
        <v>4</v>
      </c>
      <c r="O467" s="51" t="s">
        <v>421</v>
      </c>
      <c r="P467" s="51">
        <v>13</v>
      </c>
      <c r="Q467" s="77">
        <v>14</v>
      </c>
    </row>
    <row r="468" spans="1:17" x14ac:dyDescent="0.25">
      <c r="A468" s="52" t="s">
        <v>17</v>
      </c>
      <c r="B468" s="51" t="s">
        <v>399</v>
      </c>
      <c r="C468" s="51" t="s">
        <v>367</v>
      </c>
      <c r="D468" s="51">
        <v>11.5</v>
      </c>
      <c r="E468" s="51">
        <v>21.875</v>
      </c>
      <c r="F468" s="51" t="s">
        <v>377</v>
      </c>
      <c r="G468" s="51">
        <v>1</v>
      </c>
      <c r="H468" s="51">
        <v>24</v>
      </c>
      <c r="I468" s="51">
        <v>-12.811188811188812</v>
      </c>
      <c r="J468" s="51">
        <v>6</v>
      </c>
      <c r="K468" s="51">
        <v>7</v>
      </c>
      <c r="L468" s="51">
        <v>0</v>
      </c>
      <c r="M468" s="51">
        <v>11.188811188811188</v>
      </c>
      <c r="N468" s="56">
        <v>4</v>
      </c>
      <c r="O468" s="51" t="s">
        <v>421</v>
      </c>
      <c r="P468" s="51">
        <v>13</v>
      </c>
      <c r="Q468" s="77">
        <v>14</v>
      </c>
    </row>
    <row r="469" spans="1:17" x14ac:dyDescent="0.25">
      <c r="A469" s="52" t="s">
        <v>15</v>
      </c>
      <c r="B469" s="51" t="s">
        <v>14</v>
      </c>
      <c r="C469" s="51" t="s">
        <v>363</v>
      </c>
      <c r="D469" s="51">
        <v>7.5</v>
      </c>
      <c r="E469" s="51">
        <v>9.375</v>
      </c>
      <c r="F469" s="51" t="s">
        <v>382</v>
      </c>
      <c r="G469" s="51">
        <v>4</v>
      </c>
      <c r="H469" s="51">
        <v>8</v>
      </c>
      <c r="I469" s="51">
        <v>3.1888111888111883</v>
      </c>
      <c r="J469" s="51">
        <v>6</v>
      </c>
      <c r="K469" s="51">
        <v>6</v>
      </c>
      <c r="L469" s="51">
        <v>1</v>
      </c>
      <c r="M469" s="51">
        <v>11.188811188811188</v>
      </c>
      <c r="N469" s="56">
        <v>4</v>
      </c>
      <c r="O469" s="51" t="s">
        <v>421</v>
      </c>
      <c r="P469" s="51">
        <v>13</v>
      </c>
      <c r="Q469" s="77">
        <v>14</v>
      </c>
    </row>
    <row r="470" spans="1:17" x14ac:dyDescent="0.25">
      <c r="A470" s="52" t="s">
        <v>3</v>
      </c>
      <c r="B470" s="51" t="s">
        <v>2</v>
      </c>
      <c r="C470" s="51" t="s">
        <v>359</v>
      </c>
      <c r="D470" s="51">
        <v>7.5</v>
      </c>
      <c r="E470" s="51">
        <v>9.375</v>
      </c>
      <c r="F470" s="51" t="s">
        <v>381</v>
      </c>
      <c r="G470" s="51">
        <v>4</v>
      </c>
      <c r="H470" s="51">
        <v>8</v>
      </c>
      <c r="I470" s="51">
        <v>3.1888111888111883</v>
      </c>
      <c r="J470" s="51">
        <v>6</v>
      </c>
      <c r="K470" s="51">
        <v>7</v>
      </c>
      <c r="L470" s="51">
        <v>0</v>
      </c>
      <c r="M470" s="51">
        <v>11.188811188811188</v>
      </c>
      <c r="N470" s="56">
        <v>4</v>
      </c>
      <c r="O470" s="51" t="s">
        <v>421</v>
      </c>
      <c r="P470" s="51">
        <v>13</v>
      </c>
      <c r="Q470" s="77">
        <v>14</v>
      </c>
    </row>
    <row r="471" spans="1:17" x14ac:dyDescent="0.25">
      <c r="A471" s="52" t="s">
        <v>59</v>
      </c>
      <c r="B471" s="51" t="s">
        <v>75</v>
      </c>
      <c r="C471" s="51" t="s">
        <v>357</v>
      </c>
      <c r="D471" s="51">
        <v>8.5</v>
      </c>
      <c r="E471" s="51">
        <v>12.5</v>
      </c>
      <c r="F471" s="51" t="s">
        <v>376</v>
      </c>
      <c r="G471" s="51">
        <v>1</v>
      </c>
      <c r="H471" s="51">
        <v>14</v>
      </c>
      <c r="I471" s="51">
        <v>-5.6083916083916083</v>
      </c>
      <c r="J471" s="51">
        <v>5</v>
      </c>
      <c r="K471" s="51">
        <v>8</v>
      </c>
      <c r="L471" s="51">
        <v>0</v>
      </c>
      <c r="M471" s="51">
        <v>8.3916083916083917</v>
      </c>
      <c r="N471" s="56">
        <v>3</v>
      </c>
      <c r="O471" s="51" t="s">
        <v>421</v>
      </c>
      <c r="P471" s="51">
        <v>13</v>
      </c>
      <c r="Q471" s="77">
        <v>14</v>
      </c>
    </row>
    <row r="472" spans="1:17" x14ac:dyDescent="0.25">
      <c r="A472" s="52" t="s">
        <v>70</v>
      </c>
      <c r="B472" s="51" t="s">
        <v>69</v>
      </c>
      <c r="C472" s="51" t="s">
        <v>383</v>
      </c>
      <c r="D472" s="51">
        <v>7.5</v>
      </c>
      <c r="E472" s="51">
        <v>9.375</v>
      </c>
      <c r="F472" s="51" t="s">
        <v>376</v>
      </c>
      <c r="G472" s="51">
        <v>3</v>
      </c>
      <c r="H472" s="51">
        <v>12</v>
      </c>
      <c r="I472" s="51">
        <v>-6.4055944055944058</v>
      </c>
      <c r="J472" s="51">
        <v>4</v>
      </c>
      <c r="K472" s="51">
        <v>9</v>
      </c>
      <c r="L472" s="51">
        <v>0</v>
      </c>
      <c r="M472" s="51">
        <v>5.5944055944055942</v>
      </c>
      <c r="N472" s="56">
        <v>2</v>
      </c>
      <c r="O472" s="51" t="s">
        <v>421</v>
      </c>
      <c r="P472" s="51">
        <v>13</v>
      </c>
      <c r="Q472" s="77">
        <v>14</v>
      </c>
    </row>
    <row r="473" spans="1:17" x14ac:dyDescent="0.25">
      <c r="A473" s="52" t="s">
        <v>54</v>
      </c>
      <c r="B473" s="51" t="s">
        <v>77</v>
      </c>
      <c r="C473" s="51" t="s">
        <v>352</v>
      </c>
      <c r="D473" s="51">
        <v>9.5</v>
      </c>
      <c r="E473" s="51">
        <v>15.625</v>
      </c>
      <c r="F473" s="51" t="s">
        <v>380</v>
      </c>
      <c r="G473" s="51">
        <v>3</v>
      </c>
      <c r="H473" s="51">
        <v>14</v>
      </c>
      <c r="I473" s="51">
        <v>-8.4055944055944067</v>
      </c>
      <c r="J473" s="51">
        <v>4</v>
      </c>
      <c r="K473" s="51">
        <v>9</v>
      </c>
      <c r="L473" s="51">
        <v>0</v>
      </c>
      <c r="M473" s="51">
        <v>5.5944055944055942</v>
      </c>
      <c r="N473" s="56">
        <v>2</v>
      </c>
      <c r="O473" s="51" t="s">
        <v>421</v>
      </c>
      <c r="P473" s="51">
        <v>13</v>
      </c>
      <c r="Q473" s="77">
        <v>14</v>
      </c>
    </row>
    <row r="474" spans="1:17" x14ac:dyDescent="0.25">
      <c r="A474" s="52" t="s">
        <v>84</v>
      </c>
      <c r="B474" s="51" t="s">
        <v>91</v>
      </c>
      <c r="C474" s="51" t="s">
        <v>352</v>
      </c>
      <c r="D474" s="51">
        <v>4.5</v>
      </c>
      <c r="E474" s="51">
        <v>0</v>
      </c>
      <c r="F474" s="51" t="s">
        <v>380</v>
      </c>
      <c r="G474" s="51">
        <v>4</v>
      </c>
      <c r="H474" s="51">
        <v>1</v>
      </c>
      <c r="I474" s="51">
        <v>1.7972027972027971</v>
      </c>
      <c r="J474" s="51">
        <v>3</v>
      </c>
      <c r="K474" s="51">
        <v>10</v>
      </c>
      <c r="L474" s="51">
        <v>0</v>
      </c>
      <c r="M474" s="51">
        <v>2.7972027972027971</v>
      </c>
      <c r="N474" s="56">
        <v>1</v>
      </c>
      <c r="O474" s="51" t="s">
        <v>421</v>
      </c>
      <c r="P474" s="51">
        <v>13</v>
      </c>
      <c r="Q474" s="77">
        <v>14</v>
      </c>
    </row>
    <row r="475" spans="1:17" x14ac:dyDescent="0.25">
      <c r="A475" s="52" t="s">
        <v>28</v>
      </c>
      <c r="B475" s="51" t="s">
        <v>93</v>
      </c>
      <c r="C475" s="51" t="s">
        <v>355</v>
      </c>
      <c r="D475" s="51">
        <v>8.5</v>
      </c>
      <c r="E475" s="51">
        <v>12.5</v>
      </c>
      <c r="F475" s="51" t="s">
        <v>379</v>
      </c>
      <c r="G475" s="51">
        <v>2</v>
      </c>
      <c r="H475" s="51">
        <v>12</v>
      </c>
      <c r="I475" s="51">
        <v>-9.2027972027972034</v>
      </c>
      <c r="J475" s="51">
        <v>3</v>
      </c>
      <c r="K475" s="51">
        <v>10</v>
      </c>
      <c r="L475" s="51">
        <v>0</v>
      </c>
      <c r="M475" s="51">
        <v>2.7972027972027971</v>
      </c>
      <c r="N475" s="56">
        <v>1</v>
      </c>
      <c r="O475" s="51" t="s">
        <v>421</v>
      </c>
      <c r="P475" s="51">
        <v>13</v>
      </c>
      <c r="Q475" s="77">
        <v>14</v>
      </c>
    </row>
    <row r="476" spans="1:17" x14ac:dyDescent="0.25">
      <c r="A476" s="52" t="s">
        <v>5</v>
      </c>
      <c r="B476" s="51" t="s">
        <v>41</v>
      </c>
      <c r="C476" s="51" t="s">
        <v>363</v>
      </c>
      <c r="D476" s="51">
        <v>9.5</v>
      </c>
      <c r="E476" s="51">
        <v>15.625</v>
      </c>
      <c r="F476" s="51" t="s">
        <v>377</v>
      </c>
      <c r="G476" s="51">
        <v>2</v>
      </c>
      <c r="H476" s="51">
        <v>19</v>
      </c>
      <c r="I476" s="51">
        <v>-16.202797202797203</v>
      </c>
      <c r="J476" s="51">
        <v>3</v>
      </c>
      <c r="K476" s="51">
        <v>10</v>
      </c>
      <c r="L476" s="51">
        <v>0</v>
      </c>
      <c r="M476" s="51">
        <v>2.7972027972027971</v>
      </c>
      <c r="N476" s="56">
        <v>1</v>
      </c>
      <c r="O476" s="51" t="s">
        <v>421</v>
      </c>
      <c r="P476" s="51">
        <v>13</v>
      </c>
      <c r="Q476" s="77">
        <v>14</v>
      </c>
    </row>
    <row r="477" spans="1:17" x14ac:dyDescent="0.25">
      <c r="A477" s="52" t="s">
        <v>24</v>
      </c>
      <c r="B477" s="51" t="s">
        <v>79</v>
      </c>
      <c r="C477" s="51" t="s">
        <v>359</v>
      </c>
      <c r="D477" s="51">
        <v>5.5</v>
      </c>
      <c r="E477" s="51">
        <v>3.125</v>
      </c>
      <c r="F477" s="51" t="s">
        <v>379</v>
      </c>
      <c r="G477" s="51">
        <v>4</v>
      </c>
      <c r="H477" s="51">
        <v>9</v>
      </c>
      <c r="I477" s="51">
        <v>-6.2027972027972034</v>
      </c>
      <c r="J477" s="51">
        <v>3</v>
      </c>
      <c r="K477" s="51">
        <v>10</v>
      </c>
      <c r="L477" s="51">
        <v>0</v>
      </c>
      <c r="M477" s="51">
        <v>2.7972027972027971</v>
      </c>
      <c r="N477" s="56">
        <v>1</v>
      </c>
      <c r="O477" s="51" t="s">
        <v>421</v>
      </c>
      <c r="P477" s="51">
        <v>13</v>
      </c>
      <c r="Q477" s="77">
        <v>14</v>
      </c>
    </row>
    <row r="478" spans="1:17" x14ac:dyDescent="0.25">
      <c r="A478" s="52" t="s">
        <v>52</v>
      </c>
      <c r="B478" s="51" t="s">
        <v>403</v>
      </c>
      <c r="C478" s="51" t="s">
        <v>383</v>
      </c>
      <c r="D478" s="51">
        <v>5.5</v>
      </c>
      <c r="E478" s="51">
        <v>3.125</v>
      </c>
      <c r="F478" s="51" t="s">
        <v>377</v>
      </c>
      <c r="G478" s="51">
        <v>4</v>
      </c>
      <c r="H478" s="51">
        <v>3</v>
      </c>
      <c r="I478" s="51">
        <v>-0.20279720279720292</v>
      </c>
      <c r="J478" s="51">
        <v>3</v>
      </c>
      <c r="K478" s="51">
        <v>10</v>
      </c>
      <c r="L478" s="51">
        <v>0</v>
      </c>
      <c r="M478" s="51">
        <v>2.7972027972027971</v>
      </c>
      <c r="N478" s="56">
        <v>1</v>
      </c>
      <c r="O478" s="51" t="s">
        <v>421</v>
      </c>
      <c r="P478" s="51">
        <v>13</v>
      </c>
      <c r="Q478" s="77">
        <v>14</v>
      </c>
    </row>
    <row r="479" spans="1:17" x14ac:dyDescent="0.25">
      <c r="A479" s="52" t="s">
        <v>81</v>
      </c>
      <c r="B479" s="51" t="s">
        <v>423</v>
      </c>
      <c r="C479" s="51" t="s">
        <v>367</v>
      </c>
      <c r="D479" s="51">
        <v>6.5</v>
      </c>
      <c r="E479" s="51">
        <v>6.25</v>
      </c>
      <c r="F479" s="51" t="s">
        <v>384</v>
      </c>
      <c r="G479" s="51">
        <v>4</v>
      </c>
      <c r="H479" s="51">
        <v>9</v>
      </c>
      <c r="I479" s="51">
        <v>-9</v>
      </c>
      <c r="J479" s="51">
        <v>2</v>
      </c>
      <c r="K479" s="51">
        <v>11</v>
      </c>
      <c r="L479" s="51">
        <v>0</v>
      </c>
      <c r="M479" s="51">
        <v>0</v>
      </c>
      <c r="N479" s="56">
        <v>0</v>
      </c>
      <c r="O479" s="51" t="s">
        <v>421</v>
      </c>
      <c r="P479" s="51">
        <v>13</v>
      </c>
      <c r="Q479" s="77">
        <v>14</v>
      </c>
    </row>
    <row r="480" spans="1:17" x14ac:dyDescent="0.25">
      <c r="A480" s="52" t="s">
        <v>50</v>
      </c>
      <c r="B480" s="51" t="s">
        <v>95</v>
      </c>
      <c r="C480" s="51" t="s">
        <v>363</v>
      </c>
      <c r="D480" s="51">
        <v>5.5</v>
      </c>
      <c r="E480" s="51">
        <v>3.125</v>
      </c>
      <c r="F480" s="51" t="s">
        <v>377</v>
      </c>
      <c r="G480" s="51">
        <v>3</v>
      </c>
      <c r="H480" s="51">
        <v>4</v>
      </c>
      <c r="I480" s="51">
        <v>-4</v>
      </c>
      <c r="J480" s="51">
        <v>2</v>
      </c>
      <c r="K480" s="51">
        <v>11</v>
      </c>
      <c r="L480" s="51">
        <v>0</v>
      </c>
      <c r="M480" s="51">
        <v>0</v>
      </c>
      <c r="N480" s="56">
        <v>0</v>
      </c>
      <c r="O480" s="51" t="s">
        <v>421</v>
      </c>
      <c r="P480" s="51">
        <v>13</v>
      </c>
      <c r="Q480" s="77">
        <v>14</v>
      </c>
    </row>
    <row r="481" spans="1:17" ht="15.75" thickBot="1" x14ac:dyDescent="0.3">
      <c r="A481" s="53" t="s">
        <v>20</v>
      </c>
      <c r="B481" s="54" t="s">
        <v>89</v>
      </c>
      <c r="C481" s="54" t="s">
        <v>368</v>
      </c>
      <c r="D481" s="54">
        <v>5.5</v>
      </c>
      <c r="E481" s="54">
        <v>3.125</v>
      </c>
      <c r="F481" s="54" t="s">
        <v>378</v>
      </c>
      <c r="G481" s="54">
        <v>4</v>
      </c>
      <c r="H481" s="54">
        <v>7</v>
      </c>
      <c r="I481" s="54">
        <v>-7</v>
      </c>
      <c r="J481" s="54">
        <v>2</v>
      </c>
      <c r="K481" s="54">
        <v>11</v>
      </c>
      <c r="L481" s="54">
        <v>0</v>
      </c>
      <c r="M481" s="54">
        <v>0</v>
      </c>
      <c r="N481" s="57">
        <v>0</v>
      </c>
      <c r="O481" s="54" t="s">
        <v>421</v>
      </c>
      <c r="P481" s="54">
        <v>13</v>
      </c>
      <c r="Q481" s="78">
        <v>14</v>
      </c>
    </row>
    <row r="482" spans="1:17" x14ac:dyDescent="0.25">
      <c r="A482" s="79" t="s">
        <v>64</v>
      </c>
      <c r="B482" s="80" t="s">
        <v>63</v>
      </c>
      <c r="C482" s="80" t="s">
        <v>367</v>
      </c>
      <c r="D482" s="80">
        <v>9.5</v>
      </c>
      <c r="E482" s="80">
        <v>15.625</v>
      </c>
      <c r="F482" s="80" t="s">
        <v>381</v>
      </c>
      <c r="G482" s="80">
        <v>1</v>
      </c>
      <c r="H482" s="80">
        <v>17</v>
      </c>
      <c r="I482" s="80">
        <v>8.1572327044025137</v>
      </c>
      <c r="J482" s="80">
        <v>12</v>
      </c>
      <c r="K482" s="80">
        <v>2</v>
      </c>
      <c r="L482" s="80">
        <v>0</v>
      </c>
      <c r="M482" s="80">
        <v>25.157232704402514</v>
      </c>
      <c r="N482" s="81">
        <v>10</v>
      </c>
      <c r="O482" s="80" t="s">
        <v>421</v>
      </c>
      <c r="P482" s="80">
        <v>14</v>
      </c>
      <c r="Q482" s="82">
        <v>15</v>
      </c>
    </row>
    <row r="483" spans="1:17" x14ac:dyDescent="0.25">
      <c r="A483" s="52" t="s">
        <v>46</v>
      </c>
      <c r="B483" s="51" t="s">
        <v>404</v>
      </c>
      <c r="C483" s="51" t="s">
        <v>359</v>
      </c>
      <c r="D483" s="51">
        <v>8.5</v>
      </c>
      <c r="E483" s="51">
        <v>12.5</v>
      </c>
      <c r="F483" s="51" t="s">
        <v>381</v>
      </c>
      <c r="G483" s="51">
        <v>3</v>
      </c>
      <c r="H483" s="51">
        <v>10</v>
      </c>
      <c r="I483" s="51">
        <v>12.641509433962263</v>
      </c>
      <c r="J483" s="51">
        <v>11</v>
      </c>
      <c r="K483" s="51">
        <v>3</v>
      </c>
      <c r="L483" s="51">
        <v>0</v>
      </c>
      <c r="M483" s="51">
        <v>22.641509433962263</v>
      </c>
      <c r="N483" s="56">
        <v>9</v>
      </c>
      <c r="O483" s="51" t="s">
        <v>421</v>
      </c>
      <c r="P483" s="51">
        <v>14</v>
      </c>
      <c r="Q483" s="77">
        <v>15</v>
      </c>
    </row>
    <row r="484" spans="1:17" x14ac:dyDescent="0.25">
      <c r="A484" s="52" t="s">
        <v>22</v>
      </c>
      <c r="B484" s="51" t="s">
        <v>21</v>
      </c>
      <c r="C484" s="51" t="s">
        <v>355</v>
      </c>
      <c r="D484" s="51">
        <v>9.5</v>
      </c>
      <c r="E484" s="51">
        <v>15.625</v>
      </c>
      <c r="F484" s="51" t="s">
        <v>382</v>
      </c>
      <c r="G484" s="51">
        <v>2</v>
      </c>
      <c r="H484" s="51">
        <v>15</v>
      </c>
      <c r="I484" s="51">
        <v>7.6415094339622627</v>
      </c>
      <c r="J484" s="51">
        <v>11</v>
      </c>
      <c r="K484" s="51">
        <v>3</v>
      </c>
      <c r="L484" s="51">
        <v>0</v>
      </c>
      <c r="M484" s="51">
        <v>22.641509433962263</v>
      </c>
      <c r="N484" s="56">
        <v>9</v>
      </c>
      <c r="O484" s="51" t="s">
        <v>421</v>
      </c>
      <c r="P484" s="51">
        <v>14</v>
      </c>
      <c r="Q484" s="77">
        <v>15</v>
      </c>
    </row>
    <row r="485" spans="1:17" x14ac:dyDescent="0.25">
      <c r="A485" s="52" t="s">
        <v>9</v>
      </c>
      <c r="B485" s="51" t="s">
        <v>55</v>
      </c>
      <c r="C485" s="51" t="s">
        <v>355</v>
      </c>
      <c r="D485" s="51">
        <v>8.5</v>
      </c>
      <c r="E485" s="51">
        <v>12.5</v>
      </c>
      <c r="F485" s="51" t="s">
        <v>376</v>
      </c>
      <c r="G485" s="51">
        <v>4</v>
      </c>
      <c r="H485" s="51">
        <v>11</v>
      </c>
      <c r="I485" s="51">
        <v>11.641509433962263</v>
      </c>
      <c r="J485" s="51">
        <v>11</v>
      </c>
      <c r="K485" s="51">
        <v>3</v>
      </c>
      <c r="L485" s="51">
        <v>0</v>
      </c>
      <c r="M485" s="51">
        <v>22.641509433962263</v>
      </c>
      <c r="N485" s="56">
        <v>9</v>
      </c>
      <c r="O485" s="51" t="s">
        <v>421</v>
      </c>
      <c r="P485" s="51">
        <v>14</v>
      </c>
      <c r="Q485" s="77">
        <v>15</v>
      </c>
    </row>
    <row r="486" spans="1:17" x14ac:dyDescent="0.25">
      <c r="A486" s="52" t="s">
        <v>66</v>
      </c>
      <c r="B486" s="51" t="s">
        <v>72</v>
      </c>
      <c r="C486" s="51" t="s">
        <v>357</v>
      </c>
      <c r="D486" s="51">
        <v>8.5</v>
      </c>
      <c r="E486" s="51">
        <v>12.5</v>
      </c>
      <c r="F486" s="51" t="s">
        <v>379</v>
      </c>
      <c r="G486" s="51">
        <v>3</v>
      </c>
      <c r="H486" s="51">
        <v>4</v>
      </c>
      <c r="I486" s="51">
        <v>16.125786163522012</v>
      </c>
      <c r="J486" s="51">
        <v>10</v>
      </c>
      <c r="K486" s="51">
        <v>4</v>
      </c>
      <c r="L486" s="51">
        <v>0</v>
      </c>
      <c r="M486" s="51">
        <v>20.125786163522012</v>
      </c>
      <c r="N486" s="56">
        <v>8</v>
      </c>
      <c r="O486" s="51" t="s">
        <v>421</v>
      </c>
      <c r="P486" s="51">
        <v>14</v>
      </c>
      <c r="Q486" s="77">
        <v>15</v>
      </c>
    </row>
    <row r="487" spans="1:17" x14ac:dyDescent="0.25">
      <c r="A487" s="52" t="s">
        <v>7</v>
      </c>
      <c r="B487" s="51" t="s">
        <v>405</v>
      </c>
      <c r="C487" s="51" t="s">
        <v>355</v>
      </c>
      <c r="D487" s="51">
        <v>10.5</v>
      </c>
      <c r="E487" s="51">
        <v>18.75</v>
      </c>
      <c r="F487" s="51" t="s">
        <v>380</v>
      </c>
      <c r="G487" s="51">
        <v>1</v>
      </c>
      <c r="H487" s="51">
        <v>18</v>
      </c>
      <c r="I487" s="51">
        <v>2.1257861635220117</v>
      </c>
      <c r="J487" s="51">
        <v>10</v>
      </c>
      <c r="K487" s="51">
        <v>4</v>
      </c>
      <c r="L487" s="51">
        <v>0</v>
      </c>
      <c r="M487" s="51">
        <v>20.125786163522012</v>
      </c>
      <c r="N487" s="56">
        <v>8</v>
      </c>
      <c r="O487" s="51" t="s">
        <v>421</v>
      </c>
      <c r="P487" s="51">
        <v>14</v>
      </c>
      <c r="Q487" s="77">
        <v>15</v>
      </c>
    </row>
    <row r="488" spans="1:17" x14ac:dyDescent="0.25">
      <c r="A488" s="52" t="s">
        <v>37</v>
      </c>
      <c r="B488" s="51" t="s">
        <v>44</v>
      </c>
      <c r="C488" s="51" t="s">
        <v>368</v>
      </c>
      <c r="D488" s="51">
        <v>7.5</v>
      </c>
      <c r="E488" s="51">
        <v>9.375</v>
      </c>
      <c r="F488" s="51" t="s">
        <v>382</v>
      </c>
      <c r="G488" s="51">
        <v>3</v>
      </c>
      <c r="H488" s="51">
        <v>10</v>
      </c>
      <c r="I488" s="51">
        <v>10.125786163522012</v>
      </c>
      <c r="J488" s="51">
        <v>10</v>
      </c>
      <c r="K488" s="51">
        <v>4</v>
      </c>
      <c r="L488" s="51">
        <v>0</v>
      </c>
      <c r="M488" s="51">
        <v>20.125786163522012</v>
      </c>
      <c r="N488" s="56">
        <v>8</v>
      </c>
      <c r="O488" s="51" t="s">
        <v>421</v>
      </c>
      <c r="P488" s="51">
        <v>14</v>
      </c>
      <c r="Q488" s="77">
        <v>15</v>
      </c>
    </row>
    <row r="489" spans="1:17" x14ac:dyDescent="0.25">
      <c r="A489" s="52" t="s">
        <v>26</v>
      </c>
      <c r="B489" s="51" t="s">
        <v>25</v>
      </c>
      <c r="C489" s="51" t="s">
        <v>359</v>
      </c>
      <c r="D489" s="51">
        <v>11.5</v>
      </c>
      <c r="E489" s="51">
        <v>21.875</v>
      </c>
      <c r="F489" s="51" t="s">
        <v>384</v>
      </c>
      <c r="G489" s="51">
        <v>1</v>
      </c>
      <c r="H489" s="51">
        <v>24</v>
      </c>
      <c r="I489" s="51">
        <v>-3.8742138364779883</v>
      </c>
      <c r="J489" s="51">
        <v>10</v>
      </c>
      <c r="K489" s="51">
        <v>4</v>
      </c>
      <c r="L489" s="51">
        <v>0</v>
      </c>
      <c r="M489" s="51">
        <v>20.125786163522012</v>
      </c>
      <c r="N489" s="56">
        <v>8</v>
      </c>
      <c r="O489" s="51" t="s">
        <v>421</v>
      </c>
      <c r="P489" s="51">
        <v>14</v>
      </c>
      <c r="Q489" s="77">
        <v>15</v>
      </c>
    </row>
    <row r="490" spans="1:17" x14ac:dyDescent="0.25">
      <c r="A490" s="52" t="s">
        <v>61</v>
      </c>
      <c r="B490" s="51" t="s">
        <v>60</v>
      </c>
      <c r="C490" s="51" t="s">
        <v>367</v>
      </c>
      <c r="D490" s="51">
        <v>9.5</v>
      </c>
      <c r="E490" s="51">
        <v>15.625</v>
      </c>
      <c r="F490" s="51" t="s">
        <v>376</v>
      </c>
      <c r="G490" s="51">
        <v>2</v>
      </c>
      <c r="H490" s="51">
        <v>13</v>
      </c>
      <c r="I490" s="51">
        <v>7.1257861635220117</v>
      </c>
      <c r="J490" s="51">
        <v>10</v>
      </c>
      <c r="K490" s="51">
        <v>4</v>
      </c>
      <c r="L490" s="51">
        <v>0</v>
      </c>
      <c r="M490" s="51">
        <v>20.125786163522012</v>
      </c>
      <c r="N490" s="56">
        <v>8</v>
      </c>
      <c r="O490" s="51" t="s">
        <v>421</v>
      </c>
      <c r="P490" s="51">
        <v>14</v>
      </c>
      <c r="Q490" s="77">
        <v>15</v>
      </c>
    </row>
    <row r="491" spans="1:17" x14ac:dyDescent="0.25">
      <c r="A491" s="52" t="s">
        <v>35</v>
      </c>
      <c r="B491" s="51" t="s">
        <v>400</v>
      </c>
      <c r="C491" s="51" t="s">
        <v>357</v>
      </c>
      <c r="D491" s="51">
        <v>10.5</v>
      </c>
      <c r="E491" s="51">
        <v>18.75</v>
      </c>
      <c r="F491" s="51" t="s">
        <v>382</v>
      </c>
      <c r="G491" s="51">
        <v>1</v>
      </c>
      <c r="H491" s="51">
        <v>17</v>
      </c>
      <c r="I491" s="51">
        <v>0.61006289308176065</v>
      </c>
      <c r="J491" s="51">
        <v>9</v>
      </c>
      <c r="K491" s="51">
        <v>4</v>
      </c>
      <c r="L491" s="51">
        <v>1</v>
      </c>
      <c r="M491" s="51">
        <v>17.610062893081761</v>
      </c>
      <c r="N491" s="56">
        <v>7</v>
      </c>
      <c r="O491" s="51" t="s">
        <v>421</v>
      </c>
      <c r="P491" s="51">
        <v>14</v>
      </c>
      <c r="Q491" s="77">
        <v>15</v>
      </c>
    </row>
    <row r="492" spans="1:17" x14ac:dyDescent="0.25">
      <c r="A492" s="52" t="s">
        <v>39</v>
      </c>
      <c r="B492" s="51" t="s">
        <v>38</v>
      </c>
      <c r="C492" s="51" t="s">
        <v>363</v>
      </c>
      <c r="D492" s="51">
        <v>11.5</v>
      </c>
      <c r="E492" s="51">
        <v>21.875</v>
      </c>
      <c r="F492" s="51" t="s">
        <v>378</v>
      </c>
      <c r="G492" s="51">
        <v>1</v>
      </c>
      <c r="H492" s="51">
        <v>23</v>
      </c>
      <c r="I492" s="51">
        <v>-5.3899371069182394</v>
      </c>
      <c r="J492" s="51">
        <v>9</v>
      </c>
      <c r="K492" s="51">
        <v>5</v>
      </c>
      <c r="L492" s="51">
        <v>0</v>
      </c>
      <c r="M492" s="51">
        <v>17.610062893081761</v>
      </c>
      <c r="N492" s="56">
        <v>7</v>
      </c>
      <c r="O492" s="51" t="s">
        <v>421</v>
      </c>
      <c r="P492" s="51">
        <v>14</v>
      </c>
      <c r="Q492" s="77">
        <v>15</v>
      </c>
    </row>
    <row r="493" spans="1:17" x14ac:dyDescent="0.25">
      <c r="A493" s="52" t="s">
        <v>32</v>
      </c>
      <c r="B493" s="51" t="s">
        <v>31</v>
      </c>
      <c r="C493" s="51" t="s">
        <v>368</v>
      </c>
      <c r="D493" s="51">
        <v>9.5</v>
      </c>
      <c r="E493" s="51">
        <v>15.625</v>
      </c>
      <c r="F493" s="51" t="s">
        <v>380</v>
      </c>
      <c r="G493" s="51">
        <v>2</v>
      </c>
      <c r="H493" s="51">
        <v>17</v>
      </c>
      <c r="I493" s="51">
        <v>0.61006289308176065</v>
      </c>
      <c r="J493" s="51">
        <v>9</v>
      </c>
      <c r="K493" s="51">
        <v>5</v>
      </c>
      <c r="L493" s="51">
        <v>0</v>
      </c>
      <c r="M493" s="51">
        <v>17.610062893081761</v>
      </c>
      <c r="N493" s="56">
        <v>7</v>
      </c>
      <c r="O493" s="51" t="s">
        <v>421</v>
      </c>
      <c r="P493" s="51">
        <v>14</v>
      </c>
      <c r="Q493" s="77">
        <v>15</v>
      </c>
    </row>
    <row r="494" spans="1:17" x14ac:dyDescent="0.25">
      <c r="A494" s="52" t="s">
        <v>43</v>
      </c>
      <c r="B494" s="51" t="s">
        <v>57</v>
      </c>
      <c r="C494" s="51" t="s">
        <v>368</v>
      </c>
      <c r="D494" s="51">
        <v>7.5</v>
      </c>
      <c r="E494" s="51">
        <v>9.375</v>
      </c>
      <c r="F494" s="51" t="s">
        <v>378</v>
      </c>
      <c r="G494" s="51">
        <v>3</v>
      </c>
      <c r="H494" s="51">
        <v>1</v>
      </c>
      <c r="I494" s="51">
        <v>14.09433962264151</v>
      </c>
      <c r="J494" s="51">
        <v>8</v>
      </c>
      <c r="K494" s="51">
        <v>6</v>
      </c>
      <c r="L494" s="51">
        <v>0</v>
      </c>
      <c r="M494" s="51">
        <v>15.09433962264151</v>
      </c>
      <c r="N494" s="56">
        <v>6</v>
      </c>
      <c r="O494" s="51" t="s">
        <v>421</v>
      </c>
      <c r="P494" s="51">
        <v>14</v>
      </c>
      <c r="Q494" s="77">
        <v>15</v>
      </c>
    </row>
    <row r="495" spans="1:17" x14ac:dyDescent="0.25">
      <c r="A495" s="52" t="s">
        <v>11</v>
      </c>
      <c r="B495" s="51" t="s">
        <v>10</v>
      </c>
      <c r="C495" s="51" t="s">
        <v>357</v>
      </c>
      <c r="D495" s="51">
        <v>10.5</v>
      </c>
      <c r="E495" s="51">
        <v>18.75</v>
      </c>
      <c r="F495" s="51" t="s">
        <v>378</v>
      </c>
      <c r="G495" s="51">
        <v>2</v>
      </c>
      <c r="H495" s="51">
        <v>19</v>
      </c>
      <c r="I495" s="51">
        <v>-3.9056603773584904</v>
      </c>
      <c r="J495" s="51">
        <v>8</v>
      </c>
      <c r="K495" s="51">
        <v>6</v>
      </c>
      <c r="L495" s="51">
        <v>0</v>
      </c>
      <c r="M495" s="51">
        <v>15.09433962264151</v>
      </c>
      <c r="N495" s="56">
        <v>6</v>
      </c>
      <c r="O495" s="51" t="s">
        <v>421</v>
      </c>
      <c r="P495" s="51">
        <v>14</v>
      </c>
      <c r="Q495" s="77">
        <v>15</v>
      </c>
    </row>
    <row r="496" spans="1:17" x14ac:dyDescent="0.25">
      <c r="A496" s="52" t="s">
        <v>1</v>
      </c>
      <c r="B496" s="51" t="s">
        <v>402</v>
      </c>
      <c r="C496" s="51" t="s">
        <v>383</v>
      </c>
      <c r="D496" s="51">
        <v>9.5</v>
      </c>
      <c r="E496" s="51">
        <v>15.625</v>
      </c>
      <c r="F496" s="51" t="s">
        <v>381</v>
      </c>
      <c r="G496" s="51">
        <v>2</v>
      </c>
      <c r="H496" s="51">
        <v>15</v>
      </c>
      <c r="I496" s="51">
        <v>-2.4213836477987432</v>
      </c>
      <c r="J496" s="51">
        <v>7</v>
      </c>
      <c r="K496" s="51">
        <v>7</v>
      </c>
      <c r="L496" s="51">
        <v>0</v>
      </c>
      <c r="M496" s="51">
        <v>12.578616352201257</v>
      </c>
      <c r="N496" s="56">
        <v>5</v>
      </c>
      <c r="O496" s="51" t="s">
        <v>421</v>
      </c>
      <c r="P496" s="51">
        <v>14</v>
      </c>
      <c r="Q496" s="77">
        <v>15</v>
      </c>
    </row>
    <row r="497" spans="1:17" x14ac:dyDescent="0.25">
      <c r="A497" s="52" t="s">
        <v>13</v>
      </c>
      <c r="B497" s="51" t="s">
        <v>67</v>
      </c>
      <c r="C497" s="51" t="s">
        <v>383</v>
      </c>
      <c r="D497" s="51">
        <v>6.5</v>
      </c>
      <c r="E497" s="51">
        <v>6.25</v>
      </c>
      <c r="F497" s="51" t="s">
        <v>384</v>
      </c>
      <c r="G497" s="51">
        <v>3</v>
      </c>
      <c r="H497" s="51">
        <v>3</v>
      </c>
      <c r="I497" s="51">
        <v>9.5786163522012568</v>
      </c>
      <c r="J497" s="51">
        <v>7</v>
      </c>
      <c r="K497" s="51">
        <v>7</v>
      </c>
      <c r="L497" s="51">
        <v>0</v>
      </c>
      <c r="M497" s="51">
        <v>12.578616352201257</v>
      </c>
      <c r="N497" s="56">
        <v>5</v>
      </c>
      <c r="O497" s="51" t="s">
        <v>421</v>
      </c>
      <c r="P497" s="51">
        <v>14</v>
      </c>
      <c r="Q497" s="77">
        <v>15</v>
      </c>
    </row>
    <row r="498" spans="1:17" x14ac:dyDescent="0.25">
      <c r="A498" s="52" t="s">
        <v>74</v>
      </c>
      <c r="B498" s="51" t="s">
        <v>85</v>
      </c>
      <c r="C498" s="51" t="s">
        <v>352</v>
      </c>
      <c r="D498" s="51">
        <v>8.5</v>
      </c>
      <c r="E498" s="51">
        <v>12.5</v>
      </c>
      <c r="F498" s="51" t="s">
        <v>384</v>
      </c>
      <c r="G498" s="51">
        <v>2</v>
      </c>
      <c r="H498" s="51">
        <v>14</v>
      </c>
      <c r="I498" s="51">
        <v>1.0943396226415096</v>
      </c>
      <c r="J498" s="51">
        <v>8</v>
      </c>
      <c r="K498" s="51">
        <v>6</v>
      </c>
      <c r="L498" s="51">
        <v>0</v>
      </c>
      <c r="M498" s="51">
        <v>15.09433962264151</v>
      </c>
      <c r="N498" s="56">
        <v>6</v>
      </c>
      <c r="O498" s="51" t="s">
        <v>421</v>
      </c>
      <c r="P498" s="51">
        <v>14</v>
      </c>
      <c r="Q498" s="77">
        <v>15</v>
      </c>
    </row>
    <row r="499" spans="1:17" x14ac:dyDescent="0.25">
      <c r="A499" s="52" t="s">
        <v>48</v>
      </c>
      <c r="B499" s="51" t="s">
        <v>47</v>
      </c>
      <c r="C499" s="51" t="s">
        <v>352</v>
      </c>
      <c r="D499" s="51">
        <v>11.5</v>
      </c>
      <c r="E499" s="51">
        <v>21.875</v>
      </c>
      <c r="F499" s="51" t="s">
        <v>379</v>
      </c>
      <c r="G499" s="51">
        <v>1</v>
      </c>
      <c r="H499" s="51">
        <v>25</v>
      </c>
      <c r="I499" s="51">
        <v>-12.421383647798743</v>
      </c>
      <c r="J499" s="51">
        <v>7</v>
      </c>
      <c r="K499" s="51">
        <v>7</v>
      </c>
      <c r="L499" s="51">
        <v>0</v>
      </c>
      <c r="M499" s="51">
        <v>12.578616352201257</v>
      </c>
      <c r="N499" s="56">
        <v>5</v>
      </c>
      <c r="O499" s="51" t="s">
        <v>421</v>
      </c>
      <c r="P499" s="51">
        <v>14</v>
      </c>
      <c r="Q499" s="77">
        <v>15</v>
      </c>
    </row>
    <row r="500" spans="1:17" x14ac:dyDescent="0.25">
      <c r="A500" s="52" t="s">
        <v>17</v>
      </c>
      <c r="B500" s="51" t="s">
        <v>399</v>
      </c>
      <c r="C500" s="51" t="s">
        <v>367</v>
      </c>
      <c r="D500" s="51">
        <v>11.5</v>
      </c>
      <c r="E500" s="51">
        <v>21.875</v>
      </c>
      <c r="F500" s="51" t="s">
        <v>377</v>
      </c>
      <c r="G500" s="51">
        <v>1</v>
      </c>
      <c r="H500" s="51">
        <v>24</v>
      </c>
      <c r="I500" s="51">
        <v>-13.937106918238994</v>
      </c>
      <c r="J500" s="51">
        <v>6</v>
      </c>
      <c r="K500" s="51">
        <v>8</v>
      </c>
      <c r="L500" s="51">
        <v>0</v>
      </c>
      <c r="M500" s="51">
        <v>10.062893081761006</v>
      </c>
      <c r="N500" s="56">
        <v>4</v>
      </c>
      <c r="O500" s="51" t="s">
        <v>421</v>
      </c>
      <c r="P500" s="51">
        <v>14</v>
      </c>
      <c r="Q500" s="77">
        <v>15</v>
      </c>
    </row>
    <row r="501" spans="1:17" x14ac:dyDescent="0.25">
      <c r="A501" s="52" t="s">
        <v>15</v>
      </c>
      <c r="B501" s="51" t="s">
        <v>14</v>
      </c>
      <c r="C501" s="51" t="s">
        <v>363</v>
      </c>
      <c r="D501" s="51">
        <v>7.5</v>
      </c>
      <c r="E501" s="51">
        <v>9.375</v>
      </c>
      <c r="F501" s="51" t="s">
        <v>382</v>
      </c>
      <c r="G501" s="51">
        <v>4</v>
      </c>
      <c r="H501" s="51">
        <v>8</v>
      </c>
      <c r="I501" s="51">
        <v>2.0628930817610058</v>
      </c>
      <c r="J501" s="51">
        <v>6</v>
      </c>
      <c r="K501" s="51">
        <v>7</v>
      </c>
      <c r="L501" s="51">
        <v>1</v>
      </c>
      <c r="M501" s="51">
        <v>10.062893081761006</v>
      </c>
      <c r="N501" s="56">
        <v>4</v>
      </c>
      <c r="O501" s="51" t="s">
        <v>421</v>
      </c>
      <c r="P501" s="51">
        <v>14</v>
      </c>
      <c r="Q501" s="77">
        <v>15</v>
      </c>
    </row>
    <row r="502" spans="1:17" x14ac:dyDescent="0.25">
      <c r="A502" s="52" t="s">
        <v>3</v>
      </c>
      <c r="B502" s="51" t="s">
        <v>2</v>
      </c>
      <c r="C502" s="51" t="s">
        <v>359</v>
      </c>
      <c r="D502" s="51">
        <v>7.5</v>
      </c>
      <c r="E502" s="51">
        <v>9.375</v>
      </c>
      <c r="F502" s="51" t="s">
        <v>381</v>
      </c>
      <c r="G502" s="51">
        <v>4</v>
      </c>
      <c r="H502" s="51">
        <v>8</v>
      </c>
      <c r="I502" s="51">
        <v>2.0628930817610058</v>
      </c>
      <c r="J502" s="51">
        <v>6</v>
      </c>
      <c r="K502" s="51">
        <v>8</v>
      </c>
      <c r="L502" s="51">
        <v>0</v>
      </c>
      <c r="M502" s="51">
        <v>10.062893081761006</v>
      </c>
      <c r="N502" s="56">
        <v>4</v>
      </c>
      <c r="O502" s="51" t="s">
        <v>421</v>
      </c>
      <c r="P502" s="51">
        <v>14</v>
      </c>
      <c r="Q502" s="77">
        <v>15</v>
      </c>
    </row>
    <row r="503" spans="1:17" x14ac:dyDescent="0.25">
      <c r="A503" s="52" t="s">
        <v>59</v>
      </c>
      <c r="B503" s="51" t="s">
        <v>75</v>
      </c>
      <c r="C503" s="51" t="s">
        <v>357</v>
      </c>
      <c r="D503" s="51">
        <v>8.5</v>
      </c>
      <c r="E503" s="51">
        <v>12.5</v>
      </c>
      <c r="F503" s="51" t="s">
        <v>376</v>
      </c>
      <c r="G503" s="51">
        <v>1</v>
      </c>
      <c r="H503" s="51">
        <v>14</v>
      </c>
      <c r="I503" s="51">
        <v>-3.9371069182389942</v>
      </c>
      <c r="J503" s="51">
        <v>6</v>
      </c>
      <c r="K503" s="51">
        <v>8</v>
      </c>
      <c r="L503" s="51">
        <v>0</v>
      </c>
      <c r="M503" s="51">
        <v>10.062893081761006</v>
      </c>
      <c r="N503" s="56">
        <v>4</v>
      </c>
      <c r="O503" s="51" t="s">
        <v>421</v>
      </c>
      <c r="P503" s="51">
        <v>14</v>
      </c>
      <c r="Q503" s="77">
        <v>15</v>
      </c>
    </row>
    <row r="504" spans="1:17" x14ac:dyDescent="0.25">
      <c r="A504" s="52" t="s">
        <v>70</v>
      </c>
      <c r="B504" s="51" t="s">
        <v>69</v>
      </c>
      <c r="C504" s="51" t="s">
        <v>383</v>
      </c>
      <c r="D504" s="51">
        <v>7.5</v>
      </c>
      <c r="E504" s="51">
        <v>9.375</v>
      </c>
      <c r="F504" s="51" t="s">
        <v>376</v>
      </c>
      <c r="G504" s="51">
        <v>3</v>
      </c>
      <c r="H504" s="51">
        <v>12</v>
      </c>
      <c r="I504" s="51">
        <v>-4.4528301886792452</v>
      </c>
      <c r="J504" s="51">
        <v>5</v>
      </c>
      <c r="K504" s="51">
        <v>9</v>
      </c>
      <c r="L504" s="51">
        <v>0</v>
      </c>
      <c r="M504" s="51">
        <v>7.5471698113207548</v>
      </c>
      <c r="N504" s="56">
        <v>3</v>
      </c>
      <c r="O504" s="51" t="s">
        <v>421</v>
      </c>
      <c r="P504" s="51">
        <v>14</v>
      </c>
      <c r="Q504" s="77">
        <v>15</v>
      </c>
    </row>
    <row r="505" spans="1:17" x14ac:dyDescent="0.25">
      <c r="A505" s="52" t="s">
        <v>54</v>
      </c>
      <c r="B505" s="51" t="s">
        <v>77</v>
      </c>
      <c r="C505" s="51" t="s">
        <v>352</v>
      </c>
      <c r="D505" s="51">
        <v>9.5</v>
      </c>
      <c r="E505" s="51">
        <v>15.625</v>
      </c>
      <c r="F505" s="51" t="s">
        <v>380</v>
      </c>
      <c r="G505" s="51">
        <v>3</v>
      </c>
      <c r="H505" s="51">
        <v>14</v>
      </c>
      <c r="I505" s="51">
        <v>-8.968553459119498</v>
      </c>
      <c r="J505" s="51">
        <v>4</v>
      </c>
      <c r="K505" s="51">
        <v>10</v>
      </c>
      <c r="L505" s="51">
        <v>0</v>
      </c>
      <c r="M505" s="51">
        <v>5.0314465408805029</v>
      </c>
      <c r="N505" s="56">
        <v>2</v>
      </c>
      <c r="O505" s="51" t="s">
        <v>421</v>
      </c>
      <c r="P505" s="51">
        <v>14</v>
      </c>
      <c r="Q505" s="77">
        <v>15</v>
      </c>
    </row>
    <row r="506" spans="1:17" x14ac:dyDescent="0.25">
      <c r="A506" s="52" t="s">
        <v>5</v>
      </c>
      <c r="B506" s="51" t="s">
        <v>41</v>
      </c>
      <c r="C506" s="51" t="s">
        <v>363</v>
      </c>
      <c r="D506" s="51">
        <v>9.5</v>
      </c>
      <c r="E506" s="51">
        <v>15.625</v>
      </c>
      <c r="F506" s="51" t="s">
        <v>377</v>
      </c>
      <c r="G506" s="51">
        <v>2</v>
      </c>
      <c r="H506" s="51">
        <v>19</v>
      </c>
      <c r="I506" s="51">
        <v>-13.968553459119498</v>
      </c>
      <c r="J506" s="51">
        <v>4</v>
      </c>
      <c r="K506" s="51">
        <v>10</v>
      </c>
      <c r="L506" s="51">
        <v>0</v>
      </c>
      <c r="M506" s="51">
        <v>5.0314465408805029</v>
      </c>
      <c r="N506" s="56">
        <v>2</v>
      </c>
      <c r="O506" s="51" t="s">
        <v>421</v>
      </c>
      <c r="P506" s="51">
        <v>14</v>
      </c>
      <c r="Q506" s="77">
        <v>15</v>
      </c>
    </row>
    <row r="507" spans="1:17" x14ac:dyDescent="0.25">
      <c r="A507" s="52" t="s">
        <v>52</v>
      </c>
      <c r="B507" s="51" t="s">
        <v>403</v>
      </c>
      <c r="C507" s="51" t="s">
        <v>383</v>
      </c>
      <c r="D507" s="51">
        <v>5.5</v>
      </c>
      <c r="E507" s="51">
        <v>3.125</v>
      </c>
      <c r="F507" s="51" t="s">
        <v>377</v>
      </c>
      <c r="G507" s="51">
        <v>4</v>
      </c>
      <c r="H507" s="51">
        <v>3</v>
      </c>
      <c r="I507" s="51">
        <v>2.0314465408805029</v>
      </c>
      <c r="J507" s="51">
        <v>4</v>
      </c>
      <c r="K507" s="51">
        <v>10</v>
      </c>
      <c r="L507" s="51">
        <v>0</v>
      </c>
      <c r="M507" s="51">
        <v>5.0314465408805029</v>
      </c>
      <c r="N507" s="56">
        <v>2</v>
      </c>
      <c r="O507" s="51" t="s">
        <v>421</v>
      </c>
      <c r="P507" s="51">
        <v>14</v>
      </c>
      <c r="Q507" s="77">
        <v>15</v>
      </c>
    </row>
    <row r="508" spans="1:17" x14ac:dyDescent="0.25">
      <c r="A508" s="52" t="s">
        <v>84</v>
      </c>
      <c r="B508" s="51" t="s">
        <v>91</v>
      </c>
      <c r="C508" s="51" t="s">
        <v>352</v>
      </c>
      <c r="D508" s="51">
        <v>4.5</v>
      </c>
      <c r="E508" s="51">
        <v>0</v>
      </c>
      <c r="F508" s="51" t="s">
        <v>380</v>
      </c>
      <c r="G508" s="51">
        <v>4</v>
      </c>
      <c r="H508" s="51">
        <v>1</v>
      </c>
      <c r="I508" s="51">
        <v>1.5157232704402515</v>
      </c>
      <c r="J508" s="51">
        <v>3</v>
      </c>
      <c r="K508" s="51">
        <v>11</v>
      </c>
      <c r="L508" s="51">
        <v>0</v>
      </c>
      <c r="M508" s="51">
        <v>2.5157232704402515</v>
      </c>
      <c r="N508" s="56">
        <v>1</v>
      </c>
      <c r="O508" s="51" t="s">
        <v>421</v>
      </c>
      <c r="P508" s="51">
        <v>14</v>
      </c>
      <c r="Q508" s="77">
        <v>15</v>
      </c>
    </row>
    <row r="509" spans="1:17" x14ac:dyDescent="0.25">
      <c r="A509" s="52" t="s">
        <v>28</v>
      </c>
      <c r="B509" s="51" t="s">
        <v>93</v>
      </c>
      <c r="C509" s="51" t="s">
        <v>355</v>
      </c>
      <c r="D509" s="51">
        <v>8.5</v>
      </c>
      <c r="E509" s="51">
        <v>12.5</v>
      </c>
      <c r="F509" s="51" t="s">
        <v>379</v>
      </c>
      <c r="G509" s="51">
        <v>2</v>
      </c>
      <c r="H509" s="51">
        <v>12</v>
      </c>
      <c r="I509" s="51">
        <v>-9.484276729559749</v>
      </c>
      <c r="J509" s="51">
        <v>3</v>
      </c>
      <c r="K509" s="51">
        <v>11</v>
      </c>
      <c r="L509" s="51">
        <v>0</v>
      </c>
      <c r="M509" s="51">
        <v>2.5157232704402515</v>
      </c>
      <c r="N509" s="56">
        <v>1</v>
      </c>
      <c r="O509" s="51" t="s">
        <v>421</v>
      </c>
      <c r="P509" s="51">
        <v>14</v>
      </c>
      <c r="Q509" s="77">
        <v>15</v>
      </c>
    </row>
    <row r="510" spans="1:17" x14ac:dyDescent="0.25">
      <c r="A510" s="52" t="s">
        <v>24</v>
      </c>
      <c r="B510" s="51" t="s">
        <v>79</v>
      </c>
      <c r="C510" s="51" t="s">
        <v>359</v>
      </c>
      <c r="D510" s="51">
        <v>5.5</v>
      </c>
      <c r="E510" s="51">
        <v>3.125</v>
      </c>
      <c r="F510" s="51" t="s">
        <v>379</v>
      </c>
      <c r="G510" s="51">
        <v>4</v>
      </c>
      <c r="H510" s="51">
        <v>9</v>
      </c>
      <c r="I510" s="51">
        <v>-6.484276729559749</v>
      </c>
      <c r="J510" s="51">
        <v>3</v>
      </c>
      <c r="K510" s="51">
        <v>11</v>
      </c>
      <c r="L510" s="51">
        <v>0</v>
      </c>
      <c r="M510" s="51">
        <v>2.5157232704402515</v>
      </c>
      <c r="N510" s="56">
        <v>1</v>
      </c>
      <c r="O510" s="51" t="s">
        <v>421</v>
      </c>
      <c r="P510" s="51">
        <v>14</v>
      </c>
      <c r="Q510" s="77">
        <v>15</v>
      </c>
    </row>
    <row r="511" spans="1:17" x14ac:dyDescent="0.25">
      <c r="A511" s="52" t="s">
        <v>81</v>
      </c>
      <c r="B511" s="51" t="s">
        <v>423</v>
      </c>
      <c r="C511" s="51" t="s">
        <v>367</v>
      </c>
      <c r="D511" s="51">
        <v>6.5</v>
      </c>
      <c r="E511" s="51">
        <v>6.25</v>
      </c>
      <c r="F511" s="51" t="s">
        <v>384</v>
      </c>
      <c r="G511" s="51">
        <v>4</v>
      </c>
      <c r="H511" s="51">
        <v>9</v>
      </c>
      <c r="I511" s="51">
        <v>-9</v>
      </c>
      <c r="J511" s="51">
        <v>2</v>
      </c>
      <c r="K511" s="51">
        <v>12</v>
      </c>
      <c r="L511" s="51">
        <v>0</v>
      </c>
      <c r="M511" s="51">
        <v>0</v>
      </c>
      <c r="N511" s="56">
        <v>0</v>
      </c>
      <c r="O511" s="51" t="s">
        <v>421</v>
      </c>
      <c r="P511" s="51">
        <v>14</v>
      </c>
      <c r="Q511" s="77">
        <v>15</v>
      </c>
    </row>
    <row r="512" spans="1:17" x14ac:dyDescent="0.25">
      <c r="A512" s="52" t="s">
        <v>50</v>
      </c>
      <c r="B512" s="51" t="s">
        <v>95</v>
      </c>
      <c r="C512" s="51" t="s">
        <v>363</v>
      </c>
      <c r="D512" s="51">
        <v>5.5</v>
      </c>
      <c r="E512" s="51">
        <v>3.125</v>
      </c>
      <c r="F512" s="51" t="s">
        <v>377</v>
      </c>
      <c r="G512" s="51">
        <v>3</v>
      </c>
      <c r="H512" s="51">
        <v>4</v>
      </c>
      <c r="I512" s="51">
        <v>-4</v>
      </c>
      <c r="J512" s="51">
        <v>2</v>
      </c>
      <c r="K512" s="51">
        <v>12</v>
      </c>
      <c r="L512" s="51">
        <v>0</v>
      </c>
      <c r="M512" s="51">
        <v>0</v>
      </c>
      <c r="N512" s="56">
        <v>0</v>
      </c>
      <c r="O512" s="51" t="s">
        <v>421</v>
      </c>
      <c r="P512" s="51">
        <v>14</v>
      </c>
      <c r="Q512" s="77">
        <v>15</v>
      </c>
    </row>
    <row r="513" spans="1:17" ht="15.75" thickBot="1" x14ac:dyDescent="0.3">
      <c r="A513" s="53" t="s">
        <v>20</v>
      </c>
      <c r="B513" s="54" t="s">
        <v>89</v>
      </c>
      <c r="C513" s="54" t="s">
        <v>368</v>
      </c>
      <c r="D513" s="54">
        <v>5.5</v>
      </c>
      <c r="E513" s="54">
        <v>3.125</v>
      </c>
      <c r="F513" s="54" t="s">
        <v>378</v>
      </c>
      <c r="G513" s="54">
        <v>4</v>
      </c>
      <c r="H513" s="54">
        <v>7</v>
      </c>
      <c r="I513" s="54">
        <v>-7</v>
      </c>
      <c r="J513" s="54">
        <v>2</v>
      </c>
      <c r="K513" s="54">
        <v>12</v>
      </c>
      <c r="L513" s="54">
        <v>0</v>
      </c>
      <c r="M513" s="54">
        <v>0</v>
      </c>
      <c r="N513" s="57">
        <v>0</v>
      </c>
      <c r="O513" s="54" t="s">
        <v>421</v>
      </c>
      <c r="P513" s="54">
        <v>14</v>
      </c>
      <c r="Q513" s="78">
        <v>15</v>
      </c>
    </row>
    <row r="514" spans="1:17" x14ac:dyDescent="0.25">
      <c r="A514" s="79" t="s">
        <v>64</v>
      </c>
      <c r="B514" s="80" t="s">
        <v>63</v>
      </c>
      <c r="C514" s="80" t="s">
        <v>367</v>
      </c>
      <c r="D514" s="80">
        <v>9.5</v>
      </c>
      <c r="E514" s="80">
        <v>15.625</v>
      </c>
      <c r="F514" s="80" t="s">
        <v>381</v>
      </c>
      <c r="G514" s="80">
        <v>1</v>
      </c>
      <c r="H514" s="80">
        <v>17</v>
      </c>
      <c r="I514" s="80">
        <v>5.8571428571428541</v>
      </c>
      <c r="J514" s="80">
        <v>12</v>
      </c>
      <c r="K514" s="80">
        <v>3</v>
      </c>
      <c r="L514" s="80">
        <v>0</v>
      </c>
      <c r="M514" s="80">
        <v>22.857142857142854</v>
      </c>
      <c r="N514" s="81">
        <v>10</v>
      </c>
      <c r="O514" s="80" t="s">
        <v>421</v>
      </c>
      <c r="P514" s="80">
        <v>15</v>
      </c>
      <c r="Q514" s="82">
        <v>16</v>
      </c>
    </row>
    <row r="515" spans="1:17" x14ac:dyDescent="0.25">
      <c r="A515" s="52" t="s">
        <v>46</v>
      </c>
      <c r="B515" s="51" t="s">
        <v>404</v>
      </c>
      <c r="C515" s="51" t="s">
        <v>359</v>
      </c>
      <c r="D515" s="51">
        <v>8.5</v>
      </c>
      <c r="E515" s="51">
        <v>12.5</v>
      </c>
      <c r="F515" s="51" t="s">
        <v>381</v>
      </c>
      <c r="G515" s="51">
        <v>3</v>
      </c>
      <c r="H515" s="51">
        <v>10</v>
      </c>
      <c r="I515" s="51">
        <v>12.857142857142854</v>
      </c>
      <c r="J515" s="51">
        <v>12</v>
      </c>
      <c r="K515" s="51">
        <v>3</v>
      </c>
      <c r="L515" s="51">
        <v>0</v>
      </c>
      <c r="M515" s="51">
        <v>22.857142857142854</v>
      </c>
      <c r="N515" s="56">
        <v>10</v>
      </c>
      <c r="O515" s="51" t="s">
        <v>421</v>
      </c>
      <c r="P515" s="51">
        <v>15</v>
      </c>
      <c r="Q515" s="77">
        <v>16</v>
      </c>
    </row>
    <row r="516" spans="1:17" x14ac:dyDescent="0.25">
      <c r="A516" s="52" t="s">
        <v>9</v>
      </c>
      <c r="B516" s="51" t="s">
        <v>55</v>
      </c>
      <c r="C516" s="51" t="s">
        <v>355</v>
      </c>
      <c r="D516" s="51">
        <v>8.5</v>
      </c>
      <c r="E516" s="51">
        <v>12.5</v>
      </c>
      <c r="F516" s="51" t="s">
        <v>376</v>
      </c>
      <c r="G516" s="51">
        <v>4</v>
      </c>
      <c r="H516" s="51">
        <v>11</v>
      </c>
      <c r="I516" s="51">
        <v>11.857142857142854</v>
      </c>
      <c r="J516" s="51">
        <v>12</v>
      </c>
      <c r="K516" s="51">
        <v>3</v>
      </c>
      <c r="L516" s="51">
        <v>0</v>
      </c>
      <c r="M516" s="51">
        <v>22.857142857142854</v>
      </c>
      <c r="N516" s="56">
        <v>10</v>
      </c>
      <c r="O516" s="51" t="s">
        <v>421</v>
      </c>
      <c r="P516" s="51">
        <v>15</v>
      </c>
      <c r="Q516" s="77">
        <v>16</v>
      </c>
    </row>
    <row r="517" spans="1:17" x14ac:dyDescent="0.25">
      <c r="A517" s="52" t="s">
        <v>22</v>
      </c>
      <c r="B517" s="51" t="s">
        <v>21</v>
      </c>
      <c r="C517" s="51" t="s">
        <v>355</v>
      </c>
      <c r="D517" s="51">
        <v>9.5</v>
      </c>
      <c r="E517" s="51">
        <v>15.625</v>
      </c>
      <c r="F517" s="51" t="s">
        <v>382</v>
      </c>
      <c r="G517" s="51">
        <v>2</v>
      </c>
      <c r="H517" s="51">
        <v>15</v>
      </c>
      <c r="I517" s="51">
        <v>5.5714285714285694</v>
      </c>
      <c r="J517" s="51">
        <v>11</v>
      </c>
      <c r="K517" s="51">
        <v>4</v>
      </c>
      <c r="L517" s="51">
        <v>0</v>
      </c>
      <c r="M517" s="51">
        <v>20.571428571428569</v>
      </c>
      <c r="N517" s="56">
        <v>9</v>
      </c>
      <c r="O517" s="51" t="s">
        <v>421</v>
      </c>
      <c r="P517" s="51">
        <v>15</v>
      </c>
      <c r="Q517" s="77">
        <v>16</v>
      </c>
    </row>
    <row r="518" spans="1:17" x14ac:dyDescent="0.25">
      <c r="A518" s="52" t="s">
        <v>66</v>
      </c>
      <c r="B518" s="51" t="s">
        <v>72</v>
      </c>
      <c r="C518" s="51" t="s">
        <v>357</v>
      </c>
      <c r="D518" s="51">
        <v>8.5</v>
      </c>
      <c r="E518" s="51">
        <v>12.5</v>
      </c>
      <c r="F518" s="51" t="s">
        <v>379</v>
      </c>
      <c r="G518" s="51">
        <v>3</v>
      </c>
      <c r="H518" s="51">
        <v>4</v>
      </c>
      <c r="I518" s="51">
        <v>16.571428571428569</v>
      </c>
      <c r="J518" s="51">
        <v>11</v>
      </c>
      <c r="K518" s="51">
        <v>4</v>
      </c>
      <c r="L518" s="51">
        <v>0</v>
      </c>
      <c r="M518" s="51">
        <v>20.571428571428569</v>
      </c>
      <c r="N518" s="56">
        <v>9</v>
      </c>
      <c r="O518" s="51" t="s">
        <v>421</v>
      </c>
      <c r="P518" s="51">
        <v>15</v>
      </c>
      <c r="Q518" s="77">
        <v>16</v>
      </c>
    </row>
    <row r="519" spans="1:17" x14ac:dyDescent="0.25">
      <c r="A519" s="52" t="s">
        <v>7</v>
      </c>
      <c r="B519" s="51" t="s">
        <v>405</v>
      </c>
      <c r="C519" s="51" t="s">
        <v>355</v>
      </c>
      <c r="D519" s="51">
        <v>10.5</v>
      </c>
      <c r="E519" s="51">
        <v>18.75</v>
      </c>
      <c r="F519" s="51" t="s">
        <v>380</v>
      </c>
      <c r="G519" s="51">
        <v>1</v>
      </c>
      <c r="H519" s="51">
        <v>18</v>
      </c>
      <c r="I519" s="51">
        <v>2.5714285714285694</v>
      </c>
      <c r="J519" s="51">
        <v>11</v>
      </c>
      <c r="K519" s="51">
        <v>4</v>
      </c>
      <c r="L519" s="51">
        <v>0</v>
      </c>
      <c r="M519" s="51">
        <v>20.571428571428569</v>
      </c>
      <c r="N519" s="56">
        <v>9</v>
      </c>
      <c r="O519" s="51" t="s">
        <v>421</v>
      </c>
      <c r="P519" s="51">
        <v>15</v>
      </c>
      <c r="Q519" s="77">
        <v>16</v>
      </c>
    </row>
    <row r="520" spans="1:17" x14ac:dyDescent="0.25">
      <c r="A520" s="52" t="s">
        <v>37</v>
      </c>
      <c r="B520" s="51" t="s">
        <v>44</v>
      </c>
      <c r="C520" s="51" t="s">
        <v>368</v>
      </c>
      <c r="D520" s="51">
        <v>7.5</v>
      </c>
      <c r="E520" s="51">
        <v>9.375</v>
      </c>
      <c r="F520" s="51" t="s">
        <v>382</v>
      </c>
      <c r="G520" s="51">
        <v>3</v>
      </c>
      <c r="H520" s="51">
        <v>10</v>
      </c>
      <c r="I520" s="51">
        <v>10.571428571428569</v>
      </c>
      <c r="J520" s="51">
        <v>11</v>
      </c>
      <c r="K520" s="51">
        <v>4</v>
      </c>
      <c r="L520" s="51">
        <v>0</v>
      </c>
      <c r="M520" s="51">
        <v>20.571428571428569</v>
      </c>
      <c r="N520" s="56">
        <v>9</v>
      </c>
      <c r="O520" s="51" t="s">
        <v>421</v>
      </c>
      <c r="P520" s="51">
        <v>15</v>
      </c>
      <c r="Q520" s="77">
        <v>16</v>
      </c>
    </row>
    <row r="521" spans="1:17" x14ac:dyDescent="0.25">
      <c r="A521" s="52" t="s">
        <v>26</v>
      </c>
      <c r="B521" s="51" t="s">
        <v>25</v>
      </c>
      <c r="C521" s="51" t="s">
        <v>359</v>
      </c>
      <c r="D521" s="51">
        <v>11.5</v>
      </c>
      <c r="E521" s="51">
        <v>21.875</v>
      </c>
      <c r="F521" s="51" t="s">
        <v>384</v>
      </c>
      <c r="G521" s="51">
        <v>1</v>
      </c>
      <c r="H521" s="51">
        <v>24</v>
      </c>
      <c r="I521" s="51">
        <v>-3.4285714285714306</v>
      </c>
      <c r="J521" s="51">
        <v>11</v>
      </c>
      <c r="K521" s="51">
        <v>4</v>
      </c>
      <c r="L521" s="51">
        <v>0</v>
      </c>
      <c r="M521" s="51">
        <v>20.571428571428569</v>
      </c>
      <c r="N521" s="56">
        <v>9</v>
      </c>
      <c r="O521" s="51" t="s">
        <v>421</v>
      </c>
      <c r="P521" s="51">
        <v>15</v>
      </c>
      <c r="Q521" s="77">
        <v>16</v>
      </c>
    </row>
    <row r="522" spans="1:17" x14ac:dyDescent="0.25">
      <c r="A522" s="52" t="s">
        <v>61</v>
      </c>
      <c r="B522" s="51" t="s">
        <v>60</v>
      </c>
      <c r="C522" s="51" t="s">
        <v>367</v>
      </c>
      <c r="D522" s="51">
        <v>9.5</v>
      </c>
      <c r="E522" s="51">
        <v>15.625</v>
      </c>
      <c r="F522" s="51" t="s">
        <v>376</v>
      </c>
      <c r="G522" s="51">
        <v>2</v>
      </c>
      <c r="H522" s="51">
        <v>13</v>
      </c>
      <c r="I522" s="51">
        <v>7.5714285714285694</v>
      </c>
      <c r="J522" s="51">
        <v>11</v>
      </c>
      <c r="K522" s="51">
        <v>4</v>
      </c>
      <c r="L522" s="51">
        <v>0</v>
      </c>
      <c r="M522" s="51">
        <v>20.571428571428569</v>
      </c>
      <c r="N522" s="56">
        <v>9</v>
      </c>
      <c r="O522" s="51" t="s">
        <v>421</v>
      </c>
      <c r="P522" s="51">
        <v>15</v>
      </c>
      <c r="Q522" s="77">
        <v>16</v>
      </c>
    </row>
    <row r="523" spans="1:17" x14ac:dyDescent="0.25">
      <c r="A523" s="52" t="s">
        <v>39</v>
      </c>
      <c r="B523" s="51" t="s">
        <v>38</v>
      </c>
      <c r="C523" s="51" t="s">
        <v>363</v>
      </c>
      <c r="D523" s="51">
        <v>11.5</v>
      </c>
      <c r="E523" s="51">
        <v>21.875</v>
      </c>
      <c r="F523" s="51" t="s">
        <v>378</v>
      </c>
      <c r="G523" s="51">
        <v>1</v>
      </c>
      <c r="H523" s="51">
        <v>23</v>
      </c>
      <c r="I523" s="51">
        <v>-4.7142857142857153</v>
      </c>
      <c r="J523" s="51">
        <v>10</v>
      </c>
      <c r="K523" s="51">
        <v>5</v>
      </c>
      <c r="L523" s="51">
        <v>0</v>
      </c>
      <c r="M523" s="51">
        <v>18.285714285714285</v>
      </c>
      <c r="N523" s="56">
        <v>8</v>
      </c>
      <c r="O523" s="51" t="s">
        <v>421</v>
      </c>
      <c r="P523" s="51">
        <v>15</v>
      </c>
      <c r="Q523" s="77">
        <v>16</v>
      </c>
    </row>
    <row r="524" spans="1:17" x14ac:dyDescent="0.25">
      <c r="A524" s="52" t="s">
        <v>32</v>
      </c>
      <c r="B524" s="51" t="s">
        <v>31</v>
      </c>
      <c r="C524" s="51" t="s">
        <v>368</v>
      </c>
      <c r="D524" s="51">
        <v>9.5</v>
      </c>
      <c r="E524" s="51">
        <v>15.625</v>
      </c>
      <c r="F524" s="51" t="s">
        <v>380</v>
      </c>
      <c r="G524" s="51">
        <v>2</v>
      </c>
      <c r="H524" s="51">
        <v>17</v>
      </c>
      <c r="I524" s="51">
        <v>1.2857142857142847</v>
      </c>
      <c r="J524" s="51">
        <v>10</v>
      </c>
      <c r="K524" s="51">
        <v>5</v>
      </c>
      <c r="L524" s="51">
        <v>0</v>
      </c>
      <c r="M524" s="51">
        <v>18.285714285714285</v>
      </c>
      <c r="N524" s="56">
        <v>8</v>
      </c>
      <c r="O524" s="51" t="s">
        <v>421</v>
      </c>
      <c r="P524" s="51">
        <v>15</v>
      </c>
      <c r="Q524" s="77">
        <v>16</v>
      </c>
    </row>
    <row r="525" spans="1:17" x14ac:dyDescent="0.25">
      <c r="A525" s="52" t="s">
        <v>35</v>
      </c>
      <c r="B525" s="51" t="s">
        <v>400</v>
      </c>
      <c r="C525" s="51" t="s">
        <v>357</v>
      </c>
      <c r="D525" s="51">
        <v>10.5</v>
      </c>
      <c r="E525" s="51">
        <v>18.75</v>
      </c>
      <c r="F525" s="51" t="s">
        <v>382</v>
      </c>
      <c r="G525" s="51">
        <v>1</v>
      </c>
      <c r="H525" s="51">
        <v>17</v>
      </c>
      <c r="I525" s="51">
        <v>-1</v>
      </c>
      <c r="J525" s="51">
        <v>9</v>
      </c>
      <c r="K525" s="51">
        <v>5</v>
      </c>
      <c r="L525" s="51">
        <v>1</v>
      </c>
      <c r="M525" s="51">
        <v>16</v>
      </c>
      <c r="N525" s="56">
        <v>7</v>
      </c>
      <c r="O525" s="51" t="s">
        <v>421</v>
      </c>
      <c r="P525" s="51">
        <v>15</v>
      </c>
      <c r="Q525" s="77">
        <v>16</v>
      </c>
    </row>
    <row r="526" spans="1:17" x14ac:dyDescent="0.25">
      <c r="A526" s="52" t="s">
        <v>74</v>
      </c>
      <c r="B526" s="51" t="s">
        <v>85</v>
      </c>
      <c r="C526" s="51" t="s">
        <v>352</v>
      </c>
      <c r="D526" s="51">
        <v>8.5</v>
      </c>
      <c r="E526" s="51">
        <v>12.5</v>
      </c>
      <c r="F526" s="51" t="s">
        <v>384</v>
      </c>
      <c r="G526" s="51">
        <v>2</v>
      </c>
      <c r="H526" s="51">
        <v>14</v>
      </c>
      <c r="I526" s="51">
        <v>2</v>
      </c>
      <c r="J526" s="51">
        <v>9</v>
      </c>
      <c r="K526" s="51">
        <v>6</v>
      </c>
      <c r="L526" s="51">
        <v>0</v>
      </c>
      <c r="M526" s="51">
        <v>16</v>
      </c>
      <c r="N526" s="56">
        <v>7</v>
      </c>
      <c r="O526" s="51" t="s">
        <v>421</v>
      </c>
      <c r="P526" s="51">
        <v>15</v>
      </c>
      <c r="Q526" s="77">
        <v>16</v>
      </c>
    </row>
    <row r="527" spans="1:17" x14ac:dyDescent="0.25">
      <c r="A527" s="52" t="s">
        <v>43</v>
      </c>
      <c r="B527" s="51" t="s">
        <v>57</v>
      </c>
      <c r="C527" s="51" t="s">
        <v>368</v>
      </c>
      <c r="D527" s="51">
        <v>7.5</v>
      </c>
      <c r="E527" s="51">
        <v>9.375</v>
      </c>
      <c r="F527" s="51" t="s">
        <v>378</v>
      </c>
      <c r="G527" s="51">
        <v>3</v>
      </c>
      <c r="H527" s="51">
        <v>1</v>
      </c>
      <c r="I527" s="51">
        <v>12.714285714285714</v>
      </c>
      <c r="J527" s="51">
        <v>8</v>
      </c>
      <c r="K527" s="51">
        <v>7</v>
      </c>
      <c r="L527" s="51">
        <v>0</v>
      </c>
      <c r="M527" s="51">
        <v>13.714285714285714</v>
      </c>
      <c r="N527" s="56">
        <v>6</v>
      </c>
      <c r="O527" s="51" t="s">
        <v>421</v>
      </c>
      <c r="P527" s="51">
        <v>15</v>
      </c>
      <c r="Q527" s="77">
        <v>16</v>
      </c>
    </row>
    <row r="528" spans="1:17" x14ac:dyDescent="0.25">
      <c r="A528" s="52" t="s">
        <v>11</v>
      </c>
      <c r="B528" s="51" t="s">
        <v>10</v>
      </c>
      <c r="C528" s="51" t="s">
        <v>357</v>
      </c>
      <c r="D528" s="51">
        <v>10.5</v>
      </c>
      <c r="E528" s="51">
        <v>18.75</v>
      </c>
      <c r="F528" s="51" t="s">
        <v>378</v>
      </c>
      <c r="G528" s="51">
        <v>2</v>
      </c>
      <c r="H528" s="51">
        <v>19</v>
      </c>
      <c r="I528" s="51">
        <v>-5.2857142857142865</v>
      </c>
      <c r="J528" s="51">
        <v>8</v>
      </c>
      <c r="K528" s="51">
        <v>7</v>
      </c>
      <c r="L528" s="51">
        <v>0</v>
      </c>
      <c r="M528" s="51">
        <v>13.714285714285714</v>
      </c>
      <c r="N528" s="56">
        <v>6</v>
      </c>
      <c r="O528" s="51" t="s">
        <v>421</v>
      </c>
      <c r="P528" s="51">
        <v>15</v>
      </c>
      <c r="Q528" s="77">
        <v>16</v>
      </c>
    </row>
    <row r="529" spans="1:17" x14ac:dyDescent="0.25">
      <c r="A529" s="52" t="s">
        <v>13</v>
      </c>
      <c r="B529" s="51" t="s">
        <v>67</v>
      </c>
      <c r="C529" s="51" t="s">
        <v>383</v>
      </c>
      <c r="D529" s="51">
        <v>6.5</v>
      </c>
      <c r="E529" s="51">
        <v>6.25</v>
      </c>
      <c r="F529" s="51" t="s">
        <v>384</v>
      </c>
      <c r="G529" s="51">
        <v>3</v>
      </c>
      <c r="H529" s="51">
        <v>3</v>
      </c>
      <c r="I529" s="51">
        <v>10.714285714285714</v>
      </c>
      <c r="J529" s="51">
        <v>8</v>
      </c>
      <c r="K529" s="51">
        <v>7</v>
      </c>
      <c r="L529" s="51">
        <v>0</v>
      </c>
      <c r="M529" s="51">
        <v>13.714285714285714</v>
      </c>
      <c r="N529" s="56">
        <v>6</v>
      </c>
      <c r="O529" s="51" t="s">
        <v>421</v>
      </c>
      <c r="P529" s="51">
        <v>15</v>
      </c>
      <c r="Q529" s="77">
        <v>16</v>
      </c>
    </row>
    <row r="530" spans="1:17" x14ac:dyDescent="0.25">
      <c r="A530" s="52" t="s">
        <v>1</v>
      </c>
      <c r="B530" s="51" t="s">
        <v>402</v>
      </c>
      <c r="C530" s="51" t="s">
        <v>383</v>
      </c>
      <c r="D530" s="51">
        <v>9.5</v>
      </c>
      <c r="E530" s="51">
        <v>15.625</v>
      </c>
      <c r="F530" s="51" t="s">
        <v>381</v>
      </c>
      <c r="G530" s="51">
        <v>2</v>
      </c>
      <c r="H530" s="51">
        <v>15</v>
      </c>
      <c r="I530" s="51">
        <v>-3.571428571428573</v>
      </c>
      <c r="J530" s="51">
        <v>7</v>
      </c>
      <c r="K530" s="51">
        <v>8</v>
      </c>
      <c r="L530" s="51">
        <v>0</v>
      </c>
      <c r="M530" s="51">
        <v>11.428571428571427</v>
      </c>
      <c r="N530" s="56">
        <v>5</v>
      </c>
      <c r="O530" s="51" t="s">
        <v>421</v>
      </c>
      <c r="P530" s="51">
        <v>15</v>
      </c>
      <c r="Q530" s="77">
        <v>16</v>
      </c>
    </row>
    <row r="531" spans="1:17" x14ac:dyDescent="0.25">
      <c r="A531" s="52" t="s">
        <v>48</v>
      </c>
      <c r="B531" s="51" t="s">
        <v>47</v>
      </c>
      <c r="C531" s="51" t="s">
        <v>352</v>
      </c>
      <c r="D531" s="51">
        <v>11.5</v>
      </c>
      <c r="E531" s="51">
        <v>21.875</v>
      </c>
      <c r="F531" s="51" t="s">
        <v>379</v>
      </c>
      <c r="G531" s="51">
        <v>1</v>
      </c>
      <c r="H531" s="51">
        <v>25</v>
      </c>
      <c r="I531" s="51">
        <v>-13.571428571428573</v>
      </c>
      <c r="J531" s="51">
        <v>7</v>
      </c>
      <c r="K531" s="51">
        <v>8</v>
      </c>
      <c r="L531" s="51">
        <v>0</v>
      </c>
      <c r="M531" s="51">
        <v>11.428571428571427</v>
      </c>
      <c r="N531" s="56">
        <v>5</v>
      </c>
      <c r="O531" s="51" t="s">
        <v>421</v>
      </c>
      <c r="P531" s="51">
        <v>15</v>
      </c>
      <c r="Q531" s="77">
        <v>16</v>
      </c>
    </row>
    <row r="532" spans="1:17" x14ac:dyDescent="0.25">
      <c r="A532" s="52" t="s">
        <v>59</v>
      </c>
      <c r="B532" s="51" t="s">
        <v>75</v>
      </c>
      <c r="C532" s="51" t="s">
        <v>357</v>
      </c>
      <c r="D532" s="51">
        <v>8.5</v>
      </c>
      <c r="E532" s="51">
        <v>12.5</v>
      </c>
      <c r="F532" s="51" t="s">
        <v>376</v>
      </c>
      <c r="G532" s="51">
        <v>1</v>
      </c>
      <c r="H532" s="51">
        <v>14</v>
      </c>
      <c r="I532" s="51">
        <v>-2.571428571428573</v>
      </c>
      <c r="J532" s="51">
        <v>7</v>
      </c>
      <c r="K532" s="51">
        <v>8</v>
      </c>
      <c r="L532" s="51">
        <v>0</v>
      </c>
      <c r="M532" s="51">
        <v>11.428571428571427</v>
      </c>
      <c r="N532" s="56">
        <v>5</v>
      </c>
      <c r="O532" s="51" t="s">
        <v>421</v>
      </c>
      <c r="P532" s="51">
        <v>15</v>
      </c>
      <c r="Q532" s="77">
        <v>16</v>
      </c>
    </row>
    <row r="533" spans="1:17" x14ac:dyDescent="0.25">
      <c r="A533" s="52" t="s">
        <v>15</v>
      </c>
      <c r="B533" s="51" t="s">
        <v>14</v>
      </c>
      <c r="C533" s="51" t="s">
        <v>363</v>
      </c>
      <c r="D533" s="51">
        <v>7.5</v>
      </c>
      <c r="E533" s="51">
        <v>9.375</v>
      </c>
      <c r="F533" s="51" t="s">
        <v>382</v>
      </c>
      <c r="G533" s="51">
        <v>4</v>
      </c>
      <c r="H533" s="51">
        <v>8</v>
      </c>
      <c r="I533" s="51">
        <v>1.1428571428571423</v>
      </c>
      <c r="J533" s="51">
        <v>6</v>
      </c>
      <c r="K533" s="51">
        <v>8</v>
      </c>
      <c r="L533" s="51">
        <v>1</v>
      </c>
      <c r="M533" s="51">
        <v>9.1428571428571423</v>
      </c>
      <c r="N533" s="56">
        <v>4</v>
      </c>
      <c r="O533" s="51" t="s">
        <v>421</v>
      </c>
      <c r="P533" s="51">
        <v>15</v>
      </c>
      <c r="Q533" s="77">
        <v>16</v>
      </c>
    </row>
    <row r="534" spans="1:17" x14ac:dyDescent="0.25">
      <c r="A534" s="52" t="s">
        <v>17</v>
      </c>
      <c r="B534" s="51" t="s">
        <v>399</v>
      </c>
      <c r="C534" s="51" t="s">
        <v>367</v>
      </c>
      <c r="D534" s="51">
        <v>11.5</v>
      </c>
      <c r="E534" s="51">
        <v>21.875</v>
      </c>
      <c r="F534" s="51" t="s">
        <v>377</v>
      </c>
      <c r="G534" s="51">
        <v>1</v>
      </c>
      <c r="H534" s="51">
        <v>24</v>
      </c>
      <c r="I534" s="51">
        <v>-14.857142857142858</v>
      </c>
      <c r="J534" s="51">
        <v>6</v>
      </c>
      <c r="K534" s="51">
        <v>9</v>
      </c>
      <c r="L534" s="51">
        <v>0</v>
      </c>
      <c r="M534" s="51">
        <v>9.1428571428571423</v>
      </c>
      <c r="N534" s="56">
        <v>4</v>
      </c>
      <c r="O534" s="51" t="s">
        <v>421</v>
      </c>
      <c r="P534" s="51">
        <v>15</v>
      </c>
      <c r="Q534" s="77">
        <v>16</v>
      </c>
    </row>
    <row r="535" spans="1:17" x14ac:dyDescent="0.25">
      <c r="A535" s="52" t="s">
        <v>3</v>
      </c>
      <c r="B535" s="51" t="s">
        <v>2</v>
      </c>
      <c r="C535" s="51" t="s">
        <v>359</v>
      </c>
      <c r="D535" s="51">
        <v>7.5</v>
      </c>
      <c r="E535" s="51">
        <v>9.375</v>
      </c>
      <c r="F535" s="51" t="s">
        <v>381</v>
      </c>
      <c r="G535" s="51">
        <v>4</v>
      </c>
      <c r="H535" s="51">
        <v>8</v>
      </c>
      <c r="I535" s="51">
        <v>1.1428571428571423</v>
      </c>
      <c r="J535" s="51">
        <v>6</v>
      </c>
      <c r="K535" s="51">
        <v>9</v>
      </c>
      <c r="L535" s="51">
        <v>0</v>
      </c>
      <c r="M535" s="51">
        <v>9.1428571428571423</v>
      </c>
      <c r="N535" s="56">
        <v>4</v>
      </c>
      <c r="O535" s="51" t="s">
        <v>421</v>
      </c>
      <c r="P535" s="51">
        <v>15</v>
      </c>
      <c r="Q535" s="77">
        <v>16</v>
      </c>
    </row>
    <row r="536" spans="1:17" x14ac:dyDescent="0.25">
      <c r="A536" s="52" t="s">
        <v>70</v>
      </c>
      <c r="B536" s="51" t="s">
        <v>69</v>
      </c>
      <c r="C536" s="51" t="s">
        <v>383</v>
      </c>
      <c r="D536" s="51">
        <v>7.5</v>
      </c>
      <c r="E536" s="51">
        <v>9.375</v>
      </c>
      <c r="F536" s="51" t="s">
        <v>376</v>
      </c>
      <c r="G536" s="51">
        <v>3</v>
      </c>
      <c r="H536" s="51">
        <v>12</v>
      </c>
      <c r="I536" s="51">
        <v>-2.8571428571428577</v>
      </c>
      <c r="J536" s="51">
        <v>6</v>
      </c>
      <c r="K536" s="51">
        <v>9</v>
      </c>
      <c r="L536" s="51">
        <v>0</v>
      </c>
      <c r="M536" s="51">
        <v>9.1428571428571423</v>
      </c>
      <c r="N536" s="56">
        <v>4</v>
      </c>
      <c r="O536" s="51" t="s">
        <v>421</v>
      </c>
      <c r="P536" s="51">
        <v>15</v>
      </c>
      <c r="Q536" s="77">
        <v>16</v>
      </c>
    </row>
    <row r="537" spans="1:17" x14ac:dyDescent="0.25">
      <c r="A537" s="52" t="s">
        <v>54</v>
      </c>
      <c r="B537" s="51" t="s">
        <v>77</v>
      </c>
      <c r="C537" s="51" t="s">
        <v>352</v>
      </c>
      <c r="D537" s="51">
        <v>9.5</v>
      </c>
      <c r="E537" s="51">
        <v>15.625</v>
      </c>
      <c r="F537" s="51" t="s">
        <v>380</v>
      </c>
      <c r="G537" s="51">
        <v>3</v>
      </c>
      <c r="H537" s="51">
        <v>14</v>
      </c>
      <c r="I537" s="51">
        <v>-7.1428571428571432</v>
      </c>
      <c r="J537" s="51">
        <v>5</v>
      </c>
      <c r="K537" s="51">
        <v>10</v>
      </c>
      <c r="L537" s="51">
        <v>0</v>
      </c>
      <c r="M537" s="51">
        <v>6.8571428571428568</v>
      </c>
      <c r="N537" s="56">
        <v>3</v>
      </c>
      <c r="O537" s="51" t="s">
        <v>421</v>
      </c>
      <c r="P537" s="51">
        <v>15</v>
      </c>
      <c r="Q537" s="77">
        <v>16</v>
      </c>
    </row>
    <row r="538" spans="1:17" x14ac:dyDescent="0.25">
      <c r="A538" s="52" t="s">
        <v>52</v>
      </c>
      <c r="B538" s="51" t="s">
        <v>403</v>
      </c>
      <c r="C538" s="51" t="s">
        <v>383</v>
      </c>
      <c r="D538" s="51">
        <v>5.5</v>
      </c>
      <c r="E538" s="51">
        <v>3.125</v>
      </c>
      <c r="F538" s="51" t="s">
        <v>377</v>
      </c>
      <c r="G538" s="51">
        <v>4</v>
      </c>
      <c r="H538" s="51">
        <v>3</v>
      </c>
      <c r="I538" s="51">
        <v>3.8571428571428568</v>
      </c>
      <c r="J538" s="51">
        <v>5</v>
      </c>
      <c r="K538" s="51">
        <v>10</v>
      </c>
      <c r="L538" s="51">
        <v>0</v>
      </c>
      <c r="M538" s="51">
        <v>6.8571428571428568</v>
      </c>
      <c r="N538" s="56">
        <v>3</v>
      </c>
      <c r="O538" s="51" t="s">
        <v>421</v>
      </c>
      <c r="P538" s="51">
        <v>15</v>
      </c>
      <c r="Q538" s="77">
        <v>16</v>
      </c>
    </row>
    <row r="539" spans="1:17" x14ac:dyDescent="0.25">
      <c r="A539" s="52" t="s">
        <v>5</v>
      </c>
      <c r="B539" s="51" t="s">
        <v>41</v>
      </c>
      <c r="C539" s="51" t="s">
        <v>363</v>
      </c>
      <c r="D539" s="51">
        <v>9.5</v>
      </c>
      <c r="E539" s="51">
        <v>15.625</v>
      </c>
      <c r="F539" s="51" t="s">
        <v>377</v>
      </c>
      <c r="G539" s="51">
        <v>2</v>
      </c>
      <c r="H539" s="51">
        <v>19</v>
      </c>
      <c r="I539" s="51">
        <v>-14.428571428571429</v>
      </c>
      <c r="J539" s="51">
        <v>4</v>
      </c>
      <c r="K539" s="51">
        <v>11</v>
      </c>
      <c r="L539" s="51">
        <v>0</v>
      </c>
      <c r="M539" s="51">
        <v>4.5714285714285712</v>
      </c>
      <c r="N539" s="56">
        <v>2</v>
      </c>
      <c r="O539" s="51" t="s">
        <v>421</v>
      </c>
      <c r="P539" s="51">
        <v>15</v>
      </c>
      <c r="Q539" s="77">
        <v>16</v>
      </c>
    </row>
    <row r="540" spans="1:17" x14ac:dyDescent="0.25">
      <c r="A540" s="52" t="s">
        <v>84</v>
      </c>
      <c r="B540" s="51" t="s">
        <v>91</v>
      </c>
      <c r="C540" s="51" t="s">
        <v>352</v>
      </c>
      <c r="D540" s="51">
        <v>4.5</v>
      </c>
      <c r="E540" s="51">
        <v>0</v>
      </c>
      <c r="F540" s="51" t="s">
        <v>380</v>
      </c>
      <c r="G540" s="51">
        <v>4</v>
      </c>
      <c r="H540" s="51">
        <v>1</v>
      </c>
      <c r="I540" s="51">
        <v>1.2857142857142856</v>
      </c>
      <c r="J540" s="51">
        <v>3</v>
      </c>
      <c r="K540" s="51">
        <v>12</v>
      </c>
      <c r="L540" s="51">
        <v>0</v>
      </c>
      <c r="M540" s="51">
        <v>2.2857142857142856</v>
      </c>
      <c r="N540" s="56">
        <v>1</v>
      </c>
      <c r="O540" s="51" t="s">
        <v>421</v>
      </c>
      <c r="P540" s="51">
        <v>15</v>
      </c>
      <c r="Q540" s="77">
        <v>16</v>
      </c>
    </row>
    <row r="541" spans="1:17" x14ac:dyDescent="0.25">
      <c r="A541" s="52" t="s">
        <v>28</v>
      </c>
      <c r="B541" s="51" t="s">
        <v>93</v>
      </c>
      <c r="C541" s="51" t="s">
        <v>355</v>
      </c>
      <c r="D541" s="51">
        <v>8.5</v>
      </c>
      <c r="E541" s="51">
        <v>12.5</v>
      </c>
      <c r="F541" s="51" t="s">
        <v>379</v>
      </c>
      <c r="G541" s="51">
        <v>2</v>
      </c>
      <c r="H541" s="51">
        <v>12</v>
      </c>
      <c r="I541" s="51">
        <v>-9.7142857142857153</v>
      </c>
      <c r="J541" s="51">
        <v>3</v>
      </c>
      <c r="K541" s="51">
        <v>12</v>
      </c>
      <c r="L541" s="51">
        <v>0</v>
      </c>
      <c r="M541" s="51">
        <v>2.2857142857142856</v>
      </c>
      <c r="N541" s="56">
        <v>1</v>
      </c>
      <c r="O541" s="51" t="s">
        <v>421</v>
      </c>
      <c r="P541" s="51">
        <v>15</v>
      </c>
      <c r="Q541" s="77">
        <v>16</v>
      </c>
    </row>
    <row r="542" spans="1:17" x14ac:dyDescent="0.25">
      <c r="A542" s="52" t="s">
        <v>24</v>
      </c>
      <c r="B542" s="51" t="s">
        <v>79</v>
      </c>
      <c r="C542" s="51" t="s">
        <v>359</v>
      </c>
      <c r="D542" s="51">
        <v>5.5</v>
      </c>
      <c r="E542" s="51">
        <v>3.125</v>
      </c>
      <c r="F542" s="51" t="s">
        <v>379</v>
      </c>
      <c r="G542" s="51">
        <v>4</v>
      </c>
      <c r="H542" s="51">
        <v>9</v>
      </c>
      <c r="I542" s="51">
        <v>-6.7142857142857144</v>
      </c>
      <c r="J542" s="51">
        <v>3</v>
      </c>
      <c r="K542" s="51">
        <v>12</v>
      </c>
      <c r="L542" s="51">
        <v>0</v>
      </c>
      <c r="M542" s="51">
        <v>2.2857142857142856</v>
      </c>
      <c r="N542" s="56">
        <v>1</v>
      </c>
      <c r="O542" s="51" t="s">
        <v>421</v>
      </c>
      <c r="P542" s="51">
        <v>15</v>
      </c>
      <c r="Q542" s="77">
        <v>16</v>
      </c>
    </row>
    <row r="543" spans="1:17" x14ac:dyDescent="0.25">
      <c r="A543" s="52" t="s">
        <v>20</v>
      </c>
      <c r="B543" s="51" t="s">
        <v>89</v>
      </c>
      <c r="C543" s="51" t="s">
        <v>368</v>
      </c>
      <c r="D543" s="51">
        <v>5.5</v>
      </c>
      <c r="E543" s="51">
        <v>3.125</v>
      </c>
      <c r="F543" s="51" t="s">
        <v>378</v>
      </c>
      <c r="G543" s="51">
        <v>4</v>
      </c>
      <c r="H543" s="51">
        <v>7</v>
      </c>
      <c r="I543" s="51">
        <v>-4.7142857142857144</v>
      </c>
      <c r="J543" s="51">
        <v>3</v>
      </c>
      <c r="K543" s="51">
        <v>12</v>
      </c>
      <c r="L543" s="51">
        <v>0</v>
      </c>
      <c r="M543" s="51">
        <v>2.2857142857142856</v>
      </c>
      <c r="N543" s="56">
        <v>1</v>
      </c>
      <c r="O543" s="51" t="s">
        <v>421</v>
      </c>
      <c r="P543" s="51">
        <v>15</v>
      </c>
      <c r="Q543" s="77">
        <v>16</v>
      </c>
    </row>
    <row r="544" spans="1:17" x14ac:dyDescent="0.25">
      <c r="A544" s="52" t="s">
        <v>81</v>
      </c>
      <c r="B544" s="51" t="s">
        <v>423</v>
      </c>
      <c r="C544" s="51" t="s">
        <v>367</v>
      </c>
      <c r="D544" s="51">
        <v>6.5</v>
      </c>
      <c r="E544" s="51">
        <v>6.25</v>
      </c>
      <c r="F544" s="51" t="s">
        <v>384</v>
      </c>
      <c r="G544" s="51">
        <v>4</v>
      </c>
      <c r="H544" s="51">
        <v>9</v>
      </c>
      <c r="I544" s="51">
        <v>-9</v>
      </c>
      <c r="J544" s="51">
        <v>2</v>
      </c>
      <c r="K544" s="51">
        <v>13</v>
      </c>
      <c r="L544" s="51">
        <v>0</v>
      </c>
      <c r="M544" s="51">
        <v>0</v>
      </c>
      <c r="N544" s="56">
        <v>0</v>
      </c>
      <c r="O544" s="51" t="s">
        <v>421</v>
      </c>
      <c r="P544" s="51">
        <v>15</v>
      </c>
      <c r="Q544" s="77">
        <v>16</v>
      </c>
    </row>
    <row r="545" spans="1:17" ht="15.75" thickBot="1" x14ac:dyDescent="0.3">
      <c r="A545" s="53" t="s">
        <v>50</v>
      </c>
      <c r="B545" s="54" t="s">
        <v>95</v>
      </c>
      <c r="C545" s="54" t="s">
        <v>363</v>
      </c>
      <c r="D545" s="54">
        <v>5.5</v>
      </c>
      <c r="E545" s="54">
        <v>3.125</v>
      </c>
      <c r="F545" s="54" t="s">
        <v>377</v>
      </c>
      <c r="G545" s="54">
        <v>3</v>
      </c>
      <c r="H545" s="54">
        <v>4</v>
      </c>
      <c r="I545" s="54">
        <v>-4</v>
      </c>
      <c r="J545" s="54">
        <v>2</v>
      </c>
      <c r="K545" s="54">
        <v>13</v>
      </c>
      <c r="L545" s="54">
        <v>0</v>
      </c>
      <c r="M545" s="54">
        <v>0</v>
      </c>
      <c r="N545" s="57">
        <v>0</v>
      </c>
      <c r="O545" s="54" t="s">
        <v>421</v>
      </c>
      <c r="P545" s="54">
        <v>15</v>
      </c>
      <c r="Q545" s="78">
        <v>16</v>
      </c>
    </row>
    <row r="546" spans="1:17" x14ac:dyDescent="0.25">
      <c r="A546" s="79" t="s">
        <v>64</v>
      </c>
      <c r="B546" s="80" t="s">
        <v>63</v>
      </c>
      <c r="C546" s="80" t="s">
        <v>367</v>
      </c>
      <c r="D546" s="80">
        <v>9.5</v>
      </c>
      <c r="E546" s="80">
        <v>15.625</v>
      </c>
      <c r="F546" s="80" t="s">
        <v>381</v>
      </c>
      <c r="G546" s="80">
        <v>1</v>
      </c>
      <c r="H546" s="80">
        <v>17</v>
      </c>
      <c r="I546" s="80">
        <v>6.0366492146596862</v>
      </c>
      <c r="J546" s="80">
        <v>13</v>
      </c>
      <c r="K546" s="80">
        <v>3</v>
      </c>
      <c r="L546" s="80">
        <v>0</v>
      </c>
      <c r="M546" s="80">
        <v>23.036649214659686</v>
      </c>
      <c r="N546" s="205">
        <v>11</v>
      </c>
      <c r="O546" s="80" t="s">
        <v>421</v>
      </c>
      <c r="P546" s="80">
        <v>16</v>
      </c>
      <c r="Q546" s="82">
        <v>17</v>
      </c>
    </row>
    <row r="547" spans="1:17" x14ac:dyDescent="0.25">
      <c r="A547" s="52" t="s">
        <v>46</v>
      </c>
      <c r="B547" s="51" t="s">
        <v>404</v>
      </c>
      <c r="C547" s="51" t="s">
        <v>359</v>
      </c>
      <c r="D547" s="51">
        <v>8.5</v>
      </c>
      <c r="E547" s="51">
        <v>12.5</v>
      </c>
      <c r="F547" s="51" t="s">
        <v>381</v>
      </c>
      <c r="G547" s="51">
        <v>3</v>
      </c>
      <c r="H547" s="51">
        <v>10</v>
      </c>
      <c r="I547" s="51">
        <v>13.036649214659686</v>
      </c>
      <c r="J547" s="51">
        <v>13</v>
      </c>
      <c r="K547" s="51">
        <v>3</v>
      </c>
      <c r="L547" s="51">
        <v>0</v>
      </c>
      <c r="M547" s="51">
        <v>23.036649214659686</v>
      </c>
      <c r="N547" s="206">
        <v>11</v>
      </c>
      <c r="O547" s="51" t="s">
        <v>421</v>
      </c>
      <c r="P547" s="51">
        <v>16</v>
      </c>
      <c r="Q547" s="77">
        <v>17</v>
      </c>
    </row>
    <row r="548" spans="1:17" x14ac:dyDescent="0.25">
      <c r="A548" s="52" t="s">
        <v>9</v>
      </c>
      <c r="B548" s="51" t="s">
        <v>55</v>
      </c>
      <c r="C548" s="51" t="s">
        <v>355</v>
      </c>
      <c r="D548" s="51">
        <v>8.5</v>
      </c>
      <c r="E548" s="51">
        <v>12.5</v>
      </c>
      <c r="F548" s="51" t="s">
        <v>376</v>
      </c>
      <c r="G548" s="51">
        <v>4</v>
      </c>
      <c r="H548" s="51">
        <v>11</v>
      </c>
      <c r="I548" s="51">
        <v>12.036649214659686</v>
      </c>
      <c r="J548" s="51">
        <v>13</v>
      </c>
      <c r="K548" s="51">
        <v>3</v>
      </c>
      <c r="L548" s="51">
        <v>0</v>
      </c>
      <c r="M548" s="51">
        <v>23.036649214659686</v>
      </c>
      <c r="N548" s="206">
        <v>11</v>
      </c>
      <c r="O548" s="51" t="s">
        <v>421</v>
      </c>
      <c r="P548" s="51">
        <v>16</v>
      </c>
      <c r="Q548" s="77">
        <v>17</v>
      </c>
    </row>
    <row r="549" spans="1:17" x14ac:dyDescent="0.25">
      <c r="A549" s="52" t="s">
        <v>37</v>
      </c>
      <c r="B549" s="51" t="s">
        <v>44</v>
      </c>
      <c r="C549" s="51" t="s">
        <v>368</v>
      </c>
      <c r="D549" s="51">
        <v>7.5</v>
      </c>
      <c r="E549" s="51">
        <v>9.375</v>
      </c>
      <c r="F549" s="51" t="s">
        <v>382</v>
      </c>
      <c r="G549" s="51">
        <v>3</v>
      </c>
      <c r="H549" s="51">
        <v>10</v>
      </c>
      <c r="I549" s="51">
        <v>10.94240837696335</v>
      </c>
      <c r="J549" s="51">
        <v>12</v>
      </c>
      <c r="K549" s="51">
        <v>4</v>
      </c>
      <c r="L549" s="51">
        <v>0</v>
      </c>
      <c r="M549" s="51">
        <v>20.94240837696335</v>
      </c>
      <c r="N549" s="206">
        <v>10</v>
      </c>
      <c r="O549" s="51" t="s">
        <v>421</v>
      </c>
      <c r="P549" s="51">
        <v>16</v>
      </c>
      <c r="Q549" s="77">
        <v>17</v>
      </c>
    </row>
    <row r="550" spans="1:17" x14ac:dyDescent="0.25">
      <c r="A550" s="52" t="s">
        <v>7</v>
      </c>
      <c r="B550" s="51" t="s">
        <v>405</v>
      </c>
      <c r="C550" s="51" t="s">
        <v>355</v>
      </c>
      <c r="D550" s="51">
        <v>10.5</v>
      </c>
      <c r="E550" s="51">
        <v>18.75</v>
      </c>
      <c r="F550" s="51" t="s">
        <v>380</v>
      </c>
      <c r="G550" s="51">
        <v>1</v>
      </c>
      <c r="H550" s="51">
        <v>18</v>
      </c>
      <c r="I550" s="51">
        <v>2.9424083769633498</v>
      </c>
      <c r="J550" s="51">
        <v>12</v>
      </c>
      <c r="K550" s="51">
        <v>4</v>
      </c>
      <c r="L550" s="51">
        <v>0</v>
      </c>
      <c r="M550" s="51">
        <v>20.94240837696335</v>
      </c>
      <c r="N550" s="206">
        <v>10</v>
      </c>
      <c r="O550" s="51" t="s">
        <v>421</v>
      </c>
      <c r="P550" s="51">
        <v>16</v>
      </c>
      <c r="Q550" s="77">
        <v>17</v>
      </c>
    </row>
    <row r="551" spans="1:17" x14ac:dyDescent="0.25">
      <c r="A551" s="52" t="s">
        <v>22</v>
      </c>
      <c r="B551" s="51" t="s">
        <v>21</v>
      </c>
      <c r="C551" s="51" t="s">
        <v>355</v>
      </c>
      <c r="D551" s="51">
        <v>9.5</v>
      </c>
      <c r="E551" s="51">
        <v>15.625</v>
      </c>
      <c r="F551" s="51" t="s">
        <v>382</v>
      </c>
      <c r="G551" s="51">
        <v>2</v>
      </c>
      <c r="H551" s="51">
        <v>15</v>
      </c>
      <c r="I551" s="51">
        <v>3.8481675392670169</v>
      </c>
      <c r="J551" s="51">
        <v>11</v>
      </c>
      <c r="K551" s="51">
        <v>5</v>
      </c>
      <c r="L551" s="51">
        <v>0</v>
      </c>
      <c r="M551" s="51">
        <v>18.848167539267017</v>
      </c>
      <c r="N551" s="206">
        <v>9</v>
      </c>
      <c r="O551" s="51" t="s">
        <v>421</v>
      </c>
      <c r="P551" s="51">
        <v>16</v>
      </c>
      <c r="Q551" s="77">
        <v>17</v>
      </c>
    </row>
    <row r="552" spans="1:17" x14ac:dyDescent="0.25">
      <c r="A552" s="52" t="s">
        <v>32</v>
      </c>
      <c r="B552" s="51" t="s">
        <v>31</v>
      </c>
      <c r="C552" s="51" t="s">
        <v>368</v>
      </c>
      <c r="D552" s="51">
        <v>9.5</v>
      </c>
      <c r="E552" s="51">
        <v>15.625</v>
      </c>
      <c r="F552" s="51" t="s">
        <v>380</v>
      </c>
      <c r="G552" s="51">
        <v>2</v>
      </c>
      <c r="H552" s="51">
        <v>17</v>
      </c>
      <c r="I552" s="51">
        <v>1.8481675392670169</v>
      </c>
      <c r="J552" s="51">
        <v>11</v>
      </c>
      <c r="K552" s="51">
        <v>5</v>
      </c>
      <c r="L552" s="51">
        <v>0</v>
      </c>
      <c r="M552" s="51">
        <v>18.848167539267017</v>
      </c>
      <c r="N552" s="206">
        <v>9</v>
      </c>
      <c r="O552" s="51" t="s">
        <v>421</v>
      </c>
      <c r="P552" s="51">
        <v>16</v>
      </c>
      <c r="Q552" s="77">
        <v>17</v>
      </c>
    </row>
    <row r="553" spans="1:17" x14ac:dyDescent="0.25">
      <c r="A553" s="52" t="s">
        <v>26</v>
      </c>
      <c r="B553" s="51" t="s">
        <v>25</v>
      </c>
      <c r="C553" s="51" t="s">
        <v>359</v>
      </c>
      <c r="D553" s="51">
        <v>11.5</v>
      </c>
      <c r="E553" s="51">
        <v>21.875</v>
      </c>
      <c r="F553" s="51" t="s">
        <v>384</v>
      </c>
      <c r="G553" s="51">
        <v>1</v>
      </c>
      <c r="H553" s="51">
        <v>24</v>
      </c>
      <c r="I553" s="51">
        <v>-5.1518324607329831</v>
      </c>
      <c r="J553" s="51">
        <v>11</v>
      </c>
      <c r="K553" s="51">
        <v>5</v>
      </c>
      <c r="L553" s="51">
        <v>0</v>
      </c>
      <c r="M553" s="51">
        <v>18.848167539267017</v>
      </c>
      <c r="N553" s="206">
        <v>9</v>
      </c>
      <c r="O553" s="51" t="s">
        <v>421</v>
      </c>
      <c r="P553" s="51">
        <v>16</v>
      </c>
      <c r="Q553" s="77">
        <v>17</v>
      </c>
    </row>
    <row r="554" spans="1:17" x14ac:dyDescent="0.25">
      <c r="A554" s="52" t="s">
        <v>66</v>
      </c>
      <c r="B554" s="51" t="s">
        <v>72</v>
      </c>
      <c r="C554" s="51" t="s">
        <v>357</v>
      </c>
      <c r="D554" s="51">
        <v>8.5</v>
      </c>
      <c r="E554" s="51">
        <v>12.5</v>
      </c>
      <c r="F554" s="51" t="s">
        <v>379</v>
      </c>
      <c r="G554" s="51">
        <v>3</v>
      </c>
      <c r="H554" s="51">
        <v>4</v>
      </c>
      <c r="I554" s="51">
        <v>14.848167539267017</v>
      </c>
      <c r="J554" s="51">
        <v>11</v>
      </c>
      <c r="K554" s="51">
        <v>5</v>
      </c>
      <c r="L554" s="51">
        <v>0</v>
      </c>
      <c r="M554" s="51">
        <v>18.848167539267017</v>
      </c>
      <c r="N554" s="206">
        <v>9</v>
      </c>
      <c r="O554" s="51" t="s">
        <v>421</v>
      </c>
      <c r="P554" s="51">
        <v>16</v>
      </c>
      <c r="Q554" s="77">
        <v>17</v>
      </c>
    </row>
    <row r="555" spans="1:17" x14ac:dyDescent="0.25">
      <c r="A555" s="52" t="s">
        <v>61</v>
      </c>
      <c r="B555" s="51" t="s">
        <v>60</v>
      </c>
      <c r="C555" s="51" t="s">
        <v>367</v>
      </c>
      <c r="D555" s="51">
        <v>9.5</v>
      </c>
      <c r="E555" s="51">
        <v>15.625</v>
      </c>
      <c r="F555" s="51" t="s">
        <v>376</v>
      </c>
      <c r="G555" s="51">
        <v>2</v>
      </c>
      <c r="H555" s="51">
        <v>13</v>
      </c>
      <c r="I555" s="51">
        <v>5.8481675392670169</v>
      </c>
      <c r="J555" s="51">
        <v>11</v>
      </c>
      <c r="K555" s="51">
        <v>5</v>
      </c>
      <c r="L555" s="51">
        <v>0</v>
      </c>
      <c r="M555" s="51">
        <v>18.848167539267017</v>
      </c>
      <c r="N555" s="206">
        <v>9</v>
      </c>
      <c r="O555" s="51" t="s">
        <v>421</v>
      </c>
      <c r="P555" s="51">
        <v>16</v>
      </c>
      <c r="Q555" s="77">
        <v>17</v>
      </c>
    </row>
    <row r="556" spans="1:17" x14ac:dyDescent="0.25">
      <c r="A556" s="52" t="s">
        <v>39</v>
      </c>
      <c r="B556" s="51" t="s">
        <v>38</v>
      </c>
      <c r="C556" s="51" t="s">
        <v>363</v>
      </c>
      <c r="D556" s="51">
        <v>11.5</v>
      </c>
      <c r="E556" s="51">
        <v>21.875</v>
      </c>
      <c r="F556" s="51" t="s">
        <v>378</v>
      </c>
      <c r="G556" s="51">
        <v>1</v>
      </c>
      <c r="H556" s="51">
        <v>23</v>
      </c>
      <c r="I556" s="51">
        <v>-4.1518324607329831</v>
      </c>
      <c r="J556" s="51">
        <v>11</v>
      </c>
      <c r="K556" s="51">
        <v>5</v>
      </c>
      <c r="L556" s="51">
        <v>0</v>
      </c>
      <c r="M556" s="51">
        <v>18.848167539267017</v>
      </c>
      <c r="N556" s="206">
        <v>9</v>
      </c>
      <c r="O556" s="51" t="s">
        <v>421</v>
      </c>
      <c r="P556" s="51">
        <v>16</v>
      </c>
      <c r="Q556" s="77">
        <v>17</v>
      </c>
    </row>
    <row r="557" spans="1:17" x14ac:dyDescent="0.25">
      <c r="A557" s="52" t="s">
        <v>35</v>
      </c>
      <c r="B557" s="51" t="s">
        <v>400</v>
      </c>
      <c r="C557" s="51" t="s">
        <v>357</v>
      </c>
      <c r="D557" s="51">
        <v>10.5</v>
      </c>
      <c r="E557" s="51">
        <v>18.75</v>
      </c>
      <c r="F557" s="51" t="s">
        <v>382</v>
      </c>
      <c r="G557" s="51">
        <v>1</v>
      </c>
      <c r="H557" s="51">
        <v>17</v>
      </c>
      <c r="I557" s="51">
        <v>-2.3403141361256541</v>
      </c>
      <c r="J557" s="51">
        <v>9</v>
      </c>
      <c r="K557" s="51">
        <v>6</v>
      </c>
      <c r="L557" s="51">
        <v>1</v>
      </c>
      <c r="M557" s="51">
        <v>14.659685863874346</v>
      </c>
      <c r="N557" s="206">
        <v>7</v>
      </c>
      <c r="O557" s="51" t="s">
        <v>421</v>
      </c>
      <c r="P557" s="51">
        <v>16</v>
      </c>
      <c r="Q557" s="77">
        <v>17</v>
      </c>
    </row>
    <row r="558" spans="1:17" x14ac:dyDescent="0.25">
      <c r="A558" s="52" t="s">
        <v>74</v>
      </c>
      <c r="B558" s="51" t="s">
        <v>85</v>
      </c>
      <c r="C558" s="51" t="s">
        <v>352</v>
      </c>
      <c r="D558" s="51">
        <v>8.5</v>
      </c>
      <c r="E558" s="51">
        <v>12.5</v>
      </c>
      <c r="F558" s="51" t="s">
        <v>384</v>
      </c>
      <c r="G558" s="51">
        <v>2</v>
      </c>
      <c r="H558" s="51">
        <v>14</v>
      </c>
      <c r="I558" s="51">
        <v>0.65968586387434591</v>
      </c>
      <c r="J558" s="51">
        <v>9</v>
      </c>
      <c r="K558" s="51">
        <v>7</v>
      </c>
      <c r="L558" s="51">
        <v>0</v>
      </c>
      <c r="M558" s="51">
        <v>14.659685863874346</v>
      </c>
      <c r="N558" s="206">
        <v>7</v>
      </c>
      <c r="O558" s="51" t="s">
        <v>421</v>
      </c>
      <c r="P558" s="51">
        <v>16</v>
      </c>
      <c r="Q558" s="77">
        <v>17</v>
      </c>
    </row>
    <row r="559" spans="1:17" x14ac:dyDescent="0.25">
      <c r="A559" s="52" t="s">
        <v>13</v>
      </c>
      <c r="B559" s="51" t="s">
        <v>67</v>
      </c>
      <c r="C559" s="51" t="s">
        <v>383</v>
      </c>
      <c r="D559" s="51">
        <v>6.5</v>
      </c>
      <c r="E559" s="51">
        <v>6.25</v>
      </c>
      <c r="F559" s="51" t="s">
        <v>384</v>
      </c>
      <c r="G559" s="51">
        <v>3</v>
      </c>
      <c r="H559" s="51">
        <v>3</v>
      </c>
      <c r="I559" s="51">
        <v>9.5654450261780113</v>
      </c>
      <c r="J559" s="51">
        <v>8</v>
      </c>
      <c r="K559" s="51">
        <v>8</v>
      </c>
      <c r="L559" s="51">
        <v>0</v>
      </c>
      <c r="M559" s="51">
        <v>12.565445026178011</v>
      </c>
      <c r="N559" s="206">
        <v>6</v>
      </c>
      <c r="O559" s="51" t="s">
        <v>421</v>
      </c>
      <c r="P559" s="51">
        <v>16</v>
      </c>
      <c r="Q559" s="77">
        <v>17</v>
      </c>
    </row>
    <row r="560" spans="1:17" x14ac:dyDescent="0.25">
      <c r="A560" s="52" t="s">
        <v>59</v>
      </c>
      <c r="B560" s="51" t="s">
        <v>75</v>
      </c>
      <c r="C560" s="51" t="s">
        <v>357</v>
      </c>
      <c r="D560" s="51">
        <v>8.5</v>
      </c>
      <c r="E560" s="51">
        <v>12.5</v>
      </c>
      <c r="F560" s="51" t="s">
        <v>376</v>
      </c>
      <c r="G560" s="51">
        <v>1</v>
      </c>
      <c r="H560" s="51">
        <v>14</v>
      </c>
      <c r="I560" s="51">
        <v>-1.4345549738219887</v>
      </c>
      <c r="J560" s="51">
        <v>8</v>
      </c>
      <c r="K560" s="51">
        <v>8</v>
      </c>
      <c r="L560" s="51">
        <v>0</v>
      </c>
      <c r="M560" s="51">
        <v>12.565445026178011</v>
      </c>
      <c r="N560" s="206">
        <v>6</v>
      </c>
      <c r="O560" s="51" t="s">
        <v>421</v>
      </c>
      <c r="P560" s="51">
        <v>16</v>
      </c>
      <c r="Q560" s="77">
        <v>17</v>
      </c>
    </row>
    <row r="561" spans="1:17" x14ac:dyDescent="0.25">
      <c r="A561" s="52" t="s">
        <v>43</v>
      </c>
      <c r="B561" s="51" t="s">
        <v>57</v>
      </c>
      <c r="C561" s="51" t="s">
        <v>368</v>
      </c>
      <c r="D561" s="51">
        <v>7.5</v>
      </c>
      <c r="E561" s="51">
        <v>9.375</v>
      </c>
      <c r="F561" s="51" t="s">
        <v>378</v>
      </c>
      <c r="G561" s="51">
        <v>3</v>
      </c>
      <c r="H561" s="51">
        <v>1</v>
      </c>
      <c r="I561" s="51">
        <v>11.565445026178011</v>
      </c>
      <c r="J561" s="51">
        <v>8</v>
      </c>
      <c r="K561" s="51">
        <v>8</v>
      </c>
      <c r="L561" s="51">
        <v>0</v>
      </c>
      <c r="M561" s="51">
        <v>12.565445026178011</v>
      </c>
      <c r="N561" s="206">
        <v>6</v>
      </c>
      <c r="O561" s="51" t="s">
        <v>421</v>
      </c>
      <c r="P561" s="51">
        <v>16</v>
      </c>
      <c r="Q561" s="77">
        <v>17</v>
      </c>
    </row>
    <row r="562" spans="1:17" x14ac:dyDescent="0.25">
      <c r="A562" s="52" t="s">
        <v>11</v>
      </c>
      <c r="B562" s="51" t="s">
        <v>10</v>
      </c>
      <c r="C562" s="51" t="s">
        <v>357</v>
      </c>
      <c r="D562" s="51">
        <v>10.5</v>
      </c>
      <c r="E562" s="51">
        <v>18.75</v>
      </c>
      <c r="F562" s="51" t="s">
        <v>378</v>
      </c>
      <c r="G562" s="51">
        <v>2</v>
      </c>
      <c r="H562" s="51">
        <v>19</v>
      </c>
      <c r="I562" s="51">
        <v>-6.4345549738219887</v>
      </c>
      <c r="J562" s="51">
        <v>8</v>
      </c>
      <c r="K562" s="51">
        <v>8</v>
      </c>
      <c r="L562" s="51">
        <v>0</v>
      </c>
      <c r="M562" s="51">
        <v>12.565445026178011</v>
      </c>
      <c r="N562" s="206">
        <v>6</v>
      </c>
      <c r="O562" s="51" t="s">
        <v>421</v>
      </c>
      <c r="P562" s="51">
        <v>16</v>
      </c>
      <c r="Q562" s="77">
        <v>17</v>
      </c>
    </row>
    <row r="563" spans="1:17" x14ac:dyDescent="0.25">
      <c r="A563" s="52" t="s">
        <v>48</v>
      </c>
      <c r="B563" s="51" t="s">
        <v>47</v>
      </c>
      <c r="C563" s="51" t="s">
        <v>352</v>
      </c>
      <c r="D563" s="51">
        <v>11.5</v>
      </c>
      <c r="E563" s="51">
        <v>21.875</v>
      </c>
      <c r="F563" s="51" t="s">
        <v>379</v>
      </c>
      <c r="G563" s="51">
        <v>1</v>
      </c>
      <c r="H563" s="51">
        <v>25</v>
      </c>
      <c r="I563" s="51">
        <v>-12.434554973821989</v>
      </c>
      <c r="J563" s="51">
        <v>8</v>
      </c>
      <c r="K563" s="51">
        <v>8</v>
      </c>
      <c r="L563" s="51">
        <v>0</v>
      </c>
      <c r="M563" s="51">
        <v>12.565445026178011</v>
      </c>
      <c r="N563" s="206">
        <v>6</v>
      </c>
      <c r="O563" s="51" t="s">
        <v>421</v>
      </c>
      <c r="P563" s="51">
        <v>16</v>
      </c>
      <c r="Q563" s="77">
        <v>17</v>
      </c>
    </row>
    <row r="564" spans="1:17" x14ac:dyDescent="0.25">
      <c r="A564" s="52" t="s">
        <v>15</v>
      </c>
      <c r="B564" s="51" t="s">
        <v>14</v>
      </c>
      <c r="C564" s="51" t="s">
        <v>363</v>
      </c>
      <c r="D564" s="51">
        <v>7.5</v>
      </c>
      <c r="E564" s="51">
        <v>9.375</v>
      </c>
      <c r="F564" s="51" t="s">
        <v>382</v>
      </c>
      <c r="G564" s="51">
        <v>4</v>
      </c>
      <c r="H564" s="51">
        <v>8</v>
      </c>
      <c r="I564" s="51">
        <v>2.4712041884816749</v>
      </c>
      <c r="J564" s="51">
        <v>7</v>
      </c>
      <c r="K564" s="51">
        <v>8</v>
      </c>
      <c r="L564" s="51">
        <v>1</v>
      </c>
      <c r="M564" s="51">
        <v>10.471204188481675</v>
      </c>
      <c r="N564" s="206">
        <v>5</v>
      </c>
      <c r="O564" s="51" t="s">
        <v>421</v>
      </c>
      <c r="P564" s="51">
        <v>16</v>
      </c>
      <c r="Q564" s="77">
        <v>17</v>
      </c>
    </row>
    <row r="565" spans="1:17" x14ac:dyDescent="0.25">
      <c r="A565" s="52" t="s">
        <v>1</v>
      </c>
      <c r="B565" s="51" t="s">
        <v>402</v>
      </c>
      <c r="C565" s="51" t="s">
        <v>383</v>
      </c>
      <c r="D565" s="51">
        <v>9.5</v>
      </c>
      <c r="E565" s="51">
        <v>15.625</v>
      </c>
      <c r="F565" s="51" t="s">
        <v>381</v>
      </c>
      <c r="G565" s="51">
        <v>2</v>
      </c>
      <c r="H565" s="51">
        <v>15</v>
      </c>
      <c r="I565" s="51">
        <v>-4.5287958115183251</v>
      </c>
      <c r="J565" s="51">
        <v>7</v>
      </c>
      <c r="K565" s="51">
        <v>9</v>
      </c>
      <c r="L565" s="51">
        <v>0</v>
      </c>
      <c r="M565" s="51">
        <v>10.471204188481675</v>
      </c>
      <c r="N565" s="206">
        <v>5</v>
      </c>
      <c r="O565" s="51" t="s">
        <v>421</v>
      </c>
      <c r="P565" s="51">
        <v>16</v>
      </c>
      <c r="Q565" s="77">
        <v>17</v>
      </c>
    </row>
    <row r="566" spans="1:17" x14ac:dyDescent="0.25">
      <c r="A566" s="52" t="s">
        <v>3</v>
      </c>
      <c r="B566" s="51" t="s">
        <v>2</v>
      </c>
      <c r="C566" s="51" t="s">
        <v>359</v>
      </c>
      <c r="D566" s="51">
        <v>7.5</v>
      </c>
      <c r="E566" s="51">
        <v>9.375</v>
      </c>
      <c r="F566" s="51" t="s">
        <v>381</v>
      </c>
      <c r="G566" s="51">
        <v>4</v>
      </c>
      <c r="H566" s="51">
        <v>8</v>
      </c>
      <c r="I566" s="51">
        <v>2.4712041884816749</v>
      </c>
      <c r="J566" s="51">
        <v>7</v>
      </c>
      <c r="K566" s="51">
        <v>9</v>
      </c>
      <c r="L566" s="51">
        <v>0</v>
      </c>
      <c r="M566" s="51">
        <v>10.471204188481675</v>
      </c>
      <c r="N566" s="206">
        <v>5</v>
      </c>
      <c r="O566" s="51" t="s">
        <v>421</v>
      </c>
      <c r="P566" s="51">
        <v>16</v>
      </c>
      <c r="Q566" s="77">
        <v>17</v>
      </c>
    </row>
    <row r="567" spans="1:17" x14ac:dyDescent="0.25">
      <c r="A567" s="52" t="s">
        <v>17</v>
      </c>
      <c r="B567" s="51" t="s">
        <v>399</v>
      </c>
      <c r="C567" s="51" t="s">
        <v>367</v>
      </c>
      <c r="D567" s="51">
        <v>11.5</v>
      </c>
      <c r="E567" s="51">
        <v>21.875</v>
      </c>
      <c r="F567" s="51" t="s">
        <v>377</v>
      </c>
      <c r="G567" s="51">
        <v>1</v>
      </c>
      <c r="H567" s="51">
        <v>24</v>
      </c>
      <c r="I567" s="51">
        <v>-15.62303664921466</v>
      </c>
      <c r="J567" s="51">
        <v>6</v>
      </c>
      <c r="K567" s="51">
        <v>10</v>
      </c>
      <c r="L567" s="51">
        <v>0</v>
      </c>
      <c r="M567" s="51">
        <v>8.3769633507853403</v>
      </c>
      <c r="N567" s="206">
        <v>4</v>
      </c>
      <c r="O567" s="51" t="s">
        <v>421</v>
      </c>
      <c r="P567" s="51">
        <v>16</v>
      </c>
      <c r="Q567" s="77">
        <v>17</v>
      </c>
    </row>
    <row r="568" spans="1:17" x14ac:dyDescent="0.25">
      <c r="A568" s="52" t="s">
        <v>70</v>
      </c>
      <c r="B568" s="51" t="s">
        <v>69</v>
      </c>
      <c r="C568" s="51" t="s">
        <v>383</v>
      </c>
      <c r="D568" s="51">
        <v>7.5</v>
      </c>
      <c r="E568" s="51">
        <v>9.375</v>
      </c>
      <c r="F568" s="51" t="s">
        <v>376</v>
      </c>
      <c r="G568" s="51">
        <v>3</v>
      </c>
      <c r="H568" s="51">
        <v>12</v>
      </c>
      <c r="I568" s="51">
        <v>-1.5287958115183251</v>
      </c>
      <c r="J568" s="51">
        <v>7</v>
      </c>
      <c r="K568" s="51">
        <v>9</v>
      </c>
      <c r="L568" s="51">
        <v>0</v>
      </c>
      <c r="M568" s="51">
        <v>10.471204188481675</v>
      </c>
      <c r="N568" s="206">
        <v>5</v>
      </c>
      <c r="O568" s="51" t="s">
        <v>421</v>
      </c>
      <c r="P568" s="51">
        <v>16</v>
      </c>
      <c r="Q568" s="77">
        <v>17</v>
      </c>
    </row>
    <row r="569" spans="1:17" x14ac:dyDescent="0.25">
      <c r="A569" s="52" t="s">
        <v>54</v>
      </c>
      <c r="B569" s="51" t="s">
        <v>77</v>
      </c>
      <c r="C569" s="51" t="s">
        <v>352</v>
      </c>
      <c r="D569" s="51">
        <v>9.5</v>
      </c>
      <c r="E569" s="51">
        <v>15.625</v>
      </c>
      <c r="F569" s="51" t="s">
        <v>380</v>
      </c>
      <c r="G569" s="51">
        <v>3</v>
      </c>
      <c r="H569" s="51">
        <v>14</v>
      </c>
      <c r="I569" s="51">
        <v>-5.6230366492146597</v>
      </c>
      <c r="J569" s="51">
        <v>6</v>
      </c>
      <c r="K569" s="51">
        <v>10</v>
      </c>
      <c r="L569" s="51">
        <v>0</v>
      </c>
      <c r="M569" s="51">
        <v>8.3769633507853403</v>
      </c>
      <c r="N569" s="206">
        <v>4</v>
      </c>
      <c r="O569" s="51" t="s">
        <v>421</v>
      </c>
      <c r="P569" s="51">
        <v>16</v>
      </c>
      <c r="Q569" s="77">
        <v>17</v>
      </c>
    </row>
    <row r="570" spans="1:17" x14ac:dyDescent="0.25">
      <c r="A570" s="52" t="s">
        <v>52</v>
      </c>
      <c r="B570" s="51" t="s">
        <v>403</v>
      </c>
      <c r="C570" s="51" t="s">
        <v>383</v>
      </c>
      <c r="D570" s="51">
        <v>5.5</v>
      </c>
      <c r="E570" s="51">
        <v>3.125</v>
      </c>
      <c r="F570" s="51" t="s">
        <v>377</v>
      </c>
      <c r="G570" s="51">
        <v>4</v>
      </c>
      <c r="H570" s="51">
        <v>3</v>
      </c>
      <c r="I570" s="51">
        <v>5.3769633507853403</v>
      </c>
      <c r="J570" s="51">
        <v>6</v>
      </c>
      <c r="K570" s="51">
        <v>10</v>
      </c>
      <c r="L570" s="51">
        <v>0</v>
      </c>
      <c r="M570" s="51">
        <v>8.3769633507853403</v>
      </c>
      <c r="N570" s="206">
        <v>4</v>
      </c>
      <c r="O570" s="51" t="s">
        <v>421</v>
      </c>
      <c r="P570" s="51">
        <v>16</v>
      </c>
      <c r="Q570" s="77">
        <v>17</v>
      </c>
    </row>
    <row r="571" spans="1:17" x14ac:dyDescent="0.25">
      <c r="A571" s="52" t="s">
        <v>5</v>
      </c>
      <c r="B571" s="51" t="s">
        <v>41</v>
      </c>
      <c r="C571" s="51" t="s">
        <v>363</v>
      </c>
      <c r="D571" s="51">
        <v>9.5</v>
      </c>
      <c r="E571" s="51">
        <v>15.625</v>
      </c>
      <c r="F571" s="51" t="s">
        <v>377</v>
      </c>
      <c r="G571" s="51">
        <v>2</v>
      </c>
      <c r="H571" s="51">
        <v>19</v>
      </c>
      <c r="I571" s="51">
        <v>-14.811518324607331</v>
      </c>
      <c r="J571" s="51">
        <v>4</v>
      </c>
      <c r="K571" s="51">
        <v>12</v>
      </c>
      <c r="L571" s="51">
        <v>0</v>
      </c>
      <c r="M571" s="51">
        <v>4.1884816753926701</v>
      </c>
      <c r="N571" s="206">
        <v>2</v>
      </c>
      <c r="O571" s="51" t="s">
        <v>421</v>
      </c>
      <c r="P571" s="51">
        <v>16</v>
      </c>
      <c r="Q571" s="77">
        <v>17</v>
      </c>
    </row>
    <row r="572" spans="1:17" x14ac:dyDescent="0.25">
      <c r="A572" s="52" t="s">
        <v>84</v>
      </c>
      <c r="B572" s="51" t="s">
        <v>91</v>
      </c>
      <c r="C572" s="51" t="s">
        <v>352</v>
      </c>
      <c r="D572" s="51">
        <v>4.5</v>
      </c>
      <c r="E572" s="51">
        <v>0</v>
      </c>
      <c r="F572" s="51" t="s">
        <v>380</v>
      </c>
      <c r="G572" s="51">
        <v>4</v>
      </c>
      <c r="H572" s="51">
        <v>1</v>
      </c>
      <c r="I572" s="51">
        <v>3.1884816753926701</v>
      </c>
      <c r="J572" s="51">
        <v>4</v>
      </c>
      <c r="K572" s="51">
        <v>12</v>
      </c>
      <c r="L572" s="51">
        <v>0</v>
      </c>
      <c r="M572" s="51">
        <v>4.1884816753926701</v>
      </c>
      <c r="N572" s="206">
        <v>2</v>
      </c>
      <c r="O572" s="51" t="s">
        <v>421</v>
      </c>
      <c r="P572" s="51">
        <v>16</v>
      </c>
      <c r="Q572" s="77">
        <v>17</v>
      </c>
    </row>
    <row r="573" spans="1:17" x14ac:dyDescent="0.25">
      <c r="A573" s="52" t="s">
        <v>28</v>
      </c>
      <c r="B573" s="51" t="s">
        <v>93</v>
      </c>
      <c r="C573" s="51" t="s">
        <v>355</v>
      </c>
      <c r="D573" s="51">
        <v>8.5</v>
      </c>
      <c r="E573" s="51">
        <v>12.5</v>
      </c>
      <c r="F573" s="51" t="s">
        <v>379</v>
      </c>
      <c r="G573" s="51">
        <v>2</v>
      </c>
      <c r="H573" s="51">
        <v>12</v>
      </c>
      <c r="I573" s="51">
        <v>-9.9057591623036654</v>
      </c>
      <c r="J573" s="51">
        <v>3</v>
      </c>
      <c r="K573" s="51">
        <v>13</v>
      </c>
      <c r="L573" s="51">
        <v>0</v>
      </c>
      <c r="M573" s="51">
        <v>2.0942408376963351</v>
      </c>
      <c r="N573" s="206">
        <v>1</v>
      </c>
      <c r="O573" s="51" t="s">
        <v>421</v>
      </c>
      <c r="P573" s="51">
        <v>16</v>
      </c>
      <c r="Q573" s="77">
        <v>17</v>
      </c>
    </row>
    <row r="574" spans="1:17" x14ac:dyDescent="0.25">
      <c r="A574" s="52" t="s">
        <v>24</v>
      </c>
      <c r="B574" s="51" t="s">
        <v>79</v>
      </c>
      <c r="C574" s="51" t="s">
        <v>359</v>
      </c>
      <c r="D574" s="51">
        <v>5.5</v>
      </c>
      <c r="E574" s="51">
        <v>3.125</v>
      </c>
      <c r="F574" s="51" t="s">
        <v>379</v>
      </c>
      <c r="G574" s="51">
        <v>4</v>
      </c>
      <c r="H574" s="51">
        <v>9</v>
      </c>
      <c r="I574" s="51">
        <v>-6.9057591623036654</v>
      </c>
      <c r="J574" s="51">
        <v>3</v>
      </c>
      <c r="K574" s="51">
        <v>13</v>
      </c>
      <c r="L574" s="51">
        <v>0</v>
      </c>
      <c r="M574" s="51">
        <v>2.0942408376963351</v>
      </c>
      <c r="N574" s="206">
        <v>1</v>
      </c>
      <c r="O574" s="51" t="s">
        <v>421</v>
      </c>
      <c r="P574" s="51">
        <v>16</v>
      </c>
      <c r="Q574" s="77">
        <v>17</v>
      </c>
    </row>
    <row r="575" spans="1:17" x14ac:dyDescent="0.25">
      <c r="A575" s="52" t="s">
        <v>20</v>
      </c>
      <c r="B575" s="51" t="s">
        <v>89</v>
      </c>
      <c r="C575" s="51" t="s">
        <v>368</v>
      </c>
      <c r="D575" s="51">
        <v>5.5</v>
      </c>
      <c r="E575" s="51">
        <v>3.125</v>
      </c>
      <c r="F575" s="51" t="s">
        <v>378</v>
      </c>
      <c r="G575" s="51">
        <v>4</v>
      </c>
      <c r="H575" s="51">
        <v>7</v>
      </c>
      <c r="I575" s="51">
        <v>-4.9057591623036654</v>
      </c>
      <c r="J575" s="51">
        <v>3</v>
      </c>
      <c r="K575" s="51">
        <v>13</v>
      </c>
      <c r="L575" s="51">
        <v>0</v>
      </c>
      <c r="M575" s="51">
        <v>2.0942408376963351</v>
      </c>
      <c r="N575" s="206">
        <v>1</v>
      </c>
      <c r="O575" s="51" t="s">
        <v>421</v>
      </c>
      <c r="P575" s="51">
        <v>16</v>
      </c>
      <c r="Q575" s="77">
        <v>17</v>
      </c>
    </row>
    <row r="576" spans="1:17" x14ac:dyDescent="0.25">
      <c r="A576" s="52" t="s">
        <v>50</v>
      </c>
      <c r="B576" s="51" t="s">
        <v>95</v>
      </c>
      <c r="C576" s="51" t="s">
        <v>363</v>
      </c>
      <c r="D576" s="51">
        <v>5.5</v>
      </c>
      <c r="E576" s="51">
        <v>3.125</v>
      </c>
      <c r="F576" s="51" t="s">
        <v>377</v>
      </c>
      <c r="G576" s="51">
        <v>3</v>
      </c>
      <c r="H576" s="51">
        <v>4</v>
      </c>
      <c r="I576" s="51">
        <v>-1.9057591623036649</v>
      </c>
      <c r="J576" s="51">
        <v>3</v>
      </c>
      <c r="K576" s="51">
        <v>13</v>
      </c>
      <c r="L576" s="51">
        <v>0</v>
      </c>
      <c r="M576" s="51">
        <v>2.0942408376963351</v>
      </c>
      <c r="N576" s="206">
        <v>1</v>
      </c>
      <c r="O576" s="51" t="s">
        <v>421</v>
      </c>
      <c r="P576" s="51">
        <v>16</v>
      </c>
      <c r="Q576" s="77">
        <v>17</v>
      </c>
    </row>
    <row r="577" spans="1:17" ht="15.75" thickBot="1" x14ac:dyDescent="0.3">
      <c r="A577" s="53" t="s">
        <v>81</v>
      </c>
      <c r="B577" s="54" t="s">
        <v>423</v>
      </c>
      <c r="C577" s="54" t="s">
        <v>367</v>
      </c>
      <c r="D577" s="54">
        <v>6.5</v>
      </c>
      <c r="E577" s="54">
        <v>6.25</v>
      </c>
      <c r="F577" s="54" t="s">
        <v>384</v>
      </c>
      <c r="G577" s="54">
        <v>4</v>
      </c>
      <c r="H577" s="54">
        <v>9</v>
      </c>
      <c r="I577" s="54">
        <v>-9</v>
      </c>
      <c r="J577" s="54">
        <v>2</v>
      </c>
      <c r="K577" s="54">
        <v>14</v>
      </c>
      <c r="L577" s="54">
        <v>0</v>
      </c>
      <c r="M577" s="54">
        <v>0</v>
      </c>
      <c r="N577" s="207">
        <v>0</v>
      </c>
      <c r="O577" s="54" t="s">
        <v>421</v>
      </c>
      <c r="P577" s="54">
        <v>16</v>
      </c>
      <c r="Q577" s="78">
        <v>17</v>
      </c>
    </row>
    <row r="578" spans="1:17" x14ac:dyDescent="0.25">
      <c r="A578" s="79" t="s">
        <v>64</v>
      </c>
      <c r="B578" s="80" t="s">
        <v>63</v>
      </c>
      <c r="C578" s="80" t="s">
        <v>367</v>
      </c>
      <c r="D578" s="80">
        <v>9.5</v>
      </c>
      <c r="E578" s="80">
        <v>15.625</v>
      </c>
      <c r="F578" s="80" t="s">
        <v>381</v>
      </c>
      <c r="G578" s="80">
        <v>1</v>
      </c>
      <c r="H578" s="80">
        <v>17</v>
      </c>
      <c r="I578" s="80">
        <v>8.1428571428571423</v>
      </c>
      <c r="J578" s="80">
        <v>14</v>
      </c>
      <c r="K578" s="80">
        <v>3</v>
      </c>
      <c r="L578" s="80">
        <v>0</v>
      </c>
      <c r="M578" s="80">
        <v>25.142857142857142</v>
      </c>
      <c r="N578" s="205">
        <v>11</v>
      </c>
      <c r="O578" s="80" t="s">
        <v>421</v>
      </c>
      <c r="P578" s="80">
        <v>17</v>
      </c>
      <c r="Q578" s="82">
        <v>18</v>
      </c>
    </row>
    <row r="579" spans="1:17" x14ac:dyDescent="0.25">
      <c r="A579" s="52" t="s">
        <v>46</v>
      </c>
      <c r="B579" s="51" t="s">
        <v>404</v>
      </c>
      <c r="C579" s="51" t="s">
        <v>359</v>
      </c>
      <c r="D579" s="51">
        <v>8.5</v>
      </c>
      <c r="E579" s="51">
        <v>12.5</v>
      </c>
      <c r="F579" s="51" t="s">
        <v>381</v>
      </c>
      <c r="G579" s="51">
        <v>3</v>
      </c>
      <c r="H579" s="51">
        <v>10</v>
      </c>
      <c r="I579" s="51">
        <v>15.142857142857142</v>
      </c>
      <c r="J579" s="51">
        <v>14</v>
      </c>
      <c r="K579" s="51">
        <v>3</v>
      </c>
      <c r="L579" s="51">
        <v>0</v>
      </c>
      <c r="M579" s="51">
        <v>25.142857142857142</v>
      </c>
      <c r="N579" s="206">
        <v>11</v>
      </c>
      <c r="O579" s="51" t="s">
        <v>421</v>
      </c>
      <c r="P579" s="51">
        <v>17</v>
      </c>
      <c r="Q579" s="77">
        <v>18</v>
      </c>
    </row>
    <row r="580" spans="1:17" x14ac:dyDescent="0.25">
      <c r="A580" s="52" t="s">
        <v>9</v>
      </c>
      <c r="B580" s="51" t="s">
        <v>55</v>
      </c>
      <c r="C580" s="51" t="s">
        <v>355</v>
      </c>
      <c r="D580" s="51">
        <v>8.5</v>
      </c>
      <c r="E580" s="51">
        <v>12.5</v>
      </c>
      <c r="F580" s="51" t="s">
        <v>376</v>
      </c>
      <c r="G580" s="51">
        <v>4</v>
      </c>
      <c r="H580" s="51">
        <v>11</v>
      </c>
      <c r="I580" s="51">
        <v>14.142857142857142</v>
      </c>
      <c r="J580" s="51">
        <v>14</v>
      </c>
      <c r="K580" s="51">
        <v>3</v>
      </c>
      <c r="L580" s="51">
        <v>0</v>
      </c>
      <c r="M580" s="51">
        <v>25.142857142857142</v>
      </c>
      <c r="N580" s="206">
        <v>11</v>
      </c>
      <c r="O580" s="51" t="s">
        <v>421</v>
      </c>
      <c r="P580" s="51">
        <v>17</v>
      </c>
      <c r="Q580" s="77">
        <v>18</v>
      </c>
    </row>
    <row r="581" spans="1:17" x14ac:dyDescent="0.25">
      <c r="A581" s="52" t="s">
        <v>37</v>
      </c>
      <c r="B581" s="51" t="s">
        <v>44</v>
      </c>
      <c r="C581" s="51" t="s">
        <v>368</v>
      </c>
      <c r="D581" s="51">
        <v>7.5</v>
      </c>
      <c r="E581" s="51">
        <v>9.375</v>
      </c>
      <c r="F581" s="51" t="s">
        <v>382</v>
      </c>
      <c r="G581" s="51">
        <v>3</v>
      </c>
      <c r="H581" s="51">
        <v>10</v>
      </c>
      <c r="I581" s="51">
        <v>12.857142857142854</v>
      </c>
      <c r="J581" s="51">
        <v>13</v>
      </c>
      <c r="K581" s="51">
        <v>4</v>
      </c>
      <c r="L581" s="51">
        <v>0</v>
      </c>
      <c r="M581" s="51">
        <v>22.857142857142854</v>
      </c>
      <c r="N581" s="206">
        <v>10</v>
      </c>
      <c r="O581" s="51" t="s">
        <v>421</v>
      </c>
      <c r="P581" s="51">
        <v>17</v>
      </c>
      <c r="Q581" s="77">
        <v>18</v>
      </c>
    </row>
    <row r="582" spans="1:17" x14ac:dyDescent="0.25">
      <c r="A582" s="52" t="s">
        <v>7</v>
      </c>
      <c r="B582" s="51" t="s">
        <v>405</v>
      </c>
      <c r="C582" s="51" t="s">
        <v>355</v>
      </c>
      <c r="D582" s="51">
        <v>10.5</v>
      </c>
      <c r="E582" s="51">
        <v>18.75</v>
      </c>
      <c r="F582" s="51" t="s">
        <v>380</v>
      </c>
      <c r="G582" s="51">
        <v>1</v>
      </c>
      <c r="H582" s="51">
        <v>18</v>
      </c>
      <c r="I582" s="51">
        <v>2.5714285714285694</v>
      </c>
      <c r="J582" s="51">
        <v>12</v>
      </c>
      <c r="K582" s="51">
        <v>5</v>
      </c>
      <c r="L582" s="51">
        <v>0</v>
      </c>
      <c r="M582" s="51">
        <v>20.571428571428569</v>
      </c>
      <c r="N582" s="206">
        <v>9</v>
      </c>
      <c r="O582" s="51" t="s">
        <v>421</v>
      </c>
      <c r="P582" s="51">
        <v>17</v>
      </c>
      <c r="Q582" s="77">
        <v>18</v>
      </c>
    </row>
    <row r="583" spans="1:17" x14ac:dyDescent="0.25">
      <c r="A583" s="52" t="s">
        <v>22</v>
      </c>
      <c r="B583" s="51" t="s">
        <v>21</v>
      </c>
      <c r="C583" s="51" t="s">
        <v>355</v>
      </c>
      <c r="D583" s="51">
        <v>9.5</v>
      </c>
      <c r="E583" s="51">
        <v>15.625</v>
      </c>
      <c r="F583" s="51" t="s">
        <v>382</v>
      </c>
      <c r="G583" s="51">
        <v>2</v>
      </c>
      <c r="H583" s="51">
        <v>15</v>
      </c>
      <c r="I583" s="51">
        <v>5.5714285714285694</v>
      </c>
      <c r="J583" s="51">
        <v>12</v>
      </c>
      <c r="K583" s="51">
        <v>5</v>
      </c>
      <c r="L583" s="51">
        <v>0</v>
      </c>
      <c r="M583" s="51">
        <v>20.571428571428569</v>
      </c>
      <c r="N583" s="206">
        <v>9</v>
      </c>
      <c r="O583" s="51" t="s">
        <v>421</v>
      </c>
      <c r="P583" s="51">
        <v>17</v>
      </c>
      <c r="Q583" s="77">
        <v>18</v>
      </c>
    </row>
    <row r="584" spans="1:17" x14ac:dyDescent="0.25">
      <c r="A584" s="52" t="s">
        <v>32</v>
      </c>
      <c r="B584" s="51" t="s">
        <v>31</v>
      </c>
      <c r="C584" s="51" t="s">
        <v>368</v>
      </c>
      <c r="D584" s="51">
        <v>9.5</v>
      </c>
      <c r="E584" s="51">
        <v>15.625</v>
      </c>
      <c r="F584" s="51" t="s">
        <v>380</v>
      </c>
      <c r="G584" s="51">
        <v>2</v>
      </c>
      <c r="H584" s="51">
        <v>17</v>
      </c>
      <c r="I584" s="51">
        <v>3.5714285714285694</v>
      </c>
      <c r="J584" s="51">
        <v>12</v>
      </c>
      <c r="K584" s="51">
        <v>5</v>
      </c>
      <c r="L584" s="51">
        <v>0</v>
      </c>
      <c r="M584" s="51">
        <v>20.571428571428569</v>
      </c>
      <c r="N584" s="206">
        <v>9</v>
      </c>
      <c r="O584" s="51" t="s">
        <v>421</v>
      </c>
      <c r="P584" s="51">
        <v>17</v>
      </c>
      <c r="Q584" s="77">
        <v>18</v>
      </c>
    </row>
    <row r="585" spans="1:17" x14ac:dyDescent="0.25">
      <c r="A585" s="52" t="s">
        <v>26</v>
      </c>
      <c r="B585" s="51" t="s">
        <v>25</v>
      </c>
      <c r="C585" s="51" t="s">
        <v>359</v>
      </c>
      <c r="D585" s="51">
        <v>11.5</v>
      </c>
      <c r="E585" s="51">
        <v>21.875</v>
      </c>
      <c r="F585" s="51" t="s">
        <v>384</v>
      </c>
      <c r="G585" s="51">
        <v>1</v>
      </c>
      <c r="H585" s="51">
        <v>24</v>
      </c>
      <c r="I585" s="51">
        <v>-3.4285714285714306</v>
      </c>
      <c r="J585" s="51">
        <v>12</v>
      </c>
      <c r="K585" s="51">
        <v>5</v>
      </c>
      <c r="L585" s="51">
        <v>0</v>
      </c>
      <c r="M585" s="51">
        <v>20.571428571428569</v>
      </c>
      <c r="N585" s="206">
        <v>9</v>
      </c>
      <c r="O585" s="51" t="s">
        <v>421</v>
      </c>
      <c r="P585" s="51">
        <v>17</v>
      </c>
      <c r="Q585" s="77">
        <v>18</v>
      </c>
    </row>
    <row r="586" spans="1:17" x14ac:dyDescent="0.25">
      <c r="A586" s="52" t="s">
        <v>66</v>
      </c>
      <c r="B586" s="51" t="s">
        <v>72</v>
      </c>
      <c r="C586" s="51" t="s">
        <v>357</v>
      </c>
      <c r="D586" s="51">
        <v>8.5</v>
      </c>
      <c r="E586" s="51">
        <v>12.5</v>
      </c>
      <c r="F586" s="51" t="s">
        <v>379</v>
      </c>
      <c r="G586" s="51">
        <v>3</v>
      </c>
      <c r="H586" s="51">
        <v>4</v>
      </c>
      <c r="I586" s="51">
        <v>14.285714285714285</v>
      </c>
      <c r="J586" s="51">
        <v>11</v>
      </c>
      <c r="K586" s="51">
        <v>6</v>
      </c>
      <c r="L586" s="51">
        <v>0</v>
      </c>
      <c r="M586" s="51">
        <v>18.285714285714285</v>
      </c>
      <c r="N586" s="206">
        <v>8</v>
      </c>
      <c r="O586" s="51" t="s">
        <v>421</v>
      </c>
      <c r="P586" s="51">
        <v>17</v>
      </c>
      <c r="Q586" s="77">
        <v>18</v>
      </c>
    </row>
    <row r="587" spans="1:17" x14ac:dyDescent="0.25">
      <c r="A587" s="52" t="s">
        <v>61</v>
      </c>
      <c r="B587" s="51" t="s">
        <v>60</v>
      </c>
      <c r="C587" s="51" t="s">
        <v>367</v>
      </c>
      <c r="D587" s="51">
        <v>9.5</v>
      </c>
      <c r="E587" s="51">
        <v>15.625</v>
      </c>
      <c r="F587" s="51" t="s">
        <v>376</v>
      </c>
      <c r="G587" s="51">
        <v>2</v>
      </c>
      <c r="H587" s="51">
        <v>13</v>
      </c>
      <c r="I587" s="51">
        <v>5.2857142857142847</v>
      </c>
      <c r="J587" s="51">
        <v>11</v>
      </c>
      <c r="K587" s="51">
        <v>6</v>
      </c>
      <c r="L587" s="51">
        <v>0</v>
      </c>
      <c r="M587" s="51">
        <v>18.285714285714285</v>
      </c>
      <c r="N587" s="206">
        <v>8</v>
      </c>
      <c r="O587" s="51" t="s">
        <v>421</v>
      </c>
      <c r="P587" s="51">
        <v>17</v>
      </c>
      <c r="Q587" s="77">
        <v>18</v>
      </c>
    </row>
    <row r="588" spans="1:17" x14ac:dyDescent="0.25">
      <c r="A588" s="52" t="s">
        <v>39</v>
      </c>
      <c r="B588" s="51" t="s">
        <v>38</v>
      </c>
      <c r="C588" s="51" t="s">
        <v>363</v>
      </c>
      <c r="D588" s="51">
        <v>11.5</v>
      </c>
      <c r="E588" s="51">
        <v>21.875</v>
      </c>
      <c r="F588" s="51" t="s">
        <v>378</v>
      </c>
      <c r="G588" s="51">
        <v>1</v>
      </c>
      <c r="H588" s="51">
        <v>23</v>
      </c>
      <c r="I588" s="51">
        <v>-4.7142857142857153</v>
      </c>
      <c r="J588" s="51">
        <v>11</v>
      </c>
      <c r="K588" s="51">
        <v>6</v>
      </c>
      <c r="L588" s="51">
        <v>0</v>
      </c>
      <c r="M588" s="51">
        <v>18.285714285714285</v>
      </c>
      <c r="N588" s="206">
        <v>8</v>
      </c>
      <c r="O588" s="51" t="s">
        <v>421</v>
      </c>
      <c r="P588" s="51">
        <v>17</v>
      </c>
      <c r="Q588" s="77">
        <v>18</v>
      </c>
    </row>
    <row r="589" spans="1:17" x14ac:dyDescent="0.25">
      <c r="A589" s="52" t="s">
        <v>35</v>
      </c>
      <c r="B589" s="51" t="s">
        <v>400</v>
      </c>
      <c r="C589" s="51" t="s">
        <v>357</v>
      </c>
      <c r="D589" s="51">
        <v>10.5</v>
      </c>
      <c r="E589" s="51">
        <v>18.75</v>
      </c>
      <c r="F589" s="51" t="s">
        <v>382</v>
      </c>
      <c r="G589" s="51">
        <v>1</v>
      </c>
      <c r="H589" s="51">
        <v>17</v>
      </c>
      <c r="I589" s="51">
        <v>-3.2857142857142865</v>
      </c>
      <c r="J589" s="51">
        <v>9</v>
      </c>
      <c r="K589" s="51">
        <v>7</v>
      </c>
      <c r="L589" s="51">
        <v>1</v>
      </c>
      <c r="M589" s="51">
        <v>13.714285714285714</v>
      </c>
      <c r="N589" s="206">
        <v>6</v>
      </c>
      <c r="O589" s="51" t="s">
        <v>421</v>
      </c>
      <c r="P589" s="51">
        <v>17</v>
      </c>
      <c r="Q589" s="77">
        <v>18</v>
      </c>
    </row>
    <row r="590" spans="1:17" x14ac:dyDescent="0.25">
      <c r="A590" s="52" t="s">
        <v>74</v>
      </c>
      <c r="B590" s="51" t="s">
        <v>85</v>
      </c>
      <c r="C590" s="51" t="s">
        <v>352</v>
      </c>
      <c r="D590" s="51">
        <v>8.5</v>
      </c>
      <c r="E590" s="51">
        <v>12.5</v>
      </c>
      <c r="F590" s="51" t="s">
        <v>384</v>
      </c>
      <c r="G590" s="51">
        <v>2</v>
      </c>
      <c r="H590" s="51">
        <v>14</v>
      </c>
      <c r="I590" s="51">
        <v>2</v>
      </c>
      <c r="J590" s="51">
        <v>10</v>
      </c>
      <c r="K590" s="51">
        <v>7</v>
      </c>
      <c r="L590" s="51">
        <v>0</v>
      </c>
      <c r="M590" s="51">
        <v>16</v>
      </c>
      <c r="N590" s="206">
        <v>7</v>
      </c>
      <c r="O590" s="51" t="s">
        <v>421</v>
      </c>
      <c r="P590" s="51">
        <v>17</v>
      </c>
      <c r="Q590" s="77">
        <v>18</v>
      </c>
    </row>
    <row r="591" spans="1:17" x14ac:dyDescent="0.25">
      <c r="A591" s="52" t="s">
        <v>13</v>
      </c>
      <c r="B591" s="51" t="s">
        <v>67</v>
      </c>
      <c r="C591" s="51" t="s">
        <v>383</v>
      </c>
      <c r="D591" s="51">
        <v>6.5</v>
      </c>
      <c r="E591" s="51">
        <v>6.25</v>
      </c>
      <c r="F591" s="51" t="s">
        <v>384</v>
      </c>
      <c r="G591" s="51">
        <v>3</v>
      </c>
      <c r="H591" s="51">
        <v>3</v>
      </c>
      <c r="I591" s="51">
        <v>8.428571428571427</v>
      </c>
      <c r="J591" s="51">
        <v>8</v>
      </c>
      <c r="K591" s="51">
        <v>9</v>
      </c>
      <c r="L591" s="51">
        <v>0</v>
      </c>
      <c r="M591" s="51">
        <v>11.428571428571427</v>
      </c>
      <c r="N591" s="206">
        <v>5</v>
      </c>
      <c r="O591" s="51" t="s">
        <v>421</v>
      </c>
      <c r="P591" s="51">
        <v>17</v>
      </c>
      <c r="Q591" s="77">
        <v>18</v>
      </c>
    </row>
    <row r="592" spans="1:17" x14ac:dyDescent="0.25">
      <c r="A592" s="52" t="s">
        <v>59</v>
      </c>
      <c r="B592" s="51" t="s">
        <v>75</v>
      </c>
      <c r="C592" s="51" t="s">
        <v>357</v>
      </c>
      <c r="D592" s="51">
        <v>8.5</v>
      </c>
      <c r="E592" s="51">
        <v>12.5</v>
      </c>
      <c r="F592" s="51" t="s">
        <v>376</v>
      </c>
      <c r="G592" s="51">
        <v>1</v>
      </c>
      <c r="H592" s="51">
        <v>14</v>
      </c>
      <c r="I592" s="51">
        <v>-0.28571428571428648</v>
      </c>
      <c r="J592" s="51">
        <v>9</v>
      </c>
      <c r="K592" s="51">
        <v>8</v>
      </c>
      <c r="L592" s="51">
        <v>0</v>
      </c>
      <c r="M592" s="51">
        <v>13.714285714285714</v>
      </c>
      <c r="N592" s="206">
        <v>6</v>
      </c>
      <c r="O592" s="51" t="s">
        <v>421</v>
      </c>
      <c r="P592" s="51">
        <v>17</v>
      </c>
      <c r="Q592" s="77">
        <v>18</v>
      </c>
    </row>
    <row r="593" spans="1:17" x14ac:dyDescent="0.25">
      <c r="A593" s="52" t="s">
        <v>43</v>
      </c>
      <c r="B593" s="51" t="s">
        <v>57</v>
      </c>
      <c r="C593" s="51" t="s">
        <v>368</v>
      </c>
      <c r="D593" s="51">
        <v>7.5</v>
      </c>
      <c r="E593" s="51">
        <v>9.375</v>
      </c>
      <c r="F593" s="51" t="s">
        <v>378</v>
      </c>
      <c r="G593" s="51">
        <v>3</v>
      </c>
      <c r="H593" s="51">
        <v>1</v>
      </c>
      <c r="I593" s="51">
        <v>10.428571428571427</v>
      </c>
      <c r="J593" s="51">
        <v>8</v>
      </c>
      <c r="K593" s="51">
        <v>9</v>
      </c>
      <c r="L593" s="51">
        <v>0</v>
      </c>
      <c r="M593" s="51">
        <v>11.428571428571427</v>
      </c>
      <c r="N593" s="206">
        <v>5</v>
      </c>
      <c r="O593" s="51" t="s">
        <v>421</v>
      </c>
      <c r="P593" s="51">
        <v>17</v>
      </c>
      <c r="Q593" s="77">
        <v>18</v>
      </c>
    </row>
    <row r="594" spans="1:17" x14ac:dyDescent="0.25">
      <c r="A594" s="52" t="s">
        <v>11</v>
      </c>
      <c r="B594" s="51" t="s">
        <v>10</v>
      </c>
      <c r="C594" s="51" t="s">
        <v>357</v>
      </c>
      <c r="D594" s="51">
        <v>10.5</v>
      </c>
      <c r="E594" s="51">
        <v>18.75</v>
      </c>
      <c r="F594" s="51" t="s">
        <v>378</v>
      </c>
      <c r="G594" s="51">
        <v>2</v>
      </c>
      <c r="H594" s="51">
        <v>19</v>
      </c>
      <c r="I594" s="51">
        <v>-5.2857142857142865</v>
      </c>
      <c r="J594" s="51">
        <v>9</v>
      </c>
      <c r="K594" s="51">
        <v>8</v>
      </c>
      <c r="L594" s="51">
        <v>0</v>
      </c>
      <c r="M594" s="51">
        <v>13.714285714285714</v>
      </c>
      <c r="N594" s="206">
        <v>6</v>
      </c>
      <c r="O594" s="51" t="s">
        <v>421</v>
      </c>
      <c r="P594" s="51">
        <v>17</v>
      </c>
      <c r="Q594" s="77">
        <v>18</v>
      </c>
    </row>
    <row r="595" spans="1:17" x14ac:dyDescent="0.25">
      <c r="A595" s="52" t="s">
        <v>48</v>
      </c>
      <c r="B595" s="51" t="s">
        <v>47</v>
      </c>
      <c r="C595" s="51" t="s">
        <v>352</v>
      </c>
      <c r="D595" s="51">
        <v>11.5</v>
      </c>
      <c r="E595" s="51">
        <v>21.875</v>
      </c>
      <c r="F595" s="51" t="s">
        <v>379</v>
      </c>
      <c r="G595" s="51">
        <v>1</v>
      </c>
      <c r="H595" s="51">
        <v>25</v>
      </c>
      <c r="I595" s="51">
        <v>-13.571428571428573</v>
      </c>
      <c r="J595" s="51">
        <v>8</v>
      </c>
      <c r="K595" s="51">
        <v>9</v>
      </c>
      <c r="L595" s="51">
        <v>0</v>
      </c>
      <c r="M595" s="51">
        <v>11.428571428571427</v>
      </c>
      <c r="N595" s="206">
        <v>5</v>
      </c>
      <c r="O595" s="51" t="s">
        <v>421</v>
      </c>
      <c r="P595" s="51">
        <v>17</v>
      </c>
      <c r="Q595" s="77">
        <v>18</v>
      </c>
    </row>
    <row r="596" spans="1:17" x14ac:dyDescent="0.25">
      <c r="A596" s="52" t="s">
        <v>15</v>
      </c>
      <c r="B596" s="51" t="s">
        <v>14</v>
      </c>
      <c r="C596" s="51" t="s">
        <v>363</v>
      </c>
      <c r="D596" s="51">
        <v>7.5</v>
      </c>
      <c r="E596" s="51">
        <v>9.375</v>
      </c>
      <c r="F596" s="51" t="s">
        <v>382</v>
      </c>
      <c r="G596" s="51">
        <v>4</v>
      </c>
      <c r="H596" s="51">
        <v>8</v>
      </c>
      <c r="I596" s="51">
        <v>1.1428571428571423</v>
      </c>
      <c r="J596" s="51">
        <v>7</v>
      </c>
      <c r="K596" s="51">
        <v>9</v>
      </c>
      <c r="L596" s="51">
        <v>1</v>
      </c>
      <c r="M596" s="51">
        <v>9.1428571428571423</v>
      </c>
      <c r="N596" s="206">
        <v>4</v>
      </c>
      <c r="O596" s="51" t="s">
        <v>421</v>
      </c>
      <c r="P596" s="51">
        <v>17</v>
      </c>
      <c r="Q596" s="77">
        <v>18</v>
      </c>
    </row>
    <row r="597" spans="1:17" x14ac:dyDescent="0.25">
      <c r="A597" s="52" t="s">
        <v>1</v>
      </c>
      <c r="B597" s="51" t="s">
        <v>402</v>
      </c>
      <c r="C597" s="51" t="s">
        <v>383</v>
      </c>
      <c r="D597" s="51">
        <v>9.5</v>
      </c>
      <c r="E597" s="51">
        <v>15.625</v>
      </c>
      <c r="F597" s="51" t="s">
        <v>381</v>
      </c>
      <c r="G597" s="51">
        <v>2</v>
      </c>
      <c r="H597" s="51">
        <v>15</v>
      </c>
      <c r="I597" s="51">
        <v>-3.571428571428573</v>
      </c>
      <c r="J597" s="51">
        <v>8</v>
      </c>
      <c r="K597" s="51">
        <v>9</v>
      </c>
      <c r="L597" s="51">
        <v>0</v>
      </c>
      <c r="M597" s="51">
        <v>11.428571428571427</v>
      </c>
      <c r="N597" s="206">
        <v>5</v>
      </c>
      <c r="O597" s="51" t="s">
        <v>421</v>
      </c>
      <c r="P597" s="51">
        <v>17</v>
      </c>
      <c r="Q597" s="77">
        <v>18</v>
      </c>
    </row>
    <row r="598" spans="1:17" x14ac:dyDescent="0.25">
      <c r="A598" s="52" t="s">
        <v>3</v>
      </c>
      <c r="B598" s="51" t="s">
        <v>2</v>
      </c>
      <c r="C598" s="51" t="s">
        <v>359</v>
      </c>
      <c r="D598" s="51">
        <v>7.5</v>
      </c>
      <c r="E598" s="51">
        <v>9.375</v>
      </c>
      <c r="F598" s="51" t="s">
        <v>381</v>
      </c>
      <c r="G598" s="51">
        <v>4</v>
      </c>
      <c r="H598" s="51">
        <v>8</v>
      </c>
      <c r="I598" s="51">
        <v>1.1428571428571423</v>
      </c>
      <c r="J598" s="51">
        <v>7</v>
      </c>
      <c r="K598" s="51">
        <v>10</v>
      </c>
      <c r="L598" s="51">
        <v>0</v>
      </c>
      <c r="M598" s="51">
        <v>9.1428571428571423</v>
      </c>
      <c r="N598" s="206">
        <v>4</v>
      </c>
      <c r="O598" s="51" t="s">
        <v>421</v>
      </c>
      <c r="P598" s="51">
        <v>17</v>
      </c>
      <c r="Q598" s="77">
        <v>18</v>
      </c>
    </row>
    <row r="599" spans="1:17" x14ac:dyDescent="0.25">
      <c r="A599" s="52" t="s">
        <v>17</v>
      </c>
      <c r="B599" s="51" t="s">
        <v>399</v>
      </c>
      <c r="C599" s="51" t="s">
        <v>367</v>
      </c>
      <c r="D599" s="51">
        <v>11.5</v>
      </c>
      <c r="E599" s="51">
        <v>21.875</v>
      </c>
      <c r="F599" s="51" t="s">
        <v>377</v>
      </c>
      <c r="G599" s="51">
        <v>1</v>
      </c>
      <c r="H599" s="51">
        <v>24</v>
      </c>
      <c r="I599" s="51">
        <v>-17.142857142857142</v>
      </c>
      <c r="J599" s="51">
        <v>6</v>
      </c>
      <c r="K599" s="51">
        <v>11</v>
      </c>
      <c r="L599" s="51">
        <v>0</v>
      </c>
      <c r="M599" s="51">
        <v>6.8571428571428568</v>
      </c>
      <c r="N599" s="206">
        <v>3</v>
      </c>
      <c r="O599" s="51" t="s">
        <v>421</v>
      </c>
      <c r="P599" s="51">
        <v>17</v>
      </c>
      <c r="Q599" s="77">
        <v>18</v>
      </c>
    </row>
    <row r="600" spans="1:17" x14ac:dyDescent="0.25">
      <c r="A600" s="52" t="s">
        <v>70</v>
      </c>
      <c r="B600" s="51" t="s">
        <v>69</v>
      </c>
      <c r="C600" s="51" t="s">
        <v>383</v>
      </c>
      <c r="D600" s="51">
        <v>7.5</v>
      </c>
      <c r="E600" s="51">
        <v>9.375</v>
      </c>
      <c r="F600" s="51" t="s">
        <v>376</v>
      </c>
      <c r="G600" s="51">
        <v>3</v>
      </c>
      <c r="H600" s="51">
        <v>12</v>
      </c>
      <c r="I600" s="51">
        <v>-0.57142857142857295</v>
      </c>
      <c r="J600" s="51">
        <v>8</v>
      </c>
      <c r="K600" s="51">
        <v>9</v>
      </c>
      <c r="L600" s="51">
        <v>0</v>
      </c>
      <c r="M600" s="51">
        <v>11.428571428571427</v>
      </c>
      <c r="N600" s="206">
        <v>5</v>
      </c>
      <c r="O600" s="51" t="s">
        <v>421</v>
      </c>
      <c r="P600" s="51">
        <v>17</v>
      </c>
      <c r="Q600" s="77">
        <v>18</v>
      </c>
    </row>
    <row r="601" spans="1:17" x14ac:dyDescent="0.25">
      <c r="A601" s="52" t="s">
        <v>54</v>
      </c>
      <c r="B601" s="51" t="s">
        <v>77</v>
      </c>
      <c r="C601" s="51" t="s">
        <v>352</v>
      </c>
      <c r="D601" s="51">
        <v>9.5</v>
      </c>
      <c r="E601" s="51">
        <v>15.625</v>
      </c>
      <c r="F601" s="51" t="s">
        <v>380</v>
      </c>
      <c r="G601" s="51">
        <v>3</v>
      </c>
      <c r="H601" s="51">
        <v>14</v>
      </c>
      <c r="I601" s="51">
        <v>-7.1428571428571432</v>
      </c>
      <c r="J601" s="51">
        <v>6</v>
      </c>
      <c r="K601" s="51">
        <v>11</v>
      </c>
      <c r="L601" s="51">
        <v>0</v>
      </c>
      <c r="M601" s="51">
        <v>6.8571428571428568</v>
      </c>
      <c r="N601" s="206">
        <v>3</v>
      </c>
      <c r="O601" s="51" t="s">
        <v>421</v>
      </c>
      <c r="P601" s="51">
        <v>17</v>
      </c>
      <c r="Q601" s="77">
        <v>18</v>
      </c>
    </row>
    <row r="602" spans="1:17" x14ac:dyDescent="0.25">
      <c r="A602" s="52" t="s">
        <v>52</v>
      </c>
      <c r="B602" s="51" t="s">
        <v>403</v>
      </c>
      <c r="C602" s="51" t="s">
        <v>383</v>
      </c>
      <c r="D602" s="51">
        <v>5.5</v>
      </c>
      <c r="E602" s="51">
        <v>3.125</v>
      </c>
      <c r="F602" s="51" t="s">
        <v>377</v>
      </c>
      <c r="G602" s="51">
        <v>4</v>
      </c>
      <c r="H602" s="51">
        <v>3</v>
      </c>
      <c r="I602" s="51">
        <v>3.8571428571428568</v>
      </c>
      <c r="J602" s="51">
        <v>6</v>
      </c>
      <c r="K602" s="51">
        <v>11</v>
      </c>
      <c r="L602" s="51">
        <v>0</v>
      </c>
      <c r="M602" s="51">
        <v>6.8571428571428568</v>
      </c>
      <c r="N602" s="206">
        <v>3</v>
      </c>
      <c r="O602" s="51" t="s">
        <v>421</v>
      </c>
      <c r="P602" s="51">
        <v>17</v>
      </c>
      <c r="Q602" s="77">
        <v>18</v>
      </c>
    </row>
    <row r="603" spans="1:17" x14ac:dyDescent="0.25">
      <c r="A603" s="52" t="s">
        <v>5</v>
      </c>
      <c r="B603" s="51" t="s">
        <v>41</v>
      </c>
      <c r="C603" s="51" t="s">
        <v>363</v>
      </c>
      <c r="D603" s="51">
        <v>9.5</v>
      </c>
      <c r="E603" s="51">
        <v>15.625</v>
      </c>
      <c r="F603" s="51" t="s">
        <v>377</v>
      </c>
      <c r="G603" s="51">
        <v>2</v>
      </c>
      <c r="H603" s="51">
        <v>19</v>
      </c>
      <c r="I603" s="51">
        <v>-14.428571428571429</v>
      </c>
      <c r="J603" s="51">
        <v>5</v>
      </c>
      <c r="K603" s="51">
        <v>12</v>
      </c>
      <c r="L603" s="51">
        <v>0</v>
      </c>
      <c r="M603" s="51">
        <v>4.5714285714285712</v>
      </c>
      <c r="N603" s="206">
        <v>2</v>
      </c>
      <c r="O603" s="51" t="s">
        <v>421</v>
      </c>
      <c r="P603" s="51">
        <v>17</v>
      </c>
      <c r="Q603" s="77">
        <v>18</v>
      </c>
    </row>
    <row r="604" spans="1:17" x14ac:dyDescent="0.25">
      <c r="A604" s="52" t="s">
        <v>84</v>
      </c>
      <c r="B604" s="51" t="s">
        <v>91</v>
      </c>
      <c r="C604" s="51" t="s">
        <v>352</v>
      </c>
      <c r="D604" s="51">
        <v>4.5</v>
      </c>
      <c r="E604" s="51">
        <v>0</v>
      </c>
      <c r="F604" s="51" t="s">
        <v>380</v>
      </c>
      <c r="G604" s="51">
        <v>4</v>
      </c>
      <c r="H604" s="51">
        <v>1</v>
      </c>
      <c r="I604" s="51">
        <v>3.5714285714285712</v>
      </c>
      <c r="J604" s="51">
        <v>5</v>
      </c>
      <c r="K604" s="51">
        <v>12</v>
      </c>
      <c r="L604" s="51">
        <v>0</v>
      </c>
      <c r="M604" s="51">
        <v>4.5714285714285712</v>
      </c>
      <c r="N604" s="206">
        <v>2</v>
      </c>
      <c r="O604" s="51" t="s">
        <v>421</v>
      </c>
      <c r="P604" s="51">
        <v>17</v>
      </c>
      <c r="Q604" s="77">
        <v>18</v>
      </c>
    </row>
    <row r="605" spans="1:17" x14ac:dyDescent="0.25">
      <c r="A605" s="52" t="s">
        <v>28</v>
      </c>
      <c r="B605" s="51" t="s">
        <v>93</v>
      </c>
      <c r="C605" s="51" t="s">
        <v>355</v>
      </c>
      <c r="D605" s="51">
        <v>8.5</v>
      </c>
      <c r="E605" s="51">
        <v>12.5</v>
      </c>
      <c r="F605" s="51" t="s">
        <v>379</v>
      </c>
      <c r="G605" s="51">
        <v>2</v>
      </c>
      <c r="H605" s="51">
        <v>12</v>
      </c>
      <c r="I605" s="51">
        <v>-12</v>
      </c>
      <c r="J605" s="51">
        <v>3</v>
      </c>
      <c r="K605" s="51">
        <v>14</v>
      </c>
      <c r="L605" s="51">
        <v>0</v>
      </c>
      <c r="M605" s="51">
        <v>0</v>
      </c>
      <c r="N605" s="206">
        <v>0</v>
      </c>
      <c r="O605" s="51" t="s">
        <v>421</v>
      </c>
      <c r="P605" s="51">
        <v>17</v>
      </c>
      <c r="Q605" s="77">
        <v>18</v>
      </c>
    </row>
    <row r="606" spans="1:17" x14ac:dyDescent="0.25">
      <c r="A606" s="52" t="s">
        <v>24</v>
      </c>
      <c r="B606" s="51" t="s">
        <v>79</v>
      </c>
      <c r="C606" s="51" t="s">
        <v>359</v>
      </c>
      <c r="D606" s="51">
        <v>5.5</v>
      </c>
      <c r="E606" s="51">
        <v>3.125</v>
      </c>
      <c r="F606" s="51" t="s">
        <v>379</v>
      </c>
      <c r="G606" s="51">
        <v>4</v>
      </c>
      <c r="H606" s="51">
        <v>9</v>
      </c>
      <c r="I606" s="51">
        <v>-9</v>
      </c>
      <c r="J606" s="51">
        <v>3</v>
      </c>
      <c r="K606" s="51">
        <v>14</v>
      </c>
      <c r="L606" s="51">
        <v>0</v>
      </c>
      <c r="M606" s="51">
        <v>0</v>
      </c>
      <c r="N606" s="206">
        <v>0</v>
      </c>
      <c r="O606" s="51" t="s">
        <v>421</v>
      </c>
      <c r="P606" s="51">
        <v>17</v>
      </c>
      <c r="Q606" s="77">
        <v>18</v>
      </c>
    </row>
    <row r="607" spans="1:17" x14ac:dyDescent="0.25">
      <c r="A607" s="52" t="s">
        <v>20</v>
      </c>
      <c r="B607" s="51" t="s">
        <v>89</v>
      </c>
      <c r="C607" s="51" t="s">
        <v>368</v>
      </c>
      <c r="D607" s="51">
        <v>5.5</v>
      </c>
      <c r="E607" s="51">
        <v>3.125</v>
      </c>
      <c r="F607" s="51" t="s">
        <v>378</v>
      </c>
      <c r="G607" s="51">
        <v>4</v>
      </c>
      <c r="H607" s="51">
        <v>7</v>
      </c>
      <c r="I607" s="51">
        <v>-7</v>
      </c>
      <c r="J607" s="51">
        <v>3</v>
      </c>
      <c r="K607" s="51">
        <v>14</v>
      </c>
      <c r="L607" s="51">
        <v>0</v>
      </c>
      <c r="M607" s="51">
        <v>0</v>
      </c>
      <c r="N607" s="206">
        <v>0</v>
      </c>
      <c r="O607" s="51" t="s">
        <v>421</v>
      </c>
      <c r="P607" s="51">
        <v>17</v>
      </c>
      <c r="Q607" s="77">
        <v>18</v>
      </c>
    </row>
    <row r="608" spans="1:17" x14ac:dyDescent="0.25">
      <c r="A608" s="52" t="s">
        <v>50</v>
      </c>
      <c r="B608" s="51" t="s">
        <v>95</v>
      </c>
      <c r="C608" s="51" t="s">
        <v>363</v>
      </c>
      <c r="D608" s="51">
        <v>5.5</v>
      </c>
      <c r="E608" s="51">
        <v>3.125</v>
      </c>
      <c r="F608" s="51" t="s">
        <v>377</v>
      </c>
      <c r="G608" s="51">
        <v>3</v>
      </c>
      <c r="H608" s="51">
        <v>4</v>
      </c>
      <c r="I608" s="51">
        <v>-1.7142857142857144</v>
      </c>
      <c r="J608" s="51">
        <v>4</v>
      </c>
      <c r="K608" s="51">
        <v>13</v>
      </c>
      <c r="L608" s="51">
        <v>0</v>
      </c>
      <c r="M608" s="51">
        <v>2.2857142857142856</v>
      </c>
      <c r="N608" s="206">
        <v>1</v>
      </c>
      <c r="O608" s="51" t="s">
        <v>421</v>
      </c>
      <c r="P608" s="51">
        <v>17</v>
      </c>
      <c r="Q608" s="77">
        <v>18</v>
      </c>
    </row>
    <row r="609" spans="1:17" ht="15.75" thickBot="1" x14ac:dyDescent="0.3">
      <c r="A609" s="53" t="s">
        <v>81</v>
      </c>
      <c r="B609" s="54" t="s">
        <v>423</v>
      </c>
      <c r="C609" s="54" t="s">
        <v>367</v>
      </c>
      <c r="D609" s="54">
        <v>6.5</v>
      </c>
      <c r="E609" s="54">
        <v>6.25</v>
      </c>
      <c r="F609" s="54" t="s">
        <v>384</v>
      </c>
      <c r="G609" s="54">
        <v>4</v>
      </c>
      <c r="H609" s="54">
        <v>9</v>
      </c>
      <c r="I609" s="54">
        <v>-9</v>
      </c>
      <c r="J609" s="54">
        <v>3</v>
      </c>
      <c r="K609" s="54">
        <v>14</v>
      </c>
      <c r="L609" s="54">
        <v>0</v>
      </c>
      <c r="M609" s="54">
        <v>0</v>
      </c>
      <c r="N609" s="207">
        <v>0</v>
      </c>
      <c r="O609" s="54" t="s">
        <v>421</v>
      </c>
      <c r="P609" s="54">
        <v>17</v>
      </c>
      <c r="Q609" s="78">
        <v>18</v>
      </c>
    </row>
  </sheetData>
  <autoFilter ref="A1:Q33" xr:uid="{ACADAFBB-56BC-4ED4-A526-437593B2D306}"/>
  <conditionalFormatting sqref="N2:N60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A445-4481-4FE9-A94F-1DB03929B587}">
  <sheetPr>
    <tabColor theme="7" tint="0.79998168889431442"/>
  </sheetPr>
  <dimension ref="A1:X609"/>
  <sheetViews>
    <sheetView zoomScale="80" zoomScaleNormal="80" workbookViewId="0">
      <pane xSplit="2" ySplit="1" topLeftCell="C543" activePane="bottomRight" state="frozen"/>
      <selection pane="topRight" activeCell="G61" sqref="G61"/>
      <selection pane="bottomLeft" activeCell="G61" sqref="G61"/>
      <selection pane="bottomRight" activeCell="W579" sqref="W579:W609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1.42578125" bestFit="1" customWidth="1"/>
    <col min="4" max="4" width="13" bestFit="1" customWidth="1"/>
    <col min="5" max="6" width="12" bestFit="1" customWidth="1"/>
    <col min="7" max="7" width="11.5703125" bestFit="1" customWidth="1"/>
    <col min="8" max="8" width="14.140625" bestFit="1" customWidth="1"/>
    <col min="9" max="9" width="14.28515625" bestFit="1" customWidth="1"/>
    <col min="10" max="10" width="14.5703125" bestFit="1" customWidth="1"/>
    <col min="11" max="11" width="14.42578125" bestFit="1" customWidth="1"/>
    <col min="12" max="12" width="14.5703125" bestFit="1" customWidth="1"/>
    <col min="13" max="13" width="15" bestFit="1" customWidth="1"/>
    <col min="14" max="14" width="10.28515625" style="172" bestFit="1" customWidth="1"/>
    <col min="15" max="15" width="9.85546875" bestFit="1" customWidth="1"/>
    <col min="16" max="16" width="13.5703125" bestFit="1" customWidth="1"/>
    <col min="17" max="17" width="9.5703125" bestFit="1" customWidth="1"/>
    <col min="18" max="18" width="11.42578125" bestFit="1" customWidth="1"/>
    <col min="19" max="19" width="13" bestFit="1" customWidth="1"/>
    <col min="20" max="20" width="9.5703125" bestFit="1" customWidth="1"/>
    <col min="21" max="21" width="10.85546875" bestFit="1" customWidth="1"/>
    <col min="22" max="22" width="10.28515625" bestFit="1" customWidth="1"/>
    <col min="23" max="23" width="12.140625" bestFit="1" customWidth="1"/>
    <col min="24" max="24" width="13.140625" bestFit="1" customWidth="1"/>
  </cols>
  <sheetData>
    <row r="1" spans="1:24" ht="15.75" thickBot="1" x14ac:dyDescent="0.3">
      <c r="A1" s="86" t="s">
        <v>333</v>
      </c>
      <c r="B1" s="87" t="s">
        <v>426</v>
      </c>
      <c r="C1" s="87" t="s">
        <v>427</v>
      </c>
      <c r="D1" s="87" t="s">
        <v>428</v>
      </c>
      <c r="E1" s="87" t="s">
        <v>348</v>
      </c>
      <c r="F1" s="87" t="s">
        <v>429</v>
      </c>
      <c r="G1" s="87" t="s">
        <v>430</v>
      </c>
      <c r="H1" s="87" t="s">
        <v>431</v>
      </c>
      <c r="I1" s="87" t="s">
        <v>432</v>
      </c>
      <c r="J1" s="87" t="s">
        <v>433</v>
      </c>
      <c r="K1" s="87" t="s">
        <v>434</v>
      </c>
      <c r="L1" s="87" t="s">
        <v>435</v>
      </c>
      <c r="M1" s="87" t="s">
        <v>436</v>
      </c>
      <c r="N1" s="168" t="s">
        <v>437</v>
      </c>
      <c r="O1" s="87" t="s">
        <v>438</v>
      </c>
      <c r="P1" s="87" t="s">
        <v>439</v>
      </c>
      <c r="Q1" s="87" t="s">
        <v>440</v>
      </c>
      <c r="R1" s="87" t="s">
        <v>410</v>
      </c>
      <c r="S1" s="87" t="s">
        <v>441</v>
      </c>
      <c r="T1" s="87" t="s">
        <v>442</v>
      </c>
      <c r="U1" s="87" t="s">
        <v>443</v>
      </c>
      <c r="V1" s="86" t="s">
        <v>385</v>
      </c>
      <c r="W1" s="87" t="s">
        <v>397</v>
      </c>
      <c r="X1" s="88" t="s">
        <v>386</v>
      </c>
    </row>
    <row r="2" spans="1:24" x14ac:dyDescent="0.25">
      <c r="A2" s="74" t="s">
        <v>38</v>
      </c>
      <c r="B2" s="33">
        <v>2024</v>
      </c>
      <c r="C2" s="33">
        <v>1711.34</v>
      </c>
      <c r="D2" s="33">
        <v>3.2932000000000001</v>
      </c>
      <c r="E2" s="33">
        <v>7.6918699999999998</v>
      </c>
      <c r="F2" s="33">
        <v>1.7435499999999999</v>
      </c>
      <c r="G2" s="33">
        <v>7.1509400000000003</v>
      </c>
      <c r="H2" s="33">
        <v>0.111</v>
      </c>
      <c r="I2" s="33">
        <v>0.1479</v>
      </c>
      <c r="J2" s="33">
        <v>8.0817600000000003E-2</v>
      </c>
      <c r="K2" s="33">
        <v>-9.2799999999999994E-2</v>
      </c>
      <c r="L2" s="33">
        <v>-0.1084</v>
      </c>
      <c r="M2" s="33">
        <v>-0.117191</v>
      </c>
      <c r="N2" s="173">
        <v>0.20380000000000001</v>
      </c>
      <c r="O2" s="33">
        <v>28.952400000000001</v>
      </c>
      <c r="P2" s="33">
        <v>18.095199999999998</v>
      </c>
      <c r="Q2" s="33">
        <v>10.857100000000001</v>
      </c>
      <c r="R2" s="33">
        <v>18</v>
      </c>
      <c r="S2" s="33">
        <v>15.81</v>
      </c>
      <c r="T2" s="33">
        <v>13.2864</v>
      </c>
      <c r="U2" s="33">
        <v>15</v>
      </c>
      <c r="V2" s="89" t="str">
        <f t="shared" ref="V2:V33" si="0">IF(A2="OAK","LV",A2)</f>
        <v>PHI</v>
      </c>
      <c r="W2" s="90">
        <v>0</v>
      </c>
      <c r="X2" s="91">
        <v>2025</v>
      </c>
    </row>
    <row r="3" spans="1:24" x14ac:dyDescent="0.25">
      <c r="A3" s="74" t="s">
        <v>10</v>
      </c>
      <c r="B3" s="33">
        <v>2024</v>
      </c>
      <c r="C3" s="33">
        <v>1735.27</v>
      </c>
      <c r="D3" s="33">
        <v>27.537299999999998</v>
      </c>
      <c r="E3" s="33">
        <v>8.6490299999999998</v>
      </c>
      <c r="F3" s="33">
        <v>0</v>
      </c>
      <c r="G3" s="33">
        <v>5.53132</v>
      </c>
      <c r="H3" s="33">
        <v>0.1706</v>
      </c>
      <c r="I3" s="33">
        <v>0.25619999999999998</v>
      </c>
      <c r="J3" s="33">
        <v>3.78555E-2</v>
      </c>
      <c r="K3" s="33">
        <v>-2.6499999999999999E-2</v>
      </c>
      <c r="L3" s="33">
        <v>-5.7700000000000001E-2</v>
      </c>
      <c r="M3" s="33">
        <v>-1.5710200000000001E-2</v>
      </c>
      <c r="N3" s="169">
        <v>0.1971</v>
      </c>
      <c r="O3" s="33">
        <v>33.055599999999998</v>
      </c>
      <c r="P3" s="33">
        <v>21.5</v>
      </c>
      <c r="Q3" s="33">
        <v>11.5556</v>
      </c>
      <c r="R3" s="33">
        <v>15</v>
      </c>
      <c r="S3" s="33">
        <v>13.227499999999999</v>
      </c>
      <c r="T3" s="33">
        <v>12.441700000000001</v>
      </c>
      <c r="U3" s="33">
        <v>16</v>
      </c>
      <c r="V3" s="89" t="str">
        <f t="shared" si="0"/>
        <v>DET</v>
      </c>
      <c r="W3" s="90">
        <v>0</v>
      </c>
      <c r="X3" s="91">
        <v>2025</v>
      </c>
    </row>
    <row r="4" spans="1:24" x14ac:dyDescent="0.25">
      <c r="A4" s="74" t="s">
        <v>25</v>
      </c>
      <c r="B4" s="33">
        <v>2024</v>
      </c>
      <c r="C4" s="33">
        <v>1695.14</v>
      </c>
      <c r="D4" s="33">
        <v>27.422999999999998</v>
      </c>
      <c r="E4" s="33">
        <v>7.0438799999999997</v>
      </c>
      <c r="F4" s="33">
        <v>0</v>
      </c>
      <c r="G4" s="33">
        <v>2.4173800000000001</v>
      </c>
      <c r="H4" s="33">
        <v>0.1857</v>
      </c>
      <c r="I4" s="33">
        <v>0.25490000000000002</v>
      </c>
      <c r="J4" s="33">
        <v>9.7319799999999998E-2</v>
      </c>
      <c r="K4" s="33">
        <v>9.9000000000000008E-3</v>
      </c>
      <c r="L4" s="33">
        <v>6.5199999999999994E-2</v>
      </c>
      <c r="M4" s="33">
        <v>-7.4770400000000001E-2</v>
      </c>
      <c r="N4" s="169">
        <v>0.17580000000000001</v>
      </c>
      <c r="O4" s="33">
        <v>30.6</v>
      </c>
      <c r="P4" s="33">
        <v>21.6</v>
      </c>
      <c r="Q4" s="33">
        <v>9</v>
      </c>
      <c r="R4" s="33">
        <v>15</v>
      </c>
      <c r="S4" s="33">
        <v>13.907999999999999</v>
      </c>
      <c r="T4" s="33">
        <v>13.7286</v>
      </c>
      <c r="U4" s="33">
        <v>11</v>
      </c>
      <c r="V4" s="89" t="str">
        <f t="shared" si="0"/>
        <v>BUF</v>
      </c>
      <c r="W4" s="90">
        <v>0</v>
      </c>
      <c r="X4" s="91">
        <v>2025</v>
      </c>
    </row>
    <row r="5" spans="1:24" x14ac:dyDescent="0.25">
      <c r="A5" s="74" t="s">
        <v>47</v>
      </c>
      <c r="B5" s="33">
        <v>2024</v>
      </c>
      <c r="C5" s="33">
        <v>1781.94</v>
      </c>
      <c r="D5" s="33">
        <v>43.1511</v>
      </c>
      <c r="E5" s="33">
        <v>10.5159</v>
      </c>
      <c r="F5" s="33">
        <v>0</v>
      </c>
      <c r="G5" s="33">
        <v>6.3018000000000001</v>
      </c>
      <c r="H5" s="33">
        <v>0.18629999999999999</v>
      </c>
      <c r="I5" s="33">
        <v>0.33250000000000002</v>
      </c>
      <c r="J5" s="33">
        <v>0.10377699999999999</v>
      </c>
      <c r="K5" s="33">
        <v>2.1499999999999998E-2</v>
      </c>
      <c r="L5" s="33">
        <v>4.4999999999999997E-3</v>
      </c>
      <c r="M5" s="33">
        <v>-0.11665</v>
      </c>
      <c r="N5" s="169">
        <v>0.1648</v>
      </c>
      <c r="O5" s="33">
        <v>30.052600000000002</v>
      </c>
      <c r="P5" s="33">
        <v>21.157900000000001</v>
      </c>
      <c r="Q5" s="33">
        <v>8.8947000000000003</v>
      </c>
      <c r="R5" s="33">
        <v>13</v>
      </c>
      <c r="S5" s="33">
        <v>13.2377</v>
      </c>
      <c r="T5" s="33">
        <v>12.3142</v>
      </c>
      <c r="U5" s="33">
        <v>13</v>
      </c>
      <c r="V5" s="89" t="str">
        <f t="shared" si="0"/>
        <v>BAL</v>
      </c>
      <c r="W5" s="90">
        <v>0</v>
      </c>
      <c r="X5" s="91">
        <v>2025</v>
      </c>
    </row>
    <row r="6" spans="1:24" x14ac:dyDescent="0.25">
      <c r="A6" s="74" t="s">
        <v>400</v>
      </c>
      <c r="B6" s="33">
        <v>2024</v>
      </c>
      <c r="C6" s="33">
        <v>1634.51</v>
      </c>
      <c r="D6" s="33">
        <v>-6.7750000000000004</v>
      </c>
      <c r="E6" s="33">
        <v>4.6183500000000004</v>
      </c>
      <c r="F6" s="33">
        <v>0</v>
      </c>
      <c r="G6" s="33">
        <v>2.98089</v>
      </c>
      <c r="H6" s="33">
        <v>7.5999999999999998E-2</v>
      </c>
      <c r="I6" s="33">
        <v>0.122</v>
      </c>
      <c r="J6" s="33">
        <v>9.1219300000000003E-3</v>
      </c>
      <c r="K6" s="33">
        <v>-5.04E-2</v>
      </c>
      <c r="L6" s="33">
        <v>-6.0400000000000002E-2</v>
      </c>
      <c r="M6" s="33">
        <v>-7.9094399999999995E-2</v>
      </c>
      <c r="N6" s="169">
        <v>0.12640000000000001</v>
      </c>
      <c r="O6" s="33">
        <v>26.1111</v>
      </c>
      <c r="P6" s="33">
        <v>20</v>
      </c>
      <c r="Q6" s="33">
        <v>6.1111000000000004</v>
      </c>
      <c r="R6" s="33">
        <v>11</v>
      </c>
      <c r="S6" s="33">
        <v>11.752599999999999</v>
      </c>
      <c r="T6" s="33">
        <v>10.610099999999999</v>
      </c>
      <c r="U6" s="33">
        <v>8</v>
      </c>
      <c r="V6" s="89" t="str">
        <f t="shared" si="0"/>
        <v>GB</v>
      </c>
      <c r="W6" s="90">
        <v>0</v>
      </c>
      <c r="X6" s="91">
        <v>2025</v>
      </c>
    </row>
    <row r="7" spans="1:24" x14ac:dyDescent="0.25">
      <c r="A7" s="74" t="s">
        <v>402</v>
      </c>
      <c r="B7" s="33">
        <v>2024</v>
      </c>
      <c r="C7" s="33">
        <v>1581.23</v>
      </c>
      <c r="D7" s="33">
        <v>41.134399999999999</v>
      </c>
      <c r="E7" s="33">
        <v>2.48733</v>
      </c>
      <c r="F7" s="33">
        <v>0</v>
      </c>
      <c r="G7" s="33">
        <v>3.4315000000000002</v>
      </c>
      <c r="H7" s="33">
        <v>0.13300000000000001</v>
      </c>
      <c r="I7" s="33">
        <v>0.20399999999999999</v>
      </c>
      <c r="J7" s="33">
        <v>2.34498E-2</v>
      </c>
      <c r="K7" s="33">
        <v>1.6899999999999998E-2</v>
      </c>
      <c r="L7" s="33">
        <v>6.2300000000000001E-2</v>
      </c>
      <c r="M7" s="33">
        <v>-5.2991499999999997E-2</v>
      </c>
      <c r="N7" s="169">
        <v>0.11609999999999999</v>
      </c>
      <c r="O7" s="33">
        <v>29</v>
      </c>
      <c r="P7" s="33">
        <v>22.666699999999999</v>
      </c>
      <c r="Q7" s="33">
        <v>6.3333000000000004</v>
      </c>
      <c r="R7" s="33">
        <v>10</v>
      </c>
      <c r="S7" s="33">
        <v>11.5556</v>
      </c>
      <c r="T7" s="33">
        <v>10.3865</v>
      </c>
      <c r="U7" s="33">
        <v>10</v>
      </c>
      <c r="V7" s="89" t="str">
        <f t="shared" si="0"/>
        <v>TB</v>
      </c>
      <c r="W7" s="90">
        <v>0</v>
      </c>
      <c r="X7" s="91">
        <v>2025</v>
      </c>
    </row>
    <row r="8" spans="1:24" x14ac:dyDescent="0.25">
      <c r="A8" s="74" t="s">
        <v>75</v>
      </c>
      <c r="B8" s="33">
        <v>2024</v>
      </c>
      <c r="C8" s="33">
        <v>1610.35</v>
      </c>
      <c r="D8" s="33">
        <v>10.6549</v>
      </c>
      <c r="E8" s="33">
        <v>3.6522999999999999</v>
      </c>
      <c r="F8" s="33">
        <v>0</v>
      </c>
      <c r="G8" s="33">
        <v>4.8529799999999996</v>
      </c>
      <c r="H8" s="33">
        <v>1.03E-2</v>
      </c>
      <c r="I8" s="33">
        <v>2.2599999999999999E-2</v>
      </c>
      <c r="J8" s="33">
        <v>-6.7991899999999994E-2</v>
      </c>
      <c r="K8" s="33">
        <v>-9.0899999999999995E-2</v>
      </c>
      <c r="L8" s="33">
        <v>-4.5499999999999999E-2</v>
      </c>
      <c r="M8" s="33">
        <v>-0.159888</v>
      </c>
      <c r="N8" s="169">
        <v>0.1013</v>
      </c>
      <c r="O8" s="33">
        <v>24.5</v>
      </c>
      <c r="P8" s="33">
        <v>19.944400000000002</v>
      </c>
      <c r="Q8" s="33">
        <v>4.5556000000000001</v>
      </c>
      <c r="R8" s="33">
        <v>14</v>
      </c>
      <c r="S8" s="33">
        <v>11.1516</v>
      </c>
      <c r="T8" s="33">
        <v>10.8361</v>
      </c>
      <c r="U8" s="33">
        <v>13</v>
      </c>
      <c r="V8" s="89" t="str">
        <f t="shared" si="0"/>
        <v>MIN</v>
      </c>
      <c r="W8" s="90">
        <v>0</v>
      </c>
      <c r="X8" s="91">
        <v>2025</v>
      </c>
    </row>
    <row r="9" spans="1:24" x14ac:dyDescent="0.25">
      <c r="A9" s="74" t="s">
        <v>63</v>
      </c>
      <c r="B9" s="33">
        <v>2024</v>
      </c>
      <c r="C9" s="33">
        <v>1659.29</v>
      </c>
      <c r="D9" s="33">
        <v>39.364699999999999</v>
      </c>
      <c r="E9" s="33">
        <v>5.6098299999999997</v>
      </c>
      <c r="F9" s="33">
        <v>0</v>
      </c>
      <c r="G9" s="33">
        <v>8.9597599999999993</v>
      </c>
      <c r="H9" s="33">
        <v>2.5999999999999999E-2</v>
      </c>
      <c r="I9" s="33">
        <v>3.2399999999999998E-2</v>
      </c>
      <c r="J9" s="33">
        <v>-3.2801799999999999E-2</v>
      </c>
      <c r="K9" s="33">
        <v>-7.1300000000000002E-2</v>
      </c>
      <c r="L9" s="33">
        <v>-0.10349999999999999</v>
      </c>
      <c r="M9" s="33">
        <v>-9.9278900000000003E-2</v>
      </c>
      <c r="N9" s="169">
        <v>9.7299999999999998E-2</v>
      </c>
      <c r="O9" s="33">
        <v>24</v>
      </c>
      <c r="P9" s="33">
        <v>19</v>
      </c>
      <c r="Q9" s="33">
        <v>5</v>
      </c>
      <c r="R9" s="33">
        <v>10</v>
      </c>
      <c r="S9" s="33">
        <v>11.4297</v>
      </c>
      <c r="T9" s="33">
        <v>8.9608299999999996</v>
      </c>
      <c r="U9" s="33">
        <v>11</v>
      </c>
      <c r="V9" s="89" t="str">
        <f t="shared" si="0"/>
        <v>DEN</v>
      </c>
      <c r="W9" s="90">
        <v>0</v>
      </c>
      <c r="X9" s="91">
        <v>2025</v>
      </c>
    </row>
    <row r="10" spans="1:24" x14ac:dyDescent="0.25">
      <c r="A10" s="74" t="s">
        <v>60</v>
      </c>
      <c r="B10" s="33">
        <v>2024</v>
      </c>
      <c r="C10" s="33">
        <v>1624.07</v>
      </c>
      <c r="D10" s="33">
        <v>14.5642</v>
      </c>
      <c r="E10" s="33">
        <v>4.2009499999999997</v>
      </c>
      <c r="F10" s="33">
        <v>0</v>
      </c>
      <c r="G10" s="33">
        <v>6.2030200000000004</v>
      </c>
      <c r="H10" s="33">
        <v>2.3199999999999998E-2</v>
      </c>
      <c r="I10" s="33">
        <v>5.4300000000000001E-2</v>
      </c>
      <c r="J10" s="33">
        <v>-6.15606E-2</v>
      </c>
      <c r="K10" s="33">
        <v>-6.9900000000000004E-2</v>
      </c>
      <c r="L10" s="33">
        <v>-0.08</v>
      </c>
      <c r="M10" s="33">
        <v>-6.8646100000000002E-2</v>
      </c>
      <c r="N10" s="169">
        <v>9.2999999999999999E-2</v>
      </c>
      <c r="O10" s="33">
        <v>23</v>
      </c>
      <c r="P10" s="33">
        <v>18.5</v>
      </c>
      <c r="Q10" s="33">
        <v>4.5</v>
      </c>
      <c r="R10" s="33">
        <v>11</v>
      </c>
      <c r="S10" s="33">
        <v>11.271800000000001</v>
      </c>
      <c r="T10" s="33">
        <v>9.3705300000000005</v>
      </c>
      <c r="U10" s="33">
        <v>12</v>
      </c>
      <c r="V10" s="89" t="str">
        <f t="shared" si="0"/>
        <v>LAC</v>
      </c>
      <c r="W10" s="90">
        <v>0</v>
      </c>
      <c r="X10" s="91">
        <v>2025</v>
      </c>
    </row>
    <row r="11" spans="1:24" x14ac:dyDescent="0.25">
      <c r="A11" s="74" t="s">
        <v>41</v>
      </c>
      <c r="B11" s="33">
        <v>2024</v>
      </c>
      <c r="C11" s="33">
        <v>1599.8</v>
      </c>
      <c r="D11" s="33">
        <v>36.3812</v>
      </c>
      <c r="E11" s="33">
        <v>3.2303000000000002</v>
      </c>
      <c r="F11" s="33">
        <v>0</v>
      </c>
      <c r="G11" s="33">
        <v>8.04575</v>
      </c>
      <c r="H11" s="33">
        <v>0.1482</v>
      </c>
      <c r="I11" s="33">
        <v>0.14829999999999999</v>
      </c>
      <c r="J11" s="33">
        <v>0.100921</v>
      </c>
      <c r="K11" s="33">
        <v>7.7899999999999997E-2</v>
      </c>
      <c r="L11" s="33">
        <v>5.8299999999999998E-2</v>
      </c>
      <c r="M11" s="33">
        <v>2.28313E-3</v>
      </c>
      <c r="N11" s="169">
        <v>7.0300000000000001E-2</v>
      </c>
      <c r="O11" s="33">
        <v>28.8</v>
      </c>
      <c r="P11" s="33">
        <v>24.85</v>
      </c>
      <c r="Q11" s="33">
        <v>3.95</v>
      </c>
      <c r="R11" s="33">
        <v>14</v>
      </c>
      <c r="S11" s="33">
        <v>11.730499999999999</v>
      </c>
      <c r="T11" s="33">
        <v>8.8104899999999997</v>
      </c>
      <c r="U11" s="33">
        <v>10</v>
      </c>
      <c r="V11" s="89" t="str">
        <f t="shared" si="0"/>
        <v>WAS</v>
      </c>
      <c r="W11" s="90">
        <v>0</v>
      </c>
      <c r="X11" s="91">
        <v>2025</v>
      </c>
    </row>
    <row r="12" spans="1:24" x14ac:dyDescent="0.25">
      <c r="A12" s="74" t="s">
        <v>399</v>
      </c>
      <c r="B12" s="33">
        <v>2024</v>
      </c>
      <c r="C12" s="33">
        <v>1626.31</v>
      </c>
      <c r="D12" s="33">
        <v>16.214099999999998</v>
      </c>
      <c r="E12" s="33">
        <v>4.2903099999999998</v>
      </c>
      <c r="F12" s="33">
        <v>1.34927</v>
      </c>
      <c r="G12" s="33">
        <v>-1.3060099999999999</v>
      </c>
      <c r="H12" s="33">
        <v>6.0999999999999999E-2</v>
      </c>
      <c r="I12" s="33">
        <v>8.8200000000000001E-2</v>
      </c>
      <c r="J12" s="33">
        <v>-2.4509599999999999E-3</v>
      </c>
      <c r="K12" s="33">
        <v>1.3899999999999999E-2</v>
      </c>
      <c r="L12" s="33">
        <v>6.9599999999999995E-2</v>
      </c>
      <c r="M12" s="33">
        <v>-3.4476100000000003E-2</v>
      </c>
      <c r="N12" s="169">
        <v>4.7100000000000003E-2</v>
      </c>
      <c r="O12" s="33">
        <v>23.1</v>
      </c>
      <c r="P12" s="33">
        <v>20.45</v>
      </c>
      <c r="Q12" s="33">
        <v>2.65</v>
      </c>
      <c r="R12" s="33">
        <v>17</v>
      </c>
      <c r="S12" s="33">
        <v>11.433999999999999</v>
      </c>
      <c r="T12" s="33">
        <v>14.517300000000001</v>
      </c>
      <c r="U12" s="33">
        <v>13</v>
      </c>
      <c r="V12" s="89" t="str">
        <f t="shared" si="0"/>
        <v>KC</v>
      </c>
      <c r="W12" s="90">
        <v>0</v>
      </c>
      <c r="X12" s="91">
        <v>2025</v>
      </c>
    </row>
    <row r="13" spans="1:24" x14ac:dyDescent="0.25">
      <c r="A13" s="74" t="s">
        <v>77</v>
      </c>
      <c r="B13" s="33">
        <v>2024</v>
      </c>
      <c r="C13" s="33">
        <v>1617.08</v>
      </c>
      <c r="D13" s="33">
        <v>38.356400000000001</v>
      </c>
      <c r="E13" s="33">
        <v>3.92137</v>
      </c>
      <c r="F13" s="33">
        <v>0</v>
      </c>
      <c r="G13" s="33">
        <v>1.7205999999999999</v>
      </c>
      <c r="H13" s="33">
        <v>0.1173</v>
      </c>
      <c r="I13" s="33">
        <v>0.1525</v>
      </c>
      <c r="J13" s="33">
        <v>-2.4970300000000001E-2</v>
      </c>
      <c r="K13" s="33">
        <v>7.2499999999999995E-2</v>
      </c>
      <c r="L13" s="33">
        <v>4.1000000000000002E-2</v>
      </c>
      <c r="M13" s="33">
        <v>1.5721700000000002E-2</v>
      </c>
      <c r="N13" s="169">
        <v>4.48E-2</v>
      </c>
      <c r="O13" s="33">
        <v>27.764700000000001</v>
      </c>
      <c r="P13" s="33">
        <v>25.529399999999999</v>
      </c>
      <c r="Q13" s="33">
        <v>2.2353000000000001</v>
      </c>
      <c r="R13" s="33">
        <v>9</v>
      </c>
      <c r="S13" s="33">
        <v>9.3427000000000007</v>
      </c>
      <c r="T13" s="33">
        <v>8.8541699999999999</v>
      </c>
      <c r="U13" s="33">
        <v>8</v>
      </c>
      <c r="V13" s="89" t="str">
        <f t="shared" si="0"/>
        <v>CIN</v>
      </c>
      <c r="W13" s="90">
        <v>0</v>
      </c>
      <c r="X13" s="91">
        <v>2025</v>
      </c>
    </row>
    <row r="14" spans="1:24" x14ac:dyDescent="0.25">
      <c r="A14" s="74" t="s">
        <v>85</v>
      </c>
      <c r="B14" s="33">
        <v>2024</v>
      </c>
      <c r="C14" s="33">
        <v>1531.36</v>
      </c>
      <c r="D14" s="33">
        <v>8.0366999999999997</v>
      </c>
      <c r="E14" s="33">
        <v>0.49252400000000002</v>
      </c>
      <c r="F14" s="33">
        <v>0</v>
      </c>
      <c r="G14" s="33">
        <v>0.43391099999999999</v>
      </c>
      <c r="H14" s="33">
        <v>1.2200000000000001E-2</v>
      </c>
      <c r="I14" s="33">
        <v>6.7000000000000002E-3</v>
      </c>
      <c r="J14" s="33">
        <v>-9.3285800000000002E-2</v>
      </c>
      <c r="K14" s="33">
        <v>-1.49E-2</v>
      </c>
      <c r="L14" s="33">
        <v>3.09E-2</v>
      </c>
      <c r="M14" s="33">
        <v>-6.26665E-2</v>
      </c>
      <c r="N14" s="169">
        <v>2.7099999999999999E-2</v>
      </c>
      <c r="O14" s="33">
        <v>21.8889</v>
      </c>
      <c r="P14" s="33">
        <v>20.833300000000001</v>
      </c>
      <c r="Q14" s="33">
        <v>1.0556000000000001</v>
      </c>
      <c r="R14" s="33">
        <v>10</v>
      </c>
      <c r="S14" s="33">
        <v>9.5265000000000004</v>
      </c>
      <c r="T14" s="33">
        <v>9.9124700000000008</v>
      </c>
      <c r="U14" s="33">
        <v>12</v>
      </c>
      <c r="V14" s="89" t="str">
        <f t="shared" si="0"/>
        <v>PIT</v>
      </c>
      <c r="W14" s="90">
        <v>0</v>
      </c>
      <c r="X14" s="91">
        <v>2025</v>
      </c>
    </row>
    <row r="15" spans="1:24" x14ac:dyDescent="0.25">
      <c r="A15" s="74" t="s">
        <v>93</v>
      </c>
      <c r="B15" s="33">
        <v>2024</v>
      </c>
      <c r="C15" s="33">
        <v>1501.97</v>
      </c>
      <c r="D15" s="33">
        <v>11.9818</v>
      </c>
      <c r="E15" s="33">
        <v>-0.68304699999999996</v>
      </c>
      <c r="F15" s="33">
        <v>0</v>
      </c>
      <c r="G15" s="33">
        <v>2.8154300000000001</v>
      </c>
      <c r="H15" s="33">
        <v>8.2199999999999995E-2</v>
      </c>
      <c r="I15" s="33">
        <v>8.0199999999999994E-2</v>
      </c>
      <c r="J15" s="33">
        <v>4.6397300000000002E-2</v>
      </c>
      <c r="K15" s="33">
        <v>6.3899999999999998E-2</v>
      </c>
      <c r="L15" s="33">
        <v>6.7699999999999996E-2</v>
      </c>
      <c r="M15" s="33">
        <v>3.1878799999999999E-2</v>
      </c>
      <c r="N15" s="169">
        <v>1.83E-2</v>
      </c>
      <c r="O15" s="33">
        <v>23.529399999999999</v>
      </c>
      <c r="P15" s="33">
        <v>22.2941</v>
      </c>
      <c r="Q15" s="33">
        <v>1.2353000000000001</v>
      </c>
      <c r="R15" s="33">
        <v>8</v>
      </c>
      <c r="S15" s="33">
        <v>9.0425000000000004</v>
      </c>
      <c r="T15" s="33">
        <v>6.6010999999999997</v>
      </c>
      <c r="U15" s="33">
        <v>8</v>
      </c>
      <c r="V15" s="89" t="str">
        <f t="shared" si="0"/>
        <v>ARI</v>
      </c>
      <c r="W15" s="90">
        <v>0</v>
      </c>
      <c r="X15" s="91">
        <v>2025</v>
      </c>
    </row>
    <row r="16" spans="1:24" x14ac:dyDescent="0.25">
      <c r="A16" s="74" t="s">
        <v>31</v>
      </c>
      <c r="B16" s="33">
        <v>2024</v>
      </c>
      <c r="C16" s="33">
        <v>1541.8</v>
      </c>
      <c r="D16" s="33">
        <v>-21.945799999999998</v>
      </c>
      <c r="E16" s="33">
        <v>0.91003900000000004</v>
      </c>
      <c r="F16" s="33">
        <v>0</v>
      </c>
      <c r="G16" s="33">
        <v>0.251162</v>
      </c>
      <c r="H16" s="33">
        <v>-2.3800000000000002E-2</v>
      </c>
      <c r="I16" s="33">
        <v>-4.0099999999999997E-2</v>
      </c>
      <c r="J16" s="33">
        <v>-7.2614799999999993E-2</v>
      </c>
      <c r="K16" s="33">
        <v>-3.8600000000000002E-2</v>
      </c>
      <c r="L16" s="33">
        <v>-9.9299999999999999E-2</v>
      </c>
      <c r="M16" s="33">
        <v>-8.4132999999999999E-2</v>
      </c>
      <c r="N16" s="169">
        <v>1.4800000000000001E-2</v>
      </c>
      <c r="O16" s="33">
        <v>22</v>
      </c>
      <c r="P16" s="33">
        <v>21.421099999999999</v>
      </c>
      <c r="Q16" s="33">
        <v>0.57889999999999997</v>
      </c>
      <c r="R16" s="33">
        <v>11</v>
      </c>
      <c r="S16" s="33">
        <v>9.8001000000000005</v>
      </c>
      <c r="T16" s="33">
        <v>9.5787899999999997</v>
      </c>
      <c r="U16" s="33">
        <v>11</v>
      </c>
      <c r="V16" s="89" t="str">
        <f t="shared" si="0"/>
        <v>HOU</v>
      </c>
      <c r="W16" s="90">
        <v>0</v>
      </c>
      <c r="X16" s="91">
        <v>2025</v>
      </c>
    </row>
    <row r="17" spans="1:24" x14ac:dyDescent="0.25">
      <c r="A17" s="74" t="s">
        <v>55</v>
      </c>
      <c r="B17" s="33">
        <v>2024</v>
      </c>
      <c r="C17" s="33">
        <v>1528.47</v>
      </c>
      <c r="D17" s="33">
        <v>-6.7663000000000002</v>
      </c>
      <c r="E17" s="33">
        <v>0.37686999999999998</v>
      </c>
      <c r="F17" s="33">
        <v>0</v>
      </c>
      <c r="G17" s="33">
        <v>8.8100600000000001E-2</v>
      </c>
      <c r="H17" s="33">
        <v>-1.2999999999999999E-2</v>
      </c>
      <c r="I17" s="33">
        <v>-1.7299999999999999E-2</v>
      </c>
      <c r="J17" s="33">
        <v>-5.35215E-2</v>
      </c>
      <c r="K17" s="33">
        <v>-1.35E-2</v>
      </c>
      <c r="L17" s="33">
        <v>-5.4999999999999997E-3</v>
      </c>
      <c r="M17" s="33">
        <v>-3.5908799999999998E-2</v>
      </c>
      <c r="N17" s="169">
        <v>5.9999999999999995E-4</v>
      </c>
      <c r="O17" s="33">
        <v>22.058800000000002</v>
      </c>
      <c r="P17" s="33">
        <v>21.647099999999998</v>
      </c>
      <c r="Q17" s="33">
        <v>0.4118</v>
      </c>
      <c r="R17" s="33">
        <v>10</v>
      </c>
      <c r="S17" s="33">
        <v>8.6898</v>
      </c>
      <c r="T17" s="33">
        <v>8.3842599999999994</v>
      </c>
      <c r="U17" s="33">
        <v>9</v>
      </c>
      <c r="V17" s="89" t="str">
        <f t="shared" si="0"/>
        <v>SEA</v>
      </c>
      <c r="W17" s="90">
        <v>0</v>
      </c>
      <c r="X17" s="91">
        <v>2025</v>
      </c>
    </row>
    <row r="18" spans="1:24" x14ac:dyDescent="0.25">
      <c r="A18" s="74" t="s">
        <v>21</v>
      </c>
      <c r="B18" s="33">
        <v>2024</v>
      </c>
      <c r="C18" s="33">
        <v>1562.78</v>
      </c>
      <c r="D18" s="33">
        <v>0.66359999999999997</v>
      </c>
      <c r="E18" s="33">
        <v>1.7481599999999999</v>
      </c>
      <c r="F18" s="33">
        <v>0</v>
      </c>
      <c r="G18" s="33">
        <v>-1.71241E-2</v>
      </c>
      <c r="H18" s="33">
        <v>1.9900000000000001E-2</v>
      </c>
      <c r="I18" s="33">
        <v>6.8699999999999997E-2</v>
      </c>
      <c r="J18" s="33">
        <v>-8.97564E-2</v>
      </c>
      <c r="K18" s="33">
        <v>2.9499999999999998E-2</v>
      </c>
      <c r="L18" s="33">
        <v>1.5699999999999999E-2</v>
      </c>
      <c r="M18" s="33">
        <v>1.6409900000000002E-2</v>
      </c>
      <c r="N18" s="169">
        <v>-9.4999999999999998E-3</v>
      </c>
      <c r="O18" s="33">
        <v>21.8947</v>
      </c>
      <c r="P18" s="33">
        <v>22.263200000000001</v>
      </c>
      <c r="Q18" s="33">
        <v>-0.36840000000000001</v>
      </c>
      <c r="R18" s="33">
        <v>11</v>
      </c>
      <c r="S18" s="33">
        <v>9.3122000000000007</v>
      </c>
      <c r="T18" s="33">
        <v>8.8007799999999996</v>
      </c>
      <c r="U18" s="33">
        <v>6</v>
      </c>
      <c r="V18" s="89" t="str">
        <f t="shared" si="0"/>
        <v>LAR</v>
      </c>
      <c r="W18" s="90">
        <v>0</v>
      </c>
      <c r="X18" s="91">
        <v>2025</v>
      </c>
    </row>
    <row r="19" spans="1:24" x14ac:dyDescent="0.25">
      <c r="A19" s="74" t="s">
        <v>2</v>
      </c>
      <c r="B19" s="33">
        <v>2024</v>
      </c>
      <c r="C19" s="33">
        <v>1482.06</v>
      </c>
      <c r="D19" s="33">
        <v>-60.935000000000002</v>
      </c>
      <c r="E19" s="33">
        <v>-1.4793400000000001</v>
      </c>
      <c r="F19" s="33">
        <v>0</v>
      </c>
      <c r="G19" s="33">
        <v>-3.9929199999999998</v>
      </c>
      <c r="H19" s="33">
        <v>-1.89E-2</v>
      </c>
      <c r="I19" s="33">
        <v>6.6699999999999995E-2</v>
      </c>
      <c r="J19" s="33">
        <v>-0.18599099999999999</v>
      </c>
      <c r="K19" s="33">
        <v>-3.3E-3</v>
      </c>
      <c r="L19" s="33">
        <v>8.8000000000000005E-3</v>
      </c>
      <c r="M19" s="33">
        <v>-6.6236400000000001E-2</v>
      </c>
      <c r="N19" s="173">
        <v>-1.5599999999999999E-2</v>
      </c>
      <c r="O19" s="33">
        <v>20.2941</v>
      </c>
      <c r="P19" s="33">
        <v>21.411799999999999</v>
      </c>
      <c r="Q19" s="33">
        <v>-1.1175999999999999</v>
      </c>
      <c r="R19" s="33">
        <v>8</v>
      </c>
      <c r="S19" s="33">
        <v>7.9607000000000001</v>
      </c>
      <c r="T19" s="33">
        <v>9.4378399999999996</v>
      </c>
      <c r="U19" s="33">
        <v>9</v>
      </c>
      <c r="V19" s="89" t="str">
        <f t="shared" si="0"/>
        <v>MIA</v>
      </c>
      <c r="W19" s="90">
        <v>0</v>
      </c>
      <c r="X19" s="91">
        <v>2025</v>
      </c>
    </row>
    <row r="20" spans="1:24" x14ac:dyDescent="0.25">
      <c r="A20" s="74" t="s">
        <v>69</v>
      </c>
      <c r="B20" s="33">
        <v>2024</v>
      </c>
      <c r="C20" s="33">
        <v>1509.63</v>
      </c>
      <c r="D20" s="33">
        <v>-34.337000000000003</v>
      </c>
      <c r="E20" s="33">
        <v>-0.37686999999999998</v>
      </c>
      <c r="F20" s="33">
        <v>0</v>
      </c>
      <c r="G20" s="33">
        <v>0.58333000000000002</v>
      </c>
      <c r="H20" s="33">
        <v>1.4800000000000001E-2</v>
      </c>
      <c r="I20" s="33">
        <v>5.16E-2</v>
      </c>
      <c r="J20" s="33">
        <v>2.5837899999999999E-4</v>
      </c>
      <c r="K20" s="33">
        <v>5.7299999999999997E-2</v>
      </c>
      <c r="L20" s="33">
        <v>0.10440000000000001</v>
      </c>
      <c r="M20" s="33">
        <v>7.3052100000000003E-3</v>
      </c>
      <c r="N20" s="169">
        <v>-4.2500000000000003E-2</v>
      </c>
      <c r="O20" s="33">
        <v>22.882400000000001</v>
      </c>
      <c r="P20" s="33">
        <v>24.882400000000001</v>
      </c>
      <c r="Q20" s="33">
        <v>-2</v>
      </c>
      <c r="R20" s="33">
        <v>8</v>
      </c>
      <c r="S20" s="33">
        <v>7.6588000000000003</v>
      </c>
      <c r="T20" s="33">
        <v>7.5307500000000003</v>
      </c>
      <c r="U20" s="33">
        <v>11</v>
      </c>
      <c r="V20" s="89" t="str">
        <f t="shared" si="0"/>
        <v>ATL</v>
      </c>
      <c r="W20" s="90">
        <v>0</v>
      </c>
      <c r="X20" s="91">
        <v>2025</v>
      </c>
    </row>
    <row r="21" spans="1:24" x14ac:dyDescent="0.25">
      <c r="A21" s="74" t="s">
        <v>405</v>
      </c>
      <c r="B21" s="33">
        <v>2024</v>
      </c>
      <c r="C21" s="33">
        <v>1473.11</v>
      </c>
      <c r="D21" s="33">
        <v>-63.822600000000001</v>
      </c>
      <c r="E21" s="33">
        <v>-1.83761</v>
      </c>
      <c r="F21" s="33">
        <v>0</v>
      </c>
      <c r="G21" s="33">
        <v>-7.0988800000000003</v>
      </c>
      <c r="H21" s="33">
        <v>3.09E-2</v>
      </c>
      <c r="I21" s="33">
        <v>0.11840000000000001</v>
      </c>
      <c r="J21" s="33">
        <v>-2.76407E-3</v>
      </c>
      <c r="K21" s="33">
        <v>8.2799999999999999E-2</v>
      </c>
      <c r="L21" s="33">
        <v>2.2200000000000001E-2</v>
      </c>
      <c r="M21" s="33">
        <v>3.9473399999999999E-2</v>
      </c>
      <c r="N21" s="173">
        <v>-5.1900000000000002E-2</v>
      </c>
      <c r="O21" s="33">
        <v>22.882400000000001</v>
      </c>
      <c r="P21" s="33">
        <v>25.647099999999998</v>
      </c>
      <c r="Q21" s="33">
        <v>-2.7646999999999999</v>
      </c>
      <c r="R21" s="33">
        <v>6</v>
      </c>
      <c r="S21" s="33">
        <v>7.3579999999999997</v>
      </c>
      <c r="T21" s="33">
        <v>10.355</v>
      </c>
      <c r="U21" s="33">
        <v>8</v>
      </c>
      <c r="V21" s="89" t="str">
        <f t="shared" si="0"/>
        <v>SF</v>
      </c>
      <c r="W21" s="90">
        <v>0</v>
      </c>
      <c r="X21" s="91">
        <v>2025</v>
      </c>
    </row>
    <row r="22" spans="1:24" x14ac:dyDescent="0.25">
      <c r="A22" s="74" t="s">
        <v>57</v>
      </c>
      <c r="B22" s="33">
        <v>2024</v>
      </c>
      <c r="C22" s="33">
        <v>1459.27</v>
      </c>
      <c r="D22" s="33">
        <v>8.1722999999999999</v>
      </c>
      <c r="E22" s="33">
        <v>-2.3922699999999999</v>
      </c>
      <c r="F22" s="33">
        <v>0</v>
      </c>
      <c r="G22" s="33">
        <v>0.25471700000000003</v>
      </c>
      <c r="H22" s="33">
        <v>-4.7100000000000003E-2</v>
      </c>
      <c r="I22" s="33">
        <v>-7.6999999999999999E-2</v>
      </c>
      <c r="J22" s="33">
        <v>-4.2666500000000003E-2</v>
      </c>
      <c r="K22" s="33">
        <v>1.11E-2</v>
      </c>
      <c r="L22" s="33">
        <v>7.9699999999999993E-2</v>
      </c>
      <c r="M22" s="33">
        <v>-9.1946200000000006E-2</v>
      </c>
      <c r="N22" s="169">
        <v>-5.8200000000000002E-2</v>
      </c>
      <c r="O22" s="33">
        <v>22.176500000000001</v>
      </c>
      <c r="P22" s="33">
        <v>25.117599999999999</v>
      </c>
      <c r="Q22" s="33">
        <v>-2.9411999999999998</v>
      </c>
      <c r="R22" s="33">
        <v>8</v>
      </c>
      <c r="S22" s="33">
        <v>7.2545999999999999</v>
      </c>
      <c r="T22" s="33">
        <v>7.5811799999999998</v>
      </c>
      <c r="U22" s="33">
        <v>10</v>
      </c>
      <c r="V22" s="89" t="str">
        <f t="shared" si="0"/>
        <v>IND</v>
      </c>
      <c r="W22" s="90">
        <v>0</v>
      </c>
      <c r="X22" s="91">
        <v>2025</v>
      </c>
    </row>
    <row r="23" spans="1:24" x14ac:dyDescent="0.25">
      <c r="A23" s="74" t="s">
        <v>79</v>
      </c>
      <c r="B23" s="33">
        <v>2024</v>
      </c>
      <c r="C23" s="33">
        <v>1454.63</v>
      </c>
      <c r="D23" s="33">
        <v>-5.7944000000000004</v>
      </c>
      <c r="E23" s="33">
        <v>-2.5768</v>
      </c>
      <c r="F23" s="33">
        <v>0</v>
      </c>
      <c r="G23" s="33">
        <v>-2.75007</v>
      </c>
      <c r="H23" s="33">
        <v>-5.5999999999999999E-3</v>
      </c>
      <c r="I23" s="33">
        <v>1.43E-2</v>
      </c>
      <c r="J23" s="33">
        <v>-6.5434300000000001E-2</v>
      </c>
      <c r="K23" s="33">
        <v>6.3399999999999998E-2</v>
      </c>
      <c r="L23" s="33">
        <v>4.1799999999999997E-2</v>
      </c>
      <c r="M23" s="33">
        <v>-1.3575799999999999E-3</v>
      </c>
      <c r="N23" s="169">
        <v>-6.9000000000000006E-2</v>
      </c>
      <c r="O23" s="33">
        <v>19.882400000000001</v>
      </c>
      <c r="P23" s="33">
        <v>23.764700000000001</v>
      </c>
      <c r="Q23" s="33">
        <v>-3.8824000000000001</v>
      </c>
      <c r="R23" s="33">
        <v>5</v>
      </c>
      <c r="S23" s="33">
        <v>6.7297000000000002</v>
      </c>
      <c r="T23" s="33">
        <v>7.0305299999999997</v>
      </c>
      <c r="U23" s="33">
        <v>8</v>
      </c>
      <c r="V23" s="89" t="str">
        <f t="shared" si="0"/>
        <v>NYJ</v>
      </c>
      <c r="W23" s="90">
        <v>0</v>
      </c>
      <c r="X23" s="91">
        <v>2025</v>
      </c>
    </row>
    <row r="24" spans="1:24" x14ac:dyDescent="0.25">
      <c r="A24" s="74" t="s">
        <v>403</v>
      </c>
      <c r="B24" s="33">
        <v>2024</v>
      </c>
      <c r="C24" s="33">
        <v>1294.21</v>
      </c>
      <c r="D24" s="33">
        <v>-85.3185</v>
      </c>
      <c r="E24" s="33">
        <v>-8.9935700000000001</v>
      </c>
      <c r="F24" s="33">
        <v>0</v>
      </c>
      <c r="G24" s="33">
        <v>-8.8164499999999997</v>
      </c>
      <c r="H24" s="33">
        <v>-6.6400000000000001E-2</v>
      </c>
      <c r="I24" s="33">
        <v>-0.1072</v>
      </c>
      <c r="J24" s="33">
        <v>2.5841000000000002E-3</v>
      </c>
      <c r="K24" s="33">
        <v>8.3000000000000001E-3</v>
      </c>
      <c r="L24" s="33">
        <v>-5.4000000000000003E-3</v>
      </c>
      <c r="M24" s="33">
        <v>8.4634100000000004E-2</v>
      </c>
      <c r="N24" s="169">
        <v>-7.46E-2</v>
      </c>
      <c r="O24" s="33">
        <v>19.882400000000001</v>
      </c>
      <c r="P24" s="33">
        <v>23.411799999999999</v>
      </c>
      <c r="Q24" s="33">
        <v>-3.5293999999999999</v>
      </c>
      <c r="R24" s="33">
        <v>5</v>
      </c>
      <c r="S24" s="33">
        <v>6.8743999999999996</v>
      </c>
      <c r="T24" s="33">
        <v>8.5540800000000008</v>
      </c>
      <c r="U24" s="33">
        <v>4</v>
      </c>
      <c r="V24" s="89" t="str">
        <f t="shared" si="0"/>
        <v>NO</v>
      </c>
      <c r="W24" s="90">
        <v>0</v>
      </c>
      <c r="X24" s="91">
        <v>2025</v>
      </c>
    </row>
    <row r="25" spans="1:24" x14ac:dyDescent="0.25">
      <c r="A25" s="74" t="s">
        <v>72</v>
      </c>
      <c r="B25" s="33">
        <v>2024</v>
      </c>
      <c r="C25" s="33">
        <v>1453.14</v>
      </c>
      <c r="D25" s="33">
        <v>-8.8958999999999993</v>
      </c>
      <c r="E25" s="33">
        <v>-2.6364200000000002</v>
      </c>
      <c r="F25" s="33">
        <v>0</v>
      </c>
      <c r="G25" s="33">
        <v>-0.44713399999999998</v>
      </c>
      <c r="H25" s="33">
        <v>-6.7400000000000002E-2</v>
      </c>
      <c r="I25" s="33">
        <v>-0.1076</v>
      </c>
      <c r="J25" s="33">
        <v>-6.3511799999999993E-2</v>
      </c>
      <c r="K25" s="33">
        <v>1.44E-2</v>
      </c>
      <c r="L25" s="33">
        <v>4.1999999999999997E-3</v>
      </c>
      <c r="M25" s="33">
        <v>2.3960499999999998E-3</v>
      </c>
      <c r="N25" s="169">
        <v>-8.1799999999999998E-2</v>
      </c>
      <c r="O25" s="33">
        <v>18.235299999999999</v>
      </c>
      <c r="P25" s="33">
        <v>21.764700000000001</v>
      </c>
      <c r="Q25" s="33">
        <v>-3.5293999999999999</v>
      </c>
      <c r="R25" s="33">
        <v>5</v>
      </c>
      <c r="S25" s="33">
        <v>6.7435</v>
      </c>
      <c r="T25" s="33">
        <v>6.9750100000000002</v>
      </c>
      <c r="U25" s="33">
        <v>7</v>
      </c>
      <c r="V25" s="89" t="str">
        <f t="shared" si="0"/>
        <v>CHI</v>
      </c>
      <c r="W25" s="90">
        <v>0</v>
      </c>
      <c r="X25" s="91">
        <v>2025</v>
      </c>
    </row>
    <row r="26" spans="1:24" x14ac:dyDescent="0.25">
      <c r="A26" s="74" t="s">
        <v>44</v>
      </c>
      <c r="B26" s="33">
        <v>2024</v>
      </c>
      <c r="C26" s="33">
        <v>1401.35</v>
      </c>
      <c r="D26" s="33">
        <v>-39.203400000000002</v>
      </c>
      <c r="E26" s="33">
        <v>-4.7080000000000002</v>
      </c>
      <c r="F26" s="33">
        <v>0</v>
      </c>
      <c r="G26" s="33">
        <v>-4.6493900000000004</v>
      </c>
      <c r="H26" s="33">
        <v>8.8000000000000005E-3</v>
      </c>
      <c r="I26" s="33">
        <v>-1.5699999999999999E-2</v>
      </c>
      <c r="J26" s="33">
        <v>-3.2835999999999997E-2</v>
      </c>
      <c r="K26" s="33">
        <v>0.127</v>
      </c>
      <c r="L26" s="33">
        <v>0.20849999999999999</v>
      </c>
      <c r="M26" s="33">
        <v>2.2297600000000001E-2</v>
      </c>
      <c r="N26" s="169">
        <v>-0.1183</v>
      </c>
      <c r="O26" s="33">
        <v>18.823499999999999</v>
      </c>
      <c r="P26" s="33">
        <v>25.588200000000001</v>
      </c>
      <c r="Q26" s="33">
        <v>-6.7647000000000004</v>
      </c>
      <c r="R26" s="33">
        <v>4</v>
      </c>
      <c r="S26" s="33">
        <v>5.5370999999999997</v>
      </c>
      <c r="T26" s="33">
        <v>7.2930299999999999</v>
      </c>
      <c r="U26" s="33">
        <v>4</v>
      </c>
      <c r="V26" s="89" t="str">
        <f t="shared" si="0"/>
        <v>JAX</v>
      </c>
      <c r="W26" s="90">
        <v>0</v>
      </c>
      <c r="X26" s="91">
        <v>2025</v>
      </c>
    </row>
    <row r="27" spans="1:24" x14ac:dyDescent="0.25">
      <c r="A27" s="74" t="s">
        <v>14</v>
      </c>
      <c r="B27" s="33">
        <v>2024</v>
      </c>
      <c r="C27" s="33">
        <v>1433.45</v>
      </c>
      <c r="D27" s="33">
        <v>-42.507899999999999</v>
      </c>
      <c r="E27" s="33">
        <v>-3.4251399999999999</v>
      </c>
      <c r="F27" s="33">
        <v>0</v>
      </c>
      <c r="G27" s="33">
        <v>-6.7957200000000002</v>
      </c>
      <c r="H27" s="33">
        <v>-5.9799999999999999E-2</v>
      </c>
      <c r="I27" s="33">
        <v>-0.11169999999999999</v>
      </c>
      <c r="J27" s="33">
        <v>-0.120584</v>
      </c>
      <c r="K27" s="33">
        <v>6.8000000000000005E-2</v>
      </c>
      <c r="L27" s="33">
        <v>2.9399999999999999E-2</v>
      </c>
      <c r="M27" s="33">
        <v>0.123459</v>
      </c>
      <c r="N27" s="169">
        <v>-0.12790000000000001</v>
      </c>
      <c r="O27" s="33">
        <v>20.588200000000001</v>
      </c>
      <c r="P27" s="33">
        <v>27.529399999999999</v>
      </c>
      <c r="Q27" s="33">
        <v>-6.9412000000000003</v>
      </c>
      <c r="R27" s="33">
        <v>7</v>
      </c>
      <c r="S27" s="33">
        <v>5.6840000000000002</v>
      </c>
      <c r="T27" s="33">
        <v>8.4576600000000006</v>
      </c>
      <c r="U27" s="33">
        <v>7</v>
      </c>
      <c r="V27" s="89" t="str">
        <f t="shared" si="0"/>
        <v>DAL</v>
      </c>
      <c r="W27" s="90">
        <v>0</v>
      </c>
      <c r="X27" s="91">
        <v>2025</v>
      </c>
    </row>
    <row r="28" spans="1:24" x14ac:dyDescent="0.25">
      <c r="A28" s="74" t="s">
        <v>401</v>
      </c>
      <c r="B28" s="33">
        <v>2024</v>
      </c>
      <c r="C28" s="33">
        <v>1406.05</v>
      </c>
      <c r="D28" s="33">
        <v>-4.6147</v>
      </c>
      <c r="E28" s="33">
        <v>-4.5197500000000002</v>
      </c>
      <c r="F28" s="33">
        <v>0</v>
      </c>
      <c r="G28" s="33">
        <v>-3.1163400000000001</v>
      </c>
      <c r="H28" s="33">
        <v>-0.1391</v>
      </c>
      <c r="I28" s="33">
        <v>-9.8599999999999993E-2</v>
      </c>
      <c r="J28" s="33">
        <v>-0.24051</v>
      </c>
      <c r="K28" s="33">
        <v>-1.2999999999999999E-3</v>
      </c>
      <c r="L28" s="33">
        <v>6.9900000000000004E-2</v>
      </c>
      <c r="M28" s="33">
        <v>-7.3008600000000007E-2</v>
      </c>
      <c r="N28" s="169">
        <v>-0.13780000000000001</v>
      </c>
      <c r="O28" s="33">
        <v>18.176500000000001</v>
      </c>
      <c r="P28" s="33">
        <v>25.529399999999999</v>
      </c>
      <c r="Q28" s="33">
        <v>-7.3529</v>
      </c>
      <c r="R28" s="33">
        <v>4</v>
      </c>
      <c r="S28" s="33">
        <v>5.2519</v>
      </c>
      <c r="T28" s="33">
        <v>6.5709999999999997</v>
      </c>
      <c r="U28" s="33">
        <v>3</v>
      </c>
      <c r="V28" s="89" t="str">
        <f t="shared" si="0"/>
        <v>LV</v>
      </c>
      <c r="W28" s="90">
        <v>0</v>
      </c>
      <c r="X28" s="91">
        <v>2025</v>
      </c>
    </row>
    <row r="29" spans="1:24" x14ac:dyDescent="0.25">
      <c r="A29" s="74" t="s">
        <v>404</v>
      </c>
      <c r="B29" s="33">
        <v>2024</v>
      </c>
      <c r="C29" s="33">
        <v>1268.29</v>
      </c>
      <c r="D29" s="33">
        <v>-78.099999999999994</v>
      </c>
      <c r="E29" s="33">
        <v>-10.0313</v>
      </c>
      <c r="F29" s="33">
        <v>0</v>
      </c>
      <c r="G29" s="33">
        <v>-7.4563100000000002</v>
      </c>
      <c r="H29" s="33">
        <v>-8.5500000000000007E-2</v>
      </c>
      <c r="I29" s="33">
        <v>-0.1095</v>
      </c>
      <c r="J29" s="33">
        <v>-7.0694000000000007E-2</v>
      </c>
      <c r="K29" s="33">
        <v>6.4299999999999996E-2</v>
      </c>
      <c r="L29" s="33">
        <v>0.13950000000000001</v>
      </c>
      <c r="M29" s="33">
        <v>-1.06322E-2</v>
      </c>
      <c r="N29" s="173">
        <v>-0.14979999999999999</v>
      </c>
      <c r="O29" s="33">
        <v>17</v>
      </c>
      <c r="P29" s="33">
        <v>24.529399999999999</v>
      </c>
      <c r="Q29" s="33">
        <v>-7.5293999999999999</v>
      </c>
      <c r="R29" s="33">
        <v>4</v>
      </c>
      <c r="S29" s="33">
        <v>5.0228999999999999</v>
      </c>
      <c r="T29" s="33">
        <v>5.4148199999999997</v>
      </c>
      <c r="U29" s="33">
        <v>4</v>
      </c>
      <c r="V29" s="89" t="str">
        <f t="shared" si="0"/>
        <v>NE</v>
      </c>
      <c r="W29" s="90">
        <v>0</v>
      </c>
      <c r="X29" s="91">
        <v>2025</v>
      </c>
    </row>
    <row r="30" spans="1:24" x14ac:dyDescent="0.25">
      <c r="A30" s="74" t="s">
        <v>95</v>
      </c>
      <c r="B30" s="33">
        <v>2024</v>
      </c>
      <c r="C30" s="33">
        <v>1333.22</v>
      </c>
      <c r="D30" s="33">
        <v>22.652999999999999</v>
      </c>
      <c r="E30" s="33">
        <v>-7.4331800000000001</v>
      </c>
      <c r="F30" s="33">
        <v>0</v>
      </c>
      <c r="G30" s="33">
        <v>-4.0553600000000003</v>
      </c>
      <c r="H30" s="33">
        <v>-0.1091</v>
      </c>
      <c r="I30" s="33">
        <v>-0.16109999999999999</v>
      </c>
      <c r="J30" s="33">
        <v>-6.8142999999999995E-2</v>
      </c>
      <c r="K30" s="33">
        <v>5.2200000000000003E-2</v>
      </c>
      <c r="L30" s="33">
        <v>0.11409999999999999</v>
      </c>
      <c r="M30" s="33">
        <v>-6.8484499999999999E-3</v>
      </c>
      <c r="N30" s="173">
        <v>-0.16120000000000001</v>
      </c>
      <c r="O30" s="33">
        <v>16.058800000000002</v>
      </c>
      <c r="P30" s="33">
        <v>24.411799999999999</v>
      </c>
      <c r="Q30" s="33">
        <v>-8.3529</v>
      </c>
      <c r="R30" s="33">
        <v>3</v>
      </c>
      <c r="S30" s="33">
        <v>4.5968999999999998</v>
      </c>
      <c r="T30" s="33">
        <v>6.4270899999999997</v>
      </c>
      <c r="U30" s="33">
        <v>5</v>
      </c>
      <c r="V30" s="89" t="str">
        <f t="shared" si="0"/>
        <v>NYG</v>
      </c>
      <c r="W30" s="90">
        <v>0</v>
      </c>
      <c r="X30" s="91">
        <v>2025</v>
      </c>
    </row>
    <row r="31" spans="1:24" x14ac:dyDescent="0.25">
      <c r="A31" s="74" t="s">
        <v>89</v>
      </c>
      <c r="B31" s="33">
        <v>2024</v>
      </c>
      <c r="C31" s="33">
        <v>1417.26</v>
      </c>
      <c r="D31" s="33">
        <v>49.6723</v>
      </c>
      <c r="E31" s="33">
        <v>-4.0715899999999996</v>
      </c>
      <c r="F31" s="33">
        <v>0</v>
      </c>
      <c r="G31" s="33">
        <v>-1.1978599999999999</v>
      </c>
      <c r="H31" s="33">
        <v>-0.1191</v>
      </c>
      <c r="I31" s="33">
        <v>-0.1341</v>
      </c>
      <c r="J31" s="33">
        <v>-0.111455</v>
      </c>
      <c r="K31" s="33">
        <v>0.05</v>
      </c>
      <c r="L31" s="33">
        <v>4.1200000000000001E-2</v>
      </c>
      <c r="M31" s="33">
        <v>-3.5874499999999998E-3</v>
      </c>
      <c r="N31" s="169">
        <v>-0.1691</v>
      </c>
      <c r="O31" s="33">
        <v>18.2941</v>
      </c>
      <c r="P31" s="33">
        <v>27.058800000000002</v>
      </c>
      <c r="Q31" s="33">
        <v>-8.7646999999999995</v>
      </c>
      <c r="R31" s="33">
        <v>3</v>
      </c>
      <c r="S31" s="33">
        <v>4.8177000000000003</v>
      </c>
      <c r="T31" s="33">
        <v>5.9402100000000004</v>
      </c>
      <c r="U31" s="33">
        <v>3</v>
      </c>
      <c r="V31" s="89" t="str">
        <f t="shared" si="0"/>
        <v>TEN</v>
      </c>
      <c r="W31" s="90">
        <v>0</v>
      </c>
      <c r="X31" s="91">
        <v>2025</v>
      </c>
    </row>
    <row r="32" spans="1:24" x14ac:dyDescent="0.25">
      <c r="A32" s="74" t="s">
        <v>91</v>
      </c>
      <c r="B32" s="33">
        <v>2024</v>
      </c>
      <c r="C32" s="33">
        <v>1374.49</v>
      </c>
      <c r="D32" s="33">
        <v>-16.829599999999999</v>
      </c>
      <c r="E32" s="33">
        <v>-5.7821499999999997</v>
      </c>
      <c r="F32" s="33">
        <v>0</v>
      </c>
      <c r="G32" s="33">
        <v>-6.1418400000000002</v>
      </c>
      <c r="H32" s="33">
        <v>-0.19639999999999999</v>
      </c>
      <c r="I32" s="33">
        <v>-0.26910000000000001</v>
      </c>
      <c r="J32" s="33">
        <v>-6.6102400000000006E-2</v>
      </c>
      <c r="K32" s="33">
        <v>-1.47E-2</v>
      </c>
      <c r="L32" s="33">
        <v>6.1199999999999997E-2</v>
      </c>
      <c r="M32" s="33">
        <v>-7.3735400000000006E-2</v>
      </c>
      <c r="N32" s="169">
        <v>-0.1817</v>
      </c>
      <c r="O32" s="33">
        <v>15.176500000000001</v>
      </c>
      <c r="P32" s="33">
        <v>25.588200000000001</v>
      </c>
      <c r="Q32" s="33">
        <v>-10.411799999999999</v>
      </c>
      <c r="R32" s="33">
        <v>3</v>
      </c>
      <c r="S32" s="33">
        <v>3.8212000000000002</v>
      </c>
      <c r="T32" s="33">
        <v>5.6923399999999997</v>
      </c>
      <c r="U32" s="33">
        <v>2</v>
      </c>
      <c r="V32" s="89" t="str">
        <f t="shared" si="0"/>
        <v>CLE</v>
      </c>
      <c r="W32" s="90">
        <v>0</v>
      </c>
      <c r="X32" s="91">
        <v>2025</v>
      </c>
    </row>
    <row r="33" spans="1:24" ht="15.75" thickBot="1" x14ac:dyDescent="0.3">
      <c r="A33" s="75" t="s">
        <v>67</v>
      </c>
      <c r="B33" s="76">
        <v>2024</v>
      </c>
      <c r="C33" s="76">
        <v>1342.04</v>
      </c>
      <c r="D33" s="76">
        <v>3.9258000000000002</v>
      </c>
      <c r="E33" s="76">
        <v>-7.0801400000000001</v>
      </c>
      <c r="F33" s="76">
        <v>0</v>
      </c>
      <c r="G33" s="76">
        <v>-1.87155</v>
      </c>
      <c r="H33" s="76">
        <v>-5.2999999999999999E-2</v>
      </c>
      <c r="I33" s="76">
        <v>-0.1096</v>
      </c>
      <c r="J33" s="76">
        <v>9.1087200000000007E-3</v>
      </c>
      <c r="K33" s="76">
        <v>0.1555</v>
      </c>
      <c r="L33" s="76">
        <v>0.16900000000000001</v>
      </c>
      <c r="M33" s="76">
        <v>0.12506999999999999</v>
      </c>
      <c r="N33" s="170">
        <v>-0.20849999999999999</v>
      </c>
      <c r="O33" s="76">
        <v>20.058800000000002</v>
      </c>
      <c r="P33" s="76">
        <v>31.411799999999999</v>
      </c>
      <c r="Q33" s="76">
        <v>-11.3529</v>
      </c>
      <c r="R33" s="76">
        <v>5</v>
      </c>
      <c r="S33" s="76">
        <v>4.3646000000000003</v>
      </c>
      <c r="T33" s="76">
        <v>4.3455199999999996</v>
      </c>
      <c r="U33" s="76">
        <v>4</v>
      </c>
      <c r="V33" s="92" t="str">
        <f t="shared" si="0"/>
        <v>CAR</v>
      </c>
      <c r="W33" s="93">
        <v>0</v>
      </c>
      <c r="X33" s="94">
        <v>2025</v>
      </c>
    </row>
    <row r="34" spans="1:24" x14ac:dyDescent="0.25">
      <c r="A34" s="74" t="s">
        <v>57</v>
      </c>
      <c r="B34" s="33">
        <v>2025</v>
      </c>
      <c r="C34" s="33">
        <v>1478.56</v>
      </c>
      <c r="D34" s="33">
        <v>8.8437999999999999</v>
      </c>
      <c r="E34" s="33">
        <v>-0.50691399999999998</v>
      </c>
      <c r="F34" s="33">
        <v>2.5655299999999999</v>
      </c>
      <c r="G34" s="33">
        <v>2.5655299999999999</v>
      </c>
      <c r="H34" s="33">
        <v>0.30530000000000002</v>
      </c>
      <c r="I34" s="33">
        <v>0.44819999999999999</v>
      </c>
      <c r="J34" s="33">
        <v>0.13805200000000001</v>
      </c>
      <c r="K34" s="33">
        <v>-0.18940000000000001</v>
      </c>
      <c r="L34" s="33">
        <v>-0.50449999999999995</v>
      </c>
      <c r="M34" s="33">
        <v>0.33932000000000001</v>
      </c>
      <c r="N34" s="173">
        <v>0.49459999999999998</v>
      </c>
      <c r="O34" s="33">
        <v>33</v>
      </c>
      <c r="P34" s="33">
        <v>8</v>
      </c>
      <c r="Q34" s="33">
        <v>25</v>
      </c>
      <c r="R34" s="33">
        <v>1</v>
      </c>
      <c r="S34" s="33">
        <v>0.96640000000000004</v>
      </c>
      <c r="T34" s="33">
        <v>0.95943800000000001</v>
      </c>
      <c r="U34" s="33">
        <v>1</v>
      </c>
      <c r="V34" s="89" t="str">
        <f t="shared" ref="V34:V65" si="1">IF(A34="OAK","LV",A34)</f>
        <v>IND</v>
      </c>
      <c r="W34" s="90">
        <v>1</v>
      </c>
      <c r="X34" s="91">
        <v>2025</v>
      </c>
    </row>
    <row r="35" spans="1:24" x14ac:dyDescent="0.25">
      <c r="A35" s="74" t="s">
        <v>400</v>
      </c>
      <c r="B35" s="33">
        <v>2025</v>
      </c>
      <c r="C35" s="33">
        <v>1594.31</v>
      </c>
      <c r="D35" s="33">
        <v>-1.6617</v>
      </c>
      <c r="E35" s="33">
        <v>4.1229699999999996</v>
      </c>
      <c r="F35" s="33">
        <v>1.95282</v>
      </c>
      <c r="G35" s="33">
        <v>1.95282</v>
      </c>
      <c r="H35" s="33">
        <v>0.2359</v>
      </c>
      <c r="I35" s="33">
        <v>0.45750000000000002</v>
      </c>
      <c r="J35" s="33">
        <v>-9.6829899999999997E-2</v>
      </c>
      <c r="K35" s="33">
        <v>-6.8900000000000003E-2</v>
      </c>
      <c r="L35" s="33">
        <v>3.5200000000000002E-2</v>
      </c>
      <c r="M35" s="33">
        <v>-0.243643</v>
      </c>
      <c r="N35" s="169">
        <v>0.30480000000000002</v>
      </c>
      <c r="O35" s="33">
        <v>27</v>
      </c>
      <c r="P35" s="33">
        <v>13</v>
      </c>
      <c r="Q35" s="33">
        <v>14</v>
      </c>
      <c r="R35" s="33">
        <v>1</v>
      </c>
      <c r="S35" s="33">
        <v>0.84970000000000001</v>
      </c>
      <c r="T35" s="33">
        <v>1.1010599999999999</v>
      </c>
      <c r="U35" s="33">
        <v>1</v>
      </c>
      <c r="V35" s="89" t="str">
        <f t="shared" si="1"/>
        <v>GB</v>
      </c>
      <c r="W35" s="90">
        <v>1</v>
      </c>
      <c r="X35" s="91">
        <v>2025</v>
      </c>
    </row>
    <row r="36" spans="1:24" x14ac:dyDescent="0.25">
      <c r="A36" s="74" t="s">
        <v>44</v>
      </c>
      <c r="B36" s="33">
        <v>2025</v>
      </c>
      <c r="C36" s="33">
        <v>1465.71</v>
      </c>
      <c r="D36" s="33">
        <v>-1.2968999999999999</v>
      </c>
      <c r="E36" s="33">
        <v>-1.02122</v>
      </c>
      <c r="F36" s="33">
        <v>0.92651899999999998</v>
      </c>
      <c r="G36" s="33">
        <v>0.92651899999999998</v>
      </c>
      <c r="H36" s="33">
        <v>0.11650000000000001</v>
      </c>
      <c r="I36" s="33">
        <v>4.24E-2</v>
      </c>
      <c r="J36" s="33">
        <v>0.20569299999999999</v>
      </c>
      <c r="K36" s="33">
        <v>-0.13500000000000001</v>
      </c>
      <c r="L36" s="33">
        <v>-0.44009999999999999</v>
      </c>
      <c r="M36" s="33">
        <v>7.9629899999999999E-4</v>
      </c>
      <c r="N36" s="169">
        <v>0.25159999999999999</v>
      </c>
      <c r="O36" s="33">
        <v>26</v>
      </c>
      <c r="P36" s="33">
        <v>10</v>
      </c>
      <c r="Q36" s="33">
        <v>16</v>
      </c>
      <c r="R36" s="33">
        <v>1</v>
      </c>
      <c r="S36" s="33">
        <v>0.90590000000000004</v>
      </c>
      <c r="T36" s="33">
        <v>0.88836300000000001</v>
      </c>
      <c r="U36" s="33">
        <v>1</v>
      </c>
      <c r="V36" s="89" t="str">
        <f t="shared" si="1"/>
        <v>JAX</v>
      </c>
      <c r="W36" s="90">
        <v>1</v>
      </c>
      <c r="X36" s="91">
        <v>2025</v>
      </c>
    </row>
    <row r="37" spans="1:24" x14ac:dyDescent="0.25">
      <c r="A37" s="74" t="s">
        <v>41</v>
      </c>
      <c r="B37" s="33">
        <v>2025</v>
      </c>
      <c r="C37" s="33">
        <v>1562.51</v>
      </c>
      <c r="D37" s="33">
        <v>10.1065</v>
      </c>
      <c r="E37" s="33">
        <v>2.8509500000000001</v>
      </c>
      <c r="F37" s="33">
        <v>1.0024200000000001</v>
      </c>
      <c r="G37" s="33">
        <v>1.0024200000000001</v>
      </c>
      <c r="H37" s="33">
        <v>9.3399999999999997E-2</v>
      </c>
      <c r="I37" s="33">
        <v>4.5499999999999999E-2</v>
      </c>
      <c r="J37" s="33">
        <v>0.244814</v>
      </c>
      <c r="K37" s="33">
        <v>-0.1497</v>
      </c>
      <c r="L37" s="33">
        <v>-0.30790000000000001</v>
      </c>
      <c r="M37" s="33">
        <v>-0.15460299999999999</v>
      </c>
      <c r="N37" s="169">
        <v>0.24310000000000001</v>
      </c>
      <c r="O37" s="33">
        <v>21</v>
      </c>
      <c r="P37" s="33">
        <v>6</v>
      </c>
      <c r="Q37" s="33">
        <v>15</v>
      </c>
      <c r="R37" s="33">
        <v>1</v>
      </c>
      <c r="S37" s="33">
        <v>0.95120000000000005</v>
      </c>
      <c r="T37" s="33">
        <v>1.2174400000000001</v>
      </c>
      <c r="U37" s="33">
        <v>1</v>
      </c>
      <c r="V37" s="89" t="str">
        <f t="shared" si="1"/>
        <v>WAS</v>
      </c>
      <c r="W37" s="90">
        <v>1</v>
      </c>
      <c r="X37" s="91">
        <v>2025</v>
      </c>
    </row>
    <row r="38" spans="1:24" x14ac:dyDescent="0.25">
      <c r="A38" s="74" t="s">
        <v>47</v>
      </c>
      <c r="B38" s="33">
        <v>2025</v>
      </c>
      <c r="C38" s="33">
        <v>1677.74</v>
      </c>
      <c r="D38" s="33">
        <v>12.7294</v>
      </c>
      <c r="E38" s="33">
        <v>7.4602300000000001</v>
      </c>
      <c r="F38" s="33">
        <v>0.98131299999999999</v>
      </c>
      <c r="G38" s="33">
        <v>0.98131299999999999</v>
      </c>
      <c r="H38" s="33">
        <v>0.48320000000000002</v>
      </c>
      <c r="I38" s="33">
        <v>0.46310000000000001</v>
      </c>
      <c r="J38" s="33">
        <v>0.36160399999999998</v>
      </c>
      <c r="K38" s="33">
        <v>0.2666</v>
      </c>
      <c r="L38" s="33">
        <v>0.29049999999999998</v>
      </c>
      <c r="M38" s="33">
        <v>6.4115199999999997E-2</v>
      </c>
      <c r="N38" s="169">
        <v>0.21659999999999999</v>
      </c>
      <c r="O38" s="33">
        <v>40</v>
      </c>
      <c r="P38" s="33">
        <v>41</v>
      </c>
      <c r="Q38" s="33">
        <v>-1</v>
      </c>
      <c r="R38" s="33">
        <v>0</v>
      </c>
      <c r="S38" s="33">
        <v>0.4854</v>
      </c>
      <c r="T38" s="33">
        <v>1.2583500000000001</v>
      </c>
      <c r="U38" s="33">
        <v>1</v>
      </c>
      <c r="V38" s="89" t="str">
        <f t="shared" si="1"/>
        <v>BAL</v>
      </c>
      <c r="W38" s="90">
        <v>1</v>
      </c>
      <c r="X38" s="91">
        <v>2025</v>
      </c>
    </row>
    <row r="39" spans="1:24" x14ac:dyDescent="0.25">
      <c r="A39" s="74" t="s">
        <v>401</v>
      </c>
      <c r="B39" s="33">
        <v>2025</v>
      </c>
      <c r="C39" s="33">
        <v>1460.42</v>
      </c>
      <c r="D39" s="33">
        <v>13.138299999999999</v>
      </c>
      <c r="E39" s="33">
        <v>-1.2325600000000001</v>
      </c>
      <c r="F39" s="33">
        <v>1.20489</v>
      </c>
      <c r="G39" s="33">
        <v>1.20489</v>
      </c>
      <c r="H39" s="33">
        <v>0.10539999999999999</v>
      </c>
      <c r="I39" s="33">
        <v>0.43959999999999999</v>
      </c>
      <c r="J39" s="33">
        <v>-0.30699199999999999</v>
      </c>
      <c r="K39" s="33">
        <v>-6.6199999999999995E-2</v>
      </c>
      <c r="L39" s="33">
        <v>-7.1000000000000004E-3</v>
      </c>
      <c r="M39" s="33">
        <v>-0.23152900000000001</v>
      </c>
      <c r="N39" s="169">
        <v>0.1716</v>
      </c>
      <c r="O39" s="33">
        <v>20</v>
      </c>
      <c r="P39" s="33">
        <v>13</v>
      </c>
      <c r="Q39" s="33">
        <v>7</v>
      </c>
      <c r="R39" s="33">
        <v>1</v>
      </c>
      <c r="S39" s="33">
        <v>0.73519999999999996</v>
      </c>
      <c r="T39" s="33">
        <v>0.76950099999999999</v>
      </c>
      <c r="U39" s="33">
        <v>1</v>
      </c>
      <c r="V39" s="89" t="str">
        <f t="shared" si="1"/>
        <v>LV</v>
      </c>
      <c r="W39" s="90">
        <v>1</v>
      </c>
      <c r="X39" s="91">
        <v>2025</v>
      </c>
    </row>
    <row r="40" spans="1:24" x14ac:dyDescent="0.25">
      <c r="A40" s="74" t="s">
        <v>63</v>
      </c>
      <c r="B40" s="33">
        <v>2025</v>
      </c>
      <c r="C40" s="33">
        <v>1536.78</v>
      </c>
      <c r="D40" s="33">
        <v>1.5743</v>
      </c>
      <c r="E40" s="33">
        <v>1.8218700000000001</v>
      </c>
      <c r="F40" s="33">
        <v>0.21091299999999999</v>
      </c>
      <c r="G40" s="33">
        <v>0.21091299999999999</v>
      </c>
      <c r="H40" s="33">
        <v>-0.1419</v>
      </c>
      <c r="I40" s="33">
        <v>-0.19139999999999999</v>
      </c>
      <c r="J40" s="33">
        <v>-0.149952</v>
      </c>
      <c r="K40" s="33">
        <v>-0.30620000000000003</v>
      </c>
      <c r="L40" s="33">
        <v>-0.47820000000000001</v>
      </c>
      <c r="M40" s="33">
        <v>-0.43698799999999999</v>
      </c>
      <c r="N40" s="169">
        <v>0.16420000000000001</v>
      </c>
      <c r="O40" s="33">
        <v>20</v>
      </c>
      <c r="P40" s="33">
        <v>12</v>
      </c>
      <c r="Q40" s="33">
        <v>8</v>
      </c>
      <c r="R40" s="33">
        <v>1</v>
      </c>
      <c r="S40" s="33">
        <v>0.77039999999999997</v>
      </c>
      <c r="T40" s="33">
        <v>1.3863700000000001</v>
      </c>
      <c r="U40" s="33">
        <v>1</v>
      </c>
      <c r="V40" s="89" t="str">
        <f t="shared" si="1"/>
        <v>DEN</v>
      </c>
      <c r="W40" s="90">
        <v>1</v>
      </c>
      <c r="X40" s="91">
        <v>2025</v>
      </c>
    </row>
    <row r="41" spans="1:24" x14ac:dyDescent="0.25">
      <c r="A41" s="74" t="s">
        <v>93</v>
      </c>
      <c r="B41" s="33">
        <v>2025</v>
      </c>
      <c r="C41" s="33">
        <v>1526.06</v>
      </c>
      <c r="D41" s="33">
        <v>2.8450000000000002</v>
      </c>
      <c r="E41" s="33">
        <v>1.3927</v>
      </c>
      <c r="F41" s="33">
        <v>1.20225</v>
      </c>
      <c r="G41" s="33">
        <v>1.20225</v>
      </c>
      <c r="H41" s="33">
        <v>2.1299999999999999E-2</v>
      </c>
      <c r="I41" s="33">
        <v>5.2600000000000001E-2</v>
      </c>
      <c r="J41" s="33">
        <v>4.29089E-2</v>
      </c>
      <c r="K41" s="33">
        <v>-0.12520000000000001</v>
      </c>
      <c r="L41" s="33">
        <v>-8.5699999999999998E-2</v>
      </c>
      <c r="M41" s="33">
        <v>3.6471299999999998E-2</v>
      </c>
      <c r="N41" s="169">
        <v>0.14649999999999999</v>
      </c>
      <c r="O41" s="33">
        <v>20</v>
      </c>
      <c r="P41" s="33">
        <v>13</v>
      </c>
      <c r="Q41" s="33">
        <v>7</v>
      </c>
      <c r="R41" s="33">
        <v>1</v>
      </c>
      <c r="S41" s="33">
        <v>0.73519999999999996</v>
      </c>
      <c r="T41" s="33">
        <v>1.2411000000000001</v>
      </c>
      <c r="U41" s="33">
        <v>1</v>
      </c>
      <c r="V41" s="89" t="str">
        <f t="shared" si="1"/>
        <v>ARI</v>
      </c>
      <c r="W41" s="90">
        <v>1</v>
      </c>
      <c r="X41" s="91">
        <v>2025</v>
      </c>
    </row>
    <row r="42" spans="1:24" x14ac:dyDescent="0.25">
      <c r="A42" s="74" t="s">
        <v>405</v>
      </c>
      <c r="B42" s="33">
        <v>2025</v>
      </c>
      <c r="C42" s="33">
        <v>1484.55</v>
      </c>
      <c r="D42" s="33">
        <v>-61.132100000000001</v>
      </c>
      <c r="E42" s="33">
        <v>-0.267681</v>
      </c>
      <c r="F42" s="33">
        <v>-1.0325200000000001</v>
      </c>
      <c r="G42" s="33">
        <v>-1.0325200000000001</v>
      </c>
      <c r="H42" s="33">
        <v>1.44E-2</v>
      </c>
      <c r="I42" s="33">
        <v>0.38090000000000002</v>
      </c>
      <c r="J42" s="33">
        <v>-0.15163399999999999</v>
      </c>
      <c r="K42" s="33">
        <v>-0.1101</v>
      </c>
      <c r="L42" s="33">
        <v>-0.43990000000000001</v>
      </c>
      <c r="M42" s="33">
        <v>-0.11436300000000001</v>
      </c>
      <c r="N42" s="169">
        <v>0.1246</v>
      </c>
      <c r="O42" s="33">
        <v>17</v>
      </c>
      <c r="P42" s="33">
        <v>13</v>
      </c>
      <c r="Q42" s="33">
        <v>4</v>
      </c>
      <c r="R42" s="33">
        <v>1</v>
      </c>
      <c r="S42" s="33">
        <v>0.65380000000000005</v>
      </c>
      <c r="T42" s="33">
        <v>0.90012999999999999</v>
      </c>
      <c r="U42" s="33">
        <v>0</v>
      </c>
      <c r="V42" s="89" t="str">
        <f t="shared" si="1"/>
        <v>SF</v>
      </c>
      <c r="W42" s="90">
        <v>1</v>
      </c>
      <c r="X42" s="91">
        <v>2025</v>
      </c>
    </row>
    <row r="43" spans="1:24" x14ac:dyDescent="0.25">
      <c r="A43" s="74" t="s">
        <v>60</v>
      </c>
      <c r="B43" s="33">
        <v>2025</v>
      </c>
      <c r="C43" s="33">
        <v>1545.44</v>
      </c>
      <c r="D43" s="33">
        <v>8.9427000000000003</v>
      </c>
      <c r="E43" s="33">
        <v>2.1681499999999998</v>
      </c>
      <c r="F43" s="33">
        <v>1.4014500000000001</v>
      </c>
      <c r="G43" s="33">
        <v>1.4014500000000001</v>
      </c>
      <c r="H43" s="33">
        <v>0.27579999999999999</v>
      </c>
      <c r="I43" s="33">
        <v>0.51670000000000005</v>
      </c>
      <c r="J43" s="33">
        <v>-9.2558699999999994E-3</v>
      </c>
      <c r="K43" s="33">
        <v>0.1757</v>
      </c>
      <c r="L43" s="33">
        <v>8.6199999999999999E-2</v>
      </c>
      <c r="M43" s="33">
        <v>0.52390800000000004</v>
      </c>
      <c r="N43" s="169">
        <v>0.1</v>
      </c>
      <c r="O43" s="33">
        <v>27</v>
      </c>
      <c r="P43" s="33">
        <v>21</v>
      </c>
      <c r="Q43" s="33">
        <v>6</v>
      </c>
      <c r="R43" s="33">
        <v>1</v>
      </c>
      <c r="S43" s="33">
        <v>0.64470000000000005</v>
      </c>
      <c r="T43" s="33">
        <v>1.01505</v>
      </c>
      <c r="U43" s="33">
        <v>1</v>
      </c>
      <c r="V43" s="89" t="str">
        <f t="shared" si="1"/>
        <v>LAC</v>
      </c>
      <c r="W43" s="90">
        <v>1</v>
      </c>
      <c r="X43" s="91">
        <v>2025</v>
      </c>
    </row>
    <row r="44" spans="1:24" x14ac:dyDescent="0.25">
      <c r="A44" s="74" t="s">
        <v>85</v>
      </c>
      <c r="B44" s="33">
        <v>2025</v>
      </c>
      <c r="C44" s="33">
        <v>1515.08</v>
      </c>
      <c r="D44" s="33">
        <v>21.0502</v>
      </c>
      <c r="E44" s="33">
        <v>0.953677</v>
      </c>
      <c r="F44" s="33">
        <v>0.88137200000000004</v>
      </c>
      <c r="G44" s="33">
        <v>0.88137200000000004</v>
      </c>
      <c r="H44" s="33">
        <v>0.29360000000000003</v>
      </c>
      <c r="I44" s="33">
        <v>0.3402</v>
      </c>
      <c r="J44" s="33">
        <v>-0.15254300000000001</v>
      </c>
      <c r="K44" s="33">
        <v>0.1973</v>
      </c>
      <c r="L44" s="33">
        <v>0.43709999999999999</v>
      </c>
      <c r="M44" s="33">
        <v>8.7811700000000006E-2</v>
      </c>
      <c r="N44" s="169">
        <v>9.6299999999999997E-2</v>
      </c>
      <c r="O44" s="33">
        <v>34</v>
      </c>
      <c r="P44" s="33">
        <v>32</v>
      </c>
      <c r="Q44" s="33">
        <v>2</v>
      </c>
      <c r="R44" s="33">
        <v>1</v>
      </c>
      <c r="S44" s="33">
        <v>0.53590000000000004</v>
      </c>
      <c r="T44" s="33">
        <v>1.1153500000000001</v>
      </c>
      <c r="U44" s="33">
        <v>0</v>
      </c>
      <c r="V44" s="89" t="str">
        <f t="shared" si="1"/>
        <v>PIT</v>
      </c>
      <c r="W44" s="90">
        <v>1</v>
      </c>
      <c r="X44" s="91">
        <v>2025</v>
      </c>
    </row>
    <row r="45" spans="1:24" x14ac:dyDescent="0.25">
      <c r="A45" s="74" t="s">
        <v>402</v>
      </c>
      <c r="B45" s="33">
        <v>2025</v>
      </c>
      <c r="C45" s="33">
        <v>1525.43</v>
      </c>
      <c r="D45" s="33">
        <v>1.3088</v>
      </c>
      <c r="E45" s="33">
        <v>1.3677900000000001</v>
      </c>
      <c r="F45" s="33">
        <v>1.13456</v>
      </c>
      <c r="G45" s="33">
        <v>1.13456</v>
      </c>
      <c r="H45" s="33">
        <v>0.10050000000000001</v>
      </c>
      <c r="I45" s="33">
        <v>0.18</v>
      </c>
      <c r="J45" s="33">
        <v>2.1999999999999999E-2</v>
      </c>
      <c r="K45" s="33">
        <v>1.3899999999999999E-2</v>
      </c>
      <c r="L45" s="33">
        <v>0.2278</v>
      </c>
      <c r="M45" s="33">
        <v>-0.20594599999999999</v>
      </c>
      <c r="N45" s="169">
        <v>8.6599999999999996E-2</v>
      </c>
      <c r="O45" s="33">
        <v>23</v>
      </c>
      <c r="P45" s="33">
        <v>20</v>
      </c>
      <c r="Q45" s="33">
        <v>3</v>
      </c>
      <c r="R45" s="33">
        <v>1</v>
      </c>
      <c r="S45" s="33">
        <v>0.58209999999999995</v>
      </c>
      <c r="T45" s="33">
        <v>1.0550900000000001</v>
      </c>
      <c r="U45" s="33">
        <v>1</v>
      </c>
      <c r="V45" s="89" t="str">
        <f t="shared" si="1"/>
        <v>TB</v>
      </c>
      <c r="W45" s="90">
        <v>1</v>
      </c>
      <c r="X45" s="91">
        <v>2025</v>
      </c>
    </row>
    <row r="46" spans="1:24" x14ac:dyDescent="0.25">
      <c r="A46" s="74" t="s">
        <v>75</v>
      </c>
      <c r="B46" s="33">
        <v>2025</v>
      </c>
      <c r="C46" s="33">
        <v>1530.51</v>
      </c>
      <c r="D46" s="33">
        <v>-6.3346999999999998</v>
      </c>
      <c r="E46" s="33">
        <v>1.57077</v>
      </c>
      <c r="F46" s="33">
        <v>0.84250499999999995</v>
      </c>
      <c r="G46" s="33">
        <v>0.84250499999999995</v>
      </c>
      <c r="H46" s="33">
        <v>-9.3299999999999994E-2</v>
      </c>
      <c r="I46" s="33">
        <v>-0.44619999999999999</v>
      </c>
      <c r="J46" s="33">
        <v>3.0580300000000001E-2</v>
      </c>
      <c r="K46" s="33">
        <v>-0.158</v>
      </c>
      <c r="L46" s="33">
        <v>-0.20080000000000001</v>
      </c>
      <c r="M46" s="33">
        <v>9.7353400000000007E-2</v>
      </c>
      <c r="N46" s="169">
        <v>6.4699999999999994E-2</v>
      </c>
      <c r="O46" s="33">
        <v>27</v>
      </c>
      <c r="P46" s="33">
        <v>24</v>
      </c>
      <c r="Q46" s="33">
        <v>3</v>
      </c>
      <c r="R46" s="33">
        <v>1</v>
      </c>
      <c r="S46" s="33">
        <v>0.56930000000000003</v>
      </c>
      <c r="T46" s="33">
        <v>1.37744</v>
      </c>
      <c r="U46" s="33">
        <v>1</v>
      </c>
      <c r="V46" s="89" t="str">
        <f t="shared" si="1"/>
        <v>MIN</v>
      </c>
      <c r="W46" s="90">
        <v>1</v>
      </c>
      <c r="X46" s="91">
        <v>2025</v>
      </c>
    </row>
    <row r="47" spans="1:24" x14ac:dyDescent="0.25">
      <c r="A47" s="74" t="s">
        <v>21</v>
      </c>
      <c r="B47" s="33">
        <v>2025</v>
      </c>
      <c r="C47" s="33">
        <v>1539.4</v>
      </c>
      <c r="D47" s="33">
        <v>0.78339999999999999</v>
      </c>
      <c r="E47" s="33">
        <v>1.92638</v>
      </c>
      <c r="F47" s="33">
        <v>0.82092299999999996</v>
      </c>
      <c r="G47" s="33">
        <v>0.82092299999999996</v>
      </c>
      <c r="H47" s="33">
        <v>-9.8199999999999996E-2</v>
      </c>
      <c r="I47" s="33">
        <v>6.8199999999999997E-2</v>
      </c>
      <c r="J47" s="33">
        <v>-0.25131300000000001</v>
      </c>
      <c r="K47" s="33">
        <v>-0.16170000000000001</v>
      </c>
      <c r="L47" s="33">
        <v>-0.31850000000000001</v>
      </c>
      <c r="M47" s="33">
        <v>3.8959100000000003E-2</v>
      </c>
      <c r="N47" s="169">
        <v>6.3600000000000004E-2</v>
      </c>
      <c r="O47" s="33">
        <v>14</v>
      </c>
      <c r="P47" s="33">
        <v>9</v>
      </c>
      <c r="Q47" s="33">
        <v>5</v>
      </c>
      <c r="R47" s="33">
        <v>1</v>
      </c>
      <c r="S47" s="33">
        <v>0.74019999999999997</v>
      </c>
      <c r="T47" s="33">
        <v>1.3041799999999999</v>
      </c>
      <c r="U47" s="33">
        <v>1</v>
      </c>
      <c r="V47" s="89" t="str">
        <f t="shared" si="1"/>
        <v>LAR</v>
      </c>
      <c r="W47" s="90">
        <v>1</v>
      </c>
      <c r="X47" s="91">
        <v>2025</v>
      </c>
    </row>
    <row r="48" spans="1:24" x14ac:dyDescent="0.25">
      <c r="A48" s="74" t="s">
        <v>38</v>
      </c>
      <c r="B48" s="33">
        <v>2025</v>
      </c>
      <c r="C48" s="33">
        <v>1629.33</v>
      </c>
      <c r="D48" s="33">
        <v>9.1456999999999997</v>
      </c>
      <c r="E48" s="33">
        <v>5.5237600000000002</v>
      </c>
      <c r="F48" s="33">
        <v>0.71639600000000003</v>
      </c>
      <c r="G48" s="33">
        <v>0.71639600000000003</v>
      </c>
      <c r="H48" s="33">
        <v>0.21249999999999999</v>
      </c>
      <c r="I48" s="33">
        <v>6.9199999999999998E-2</v>
      </c>
      <c r="J48" s="33">
        <v>0.159076</v>
      </c>
      <c r="K48" s="33">
        <v>0.18340000000000001</v>
      </c>
      <c r="L48" s="33">
        <v>4.87E-2</v>
      </c>
      <c r="M48" s="33">
        <v>3.4403700000000002E-2</v>
      </c>
      <c r="N48" s="169">
        <v>2.9000000000000001E-2</v>
      </c>
      <c r="O48" s="33">
        <v>24</v>
      </c>
      <c r="P48" s="33">
        <v>20</v>
      </c>
      <c r="Q48" s="33">
        <v>4</v>
      </c>
      <c r="R48" s="33">
        <v>1</v>
      </c>
      <c r="S48" s="33">
        <v>0.60640000000000005</v>
      </c>
      <c r="T48" s="33">
        <v>1.4144300000000001</v>
      </c>
      <c r="U48" s="33">
        <v>1</v>
      </c>
      <c r="V48" s="89" t="str">
        <f t="shared" si="1"/>
        <v>PHI</v>
      </c>
      <c r="W48" s="90">
        <v>1</v>
      </c>
      <c r="X48" s="91">
        <v>2025</v>
      </c>
    </row>
    <row r="49" spans="1:24" x14ac:dyDescent="0.25">
      <c r="A49" s="74" t="s">
        <v>77</v>
      </c>
      <c r="B49" s="33">
        <v>2025</v>
      </c>
      <c r="C49" s="33">
        <v>1535.23</v>
      </c>
      <c r="D49" s="33">
        <v>-1.9516</v>
      </c>
      <c r="E49" s="33">
        <v>1.7597100000000001</v>
      </c>
      <c r="F49" s="33">
        <v>8.7416900000000006E-2</v>
      </c>
      <c r="G49" s="33">
        <v>8.7416900000000006E-2</v>
      </c>
      <c r="H49" s="33">
        <v>-9.2299999999999993E-2</v>
      </c>
      <c r="I49" s="33">
        <v>-1.44E-2</v>
      </c>
      <c r="J49" s="33">
        <v>-0.21751899999999999</v>
      </c>
      <c r="K49" s="33">
        <v>-0.11169999999999999</v>
      </c>
      <c r="L49" s="33">
        <v>-4.0899999999999999E-2</v>
      </c>
      <c r="M49" s="33">
        <v>-7.4717699999999998E-2</v>
      </c>
      <c r="N49" s="169">
        <v>1.9400000000000001E-2</v>
      </c>
      <c r="O49" s="33">
        <v>17</v>
      </c>
      <c r="P49" s="33">
        <v>16</v>
      </c>
      <c r="Q49" s="33">
        <v>1</v>
      </c>
      <c r="R49" s="33">
        <v>1</v>
      </c>
      <c r="S49" s="33">
        <v>0.53590000000000004</v>
      </c>
      <c r="T49" s="33">
        <v>1.3483099999999999</v>
      </c>
      <c r="U49" s="33">
        <v>1</v>
      </c>
      <c r="V49" s="89" t="str">
        <f t="shared" si="1"/>
        <v>CIN</v>
      </c>
      <c r="W49" s="90">
        <v>1</v>
      </c>
      <c r="X49" s="91">
        <v>2025</v>
      </c>
    </row>
    <row r="50" spans="1:24" x14ac:dyDescent="0.25">
      <c r="A50" s="74" t="s">
        <v>91</v>
      </c>
      <c r="B50" s="33">
        <v>2025</v>
      </c>
      <c r="C50" s="33">
        <v>1397.96</v>
      </c>
      <c r="D50" s="33">
        <v>4.1856999999999998</v>
      </c>
      <c r="E50" s="33">
        <v>-3.7311000000000001</v>
      </c>
      <c r="F50" s="33">
        <v>0.84715300000000004</v>
      </c>
      <c r="G50" s="33">
        <v>0.84715300000000004</v>
      </c>
      <c r="H50" s="33">
        <v>-0.11169999999999999</v>
      </c>
      <c r="I50" s="33">
        <v>-4.0899999999999999E-2</v>
      </c>
      <c r="J50" s="33">
        <v>-7.4717699999999998E-2</v>
      </c>
      <c r="K50" s="33">
        <v>-9.2299999999999993E-2</v>
      </c>
      <c r="L50" s="33">
        <v>-1.44E-2</v>
      </c>
      <c r="M50" s="33">
        <v>-0.21751899999999999</v>
      </c>
      <c r="N50" s="169">
        <v>-1.9400000000000001E-2</v>
      </c>
      <c r="O50" s="33">
        <v>16</v>
      </c>
      <c r="P50" s="33">
        <v>17</v>
      </c>
      <c r="Q50" s="33">
        <v>-1</v>
      </c>
      <c r="R50" s="33">
        <v>0</v>
      </c>
      <c r="S50" s="33">
        <v>0.46410000000000001</v>
      </c>
      <c r="T50" s="33">
        <v>0.54000199999999998</v>
      </c>
      <c r="U50" s="33">
        <v>0</v>
      </c>
      <c r="V50" s="89" t="str">
        <f t="shared" si="1"/>
        <v>CLE</v>
      </c>
      <c r="W50" s="90">
        <v>1</v>
      </c>
      <c r="X50" s="91">
        <v>2025</v>
      </c>
    </row>
    <row r="51" spans="1:24" x14ac:dyDescent="0.25">
      <c r="A51" s="74" t="s">
        <v>14</v>
      </c>
      <c r="B51" s="33">
        <v>2025</v>
      </c>
      <c r="C51" s="33">
        <v>1486.46</v>
      </c>
      <c r="D51" s="33">
        <v>8.9723000000000006</v>
      </c>
      <c r="E51" s="33">
        <v>-0.19100600000000001</v>
      </c>
      <c r="F51" s="33">
        <v>0.79169400000000001</v>
      </c>
      <c r="G51" s="33">
        <v>0.79169400000000001</v>
      </c>
      <c r="H51" s="33">
        <v>0.18340000000000001</v>
      </c>
      <c r="I51" s="33">
        <v>4.87E-2</v>
      </c>
      <c r="J51" s="33">
        <v>3.4403700000000002E-2</v>
      </c>
      <c r="K51" s="33">
        <v>0.21249999999999999</v>
      </c>
      <c r="L51" s="33">
        <v>6.9199999999999998E-2</v>
      </c>
      <c r="M51" s="33">
        <v>0.159076</v>
      </c>
      <c r="N51" s="169">
        <v>-2.9000000000000001E-2</v>
      </c>
      <c r="O51" s="33">
        <v>20</v>
      </c>
      <c r="P51" s="33">
        <v>24</v>
      </c>
      <c r="Q51" s="33">
        <v>-4</v>
      </c>
      <c r="R51" s="33">
        <v>0</v>
      </c>
      <c r="S51" s="33">
        <v>0.39360000000000001</v>
      </c>
      <c r="T51" s="33">
        <v>0.89553499999999997</v>
      </c>
      <c r="U51" s="33">
        <v>0</v>
      </c>
      <c r="V51" s="89" t="str">
        <f t="shared" si="1"/>
        <v>DAL</v>
      </c>
      <c r="W51" s="90">
        <v>1</v>
      </c>
      <c r="X51" s="91">
        <v>2025</v>
      </c>
    </row>
    <row r="52" spans="1:24" x14ac:dyDescent="0.25">
      <c r="A52" s="74" t="s">
        <v>31</v>
      </c>
      <c r="B52" s="33">
        <v>2025</v>
      </c>
      <c r="C52" s="33">
        <v>1496.01</v>
      </c>
      <c r="D52" s="33">
        <v>-8.5731000000000002</v>
      </c>
      <c r="E52" s="33">
        <v>0.19100600000000001</v>
      </c>
      <c r="F52" s="33">
        <v>0.38661600000000002</v>
      </c>
      <c r="G52" s="33">
        <v>0.38661600000000002</v>
      </c>
      <c r="H52" s="33">
        <v>-0.16170000000000001</v>
      </c>
      <c r="I52" s="33">
        <v>-0.31850000000000001</v>
      </c>
      <c r="J52" s="33">
        <v>3.8959100000000003E-2</v>
      </c>
      <c r="K52" s="33">
        <v>-9.8199999999999996E-2</v>
      </c>
      <c r="L52" s="33">
        <v>6.8199999999999997E-2</v>
      </c>
      <c r="M52" s="33">
        <v>-0.25131300000000001</v>
      </c>
      <c r="N52" s="169">
        <v>-6.3600000000000004E-2</v>
      </c>
      <c r="O52" s="33">
        <v>9</v>
      </c>
      <c r="P52" s="33">
        <v>14</v>
      </c>
      <c r="Q52" s="33">
        <v>-5</v>
      </c>
      <c r="R52" s="33">
        <v>0</v>
      </c>
      <c r="S52" s="33">
        <v>0.25979999999999998</v>
      </c>
      <c r="T52" s="33">
        <v>0.92283000000000004</v>
      </c>
      <c r="U52" s="33">
        <v>0</v>
      </c>
      <c r="V52" s="89" t="str">
        <f t="shared" si="1"/>
        <v>HOU</v>
      </c>
      <c r="W52" s="90">
        <v>1</v>
      </c>
      <c r="X52" s="91">
        <v>2025</v>
      </c>
    </row>
    <row r="53" spans="1:24" x14ac:dyDescent="0.25">
      <c r="A53" s="74" t="s">
        <v>72</v>
      </c>
      <c r="B53" s="33">
        <v>2025</v>
      </c>
      <c r="C53" s="33">
        <v>1479.94</v>
      </c>
      <c r="D53" s="33">
        <v>6.4265999999999996</v>
      </c>
      <c r="E53" s="33">
        <v>-0.45194800000000002</v>
      </c>
      <c r="F53" s="33">
        <v>0.86357399999999995</v>
      </c>
      <c r="G53" s="33">
        <v>0.86357399999999995</v>
      </c>
      <c r="H53" s="33">
        <v>-0.158</v>
      </c>
      <c r="I53" s="33">
        <v>-0.20080000000000001</v>
      </c>
      <c r="J53" s="33">
        <v>9.7353400000000007E-2</v>
      </c>
      <c r="K53" s="33">
        <v>-9.3299999999999994E-2</v>
      </c>
      <c r="L53" s="33">
        <v>-0.44619999999999999</v>
      </c>
      <c r="M53" s="33">
        <v>3.0580300000000001E-2</v>
      </c>
      <c r="N53" s="169">
        <v>-6.4699999999999994E-2</v>
      </c>
      <c r="O53" s="33">
        <v>24</v>
      </c>
      <c r="P53" s="33">
        <v>27</v>
      </c>
      <c r="Q53" s="33">
        <v>-3</v>
      </c>
      <c r="R53" s="33">
        <v>0</v>
      </c>
      <c r="S53" s="33">
        <v>0.43070000000000003</v>
      </c>
      <c r="T53" s="33">
        <v>0.57722099999999998</v>
      </c>
      <c r="U53" s="33">
        <v>0</v>
      </c>
      <c r="V53" s="89" t="str">
        <f t="shared" si="1"/>
        <v>CHI</v>
      </c>
      <c r="W53" s="90">
        <v>1</v>
      </c>
      <c r="X53" s="91">
        <v>2025</v>
      </c>
    </row>
    <row r="54" spans="1:24" x14ac:dyDescent="0.25">
      <c r="A54" s="74" t="s">
        <v>69</v>
      </c>
      <c r="B54" s="33">
        <v>2025</v>
      </c>
      <c r="C54" s="33">
        <v>1480.44</v>
      </c>
      <c r="D54" s="33">
        <v>-2.5649000000000002</v>
      </c>
      <c r="E54" s="33">
        <v>-0.432031</v>
      </c>
      <c r="F54" s="33">
        <v>0.64729000000000003</v>
      </c>
      <c r="G54" s="33">
        <v>0.64729000000000003</v>
      </c>
      <c r="H54" s="33">
        <v>1.3899999999999999E-2</v>
      </c>
      <c r="I54" s="33">
        <v>0.2278</v>
      </c>
      <c r="J54" s="33">
        <v>-0.20594599999999999</v>
      </c>
      <c r="K54" s="33">
        <v>0.10050000000000001</v>
      </c>
      <c r="L54" s="33">
        <v>0.18</v>
      </c>
      <c r="M54" s="33">
        <v>2.1999999999999999E-2</v>
      </c>
      <c r="N54" s="169">
        <v>-8.6599999999999996E-2</v>
      </c>
      <c r="O54" s="33">
        <v>20</v>
      </c>
      <c r="P54" s="33">
        <v>23</v>
      </c>
      <c r="Q54" s="33">
        <v>-3</v>
      </c>
      <c r="R54" s="33">
        <v>0</v>
      </c>
      <c r="S54" s="33">
        <v>0.41789999999999999</v>
      </c>
      <c r="T54" s="33">
        <v>0.68584400000000001</v>
      </c>
      <c r="U54" s="33">
        <v>1</v>
      </c>
      <c r="V54" s="89" t="str">
        <f t="shared" si="1"/>
        <v>ATL</v>
      </c>
      <c r="W54" s="90">
        <v>1</v>
      </c>
      <c r="X54" s="91">
        <v>2025</v>
      </c>
    </row>
    <row r="55" spans="1:24" x14ac:dyDescent="0.25">
      <c r="A55" s="74" t="s">
        <v>79</v>
      </c>
      <c r="B55" s="33">
        <v>2025</v>
      </c>
      <c r="C55" s="33">
        <v>1439.01</v>
      </c>
      <c r="D55" s="33">
        <v>7.8959000000000001</v>
      </c>
      <c r="E55" s="33">
        <v>-2.08893</v>
      </c>
      <c r="F55" s="33">
        <v>1.07348</v>
      </c>
      <c r="G55" s="33">
        <v>1.07348</v>
      </c>
      <c r="H55" s="33">
        <v>0.1973</v>
      </c>
      <c r="I55" s="33">
        <v>0.43709999999999999</v>
      </c>
      <c r="J55" s="33">
        <v>8.7811700000000006E-2</v>
      </c>
      <c r="K55" s="33">
        <v>0.29360000000000003</v>
      </c>
      <c r="L55" s="33">
        <v>0.3402</v>
      </c>
      <c r="M55" s="33">
        <v>-0.15254300000000001</v>
      </c>
      <c r="N55" s="169">
        <v>-9.6299999999999997E-2</v>
      </c>
      <c r="O55" s="33">
        <v>32</v>
      </c>
      <c r="P55" s="33">
        <v>34</v>
      </c>
      <c r="Q55" s="33">
        <v>-2</v>
      </c>
      <c r="R55" s="33">
        <v>0</v>
      </c>
      <c r="S55" s="33">
        <v>0.46410000000000001</v>
      </c>
      <c r="T55" s="33">
        <v>0.80168899999999998</v>
      </c>
      <c r="U55" s="33">
        <v>1</v>
      </c>
      <c r="V55" s="89" t="str">
        <f t="shared" si="1"/>
        <v>NYJ</v>
      </c>
      <c r="W55" s="90">
        <v>1</v>
      </c>
      <c r="X55" s="91">
        <v>2025</v>
      </c>
    </row>
    <row r="56" spans="1:24" x14ac:dyDescent="0.25">
      <c r="A56" s="74" t="s">
        <v>399</v>
      </c>
      <c r="B56" s="33">
        <v>2025</v>
      </c>
      <c r="C56" s="33">
        <v>1586.57</v>
      </c>
      <c r="D56" s="33">
        <v>12.7341</v>
      </c>
      <c r="E56" s="33">
        <v>3.8131200000000001</v>
      </c>
      <c r="F56" s="33">
        <v>0.47730899999999998</v>
      </c>
      <c r="G56" s="33">
        <v>0.47730899999999998</v>
      </c>
      <c r="H56" s="33">
        <v>0.1757</v>
      </c>
      <c r="I56" s="33">
        <v>8.6199999999999999E-2</v>
      </c>
      <c r="J56" s="33">
        <v>0.52390800000000004</v>
      </c>
      <c r="K56" s="33">
        <v>0.27579999999999999</v>
      </c>
      <c r="L56" s="33">
        <v>0.51670000000000005</v>
      </c>
      <c r="M56" s="33">
        <v>-9.2558699999999994E-3</v>
      </c>
      <c r="N56" s="169">
        <v>-0.1</v>
      </c>
      <c r="O56" s="33">
        <v>21</v>
      </c>
      <c r="P56" s="33">
        <v>27</v>
      </c>
      <c r="Q56" s="33">
        <v>-6</v>
      </c>
      <c r="R56" s="33">
        <v>0</v>
      </c>
      <c r="S56" s="33">
        <v>0.3553</v>
      </c>
      <c r="T56" s="33">
        <v>1.0348599999999999</v>
      </c>
      <c r="U56" s="33">
        <v>0</v>
      </c>
      <c r="V56" s="89" t="str">
        <f t="shared" si="1"/>
        <v>KC</v>
      </c>
      <c r="W56" s="90">
        <v>1</v>
      </c>
      <c r="X56" s="91">
        <v>2025</v>
      </c>
    </row>
    <row r="57" spans="1:24" x14ac:dyDescent="0.25">
      <c r="A57" s="74" t="s">
        <v>55</v>
      </c>
      <c r="B57" s="33">
        <v>2025</v>
      </c>
      <c r="C57" s="33">
        <v>1484.6</v>
      </c>
      <c r="D57" s="33">
        <v>-8.7741000000000007</v>
      </c>
      <c r="E57" s="33">
        <v>-0.26555200000000001</v>
      </c>
      <c r="F57" s="33">
        <v>-0.19325200000000001</v>
      </c>
      <c r="G57" s="33">
        <v>-0.19325200000000001</v>
      </c>
      <c r="H57" s="33">
        <v>-0.1101</v>
      </c>
      <c r="I57" s="33">
        <v>-0.43990000000000001</v>
      </c>
      <c r="J57" s="33">
        <v>-0.11436300000000001</v>
      </c>
      <c r="K57" s="33">
        <v>1.44E-2</v>
      </c>
      <c r="L57" s="33">
        <v>0.38090000000000002</v>
      </c>
      <c r="M57" s="33">
        <v>-0.15163399999999999</v>
      </c>
      <c r="N57" s="169">
        <v>-0.1246</v>
      </c>
      <c r="O57" s="33">
        <v>13</v>
      </c>
      <c r="P57" s="33">
        <v>17</v>
      </c>
      <c r="Q57" s="33">
        <v>-4</v>
      </c>
      <c r="R57" s="33">
        <v>0</v>
      </c>
      <c r="S57" s="33">
        <v>0.34620000000000001</v>
      </c>
      <c r="T57" s="33">
        <v>1.02939</v>
      </c>
      <c r="U57" s="33">
        <v>1</v>
      </c>
      <c r="V57" s="89" t="str">
        <f t="shared" si="1"/>
        <v>SEA</v>
      </c>
      <c r="W57" s="90">
        <v>1</v>
      </c>
      <c r="X57" s="91">
        <v>2025</v>
      </c>
    </row>
    <row r="58" spans="1:24" x14ac:dyDescent="0.25">
      <c r="A58" s="74" t="s">
        <v>403</v>
      </c>
      <c r="B58" s="33">
        <v>2025</v>
      </c>
      <c r="C58" s="33">
        <v>1344.29</v>
      </c>
      <c r="D58" s="33">
        <v>-19.6524</v>
      </c>
      <c r="E58" s="33">
        <v>-5.8778699999999997</v>
      </c>
      <c r="F58" s="33">
        <v>0.14998500000000001</v>
      </c>
      <c r="G58" s="33">
        <v>0.14998500000000001</v>
      </c>
      <c r="H58" s="33">
        <v>-0.12520000000000001</v>
      </c>
      <c r="I58" s="33">
        <v>-8.5699999999999998E-2</v>
      </c>
      <c r="J58" s="33">
        <v>3.6471299999999998E-2</v>
      </c>
      <c r="K58" s="33">
        <v>2.1299999999999999E-2</v>
      </c>
      <c r="L58" s="33">
        <v>5.2600000000000001E-2</v>
      </c>
      <c r="M58" s="33">
        <v>4.29089E-2</v>
      </c>
      <c r="N58" s="173">
        <v>-0.14649999999999999</v>
      </c>
      <c r="O58" s="33">
        <v>13</v>
      </c>
      <c r="P58" s="33">
        <v>20</v>
      </c>
      <c r="Q58" s="33">
        <v>-7</v>
      </c>
      <c r="R58" s="33">
        <v>0</v>
      </c>
      <c r="S58" s="33">
        <v>0.26479999999999998</v>
      </c>
      <c r="T58" s="33">
        <v>0.94014200000000003</v>
      </c>
      <c r="U58" s="33">
        <v>0</v>
      </c>
      <c r="V58" s="89" t="str">
        <f t="shared" si="1"/>
        <v>NO</v>
      </c>
      <c r="W58" s="90">
        <v>1</v>
      </c>
      <c r="X58" s="91">
        <v>2025</v>
      </c>
    </row>
    <row r="59" spans="1:24" x14ac:dyDescent="0.25">
      <c r="A59" s="74" t="s">
        <v>89</v>
      </c>
      <c r="B59" s="33">
        <v>2025</v>
      </c>
      <c r="C59" s="33">
        <v>1375.22</v>
      </c>
      <c r="D59" s="33">
        <v>-3.5958999999999999</v>
      </c>
      <c r="E59" s="33">
        <v>-4.6408100000000001</v>
      </c>
      <c r="F59" s="33">
        <v>0.192412</v>
      </c>
      <c r="G59" s="33">
        <v>0.192412</v>
      </c>
      <c r="H59" s="33">
        <v>-0.30620000000000003</v>
      </c>
      <c r="I59" s="33">
        <v>-0.47820000000000001</v>
      </c>
      <c r="J59" s="33">
        <v>-0.43698799999999999</v>
      </c>
      <c r="K59" s="33">
        <v>-0.1419</v>
      </c>
      <c r="L59" s="33">
        <v>-0.19139999999999999</v>
      </c>
      <c r="M59" s="33">
        <v>-0.149952</v>
      </c>
      <c r="N59" s="169">
        <v>-0.16420000000000001</v>
      </c>
      <c r="O59" s="33">
        <v>12</v>
      </c>
      <c r="P59" s="33">
        <v>20</v>
      </c>
      <c r="Q59" s="33">
        <v>-8</v>
      </c>
      <c r="R59" s="33">
        <v>0</v>
      </c>
      <c r="S59" s="33">
        <v>0.2296</v>
      </c>
      <c r="T59" s="33">
        <v>0.47108699999999998</v>
      </c>
      <c r="U59" s="33">
        <v>0</v>
      </c>
      <c r="V59" s="89" t="str">
        <f t="shared" si="1"/>
        <v>TEN</v>
      </c>
      <c r="W59" s="90">
        <v>1</v>
      </c>
      <c r="X59" s="91">
        <v>2025</v>
      </c>
    </row>
    <row r="60" spans="1:24" x14ac:dyDescent="0.25">
      <c r="A60" s="74" t="s">
        <v>404</v>
      </c>
      <c r="B60" s="33">
        <v>2025</v>
      </c>
      <c r="C60" s="33">
        <v>1416.43</v>
      </c>
      <c r="D60" s="33">
        <v>-1.4644999999999999</v>
      </c>
      <c r="E60" s="33">
        <v>-2.9923000000000002</v>
      </c>
      <c r="F60" s="33">
        <v>5.7832000000000001E-2</v>
      </c>
      <c r="G60" s="33">
        <v>5.7832000000000001E-2</v>
      </c>
      <c r="H60" s="33">
        <v>-6.6199999999999995E-2</v>
      </c>
      <c r="I60" s="33">
        <v>-7.1000000000000004E-3</v>
      </c>
      <c r="J60" s="33">
        <v>-0.23152900000000001</v>
      </c>
      <c r="K60" s="33">
        <v>0.10539999999999999</v>
      </c>
      <c r="L60" s="33">
        <v>0.43959999999999999</v>
      </c>
      <c r="M60" s="33">
        <v>-0.30699199999999999</v>
      </c>
      <c r="N60" s="169">
        <v>-0.1716</v>
      </c>
      <c r="O60" s="33">
        <v>13</v>
      </c>
      <c r="P60" s="33">
        <v>20</v>
      </c>
      <c r="Q60" s="33">
        <v>-7</v>
      </c>
      <c r="R60" s="33">
        <v>0</v>
      </c>
      <c r="S60" s="33">
        <v>0.26479999999999998</v>
      </c>
      <c r="T60" s="33">
        <v>0.93878899999999998</v>
      </c>
      <c r="U60" s="33">
        <v>0</v>
      </c>
      <c r="V60" s="89" t="str">
        <f t="shared" si="1"/>
        <v>NE</v>
      </c>
      <c r="W60" s="90">
        <v>1</v>
      </c>
      <c r="X60" s="91">
        <v>2025</v>
      </c>
    </row>
    <row r="61" spans="1:24" x14ac:dyDescent="0.25">
      <c r="A61" s="74" t="s">
        <v>25</v>
      </c>
      <c r="B61" s="33">
        <v>2025</v>
      </c>
      <c r="C61" s="33">
        <v>1631.7</v>
      </c>
      <c r="D61" s="33">
        <v>19.227499999999999</v>
      </c>
      <c r="E61" s="33">
        <v>5.6186699999999998</v>
      </c>
      <c r="F61" s="33">
        <v>1.21505</v>
      </c>
      <c r="G61" s="33">
        <v>1.21505</v>
      </c>
      <c r="H61" s="33">
        <v>0.2666</v>
      </c>
      <c r="I61" s="33">
        <v>0.29049999999999998</v>
      </c>
      <c r="J61" s="33">
        <v>6.4115199999999997E-2</v>
      </c>
      <c r="K61" s="33">
        <v>0.48320000000000002</v>
      </c>
      <c r="L61" s="33">
        <v>0.46310000000000001</v>
      </c>
      <c r="M61" s="33">
        <v>0.36160399999999998</v>
      </c>
      <c r="N61" s="169">
        <v>-0.21659999999999999</v>
      </c>
      <c r="O61" s="33">
        <v>41</v>
      </c>
      <c r="P61" s="33">
        <v>40</v>
      </c>
      <c r="Q61" s="33">
        <v>1</v>
      </c>
      <c r="R61" s="33">
        <v>1</v>
      </c>
      <c r="S61" s="33">
        <v>0.51459999999999995</v>
      </c>
      <c r="T61" s="33">
        <v>1.27501</v>
      </c>
      <c r="U61" s="33">
        <v>0</v>
      </c>
      <c r="V61" s="89" t="str">
        <f t="shared" si="1"/>
        <v>BUF</v>
      </c>
      <c r="W61" s="90">
        <v>1</v>
      </c>
      <c r="X61" s="91">
        <v>2025</v>
      </c>
    </row>
    <row r="62" spans="1:24" x14ac:dyDescent="0.25">
      <c r="A62" s="74" t="s">
        <v>95</v>
      </c>
      <c r="B62" s="33">
        <v>2025</v>
      </c>
      <c r="C62" s="33">
        <v>1374.47</v>
      </c>
      <c r="D62" s="33">
        <v>10.403700000000001</v>
      </c>
      <c r="E62" s="33">
        <v>-4.6708699999999999</v>
      </c>
      <c r="F62" s="33">
        <v>6.94332E-2</v>
      </c>
      <c r="G62" s="33">
        <v>6.94332E-2</v>
      </c>
      <c r="H62" s="33">
        <v>-0.1497</v>
      </c>
      <c r="I62" s="33">
        <v>-0.30790000000000001</v>
      </c>
      <c r="J62" s="33">
        <v>-0.15460299999999999</v>
      </c>
      <c r="K62" s="33">
        <v>9.3399999999999997E-2</v>
      </c>
      <c r="L62" s="33">
        <v>4.5499999999999999E-2</v>
      </c>
      <c r="M62" s="33">
        <v>0.244814</v>
      </c>
      <c r="N62" s="169">
        <v>-0.24310000000000001</v>
      </c>
      <c r="O62" s="33">
        <v>6</v>
      </c>
      <c r="P62" s="33">
        <v>21</v>
      </c>
      <c r="Q62" s="33">
        <v>-15</v>
      </c>
      <c r="R62" s="33">
        <v>0</v>
      </c>
      <c r="S62" s="33">
        <v>4.8800000000000003E-2</v>
      </c>
      <c r="T62" s="33">
        <v>0.45501900000000001</v>
      </c>
      <c r="U62" s="33">
        <v>0</v>
      </c>
      <c r="V62" s="89" t="str">
        <f t="shared" si="1"/>
        <v>NYG</v>
      </c>
      <c r="W62" s="90">
        <v>1</v>
      </c>
      <c r="X62" s="91">
        <v>2025</v>
      </c>
    </row>
    <row r="63" spans="1:24" x14ac:dyDescent="0.25">
      <c r="A63" s="74" t="s">
        <v>67</v>
      </c>
      <c r="B63" s="33">
        <v>2025</v>
      </c>
      <c r="C63" s="33">
        <v>1352.61</v>
      </c>
      <c r="D63" s="33">
        <v>-1.0667</v>
      </c>
      <c r="E63" s="33">
        <v>-5.5449799999999998</v>
      </c>
      <c r="F63" s="33">
        <v>5.64647E-2</v>
      </c>
      <c r="G63" s="33">
        <v>5.64647E-2</v>
      </c>
      <c r="H63" s="33">
        <v>-0.13500000000000001</v>
      </c>
      <c r="I63" s="33">
        <v>-0.44009999999999999</v>
      </c>
      <c r="J63" s="33">
        <v>7.9629899999999999E-4</v>
      </c>
      <c r="K63" s="33">
        <v>0.11650000000000001</v>
      </c>
      <c r="L63" s="33">
        <v>4.24E-2</v>
      </c>
      <c r="M63" s="33">
        <v>0.20569299999999999</v>
      </c>
      <c r="N63" s="169">
        <v>-0.25159999999999999</v>
      </c>
      <c r="O63" s="33">
        <v>10</v>
      </c>
      <c r="P63" s="33">
        <v>26</v>
      </c>
      <c r="Q63" s="33">
        <v>-16</v>
      </c>
      <c r="R63" s="33">
        <v>0</v>
      </c>
      <c r="S63" s="33">
        <v>9.4100000000000003E-2</v>
      </c>
      <c r="T63" s="33">
        <v>0.66216200000000003</v>
      </c>
      <c r="U63" s="33">
        <v>0</v>
      </c>
      <c r="V63" s="89" t="str">
        <f t="shared" si="1"/>
        <v>CAR</v>
      </c>
      <c r="W63" s="90">
        <v>1</v>
      </c>
      <c r="X63" s="91">
        <v>2025</v>
      </c>
    </row>
    <row r="64" spans="1:24" x14ac:dyDescent="0.25">
      <c r="A64" s="74" t="s">
        <v>10</v>
      </c>
      <c r="B64" s="33">
        <v>2025</v>
      </c>
      <c r="C64" s="33">
        <v>1592.11</v>
      </c>
      <c r="D64" s="33">
        <v>-3.3833000000000002</v>
      </c>
      <c r="E64" s="33">
        <v>4.0349300000000001</v>
      </c>
      <c r="F64" s="33">
        <v>-0.63846199999999997</v>
      </c>
      <c r="G64" s="33">
        <v>-0.63846199999999997</v>
      </c>
      <c r="H64" s="33">
        <v>-6.8900000000000003E-2</v>
      </c>
      <c r="I64" s="33">
        <v>3.5200000000000002E-2</v>
      </c>
      <c r="J64" s="33">
        <v>-0.243643</v>
      </c>
      <c r="K64" s="33">
        <v>0.2359</v>
      </c>
      <c r="L64" s="33">
        <v>0.45750000000000002</v>
      </c>
      <c r="M64" s="33">
        <v>-9.6829899999999997E-2</v>
      </c>
      <c r="N64" s="169">
        <v>-0.30480000000000002</v>
      </c>
      <c r="O64" s="33">
        <v>13</v>
      </c>
      <c r="P64" s="33">
        <v>27</v>
      </c>
      <c r="Q64" s="33">
        <v>-14</v>
      </c>
      <c r="R64" s="33">
        <v>0</v>
      </c>
      <c r="S64" s="33">
        <v>0.15029999999999999</v>
      </c>
      <c r="T64" s="33">
        <v>1.28867</v>
      </c>
      <c r="U64" s="33">
        <v>0</v>
      </c>
      <c r="V64" s="89" t="str">
        <f t="shared" si="1"/>
        <v>DET</v>
      </c>
      <c r="W64" s="90">
        <v>1</v>
      </c>
      <c r="X64" s="91">
        <v>2025</v>
      </c>
    </row>
    <row r="65" spans="1:24" ht="15.75" thickBot="1" x14ac:dyDescent="0.3">
      <c r="A65" s="75" t="s">
        <v>2</v>
      </c>
      <c r="B65" s="76">
        <v>2025</v>
      </c>
      <c r="C65" s="76">
        <v>1454.49</v>
      </c>
      <c r="D65" s="76">
        <v>-4.4272</v>
      </c>
      <c r="E65" s="76">
        <v>-1.46983</v>
      </c>
      <c r="F65" s="76">
        <v>-1.23306</v>
      </c>
      <c r="G65" s="76">
        <v>-1.23306</v>
      </c>
      <c r="H65" s="76">
        <v>-0.18940000000000001</v>
      </c>
      <c r="I65" s="76">
        <v>-0.50449999999999995</v>
      </c>
      <c r="J65" s="76">
        <v>0.33932000000000001</v>
      </c>
      <c r="K65" s="76">
        <v>0.30530000000000002</v>
      </c>
      <c r="L65" s="76">
        <v>0.44819999999999999</v>
      </c>
      <c r="M65" s="76">
        <v>0.13805200000000001</v>
      </c>
      <c r="N65" s="170">
        <v>-0.49459999999999998</v>
      </c>
      <c r="O65" s="76">
        <v>8</v>
      </c>
      <c r="P65" s="76">
        <v>33</v>
      </c>
      <c r="Q65" s="76">
        <v>-25</v>
      </c>
      <c r="R65" s="76">
        <v>0</v>
      </c>
      <c r="S65" s="76">
        <v>3.3599999999999998E-2</v>
      </c>
      <c r="T65" s="76">
        <v>1.1301600000000001</v>
      </c>
      <c r="U65" s="76">
        <v>0</v>
      </c>
      <c r="V65" s="92" t="str">
        <f t="shared" si="1"/>
        <v>MIA</v>
      </c>
      <c r="W65" s="93">
        <v>1</v>
      </c>
      <c r="X65" s="94">
        <v>2025</v>
      </c>
    </row>
    <row r="66" spans="1:24" x14ac:dyDescent="0.25">
      <c r="A66" s="74" t="s">
        <v>47</v>
      </c>
      <c r="B66" s="33">
        <v>2025</v>
      </c>
      <c r="C66" s="33">
        <v>1686.87</v>
      </c>
      <c r="D66" s="33">
        <v>12.418100000000001</v>
      </c>
      <c r="E66" s="33">
        <v>7.8603300000000003</v>
      </c>
      <c r="F66" s="33">
        <v>0.44977</v>
      </c>
      <c r="G66" s="33">
        <v>1.3814200000000001</v>
      </c>
      <c r="H66" s="33">
        <v>0.31</v>
      </c>
      <c r="I66" s="33">
        <v>0.37790000000000001</v>
      </c>
      <c r="J66" s="33">
        <v>0.147785</v>
      </c>
      <c r="K66" s="33">
        <v>4.7000000000000002E-3</v>
      </c>
      <c r="L66" s="33">
        <v>-9.3600000000000003E-2</v>
      </c>
      <c r="M66" s="33">
        <v>0.120225</v>
      </c>
      <c r="N66" s="173">
        <v>0.30530000000000002</v>
      </c>
      <c r="O66" s="33">
        <v>40.5</v>
      </c>
      <c r="P66" s="33">
        <v>29</v>
      </c>
      <c r="Q66" s="33">
        <v>11.5</v>
      </c>
      <c r="R66" s="33">
        <v>1</v>
      </c>
      <c r="S66" s="33">
        <v>1.3763000000000001</v>
      </c>
      <c r="T66" s="33">
        <v>1.88097</v>
      </c>
      <c r="U66" s="33">
        <v>1</v>
      </c>
      <c r="V66" s="89" t="str">
        <f t="shared" ref="V66:V129" si="2">IF(A66&lt;&gt;"",IF(A66="OAK","LV",A66),"")</f>
        <v>BAL</v>
      </c>
      <c r="W66" s="90">
        <f>W34+1</f>
        <v>2</v>
      </c>
      <c r="X66" s="91">
        <v>2025</v>
      </c>
    </row>
    <row r="67" spans="1:24" x14ac:dyDescent="0.25">
      <c r="A67" s="74" t="s">
        <v>57</v>
      </c>
      <c r="B67" s="33">
        <v>2025</v>
      </c>
      <c r="C67" s="33">
        <v>1490.73</v>
      </c>
      <c r="D67" s="33">
        <v>16.341999999999999</v>
      </c>
      <c r="E67" s="33">
        <v>1.4917E-2</v>
      </c>
      <c r="F67" s="33">
        <v>0.57149899999999998</v>
      </c>
      <c r="G67" s="33">
        <v>3.0873599999999999</v>
      </c>
      <c r="H67" s="33">
        <v>0.25459999999999999</v>
      </c>
      <c r="I67" s="33">
        <v>0.38019999999999998</v>
      </c>
      <c r="J67" s="33">
        <v>6.4264399999999999E-2</v>
      </c>
      <c r="K67" s="33">
        <v>3.5299999999999998E-2</v>
      </c>
      <c r="L67" s="33">
        <v>-0.1258</v>
      </c>
      <c r="M67" s="33">
        <v>0.16902300000000001</v>
      </c>
      <c r="N67" s="169">
        <v>0.21929999999999999</v>
      </c>
      <c r="O67" s="33">
        <v>31</v>
      </c>
      <c r="P67" s="33">
        <v>18</v>
      </c>
      <c r="Q67" s="33">
        <v>13</v>
      </c>
      <c r="R67" s="33">
        <v>2</v>
      </c>
      <c r="S67" s="33">
        <v>1.5677000000000001</v>
      </c>
      <c r="T67" s="33">
        <v>1.60998</v>
      </c>
      <c r="U67" s="33">
        <v>1</v>
      </c>
      <c r="V67" s="89" t="str">
        <f t="shared" si="2"/>
        <v>IND</v>
      </c>
      <c r="W67" s="90">
        <f t="shared" ref="W67:W130" si="3">W35+1</f>
        <v>2</v>
      </c>
      <c r="X67" s="91">
        <v>2025</v>
      </c>
    </row>
    <row r="68" spans="1:24" x14ac:dyDescent="0.25">
      <c r="A68" s="74" t="s">
        <v>400</v>
      </c>
      <c r="B68" s="33">
        <v>2025</v>
      </c>
      <c r="C68" s="33">
        <v>1605.54</v>
      </c>
      <c r="D68" s="33">
        <v>1.9294</v>
      </c>
      <c r="E68" s="33">
        <v>4.6073700000000004</v>
      </c>
      <c r="F68" s="33">
        <v>0.53407199999999999</v>
      </c>
      <c r="G68" s="33">
        <v>2.4372199999999999</v>
      </c>
      <c r="H68" s="33">
        <v>0.13669999999999999</v>
      </c>
      <c r="I68" s="33">
        <v>0.31559999999999999</v>
      </c>
      <c r="J68" s="33">
        <v>-2.1423299999999999E-2</v>
      </c>
      <c r="K68" s="33">
        <v>-8.0500000000000002E-2</v>
      </c>
      <c r="L68" s="33">
        <v>-9.6100000000000005E-2</v>
      </c>
      <c r="M68" s="33">
        <v>-0.19453300000000001</v>
      </c>
      <c r="N68" s="169">
        <v>0.21709999999999999</v>
      </c>
      <c r="O68" s="33">
        <v>27</v>
      </c>
      <c r="P68" s="33">
        <v>15.5</v>
      </c>
      <c r="Q68" s="33">
        <v>11.5</v>
      </c>
      <c r="R68" s="33">
        <v>2</v>
      </c>
      <c r="S68" s="33">
        <v>1.5768</v>
      </c>
      <c r="T68" s="33">
        <v>1.8890800000000001</v>
      </c>
      <c r="U68" s="33">
        <v>1</v>
      </c>
      <c r="V68" s="89" t="str">
        <f t="shared" si="2"/>
        <v>GB</v>
      </c>
      <c r="W68" s="90">
        <f t="shared" si="3"/>
        <v>2</v>
      </c>
      <c r="X68" s="91">
        <v>2025</v>
      </c>
    </row>
    <row r="69" spans="1:24" x14ac:dyDescent="0.25">
      <c r="A69" s="74" t="s">
        <v>69</v>
      </c>
      <c r="B69" s="33">
        <v>2025</v>
      </c>
      <c r="C69" s="33">
        <v>1485.72</v>
      </c>
      <c r="D69" s="33">
        <v>-9.1881000000000004</v>
      </c>
      <c r="E69" s="33">
        <v>-0.185391</v>
      </c>
      <c r="F69" s="33">
        <v>0.29623500000000003</v>
      </c>
      <c r="G69" s="33">
        <v>0.89393100000000003</v>
      </c>
      <c r="H69" s="33">
        <v>1.47E-2</v>
      </c>
      <c r="I69" s="33">
        <v>2E-3</v>
      </c>
      <c r="J69" s="33">
        <v>5.3336399999999997E-3</v>
      </c>
      <c r="K69" s="33">
        <v>-0.1799</v>
      </c>
      <c r="L69" s="33">
        <v>-0.23019999999999999</v>
      </c>
      <c r="M69" s="33">
        <v>-5.3280500000000001E-2</v>
      </c>
      <c r="N69" s="169">
        <v>0.1946</v>
      </c>
      <c r="O69" s="33">
        <v>21</v>
      </c>
      <c r="P69" s="33">
        <v>14.5</v>
      </c>
      <c r="Q69" s="33">
        <v>6.5</v>
      </c>
      <c r="R69" s="33">
        <v>1</v>
      </c>
      <c r="S69" s="33">
        <v>1.4127000000000001</v>
      </c>
      <c r="T69" s="33">
        <v>1.29522</v>
      </c>
      <c r="U69" s="33">
        <v>1</v>
      </c>
      <c r="V69" s="89" t="str">
        <f t="shared" si="2"/>
        <v>ATL</v>
      </c>
      <c r="W69" s="90">
        <f t="shared" si="3"/>
        <v>2</v>
      </c>
      <c r="X69" s="91">
        <v>2025</v>
      </c>
    </row>
    <row r="70" spans="1:24" x14ac:dyDescent="0.25">
      <c r="A70" s="74" t="s">
        <v>21</v>
      </c>
      <c r="B70" s="33">
        <v>2025</v>
      </c>
      <c r="C70" s="33">
        <v>1564.46</v>
      </c>
      <c r="D70" s="33">
        <v>3.0912000000000002</v>
      </c>
      <c r="E70" s="33">
        <v>2.9638300000000002</v>
      </c>
      <c r="F70" s="33">
        <v>1.0871200000000001</v>
      </c>
      <c r="G70" s="33">
        <v>1.8583700000000001</v>
      </c>
      <c r="H70" s="33">
        <v>8.7099999999999997E-2</v>
      </c>
      <c r="I70" s="33">
        <v>0.1898</v>
      </c>
      <c r="J70" s="33">
        <v>3.1669799999999998E-3</v>
      </c>
      <c r="K70" s="33">
        <v>-9.4E-2</v>
      </c>
      <c r="L70" s="33">
        <v>-0.2555</v>
      </c>
      <c r="M70" s="33">
        <v>-2.48344E-3</v>
      </c>
      <c r="N70" s="169">
        <v>0.18110000000000001</v>
      </c>
      <c r="O70" s="33">
        <v>23.5</v>
      </c>
      <c r="P70" s="33">
        <v>14</v>
      </c>
      <c r="Q70" s="33">
        <v>9.5</v>
      </c>
      <c r="R70" s="33">
        <v>2</v>
      </c>
      <c r="S70" s="33">
        <v>1.5468</v>
      </c>
      <c r="T70" s="33">
        <v>1.58849</v>
      </c>
      <c r="U70" s="33">
        <v>1</v>
      </c>
      <c r="V70" s="89" t="str">
        <f t="shared" si="2"/>
        <v>LAR</v>
      </c>
      <c r="W70" s="90">
        <f t="shared" si="3"/>
        <v>2</v>
      </c>
      <c r="X70" s="91">
        <v>2025</v>
      </c>
    </row>
    <row r="71" spans="1:24" x14ac:dyDescent="0.25">
      <c r="A71" s="74" t="s">
        <v>401</v>
      </c>
      <c r="B71" s="33">
        <v>2025</v>
      </c>
      <c r="C71" s="33">
        <v>1434.77</v>
      </c>
      <c r="D71" s="33">
        <v>-0.92900000000000005</v>
      </c>
      <c r="E71" s="33">
        <v>-2.2236699999999998</v>
      </c>
      <c r="F71" s="33">
        <v>-0.94144000000000005</v>
      </c>
      <c r="G71" s="33">
        <v>0.213784</v>
      </c>
      <c r="H71" s="33">
        <v>0.10539999999999999</v>
      </c>
      <c r="I71" s="33">
        <v>0.43959999999999999</v>
      </c>
      <c r="J71" s="33">
        <v>-0.30699199999999999</v>
      </c>
      <c r="K71" s="33">
        <v>-6.6199999999999995E-2</v>
      </c>
      <c r="L71" s="33">
        <v>-7.1000000000000004E-3</v>
      </c>
      <c r="M71" s="33">
        <v>-0.23152900000000001</v>
      </c>
      <c r="N71" s="169">
        <v>0.1716</v>
      </c>
      <c r="O71" s="33">
        <v>29</v>
      </c>
      <c r="P71" s="33">
        <v>33</v>
      </c>
      <c r="Q71" s="33">
        <v>-4</v>
      </c>
      <c r="R71" s="33">
        <v>1</v>
      </c>
      <c r="S71" s="33">
        <v>0.84809999999999997</v>
      </c>
      <c r="T71" s="33">
        <v>1.02247</v>
      </c>
      <c r="U71" s="33">
        <v>1</v>
      </c>
      <c r="V71" s="89" t="str">
        <f t="shared" si="2"/>
        <v>LV</v>
      </c>
      <c r="W71" s="90">
        <f t="shared" si="3"/>
        <v>2</v>
      </c>
      <c r="X71" s="91">
        <v>2025</v>
      </c>
    </row>
    <row r="72" spans="1:24" x14ac:dyDescent="0.25">
      <c r="A72" s="74" t="s">
        <v>10</v>
      </c>
      <c r="B72" s="33">
        <v>2025</v>
      </c>
      <c r="C72" s="33">
        <v>1619.92</v>
      </c>
      <c r="D72" s="33">
        <v>11.6646</v>
      </c>
      <c r="E72" s="33">
        <v>5.1824899999999996</v>
      </c>
      <c r="F72" s="33">
        <v>1.19722</v>
      </c>
      <c r="G72" s="33">
        <v>0.50909199999999999</v>
      </c>
      <c r="H72" s="33">
        <v>0.154</v>
      </c>
      <c r="I72" s="33">
        <v>0.38030000000000003</v>
      </c>
      <c r="J72" s="33">
        <v>-0.10986799999999999</v>
      </c>
      <c r="K72" s="33">
        <v>5.0000000000000001E-3</v>
      </c>
      <c r="L72" s="33">
        <v>0.1817</v>
      </c>
      <c r="M72" s="33">
        <v>-0.24948400000000001</v>
      </c>
      <c r="N72" s="169">
        <v>0.14899999999999999</v>
      </c>
      <c r="O72" s="33">
        <v>32.5</v>
      </c>
      <c r="P72" s="33">
        <v>24</v>
      </c>
      <c r="Q72" s="33">
        <v>8.5</v>
      </c>
      <c r="R72" s="33">
        <v>1</v>
      </c>
      <c r="S72" s="33">
        <v>1.3446</v>
      </c>
      <c r="T72" s="33">
        <v>1.68279</v>
      </c>
      <c r="U72" s="33">
        <v>0</v>
      </c>
      <c r="V72" s="89" t="str">
        <f t="shared" si="2"/>
        <v>DET</v>
      </c>
      <c r="W72" s="90">
        <f t="shared" si="3"/>
        <v>2</v>
      </c>
      <c r="X72" s="91">
        <v>2025</v>
      </c>
    </row>
    <row r="73" spans="1:24" x14ac:dyDescent="0.25">
      <c r="A73" s="74" t="s">
        <v>405</v>
      </c>
      <c r="B73" s="33">
        <v>2025</v>
      </c>
      <c r="C73" s="33">
        <v>1493.49</v>
      </c>
      <c r="D73" s="33">
        <v>-52.618000000000002</v>
      </c>
      <c r="E73" s="33">
        <v>0.12534200000000001</v>
      </c>
      <c r="F73" s="33">
        <v>0.60072300000000001</v>
      </c>
      <c r="G73" s="33">
        <v>-0.63950200000000001</v>
      </c>
      <c r="H73" s="33">
        <v>2.4400000000000002E-2</v>
      </c>
      <c r="I73" s="33">
        <v>0.2165</v>
      </c>
      <c r="J73" s="33">
        <v>-0.14383299999999999</v>
      </c>
      <c r="K73" s="33">
        <v>-0.10639999999999999</v>
      </c>
      <c r="L73" s="33">
        <v>-0.30890000000000001</v>
      </c>
      <c r="M73" s="33">
        <v>-1.23585E-2</v>
      </c>
      <c r="N73" s="169">
        <v>0.1308</v>
      </c>
      <c r="O73" s="33">
        <v>21.5</v>
      </c>
      <c r="P73" s="33">
        <v>17</v>
      </c>
      <c r="Q73" s="33">
        <v>4.5</v>
      </c>
      <c r="R73" s="33">
        <v>2</v>
      </c>
      <c r="S73" s="33">
        <v>1.2713000000000001</v>
      </c>
      <c r="T73" s="33">
        <v>1.5858399999999999</v>
      </c>
      <c r="U73" s="33">
        <v>0</v>
      </c>
      <c r="V73" s="89" t="str">
        <f t="shared" si="2"/>
        <v>SF</v>
      </c>
      <c r="W73" s="90">
        <f t="shared" si="3"/>
        <v>2</v>
      </c>
      <c r="X73" s="91">
        <v>2025</v>
      </c>
    </row>
    <row r="74" spans="1:24" x14ac:dyDescent="0.25">
      <c r="A74" s="74" t="s">
        <v>44</v>
      </c>
      <c r="B74" s="33">
        <v>2025</v>
      </c>
      <c r="C74" s="33">
        <v>1471.77</v>
      </c>
      <c r="D74" s="33">
        <v>-0.4173</v>
      </c>
      <c r="E74" s="33">
        <v>-0.74362300000000003</v>
      </c>
      <c r="F74" s="33">
        <v>0.327266</v>
      </c>
      <c r="G74" s="33">
        <v>1.2041200000000001</v>
      </c>
      <c r="H74" s="33">
        <v>0.1043</v>
      </c>
      <c r="I74" s="33">
        <v>8.5300000000000001E-2</v>
      </c>
      <c r="J74" s="33">
        <v>0.136989</v>
      </c>
      <c r="K74" s="33">
        <v>-1.12E-2</v>
      </c>
      <c r="L74" s="33">
        <v>-0.21540000000000001</v>
      </c>
      <c r="M74" s="33">
        <v>3.2912799999999999E-2</v>
      </c>
      <c r="N74" s="169">
        <v>0.1154</v>
      </c>
      <c r="O74" s="33">
        <v>26.5</v>
      </c>
      <c r="P74" s="33">
        <v>20.5</v>
      </c>
      <c r="Q74" s="33">
        <v>6</v>
      </c>
      <c r="R74" s="33">
        <v>1</v>
      </c>
      <c r="S74" s="33">
        <v>1.2951999999999999</v>
      </c>
      <c r="T74" s="33">
        <v>1.3482400000000001</v>
      </c>
      <c r="U74" s="33">
        <v>1</v>
      </c>
      <c r="V74" s="89" t="str">
        <f t="shared" si="2"/>
        <v>JAX</v>
      </c>
      <c r="W74" s="90">
        <f t="shared" si="3"/>
        <v>2</v>
      </c>
      <c r="X74" s="91">
        <v>2025</v>
      </c>
    </row>
    <row r="75" spans="1:24" x14ac:dyDescent="0.25">
      <c r="A75" s="74" t="s">
        <v>25</v>
      </c>
      <c r="B75" s="33">
        <v>2025</v>
      </c>
      <c r="C75" s="33">
        <v>1635.64</v>
      </c>
      <c r="D75" s="33">
        <v>12.6341</v>
      </c>
      <c r="E75" s="33">
        <v>5.8111100000000002</v>
      </c>
      <c r="F75" s="33">
        <v>0.242115</v>
      </c>
      <c r="G75" s="33">
        <v>1.4075</v>
      </c>
      <c r="H75" s="33">
        <v>0.24709999999999999</v>
      </c>
      <c r="I75" s="33">
        <v>0.19089999999999999</v>
      </c>
      <c r="J75" s="33">
        <v>0.15828400000000001</v>
      </c>
      <c r="K75" s="33">
        <v>0.13700000000000001</v>
      </c>
      <c r="L75" s="33">
        <v>0.1139</v>
      </c>
      <c r="M75" s="33">
        <v>1.46766E-2</v>
      </c>
      <c r="N75" s="169">
        <v>0.1101</v>
      </c>
      <c r="O75" s="33">
        <v>35.5</v>
      </c>
      <c r="P75" s="33">
        <v>25</v>
      </c>
      <c r="Q75" s="33">
        <v>10.5</v>
      </c>
      <c r="R75" s="33">
        <v>2</v>
      </c>
      <c r="S75" s="33">
        <v>1.3932</v>
      </c>
      <c r="T75" s="33">
        <v>2.0697100000000002</v>
      </c>
      <c r="U75" s="33">
        <v>0</v>
      </c>
      <c r="V75" s="89" t="str">
        <f t="shared" si="2"/>
        <v>BUF</v>
      </c>
      <c r="W75" s="90">
        <f t="shared" si="3"/>
        <v>2</v>
      </c>
      <c r="X75" s="91">
        <v>2025</v>
      </c>
    </row>
    <row r="76" spans="1:24" x14ac:dyDescent="0.25">
      <c r="A76" s="74" t="s">
        <v>93</v>
      </c>
      <c r="B76" s="33">
        <v>2025</v>
      </c>
      <c r="C76" s="33">
        <v>1503.15</v>
      </c>
      <c r="D76" s="33">
        <v>0.51370000000000005</v>
      </c>
      <c r="E76" s="33">
        <v>0.51163599999999998</v>
      </c>
      <c r="F76" s="33">
        <v>-0.75987300000000002</v>
      </c>
      <c r="G76" s="33">
        <v>0.32118200000000002</v>
      </c>
      <c r="H76" s="33">
        <v>3.8100000000000002E-2</v>
      </c>
      <c r="I76" s="33">
        <v>0.14180000000000001</v>
      </c>
      <c r="J76" s="33">
        <v>2.0361799999999999E-2</v>
      </c>
      <c r="K76" s="33">
        <v>-6.2399999999999997E-2</v>
      </c>
      <c r="L76" s="33">
        <v>-7.0000000000000001E-3</v>
      </c>
      <c r="M76" s="33">
        <v>-8.9679900000000007E-2</v>
      </c>
      <c r="N76" s="169">
        <v>0.10050000000000001</v>
      </c>
      <c r="O76" s="33">
        <v>23.5</v>
      </c>
      <c r="P76" s="33">
        <v>17.5</v>
      </c>
      <c r="Q76" s="33">
        <v>6</v>
      </c>
      <c r="R76" s="33">
        <v>2</v>
      </c>
      <c r="S76" s="33">
        <v>1.3358000000000001</v>
      </c>
      <c r="T76" s="33">
        <v>1.68302</v>
      </c>
      <c r="U76" s="33">
        <v>1</v>
      </c>
      <c r="V76" s="89" t="str">
        <f t="shared" si="2"/>
        <v>ARI</v>
      </c>
      <c r="W76" s="90">
        <f t="shared" si="3"/>
        <v>2</v>
      </c>
      <c r="X76" s="91">
        <v>2025</v>
      </c>
    </row>
    <row r="77" spans="1:24" x14ac:dyDescent="0.25">
      <c r="A77" s="74" t="s">
        <v>60</v>
      </c>
      <c r="B77" s="33">
        <v>2025</v>
      </c>
      <c r="C77" s="33">
        <v>1559.46</v>
      </c>
      <c r="D77" s="33">
        <v>11.368</v>
      </c>
      <c r="E77" s="33">
        <v>2.7638500000000001</v>
      </c>
      <c r="F77" s="33">
        <v>0.64537100000000003</v>
      </c>
      <c r="G77" s="33">
        <v>1.99715</v>
      </c>
      <c r="H77" s="33">
        <v>0.27579999999999999</v>
      </c>
      <c r="I77" s="33">
        <v>0.51670000000000005</v>
      </c>
      <c r="J77" s="33">
        <v>-9.2558699999999994E-3</v>
      </c>
      <c r="K77" s="33">
        <v>0.1757</v>
      </c>
      <c r="L77" s="33">
        <v>8.6199999999999999E-2</v>
      </c>
      <c r="M77" s="33">
        <v>0.52390800000000004</v>
      </c>
      <c r="N77" s="169">
        <v>0.1</v>
      </c>
      <c r="O77" s="33">
        <v>47</v>
      </c>
      <c r="P77" s="33">
        <v>30</v>
      </c>
      <c r="Q77" s="33">
        <v>17</v>
      </c>
      <c r="R77" s="33">
        <v>2</v>
      </c>
      <c r="S77" s="33">
        <v>1.4869000000000001</v>
      </c>
      <c r="T77" s="33">
        <v>1.5629999999999999</v>
      </c>
      <c r="U77" s="33">
        <v>1</v>
      </c>
      <c r="V77" s="89" t="str">
        <f t="shared" si="2"/>
        <v>LAC</v>
      </c>
      <c r="W77" s="90">
        <f t="shared" si="3"/>
        <v>2</v>
      </c>
      <c r="X77" s="91">
        <v>2025</v>
      </c>
    </row>
    <row r="78" spans="1:24" x14ac:dyDescent="0.25">
      <c r="A78" s="74" t="s">
        <v>402</v>
      </c>
      <c r="B78" s="33">
        <v>2025</v>
      </c>
      <c r="C78" s="33">
        <v>1531.28</v>
      </c>
      <c r="D78" s="33">
        <v>2.8075999999999999</v>
      </c>
      <c r="E78" s="33">
        <v>1.6368400000000001</v>
      </c>
      <c r="F78" s="33">
        <v>0.31870100000000001</v>
      </c>
      <c r="G78" s="33">
        <v>1.4036</v>
      </c>
      <c r="H78" s="33">
        <v>0.10050000000000001</v>
      </c>
      <c r="I78" s="33">
        <v>0.1802</v>
      </c>
      <c r="J78" s="33">
        <v>2.1999999999999999E-2</v>
      </c>
      <c r="K78" s="33">
        <v>1.3899999999999999E-2</v>
      </c>
      <c r="L78" s="33">
        <v>0.2291</v>
      </c>
      <c r="M78" s="33">
        <v>-0.20594599999999999</v>
      </c>
      <c r="N78" s="169">
        <v>8.6599999999999996E-2</v>
      </c>
      <c r="O78" s="33">
        <v>43</v>
      </c>
      <c r="P78" s="33">
        <v>39</v>
      </c>
      <c r="Q78" s="33">
        <v>4</v>
      </c>
      <c r="R78" s="33">
        <v>2</v>
      </c>
      <c r="S78" s="33">
        <v>1.1152</v>
      </c>
      <c r="T78" s="33">
        <v>1.79969</v>
      </c>
      <c r="U78" s="33">
        <v>1</v>
      </c>
      <c r="V78" s="89" t="str">
        <f t="shared" si="2"/>
        <v>TB</v>
      </c>
      <c r="W78" s="90">
        <f t="shared" si="3"/>
        <v>2</v>
      </c>
      <c r="X78" s="91">
        <v>2025</v>
      </c>
    </row>
    <row r="79" spans="1:24" x14ac:dyDescent="0.25">
      <c r="A79" s="74" t="s">
        <v>55</v>
      </c>
      <c r="B79" s="33">
        <v>2025</v>
      </c>
      <c r="C79" s="33">
        <v>1501.27</v>
      </c>
      <c r="D79" s="33">
        <v>-7.9953000000000003</v>
      </c>
      <c r="E79" s="33">
        <v>0.436226</v>
      </c>
      <c r="F79" s="33">
        <v>0.57755900000000004</v>
      </c>
      <c r="G79" s="33">
        <v>0.508525</v>
      </c>
      <c r="H79" s="33">
        <v>-2.81E-2</v>
      </c>
      <c r="I79" s="33">
        <v>-0.12970000000000001</v>
      </c>
      <c r="J79" s="33">
        <v>-1.9547200000000001E-2</v>
      </c>
      <c r="K79" s="33">
        <v>-0.11169999999999999</v>
      </c>
      <c r="L79" s="33">
        <v>7.7899999999999997E-2</v>
      </c>
      <c r="M79" s="33">
        <v>-0.16819700000000001</v>
      </c>
      <c r="N79" s="169">
        <v>8.3500000000000005E-2</v>
      </c>
      <c r="O79" s="33">
        <v>22</v>
      </c>
      <c r="P79" s="33">
        <v>17</v>
      </c>
      <c r="Q79" s="33">
        <v>5</v>
      </c>
      <c r="R79" s="33">
        <v>1</v>
      </c>
      <c r="S79" s="33">
        <v>1.2964</v>
      </c>
      <c r="T79" s="33">
        <v>1.7858400000000001</v>
      </c>
      <c r="U79" s="33">
        <v>1</v>
      </c>
      <c r="V79" s="89" t="str">
        <f t="shared" si="2"/>
        <v>SEA</v>
      </c>
      <c r="W79" s="90">
        <f t="shared" si="3"/>
        <v>2</v>
      </c>
      <c r="X79" s="91">
        <v>2025</v>
      </c>
    </row>
    <row r="80" spans="1:24" x14ac:dyDescent="0.25">
      <c r="A80" s="74" t="s">
        <v>38</v>
      </c>
      <c r="B80" s="33">
        <v>2025</v>
      </c>
      <c r="C80" s="33">
        <v>1632.69</v>
      </c>
      <c r="D80" s="33">
        <v>1.9470000000000001</v>
      </c>
      <c r="E80" s="33">
        <v>5.6934100000000001</v>
      </c>
      <c r="F80" s="33">
        <v>0.21932099999999999</v>
      </c>
      <c r="G80" s="33">
        <v>0.88605</v>
      </c>
      <c r="H80" s="33">
        <v>0.12939999999999999</v>
      </c>
      <c r="I80" s="33">
        <v>-7.2599999999999998E-2</v>
      </c>
      <c r="J80" s="33">
        <v>0.117787</v>
      </c>
      <c r="K80" s="33">
        <v>6.7400000000000002E-2</v>
      </c>
      <c r="L80" s="33">
        <v>-8.7300000000000003E-2</v>
      </c>
      <c r="M80" s="33">
        <v>4.13934E-3</v>
      </c>
      <c r="N80" s="169">
        <v>6.2100000000000002E-2</v>
      </c>
      <c r="O80" s="33">
        <v>22</v>
      </c>
      <c r="P80" s="33">
        <v>18.5</v>
      </c>
      <c r="Q80" s="33">
        <v>3.5</v>
      </c>
      <c r="R80" s="33">
        <v>2</v>
      </c>
      <c r="S80" s="33">
        <v>1.2024999999999999</v>
      </c>
      <c r="T80" s="33">
        <v>2.1025900000000002</v>
      </c>
      <c r="U80" s="33">
        <v>1</v>
      </c>
      <c r="V80" s="89" t="str">
        <f t="shared" si="2"/>
        <v>PHI</v>
      </c>
      <c r="W80" s="90">
        <f t="shared" si="3"/>
        <v>2</v>
      </c>
      <c r="X80" s="91">
        <v>2025</v>
      </c>
    </row>
    <row r="81" spans="1:24" x14ac:dyDescent="0.25">
      <c r="A81" s="74" t="s">
        <v>63</v>
      </c>
      <c r="B81" s="33">
        <v>2025</v>
      </c>
      <c r="C81" s="33">
        <v>1539.28</v>
      </c>
      <c r="D81" s="33">
        <v>6.2907999999999999</v>
      </c>
      <c r="E81" s="33">
        <v>1.9568700000000001</v>
      </c>
      <c r="F81" s="33">
        <v>0.184668</v>
      </c>
      <c r="G81" s="33">
        <v>0.34591300000000003</v>
      </c>
      <c r="H81" s="33">
        <v>1.9099999999999999E-2</v>
      </c>
      <c r="I81" s="33">
        <v>9.9000000000000008E-3</v>
      </c>
      <c r="J81" s="33">
        <v>-4.6029199999999999E-2</v>
      </c>
      <c r="K81" s="33">
        <v>-2.7300000000000001E-2</v>
      </c>
      <c r="L81" s="33">
        <v>-3.9300000000000002E-2</v>
      </c>
      <c r="M81" s="33">
        <v>-0.19003400000000001</v>
      </c>
      <c r="N81" s="169">
        <v>4.6399999999999997E-2</v>
      </c>
      <c r="O81" s="33">
        <v>24</v>
      </c>
      <c r="P81" s="33">
        <v>20.5</v>
      </c>
      <c r="Q81" s="33">
        <v>3.5</v>
      </c>
      <c r="R81" s="33">
        <v>1</v>
      </c>
      <c r="S81" s="33">
        <v>1.1846000000000001</v>
      </c>
      <c r="T81" s="33">
        <v>1.79861</v>
      </c>
      <c r="U81" s="33">
        <v>1</v>
      </c>
      <c r="V81" s="89" t="str">
        <f t="shared" si="2"/>
        <v>DEN</v>
      </c>
      <c r="W81" s="90">
        <f t="shared" si="3"/>
        <v>2</v>
      </c>
      <c r="X81" s="91">
        <v>2025</v>
      </c>
    </row>
    <row r="82" spans="1:24" x14ac:dyDescent="0.25">
      <c r="A82" s="74" t="s">
        <v>41</v>
      </c>
      <c r="B82" s="33">
        <v>2025</v>
      </c>
      <c r="C82" s="33">
        <v>1548.9</v>
      </c>
      <c r="D82" s="33">
        <v>4.2007000000000003</v>
      </c>
      <c r="E82" s="33">
        <v>2.34151</v>
      </c>
      <c r="F82" s="33">
        <v>-0.45977000000000001</v>
      </c>
      <c r="G82" s="33">
        <v>0.492983</v>
      </c>
      <c r="H82" s="33">
        <v>5.9999999999999995E-4</v>
      </c>
      <c r="I82" s="33">
        <v>-0.1082</v>
      </c>
      <c r="J82" s="33">
        <v>0.10231999999999999</v>
      </c>
      <c r="K82" s="33">
        <v>-4.2700000000000002E-2</v>
      </c>
      <c r="L82" s="33">
        <v>-6.9599999999999995E-2</v>
      </c>
      <c r="M82" s="33">
        <v>-4.3649100000000003E-2</v>
      </c>
      <c r="N82" s="169">
        <v>4.3299999999999998E-2</v>
      </c>
      <c r="O82" s="33">
        <v>19.5</v>
      </c>
      <c r="P82" s="33">
        <v>16.5</v>
      </c>
      <c r="Q82" s="33">
        <v>3</v>
      </c>
      <c r="R82" s="33">
        <v>1</v>
      </c>
      <c r="S82" s="33">
        <v>1.1954</v>
      </c>
      <c r="T82" s="33">
        <v>1.9762</v>
      </c>
      <c r="U82" s="33">
        <v>1</v>
      </c>
      <c r="V82" s="89" t="str">
        <f t="shared" si="2"/>
        <v>WAS</v>
      </c>
      <c r="W82" s="90">
        <f t="shared" si="3"/>
        <v>2</v>
      </c>
      <c r="X82" s="91">
        <v>2025</v>
      </c>
    </row>
    <row r="83" spans="1:24" x14ac:dyDescent="0.25">
      <c r="A83" s="74" t="s">
        <v>77</v>
      </c>
      <c r="B83" s="33">
        <v>2025</v>
      </c>
      <c r="C83" s="33">
        <v>1468.79</v>
      </c>
      <c r="D83" s="33">
        <v>-63.707799999999999</v>
      </c>
      <c r="E83" s="33">
        <v>-0.86286600000000002</v>
      </c>
      <c r="F83" s="33">
        <v>-2.58419</v>
      </c>
      <c r="G83" s="33">
        <v>-2.5351599999999999</v>
      </c>
      <c r="H83" s="33">
        <v>2.0299999999999999E-2</v>
      </c>
      <c r="I83" s="33">
        <v>-3.1800000000000002E-2</v>
      </c>
      <c r="J83" s="33">
        <v>-9.1012999999999997E-2</v>
      </c>
      <c r="K83" s="33">
        <v>-9.1000000000000004E-3</v>
      </c>
      <c r="L83" s="33">
        <v>3.5900000000000001E-2</v>
      </c>
      <c r="M83" s="33">
        <v>-5.7460200000000001E-3</v>
      </c>
      <c r="N83" s="169">
        <v>2.9399999999999999E-2</v>
      </c>
      <c r="O83" s="33">
        <v>24</v>
      </c>
      <c r="P83" s="33">
        <v>21.5</v>
      </c>
      <c r="Q83" s="33">
        <v>2.5</v>
      </c>
      <c r="R83" s="33">
        <v>2</v>
      </c>
      <c r="S83" s="33">
        <v>1.1295999999999999</v>
      </c>
      <c r="T83" s="33">
        <v>1.81213</v>
      </c>
      <c r="U83" s="33">
        <v>1</v>
      </c>
      <c r="V83" s="89" t="str">
        <f t="shared" si="2"/>
        <v>CIN</v>
      </c>
      <c r="W83" s="90">
        <f t="shared" si="3"/>
        <v>2</v>
      </c>
      <c r="X83" s="91">
        <v>2025</v>
      </c>
    </row>
    <row r="84" spans="1:24" x14ac:dyDescent="0.25">
      <c r="A84" s="74" t="s">
        <v>404</v>
      </c>
      <c r="B84" s="33">
        <v>2025</v>
      </c>
      <c r="C84" s="33">
        <v>1435.62</v>
      </c>
      <c r="D84" s="33">
        <v>5.3457999999999997</v>
      </c>
      <c r="E84" s="33">
        <v>-2.1894999999999998</v>
      </c>
      <c r="F84" s="33">
        <v>0.85247600000000001</v>
      </c>
      <c r="G84" s="33">
        <v>0.86063999999999996</v>
      </c>
      <c r="H84" s="33">
        <v>8.0299999999999996E-2</v>
      </c>
      <c r="I84" s="33">
        <v>0.21249999999999999</v>
      </c>
      <c r="J84" s="33">
        <v>-1.9376999999999998E-2</v>
      </c>
      <c r="K84" s="33">
        <v>0.107</v>
      </c>
      <c r="L84" s="33">
        <v>0.37690000000000001</v>
      </c>
      <c r="M84" s="33">
        <v>-0.21707799999999999</v>
      </c>
      <c r="N84" s="169">
        <v>-2.6700000000000002E-2</v>
      </c>
      <c r="O84" s="33">
        <v>23</v>
      </c>
      <c r="P84" s="33">
        <v>23.5</v>
      </c>
      <c r="Q84" s="33">
        <v>-0.5</v>
      </c>
      <c r="R84" s="33">
        <v>1</v>
      </c>
      <c r="S84" s="33">
        <v>0.97450000000000003</v>
      </c>
      <c r="T84" s="33">
        <v>1.3904000000000001</v>
      </c>
      <c r="U84" s="33">
        <v>0</v>
      </c>
      <c r="V84" s="89" t="str">
        <f t="shared" si="2"/>
        <v>NE</v>
      </c>
      <c r="W84" s="90">
        <f t="shared" si="3"/>
        <v>2</v>
      </c>
      <c r="X84" s="91">
        <v>2025</v>
      </c>
    </row>
    <row r="85" spans="1:24" x14ac:dyDescent="0.25">
      <c r="A85" s="74" t="s">
        <v>14</v>
      </c>
      <c r="B85" s="33">
        <v>2025</v>
      </c>
      <c r="C85" s="33">
        <v>1484.95</v>
      </c>
      <c r="D85" s="33">
        <v>13.0984</v>
      </c>
      <c r="E85" s="33">
        <v>-0.216553</v>
      </c>
      <c r="F85" s="33">
        <v>2.4121099999999999E-2</v>
      </c>
      <c r="G85" s="33">
        <v>0.76614700000000002</v>
      </c>
      <c r="H85" s="33">
        <v>0.18629999999999999</v>
      </c>
      <c r="I85" s="33">
        <v>0.13669999999999999</v>
      </c>
      <c r="J85" s="33">
        <v>3.51039E-2</v>
      </c>
      <c r="K85" s="33">
        <v>0.23280000000000001</v>
      </c>
      <c r="L85" s="33">
        <v>0.29160000000000003</v>
      </c>
      <c r="M85" s="33">
        <v>5.7301900000000003E-2</v>
      </c>
      <c r="N85" s="169">
        <v>-4.6600000000000003E-2</v>
      </c>
      <c r="O85" s="33">
        <v>30</v>
      </c>
      <c r="P85" s="33">
        <v>30.5</v>
      </c>
      <c r="Q85" s="33">
        <v>-0.5</v>
      </c>
      <c r="R85" s="33">
        <v>1</v>
      </c>
      <c r="S85" s="33">
        <v>0.98040000000000005</v>
      </c>
      <c r="T85" s="33">
        <v>1.4534899999999999</v>
      </c>
      <c r="U85" s="33">
        <v>0</v>
      </c>
      <c r="V85" s="89" t="str">
        <f t="shared" si="2"/>
        <v>DAL</v>
      </c>
      <c r="W85" s="90">
        <f t="shared" si="3"/>
        <v>2</v>
      </c>
      <c r="X85" s="91">
        <v>2025</v>
      </c>
    </row>
    <row r="86" spans="1:24" x14ac:dyDescent="0.25">
      <c r="A86" s="74" t="s">
        <v>31</v>
      </c>
      <c r="B86" s="33">
        <v>2025</v>
      </c>
      <c r="C86" s="33">
        <v>1489.99</v>
      </c>
      <c r="D86" s="33">
        <v>-10.250999999999999</v>
      </c>
      <c r="E86" s="33">
        <v>-1.49219E-2</v>
      </c>
      <c r="F86" s="33">
        <v>-0.15626000000000001</v>
      </c>
      <c r="G86" s="33">
        <v>0.18068799999999999</v>
      </c>
      <c r="H86" s="33">
        <v>-0.16170000000000001</v>
      </c>
      <c r="I86" s="33">
        <v>-0.31850000000000001</v>
      </c>
      <c r="J86" s="33">
        <v>3.8959100000000003E-2</v>
      </c>
      <c r="K86" s="33">
        <v>-9.8199999999999996E-2</v>
      </c>
      <c r="L86" s="33">
        <v>6.8199999999999997E-2</v>
      </c>
      <c r="M86" s="33">
        <v>-0.25131300000000001</v>
      </c>
      <c r="N86" s="169">
        <v>-6.3600000000000004E-2</v>
      </c>
      <c r="O86" s="33">
        <v>28</v>
      </c>
      <c r="P86" s="33">
        <v>34</v>
      </c>
      <c r="Q86" s="33">
        <v>-6</v>
      </c>
      <c r="R86" s="33">
        <v>0</v>
      </c>
      <c r="S86" s="33">
        <v>0.77390000000000003</v>
      </c>
      <c r="T86" s="33">
        <v>1.4603299999999999</v>
      </c>
      <c r="U86" s="33">
        <v>0</v>
      </c>
      <c r="V86" s="89" t="str">
        <f t="shared" si="2"/>
        <v>HOU</v>
      </c>
      <c r="W86" s="90">
        <f t="shared" si="3"/>
        <v>2</v>
      </c>
      <c r="X86" s="91">
        <v>2025</v>
      </c>
    </row>
    <row r="87" spans="1:24" x14ac:dyDescent="0.25">
      <c r="A87" s="74" t="s">
        <v>95</v>
      </c>
      <c r="B87" s="33">
        <v>2025</v>
      </c>
      <c r="C87" s="33">
        <v>1391.84</v>
      </c>
      <c r="D87" s="33">
        <v>21.014199999999999</v>
      </c>
      <c r="E87" s="33">
        <v>-3.9409299999999998</v>
      </c>
      <c r="F87" s="33">
        <v>0.77960499999999999</v>
      </c>
      <c r="G87" s="33">
        <v>0.79937000000000002</v>
      </c>
      <c r="H87" s="33">
        <v>5.6000000000000001E-2</v>
      </c>
      <c r="I87" s="33">
        <v>7.2800000000000004E-2</v>
      </c>
      <c r="J87" s="33">
        <v>-0.14136199999999999</v>
      </c>
      <c r="K87" s="33">
        <v>0.14649999999999999</v>
      </c>
      <c r="L87" s="33">
        <v>0.13980000000000001</v>
      </c>
      <c r="M87" s="33">
        <v>0.147206</v>
      </c>
      <c r="N87" s="169">
        <v>-9.0499999999999997E-2</v>
      </c>
      <c r="O87" s="33">
        <v>21.5</v>
      </c>
      <c r="P87" s="33">
        <v>30.5</v>
      </c>
      <c r="Q87" s="33">
        <v>-9</v>
      </c>
      <c r="R87" s="33">
        <v>0</v>
      </c>
      <c r="S87" s="33">
        <v>0.60780000000000001</v>
      </c>
      <c r="T87" s="33">
        <v>0.69664000000000004</v>
      </c>
      <c r="U87" s="33">
        <v>0</v>
      </c>
      <c r="V87" s="89" t="str">
        <f t="shared" si="2"/>
        <v>NYG</v>
      </c>
      <c r="W87" s="90">
        <f t="shared" si="3"/>
        <v>2</v>
      </c>
      <c r="X87" s="91">
        <v>2025</v>
      </c>
    </row>
    <row r="88" spans="1:24" x14ac:dyDescent="0.25">
      <c r="A88" s="74" t="s">
        <v>399</v>
      </c>
      <c r="B88" s="33">
        <v>2025</v>
      </c>
      <c r="C88" s="33">
        <v>1574.66</v>
      </c>
      <c r="D88" s="33">
        <v>11.943199999999999</v>
      </c>
      <c r="E88" s="33">
        <v>3.3718400000000002</v>
      </c>
      <c r="F88" s="33">
        <v>-0.39160699999999998</v>
      </c>
      <c r="G88" s="33">
        <v>3.60351E-2</v>
      </c>
      <c r="H88" s="33">
        <v>6.6500000000000004E-2</v>
      </c>
      <c r="I88" s="33">
        <v>-5.3699999999999998E-2</v>
      </c>
      <c r="J88" s="33">
        <v>0.19414500000000001</v>
      </c>
      <c r="K88" s="33">
        <v>0.16209999999999999</v>
      </c>
      <c r="L88" s="33">
        <v>0.22689999999999999</v>
      </c>
      <c r="M88" s="33">
        <v>3.7362899999999998E-2</v>
      </c>
      <c r="N88" s="169">
        <v>-9.5699999999999993E-2</v>
      </c>
      <c r="O88" s="33">
        <v>19</v>
      </c>
      <c r="P88" s="33">
        <v>23.5</v>
      </c>
      <c r="Q88" s="33">
        <v>-4.5</v>
      </c>
      <c r="R88" s="33">
        <v>0</v>
      </c>
      <c r="S88" s="33">
        <v>0.75329999999999997</v>
      </c>
      <c r="T88" s="33">
        <v>1.8003199999999999</v>
      </c>
      <c r="U88" s="33">
        <v>0</v>
      </c>
      <c r="V88" s="89" t="str">
        <f t="shared" si="2"/>
        <v>KC</v>
      </c>
      <c r="W88" s="90">
        <f t="shared" si="3"/>
        <v>2</v>
      </c>
      <c r="X88" s="91">
        <v>2025</v>
      </c>
    </row>
    <row r="89" spans="1:24" x14ac:dyDescent="0.25">
      <c r="A89" s="74" t="s">
        <v>85</v>
      </c>
      <c r="B89" s="33">
        <v>2025</v>
      </c>
      <c r="C89" s="33">
        <v>1488.67</v>
      </c>
      <c r="D89" s="33">
        <v>8.7733000000000008</v>
      </c>
      <c r="E89" s="33">
        <v>-6.7724599999999996E-2</v>
      </c>
      <c r="F89" s="33">
        <v>-0.87356900000000004</v>
      </c>
      <c r="G89" s="33">
        <v>-0.14002899999999999</v>
      </c>
      <c r="H89" s="33">
        <v>6.9999999999999999E-4</v>
      </c>
      <c r="I89" s="33">
        <v>3.6499999999999998E-2</v>
      </c>
      <c r="J89" s="33">
        <v>-0.17510400000000001</v>
      </c>
      <c r="K89" s="33">
        <v>0.1166</v>
      </c>
      <c r="L89" s="33">
        <v>0.23050000000000001</v>
      </c>
      <c r="M89" s="33">
        <v>7.8417500000000001E-2</v>
      </c>
      <c r="N89" s="169">
        <v>-0.11600000000000001</v>
      </c>
      <c r="O89" s="33">
        <v>25.5</v>
      </c>
      <c r="P89" s="33">
        <v>31.5</v>
      </c>
      <c r="Q89" s="33">
        <v>-6</v>
      </c>
      <c r="R89" s="33">
        <v>1</v>
      </c>
      <c r="S89" s="33">
        <v>0.75470000000000004</v>
      </c>
      <c r="T89" s="33">
        <v>1.6746700000000001</v>
      </c>
      <c r="U89" s="33">
        <v>0</v>
      </c>
      <c r="V89" s="89" t="str">
        <f t="shared" si="2"/>
        <v>PIT</v>
      </c>
      <c r="W89" s="90">
        <f t="shared" si="3"/>
        <v>2</v>
      </c>
      <c r="X89" s="91">
        <v>2025</v>
      </c>
    </row>
    <row r="90" spans="1:24" x14ac:dyDescent="0.25">
      <c r="A90" s="74" t="s">
        <v>403</v>
      </c>
      <c r="B90" s="33">
        <v>2025</v>
      </c>
      <c r="C90" s="33">
        <v>1350.09</v>
      </c>
      <c r="D90" s="33">
        <v>-10.866400000000001</v>
      </c>
      <c r="E90" s="33">
        <v>-5.6109200000000001</v>
      </c>
      <c r="F90" s="33">
        <v>0.24308099999999999</v>
      </c>
      <c r="G90" s="33">
        <v>0.41693799999999998</v>
      </c>
      <c r="H90" s="33">
        <v>-0.11459999999999999</v>
      </c>
      <c r="I90" s="33">
        <v>-0.1429</v>
      </c>
      <c r="J90" s="33">
        <v>5.9302500000000001E-2</v>
      </c>
      <c r="K90" s="33">
        <v>2.8500000000000001E-2</v>
      </c>
      <c r="L90" s="33">
        <v>6.2E-2</v>
      </c>
      <c r="M90" s="33">
        <v>-4.3401700000000001E-2</v>
      </c>
      <c r="N90" s="169">
        <v>-0.1431</v>
      </c>
      <c r="O90" s="33">
        <v>17</v>
      </c>
      <c r="P90" s="33">
        <v>23</v>
      </c>
      <c r="Q90" s="33">
        <v>-6</v>
      </c>
      <c r="R90" s="33">
        <v>0</v>
      </c>
      <c r="S90" s="33">
        <v>0.65639999999999998</v>
      </c>
      <c r="T90" s="33">
        <v>1.05233</v>
      </c>
      <c r="U90" s="33">
        <v>0</v>
      </c>
      <c r="V90" s="89" t="str">
        <f t="shared" si="2"/>
        <v>NO</v>
      </c>
      <c r="W90" s="90">
        <f t="shared" si="3"/>
        <v>2</v>
      </c>
      <c r="X90" s="91">
        <v>2025</v>
      </c>
    </row>
    <row r="91" spans="1:24" x14ac:dyDescent="0.25">
      <c r="A91" s="74" t="s">
        <v>67</v>
      </c>
      <c r="B91" s="33">
        <v>2025</v>
      </c>
      <c r="C91" s="33">
        <v>1375.88</v>
      </c>
      <c r="D91" s="33">
        <v>3.4424999999999999</v>
      </c>
      <c r="E91" s="33">
        <v>-4.5792400000000004</v>
      </c>
      <c r="F91" s="33">
        <v>1.0154099999999999</v>
      </c>
      <c r="G91" s="33">
        <v>1.0222</v>
      </c>
      <c r="H91" s="33">
        <v>-6.3100000000000003E-2</v>
      </c>
      <c r="I91" s="33">
        <v>-0.13519999999999999</v>
      </c>
      <c r="J91" s="33">
        <v>-0.100841</v>
      </c>
      <c r="K91" s="33">
        <v>9.1800000000000007E-2</v>
      </c>
      <c r="L91" s="33">
        <v>0.13289999999999999</v>
      </c>
      <c r="M91" s="33">
        <v>0.11891400000000001</v>
      </c>
      <c r="N91" s="169">
        <v>-0.15490000000000001</v>
      </c>
      <c r="O91" s="33">
        <v>16</v>
      </c>
      <c r="P91" s="33">
        <v>26.5</v>
      </c>
      <c r="Q91" s="33">
        <v>-10.5</v>
      </c>
      <c r="R91" s="33">
        <v>0</v>
      </c>
      <c r="S91" s="33">
        <v>0.46439999999999998</v>
      </c>
      <c r="T91" s="33">
        <v>1.06077</v>
      </c>
      <c r="U91" s="33">
        <v>0</v>
      </c>
      <c r="V91" s="89" t="str">
        <f t="shared" si="2"/>
        <v>CAR</v>
      </c>
      <c r="W91" s="90">
        <f t="shared" si="3"/>
        <v>2</v>
      </c>
      <c r="X91" s="91">
        <v>2025</v>
      </c>
    </row>
    <row r="92" spans="1:24" x14ac:dyDescent="0.25">
      <c r="A92" s="74" t="s">
        <v>89</v>
      </c>
      <c r="B92" s="33">
        <v>2025</v>
      </c>
      <c r="C92" s="33">
        <v>1347.85</v>
      </c>
      <c r="D92" s="33">
        <v>-8.4852000000000007</v>
      </c>
      <c r="E92" s="33">
        <v>-5.7002800000000002</v>
      </c>
      <c r="F92" s="33">
        <v>-1.0098</v>
      </c>
      <c r="G92" s="33">
        <v>-0.86706000000000005</v>
      </c>
      <c r="H92" s="33">
        <v>-0.15959999999999999</v>
      </c>
      <c r="I92" s="33">
        <v>-0.32990000000000003</v>
      </c>
      <c r="J92" s="33">
        <v>-0.22043099999999999</v>
      </c>
      <c r="K92" s="33">
        <v>4.3200000000000002E-2</v>
      </c>
      <c r="L92" s="33">
        <v>2.92E-2</v>
      </c>
      <c r="M92" s="33">
        <v>3.53201E-2</v>
      </c>
      <c r="N92" s="173">
        <v>-0.20280000000000001</v>
      </c>
      <c r="O92" s="33">
        <v>15.5</v>
      </c>
      <c r="P92" s="33">
        <v>26.5</v>
      </c>
      <c r="Q92" s="33">
        <v>-11</v>
      </c>
      <c r="R92" s="33">
        <v>0</v>
      </c>
      <c r="S92" s="33">
        <v>0.43819999999999998</v>
      </c>
      <c r="T92" s="33">
        <v>0.83043699999999998</v>
      </c>
      <c r="U92" s="33">
        <v>0</v>
      </c>
      <c r="V92" s="89" t="str">
        <f t="shared" si="2"/>
        <v>TEN</v>
      </c>
      <c r="W92" s="90">
        <f t="shared" si="3"/>
        <v>2</v>
      </c>
      <c r="X92" s="91">
        <v>2025</v>
      </c>
    </row>
    <row r="93" spans="1:24" x14ac:dyDescent="0.25">
      <c r="A93" s="74" t="s">
        <v>75</v>
      </c>
      <c r="B93" s="33">
        <v>2025</v>
      </c>
      <c r="C93" s="33">
        <v>1513.93</v>
      </c>
      <c r="D93" s="33">
        <v>-12.752000000000001</v>
      </c>
      <c r="E93" s="33">
        <v>0.94294900000000004</v>
      </c>
      <c r="F93" s="33">
        <v>-0.65670899999999999</v>
      </c>
      <c r="G93" s="33">
        <v>0.21468300000000001</v>
      </c>
      <c r="H93" s="33">
        <v>-0.29620000000000002</v>
      </c>
      <c r="I93" s="33">
        <v>-0.64610000000000001</v>
      </c>
      <c r="J93" s="33">
        <v>-4.3304200000000001E-2</v>
      </c>
      <c r="K93" s="33">
        <v>-7.1199999999999999E-2</v>
      </c>
      <c r="L93" s="33">
        <v>-0.29509999999999997</v>
      </c>
      <c r="M93" s="33">
        <v>0.13315399999999999</v>
      </c>
      <c r="N93" s="169">
        <v>-0.22500000000000001</v>
      </c>
      <c r="O93" s="33">
        <v>16.5</v>
      </c>
      <c r="P93" s="33">
        <v>23</v>
      </c>
      <c r="Q93" s="33">
        <v>-6.5</v>
      </c>
      <c r="R93" s="33">
        <v>1</v>
      </c>
      <c r="S93" s="33">
        <v>0.62560000000000004</v>
      </c>
      <c r="T93" s="33">
        <v>1.90143</v>
      </c>
      <c r="U93" s="33">
        <v>1</v>
      </c>
      <c r="V93" s="89" t="str">
        <f t="shared" si="2"/>
        <v>MIN</v>
      </c>
      <c r="W93" s="90">
        <f t="shared" si="3"/>
        <v>2</v>
      </c>
      <c r="X93" s="91">
        <v>2025</v>
      </c>
    </row>
    <row r="94" spans="1:24" x14ac:dyDescent="0.25">
      <c r="A94" s="74" t="s">
        <v>91</v>
      </c>
      <c r="B94" s="33">
        <v>2025</v>
      </c>
      <c r="C94" s="33">
        <v>1383.76</v>
      </c>
      <c r="D94" s="33">
        <v>1.4E-2</v>
      </c>
      <c r="E94" s="33">
        <v>-4.2640799999999999</v>
      </c>
      <c r="F94" s="33">
        <v>-0.473804</v>
      </c>
      <c r="G94" s="33">
        <v>0.31417</v>
      </c>
      <c r="H94" s="33">
        <v>-0.2014</v>
      </c>
      <c r="I94" s="33">
        <v>-0.27050000000000002</v>
      </c>
      <c r="J94" s="33">
        <v>5.6328400000000001E-2</v>
      </c>
      <c r="K94" s="33">
        <v>3.1800000000000002E-2</v>
      </c>
      <c r="L94" s="33">
        <v>0.17330000000000001</v>
      </c>
      <c r="M94" s="33">
        <v>-0.18409600000000001</v>
      </c>
      <c r="N94" s="169">
        <v>-0.23330000000000001</v>
      </c>
      <c r="O94" s="33">
        <v>16.5</v>
      </c>
      <c r="P94" s="33">
        <v>29</v>
      </c>
      <c r="Q94" s="33">
        <v>-12.5</v>
      </c>
      <c r="R94" s="33">
        <v>0</v>
      </c>
      <c r="S94" s="33">
        <v>0.41620000000000001</v>
      </c>
      <c r="T94" s="33">
        <v>0.75743000000000005</v>
      </c>
      <c r="U94" s="33">
        <v>0</v>
      </c>
      <c r="V94" s="89" t="str">
        <f t="shared" si="2"/>
        <v>CLE</v>
      </c>
      <c r="W94" s="90">
        <f t="shared" si="3"/>
        <v>2</v>
      </c>
      <c r="X94" s="91">
        <v>2025</v>
      </c>
    </row>
    <row r="95" spans="1:24" x14ac:dyDescent="0.25">
      <c r="A95" s="74" t="s">
        <v>79</v>
      </c>
      <c r="B95" s="33">
        <v>2025</v>
      </c>
      <c r="C95" s="33">
        <v>1385.83</v>
      </c>
      <c r="D95" s="33">
        <v>-36.889200000000002</v>
      </c>
      <c r="E95" s="33">
        <v>-4.1812399999999998</v>
      </c>
      <c r="F95" s="33">
        <v>-2.12697</v>
      </c>
      <c r="G95" s="33">
        <v>-1.0188299999999999</v>
      </c>
      <c r="H95" s="33">
        <v>1.5800000000000002E-2</v>
      </c>
      <c r="I95" s="33">
        <v>0.13170000000000001</v>
      </c>
      <c r="J95" s="33">
        <v>-0.102299</v>
      </c>
      <c r="K95" s="33">
        <v>0.2545</v>
      </c>
      <c r="L95" s="33">
        <v>0.18379999999999999</v>
      </c>
      <c r="M95" s="33">
        <v>0.105945</v>
      </c>
      <c r="N95" s="169">
        <v>-0.2387</v>
      </c>
      <c r="O95" s="33">
        <v>21</v>
      </c>
      <c r="P95" s="33">
        <v>32</v>
      </c>
      <c r="Q95" s="33">
        <v>-11</v>
      </c>
      <c r="R95" s="33">
        <v>0</v>
      </c>
      <c r="S95" s="33">
        <v>0.53859999999999997</v>
      </c>
      <c r="T95" s="33">
        <v>1.10162</v>
      </c>
      <c r="U95" s="33">
        <v>1</v>
      </c>
      <c r="V95" s="89" t="str">
        <f t="shared" si="2"/>
        <v>NYJ</v>
      </c>
      <c r="W95" s="90">
        <f t="shared" si="3"/>
        <v>2</v>
      </c>
      <c r="X95" s="91">
        <v>2025</v>
      </c>
    </row>
    <row r="96" spans="1:24" x14ac:dyDescent="0.25">
      <c r="A96" s="74" t="s">
        <v>2</v>
      </c>
      <c r="B96" s="33">
        <v>2025</v>
      </c>
      <c r="C96" s="33">
        <v>1442.99</v>
      </c>
      <c r="D96" s="33">
        <v>-3.9234</v>
      </c>
      <c r="E96" s="33">
        <v>-1.8949499999999999</v>
      </c>
      <c r="F96" s="33">
        <v>-0.37544899999999998</v>
      </c>
      <c r="G96" s="33">
        <v>-1.65818</v>
      </c>
      <c r="H96" s="33">
        <v>-3.27E-2</v>
      </c>
      <c r="I96" s="33">
        <v>-9.7000000000000003E-2</v>
      </c>
      <c r="J96" s="33">
        <v>0.110134</v>
      </c>
      <c r="K96" s="33">
        <v>0.2843</v>
      </c>
      <c r="L96" s="33">
        <v>0.53820000000000001</v>
      </c>
      <c r="M96" s="33">
        <v>0.125136</v>
      </c>
      <c r="N96" s="169">
        <v>-0.317</v>
      </c>
      <c r="O96" s="33">
        <v>17.5</v>
      </c>
      <c r="P96" s="33">
        <v>33</v>
      </c>
      <c r="Q96" s="33">
        <v>-15.5</v>
      </c>
      <c r="R96" s="33">
        <v>0</v>
      </c>
      <c r="S96" s="33">
        <v>0.3639</v>
      </c>
      <c r="T96" s="33">
        <v>1.29054</v>
      </c>
      <c r="U96" s="33">
        <v>0</v>
      </c>
      <c r="V96" s="89" t="str">
        <f t="shared" si="2"/>
        <v>MIA</v>
      </c>
      <c r="W96" s="90">
        <f t="shared" si="3"/>
        <v>2</v>
      </c>
      <c r="X96" s="91">
        <v>2025</v>
      </c>
    </row>
    <row r="97" spans="1:24" ht="15.75" thickBot="1" x14ac:dyDescent="0.3">
      <c r="A97" s="75" t="s">
        <v>72</v>
      </c>
      <c r="B97" s="76">
        <v>2025</v>
      </c>
      <c r="C97" s="76">
        <v>1462.86</v>
      </c>
      <c r="D97" s="76">
        <v>3.3651</v>
      </c>
      <c r="E97" s="76">
        <v>-1.0999099999999999</v>
      </c>
      <c r="F97" s="76">
        <v>-0.54508299999999998</v>
      </c>
      <c r="G97" s="76">
        <v>0.21561</v>
      </c>
      <c r="H97" s="76">
        <v>-0.1613</v>
      </c>
      <c r="I97" s="76">
        <v>-0.10440000000000001</v>
      </c>
      <c r="J97" s="76">
        <v>-0.15134400000000001</v>
      </c>
      <c r="K97" s="76">
        <v>0.1711</v>
      </c>
      <c r="L97" s="76">
        <v>0.28570000000000001</v>
      </c>
      <c r="M97" s="76">
        <v>7.8946799999999994E-3</v>
      </c>
      <c r="N97" s="170">
        <v>-0.33250000000000002</v>
      </c>
      <c r="O97" s="76">
        <v>22.5</v>
      </c>
      <c r="P97" s="76">
        <v>39.5</v>
      </c>
      <c r="Q97" s="76">
        <v>-17</v>
      </c>
      <c r="R97" s="76">
        <v>0</v>
      </c>
      <c r="S97" s="76">
        <v>0.41710000000000003</v>
      </c>
      <c r="T97" s="76">
        <v>1.0357000000000001</v>
      </c>
      <c r="U97" s="76">
        <v>0</v>
      </c>
      <c r="V97" s="92" t="str">
        <f t="shared" si="2"/>
        <v>CHI</v>
      </c>
      <c r="W97" s="93">
        <f t="shared" si="3"/>
        <v>2</v>
      </c>
      <c r="X97" s="94">
        <v>2025</v>
      </c>
    </row>
    <row r="98" spans="1:24" x14ac:dyDescent="0.25">
      <c r="A98" s="74" t="s">
        <v>57</v>
      </c>
      <c r="B98" s="33">
        <v>2025</v>
      </c>
      <c r="C98" s="33">
        <v>1522.44</v>
      </c>
      <c r="D98" s="33">
        <v>20.8353</v>
      </c>
      <c r="E98" s="33">
        <v>0.88047399999999998</v>
      </c>
      <c r="F98" s="33">
        <v>0.86308099999999999</v>
      </c>
      <c r="G98" s="33">
        <v>3.9529200000000002</v>
      </c>
      <c r="H98" s="33">
        <v>0.28310000000000002</v>
      </c>
      <c r="I98" s="33">
        <v>0.39510000000000001</v>
      </c>
      <c r="J98" s="33">
        <v>9.3703499999999995E-2</v>
      </c>
      <c r="K98" s="33">
        <v>-2.0799999999999999E-2</v>
      </c>
      <c r="L98" s="33">
        <v>-0.20319999999999999</v>
      </c>
      <c r="M98" s="33">
        <v>0.125417</v>
      </c>
      <c r="N98" s="173">
        <v>0.30380000000000001</v>
      </c>
      <c r="O98" s="33">
        <v>34.333300000000001</v>
      </c>
      <c r="P98" s="33">
        <v>18.666699999999999</v>
      </c>
      <c r="Q98" s="33">
        <v>15.666700000000001</v>
      </c>
      <c r="R98" s="33">
        <v>3</v>
      </c>
      <c r="S98" s="33">
        <v>2.4272999999999998</v>
      </c>
      <c r="T98" s="33">
        <v>1.95177</v>
      </c>
      <c r="U98" s="33">
        <v>2</v>
      </c>
      <c r="V98" s="89" t="str">
        <f t="shared" si="2"/>
        <v>IND</v>
      </c>
      <c r="W98" s="90">
        <f t="shared" si="3"/>
        <v>3</v>
      </c>
      <c r="X98" s="91">
        <v>2025</v>
      </c>
    </row>
    <row r="99" spans="1:24" x14ac:dyDescent="0.25">
      <c r="A99" s="74" t="s">
        <v>55</v>
      </c>
      <c r="B99" s="33">
        <v>2025</v>
      </c>
      <c r="C99" s="33">
        <v>1519.79</v>
      </c>
      <c r="D99" s="33">
        <v>-1.9302999999999999</v>
      </c>
      <c r="E99" s="33">
        <v>0.77442900000000003</v>
      </c>
      <c r="F99" s="33">
        <v>0.36168499999999998</v>
      </c>
      <c r="G99" s="33">
        <v>0.84672899999999995</v>
      </c>
      <c r="H99" s="33">
        <v>5.1299999999999998E-2</v>
      </c>
      <c r="I99" s="33">
        <v>0.1144</v>
      </c>
      <c r="J99" s="33">
        <v>-0.10978400000000001</v>
      </c>
      <c r="K99" s="33">
        <v>-0.19040000000000001</v>
      </c>
      <c r="L99" s="33">
        <v>4.6399999999999997E-2</v>
      </c>
      <c r="M99" s="33">
        <v>-0.209481</v>
      </c>
      <c r="N99" s="169">
        <v>0.2417</v>
      </c>
      <c r="O99" s="33">
        <v>29.333300000000001</v>
      </c>
      <c r="P99" s="33">
        <v>15.666700000000001</v>
      </c>
      <c r="Q99" s="33">
        <v>13.666700000000001</v>
      </c>
      <c r="R99" s="33">
        <v>2</v>
      </c>
      <c r="S99" s="33">
        <v>2.4466000000000001</v>
      </c>
      <c r="T99" s="33">
        <v>2.3042799999999999</v>
      </c>
      <c r="U99" s="33">
        <v>2</v>
      </c>
      <c r="V99" s="89" t="str">
        <f t="shared" si="2"/>
        <v>SEA</v>
      </c>
      <c r="W99" s="90">
        <f t="shared" si="3"/>
        <v>3</v>
      </c>
      <c r="X99" s="91">
        <v>2025</v>
      </c>
    </row>
    <row r="100" spans="1:24" x14ac:dyDescent="0.25">
      <c r="A100" s="74" t="s">
        <v>47</v>
      </c>
      <c r="B100" s="33">
        <v>2025</v>
      </c>
      <c r="C100" s="33">
        <v>1671.12</v>
      </c>
      <c r="D100" s="33">
        <v>8.6943999999999999</v>
      </c>
      <c r="E100" s="33">
        <v>6.8275399999999999</v>
      </c>
      <c r="F100" s="33">
        <v>-0.93484900000000004</v>
      </c>
      <c r="G100" s="33">
        <v>0.34862300000000002</v>
      </c>
      <c r="H100" s="33">
        <v>0.2762</v>
      </c>
      <c r="I100" s="33">
        <v>0.37280000000000002</v>
      </c>
      <c r="J100" s="33">
        <v>8.3768499999999999E-3</v>
      </c>
      <c r="K100" s="33">
        <v>0.1159</v>
      </c>
      <c r="L100" s="33">
        <v>4.1300000000000003E-2</v>
      </c>
      <c r="M100" s="33">
        <v>0.17421600000000001</v>
      </c>
      <c r="N100" s="169">
        <v>0.16020000000000001</v>
      </c>
      <c r="O100" s="33">
        <v>37</v>
      </c>
      <c r="P100" s="33">
        <v>32</v>
      </c>
      <c r="Q100" s="33">
        <v>5</v>
      </c>
      <c r="R100" s="33">
        <v>1</v>
      </c>
      <c r="S100" s="33">
        <v>1.7555000000000001</v>
      </c>
      <c r="T100" s="33">
        <v>2.3585600000000002</v>
      </c>
      <c r="U100" s="33">
        <v>2</v>
      </c>
      <c r="V100" s="89" t="str">
        <f t="shared" si="2"/>
        <v>BAL</v>
      </c>
      <c r="W100" s="90">
        <f t="shared" si="3"/>
        <v>3</v>
      </c>
      <c r="X100" s="91">
        <v>2025</v>
      </c>
    </row>
    <row r="101" spans="1:24" x14ac:dyDescent="0.25">
      <c r="A101" s="74" t="s">
        <v>10</v>
      </c>
      <c r="B101" s="33">
        <v>2025</v>
      </c>
      <c r="C101" s="33">
        <v>1629.69</v>
      </c>
      <c r="D101" s="33">
        <v>11.317500000000001</v>
      </c>
      <c r="E101" s="33">
        <v>5.1704100000000004</v>
      </c>
      <c r="F101" s="33">
        <v>1.6635899999999999E-2</v>
      </c>
      <c r="G101" s="33">
        <v>0.49701200000000001</v>
      </c>
      <c r="H101" s="33">
        <v>0.23069999999999999</v>
      </c>
      <c r="I101" s="33">
        <v>0.41820000000000002</v>
      </c>
      <c r="J101" s="33">
        <v>4.1873899999999999E-2</v>
      </c>
      <c r="K101" s="33">
        <v>7.3800000000000004E-2</v>
      </c>
      <c r="L101" s="33">
        <v>0.24479999999999999</v>
      </c>
      <c r="M101" s="33">
        <v>-0.27865400000000001</v>
      </c>
      <c r="N101" s="169">
        <v>0.15679999999999999</v>
      </c>
      <c r="O101" s="33">
        <v>34.333300000000001</v>
      </c>
      <c r="P101" s="33">
        <v>26</v>
      </c>
      <c r="Q101" s="33">
        <v>8.3332999999999995</v>
      </c>
      <c r="R101" s="33">
        <v>2</v>
      </c>
      <c r="S101" s="33">
        <v>1.9770000000000001</v>
      </c>
      <c r="T101" s="33">
        <v>2.4830100000000002</v>
      </c>
      <c r="U101" s="33">
        <v>1</v>
      </c>
      <c r="V101" s="89" t="str">
        <f t="shared" si="2"/>
        <v>DET</v>
      </c>
      <c r="W101" s="90">
        <f t="shared" si="3"/>
        <v>3</v>
      </c>
      <c r="X101" s="91">
        <v>2025</v>
      </c>
    </row>
    <row r="102" spans="1:24" x14ac:dyDescent="0.25">
      <c r="A102" s="74" t="s">
        <v>25</v>
      </c>
      <c r="B102" s="33">
        <v>2025</v>
      </c>
      <c r="C102" s="33">
        <v>1639.59</v>
      </c>
      <c r="D102" s="33">
        <v>13.0299</v>
      </c>
      <c r="E102" s="33">
        <v>5.5663099999999996</v>
      </c>
      <c r="F102" s="33">
        <v>-0.222666</v>
      </c>
      <c r="G102" s="33">
        <v>1.1627000000000001</v>
      </c>
      <c r="H102" s="33">
        <v>0.25779999999999997</v>
      </c>
      <c r="I102" s="33">
        <v>0.2419</v>
      </c>
      <c r="J102" s="33">
        <v>0.16701299999999999</v>
      </c>
      <c r="K102" s="33">
        <v>0.1178</v>
      </c>
      <c r="L102" s="33">
        <v>6.4199999999999993E-2</v>
      </c>
      <c r="M102" s="33">
        <v>4.9938299999999998E-2</v>
      </c>
      <c r="N102" s="169">
        <v>0.14000000000000001</v>
      </c>
      <c r="O102" s="33">
        <v>34</v>
      </c>
      <c r="P102" s="33">
        <v>23.666699999999999</v>
      </c>
      <c r="Q102" s="33">
        <v>10.333299999999999</v>
      </c>
      <c r="R102" s="33">
        <v>3</v>
      </c>
      <c r="S102" s="33">
        <v>2.1071</v>
      </c>
      <c r="T102" s="33">
        <v>2.9642300000000001</v>
      </c>
      <c r="U102" s="33">
        <v>1</v>
      </c>
      <c r="V102" s="89" t="str">
        <f t="shared" si="2"/>
        <v>BUF</v>
      </c>
      <c r="W102" s="90">
        <f t="shared" si="3"/>
        <v>3</v>
      </c>
      <c r="X102" s="91">
        <v>2025</v>
      </c>
    </row>
    <row r="103" spans="1:24" x14ac:dyDescent="0.25">
      <c r="A103" s="74" t="s">
        <v>400</v>
      </c>
      <c r="B103" s="33">
        <v>2025</v>
      </c>
      <c r="C103" s="33">
        <v>1590.26</v>
      </c>
      <c r="D103" s="33">
        <v>-4.5071000000000003</v>
      </c>
      <c r="E103" s="33">
        <v>3.5931299999999999</v>
      </c>
      <c r="F103" s="33">
        <v>-1.01874</v>
      </c>
      <c r="G103" s="33">
        <v>1.4229799999999999</v>
      </c>
      <c r="H103" s="33">
        <v>4.2099999999999999E-2</v>
      </c>
      <c r="I103" s="33">
        <v>0.2024</v>
      </c>
      <c r="J103" s="33">
        <v>-5.7885499999999999E-2</v>
      </c>
      <c r="K103" s="33">
        <v>-9.5100000000000004E-2</v>
      </c>
      <c r="L103" s="33">
        <v>-0.14099999999999999</v>
      </c>
      <c r="M103" s="33">
        <v>-0.121534</v>
      </c>
      <c r="N103" s="169">
        <v>0.13719999999999999</v>
      </c>
      <c r="O103" s="33">
        <v>21.333300000000001</v>
      </c>
      <c r="P103" s="33">
        <v>14.666700000000001</v>
      </c>
      <c r="Q103" s="33">
        <v>6.6666999999999996</v>
      </c>
      <c r="R103" s="33">
        <v>2</v>
      </c>
      <c r="S103" s="33">
        <v>2.1254</v>
      </c>
      <c r="T103" s="33">
        <v>2.5362200000000001</v>
      </c>
      <c r="U103" s="33">
        <v>2</v>
      </c>
      <c r="V103" s="89" t="str">
        <f t="shared" si="2"/>
        <v>GB</v>
      </c>
      <c r="W103" s="90">
        <f t="shared" si="3"/>
        <v>3</v>
      </c>
      <c r="X103" s="91">
        <v>2025</v>
      </c>
    </row>
    <row r="104" spans="1:24" x14ac:dyDescent="0.25">
      <c r="A104" s="74" t="s">
        <v>41</v>
      </c>
      <c r="B104" s="33">
        <v>2025</v>
      </c>
      <c r="C104" s="33">
        <v>1555.64</v>
      </c>
      <c r="D104" s="33">
        <v>1.1267</v>
      </c>
      <c r="E104" s="33">
        <v>2.2084700000000002</v>
      </c>
      <c r="F104" s="33">
        <v>2.14662</v>
      </c>
      <c r="G104" s="33">
        <v>0.35994100000000001</v>
      </c>
      <c r="H104" s="33">
        <v>9.2100000000000001E-2</v>
      </c>
      <c r="I104" s="33">
        <v>3.2099999999999997E-2</v>
      </c>
      <c r="J104" s="33">
        <v>0.111203</v>
      </c>
      <c r="K104" s="33">
        <v>-3.7600000000000001E-2</v>
      </c>
      <c r="L104" s="33">
        <v>7.6600000000000001E-2</v>
      </c>
      <c r="M104" s="33">
        <v>-0.142372</v>
      </c>
      <c r="N104" s="169">
        <v>0.12959999999999999</v>
      </c>
      <c r="O104" s="33">
        <v>26.666699999999999</v>
      </c>
      <c r="P104" s="33">
        <v>19</v>
      </c>
      <c r="Q104" s="33">
        <v>7.6666999999999996</v>
      </c>
      <c r="R104" s="33">
        <v>2</v>
      </c>
      <c r="S104" s="33">
        <v>2.0720999999999998</v>
      </c>
      <c r="T104" s="33">
        <v>2.5554299999999999</v>
      </c>
      <c r="U104" s="33">
        <v>1</v>
      </c>
      <c r="V104" s="89" t="str">
        <f t="shared" si="2"/>
        <v>WAS</v>
      </c>
      <c r="W104" s="90">
        <f t="shared" si="3"/>
        <v>3</v>
      </c>
      <c r="X104" s="91">
        <v>2025</v>
      </c>
    </row>
    <row r="105" spans="1:24" x14ac:dyDescent="0.25">
      <c r="A105" s="74" t="s">
        <v>60</v>
      </c>
      <c r="B105" s="33">
        <v>2025</v>
      </c>
      <c r="C105" s="33">
        <v>1557.85</v>
      </c>
      <c r="D105" s="33">
        <v>4.7556000000000003</v>
      </c>
      <c r="E105" s="33">
        <v>2.2966600000000001</v>
      </c>
      <c r="F105" s="33">
        <v>-0.57562000000000002</v>
      </c>
      <c r="G105" s="33">
        <v>1.52996</v>
      </c>
      <c r="H105" s="33">
        <v>2.3699999999999999E-2</v>
      </c>
      <c r="I105" s="33">
        <v>0.23580000000000001</v>
      </c>
      <c r="J105" s="33">
        <v>-0.21013299999999999</v>
      </c>
      <c r="K105" s="33">
        <v>-9.7600000000000006E-2</v>
      </c>
      <c r="L105" s="33">
        <v>-0.1958</v>
      </c>
      <c r="M105" s="33">
        <v>0.102743</v>
      </c>
      <c r="N105" s="169">
        <v>0.12130000000000001</v>
      </c>
      <c r="O105" s="33">
        <v>23.333300000000001</v>
      </c>
      <c r="P105" s="33">
        <v>16.666699999999999</v>
      </c>
      <c r="Q105" s="33">
        <v>6.6666999999999996</v>
      </c>
      <c r="R105" s="33">
        <v>3</v>
      </c>
      <c r="S105" s="33">
        <v>2.0682999999999998</v>
      </c>
      <c r="T105" s="33">
        <v>2.3357999999999999</v>
      </c>
      <c r="U105" s="33">
        <v>2</v>
      </c>
      <c r="V105" s="89" t="str">
        <f t="shared" si="2"/>
        <v>LAC</v>
      </c>
      <c r="W105" s="90">
        <f t="shared" si="3"/>
        <v>3</v>
      </c>
      <c r="X105" s="91">
        <v>2025</v>
      </c>
    </row>
    <row r="106" spans="1:24" x14ac:dyDescent="0.25">
      <c r="A106" s="74" t="s">
        <v>44</v>
      </c>
      <c r="B106" s="33">
        <v>2025</v>
      </c>
      <c r="C106" s="33">
        <v>1470.13</v>
      </c>
      <c r="D106" s="33">
        <v>-7.5911</v>
      </c>
      <c r="E106" s="33">
        <v>-1.21211</v>
      </c>
      <c r="F106" s="33">
        <v>-0.40118599999999999</v>
      </c>
      <c r="G106" s="33">
        <v>0.73562499999999997</v>
      </c>
      <c r="H106" s="33">
        <v>1.5599999999999999E-2</v>
      </c>
      <c r="I106" s="33">
        <v>-2.86E-2</v>
      </c>
      <c r="J106" s="33">
        <v>8.4537299999999996E-2</v>
      </c>
      <c r="K106" s="33">
        <v>-0.1023</v>
      </c>
      <c r="L106" s="33">
        <v>-0.21959999999999999</v>
      </c>
      <c r="M106" s="33">
        <v>-3.2787400000000001E-2</v>
      </c>
      <c r="N106" s="169">
        <v>0.1179</v>
      </c>
      <c r="O106" s="33">
        <v>23.333300000000001</v>
      </c>
      <c r="P106" s="33">
        <v>17</v>
      </c>
      <c r="Q106" s="33">
        <v>6.3333000000000004</v>
      </c>
      <c r="R106" s="33">
        <v>2</v>
      </c>
      <c r="S106" s="33">
        <v>2.0379</v>
      </c>
      <c r="T106" s="33">
        <v>1.67109</v>
      </c>
      <c r="U106" s="33">
        <v>2</v>
      </c>
      <c r="V106" s="89" t="str">
        <f t="shared" si="2"/>
        <v>JAX</v>
      </c>
      <c r="W106" s="90">
        <f t="shared" si="3"/>
        <v>3</v>
      </c>
      <c r="X106" s="91">
        <v>2025</v>
      </c>
    </row>
    <row r="107" spans="1:24" x14ac:dyDescent="0.25">
      <c r="A107" s="74" t="s">
        <v>75</v>
      </c>
      <c r="B107" s="33">
        <v>2025</v>
      </c>
      <c r="C107" s="33">
        <v>1528.89</v>
      </c>
      <c r="D107" s="33">
        <v>-11.646699999999999</v>
      </c>
      <c r="E107" s="33">
        <v>1.13829</v>
      </c>
      <c r="F107" s="33">
        <v>0.210225</v>
      </c>
      <c r="G107" s="33">
        <v>0.41002</v>
      </c>
      <c r="H107" s="33">
        <v>-0.16339999999999999</v>
      </c>
      <c r="I107" s="33">
        <v>-0.33079999999999998</v>
      </c>
      <c r="J107" s="33">
        <v>-7.2084999999999996E-3</v>
      </c>
      <c r="K107" s="33">
        <v>-0.2666</v>
      </c>
      <c r="L107" s="33">
        <v>-0.60650000000000004</v>
      </c>
      <c r="M107" s="33">
        <v>1.7689E-2</v>
      </c>
      <c r="N107" s="169">
        <v>0.1032</v>
      </c>
      <c r="O107" s="33">
        <v>27</v>
      </c>
      <c r="P107" s="33">
        <v>18.666699999999999</v>
      </c>
      <c r="Q107" s="33">
        <v>8.3332999999999995</v>
      </c>
      <c r="R107" s="33">
        <v>2</v>
      </c>
      <c r="S107" s="33">
        <v>2.1172</v>
      </c>
      <c r="T107" s="33">
        <v>2.3294700000000002</v>
      </c>
      <c r="U107" s="33">
        <v>1</v>
      </c>
      <c r="V107" s="89" t="str">
        <f t="shared" si="2"/>
        <v>MIN</v>
      </c>
      <c r="W107" s="90">
        <f t="shared" si="3"/>
        <v>3</v>
      </c>
      <c r="X107" s="91">
        <v>2025</v>
      </c>
    </row>
    <row r="108" spans="1:24" x14ac:dyDescent="0.25">
      <c r="A108" s="74" t="s">
        <v>67</v>
      </c>
      <c r="B108" s="33">
        <v>2025</v>
      </c>
      <c r="C108" s="33">
        <v>1388.53</v>
      </c>
      <c r="D108" s="33">
        <v>2.4308000000000001</v>
      </c>
      <c r="E108" s="33">
        <v>-4.4760099999999996</v>
      </c>
      <c r="F108" s="33">
        <v>0.12770000000000001</v>
      </c>
      <c r="G108" s="33">
        <v>1.1254299999999999</v>
      </c>
      <c r="H108" s="33">
        <v>-2.0500000000000001E-2</v>
      </c>
      <c r="I108" s="33">
        <v>-0.1285</v>
      </c>
      <c r="J108" s="33">
        <v>-3.4717900000000003E-2</v>
      </c>
      <c r="K108" s="33">
        <v>-0.11360000000000001</v>
      </c>
      <c r="L108" s="33">
        <v>-0.1454</v>
      </c>
      <c r="M108" s="33">
        <v>7.63567E-2</v>
      </c>
      <c r="N108" s="169">
        <v>9.3100000000000002E-2</v>
      </c>
      <c r="O108" s="33">
        <v>20.666699999999999</v>
      </c>
      <c r="P108" s="33">
        <v>17.666699999999999</v>
      </c>
      <c r="Q108" s="33">
        <v>3</v>
      </c>
      <c r="R108" s="33">
        <v>1</v>
      </c>
      <c r="S108" s="33">
        <v>1.7756000000000001</v>
      </c>
      <c r="T108" s="33">
        <v>1.48143</v>
      </c>
      <c r="U108" s="33">
        <v>0</v>
      </c>
      <c r="V108" s="89" t="str">
        <f t="shared" si="2"/>
        <v>CAR</v>
      </c>
      <c r="W108" s="90">
        <f t="shared" si="3"/>
        <v>3</v>
      </c>
      <c r="X108" s="91">
        <v>2025</v>
      </c>
    </row>
    <row r="109" spans="1:24" x14ac:dyDescent="0.25">
      <c r="A109" s="74" t="s">
        <v>21</v>
      </c>
      <c r="B109" s="33">
        <v>2025</v>
      </c>
      <c r="C109" s="33">
        <v>1560.23</v>
      </c>
      <c r="D109" s="33">
        <v>1.0095000000000001</v>
      </c>
      <c r="E109" s="33">
        <v>2.3921299999999999</v>
      </c>
      <c r="F109" s="33">
        <v>-0.54514600000000002</v>
      </c>
      <c r="G109" s="33">
        <v>1.28667</v>
      </c>
      <c r="H109" s="33">
        <v>8.3999999999999995E-3</v>
      </c>
      <c r="I109" s="33">
        <v>9.7699999999999995E-2</v>
      </c>
      <c r="J109" s="33">
        <v>4.6089199999999999E-3</v>
      </c>
      <c r="K109" s="33">
        <v>-8.2900000000000001E-2</v>
      </c>
      <c r="L109" s="33">
        <v>-0.1671</v>
      </c>
      <c r="M109" s="33">
        <v>1.4102999999999999E-2</v>
      </c>
      <c r="N109" s="169">
        <v>9.1300000000000006E-2</v>
      </c>
      <c r="O109" s="33">
        <v>24.333300000000001</v>
      </c>
      <c r="P109" s="33">
        <v>20.333300000000001</v>
      </c>
      <c r="Q109" s="33">
        <v>4</v>
      </c>
      <c r="R109" s="33">
        <v>2</v>
      </c>
      <c r="S109" s="33">
        <v>1.8145</v>
      </c>
      <c r="T109" s="33">
        <v>2.2197800000000001</v>
      </c>
      <c r="U109" s="33">
        <v>2</v>
      </c>
      <c r="V109" s="89" t="str">
        <f t="shared" si="2"/>
        <v>LAR</v>
      </c>
      <c r="W109" s="90">
        <f t="shared" si="3"/>
        <v>3</v>
      </c>
      <c r="X109" s="91">
        <v>2025</v>
      </c>
    </row>
    <row r="110" spans="1:24" x14ac:dyDescent="0.25">
      <c r="A110" s="74" t="s">
        <v>405</v>
      </c>
      <c r="B110" s="33">
        <v>2025</v>
      </c>
      <c r="C110" s="33">
        <v>1551.4</v>
      </c>
      <c r="D110" s="33">
        <v>3.3469000000000002</v>
      </c>
      <c r="E110" s="33">
        <v>2.0388299999999999</v>
      </c>
      <c r="F110" s="33">
        <v>1.92258</v>
      </c>
      <c r="G110" s="33">
        <v>1.27399</v>
      </c>
      <c r="H110" s="33">
        <v>8.3999999999999995E-3</v>
      </c>
      <c r="I110" s="33">
        <v>0.15229999999999999</v>
      </c>
      <c r="J110" s="33">
        <v>-0.166634</v>
      </c>
      <c r="K110" s="33">
        <v>-7.0000000000000007E-2</v>
      </c>
      <c r="L110" s="33">
        <v>-0.19800000000000001</v>
      </c>
      <c r="M110" s="33">
        <v>-9.5470399999999997E-3</v>
      </c>
      <c r="N110" s="169">
        <v>7.8399999999999997E-2</v>
      </c>
      <c r="O110" s="33">
        <v>19.666699999999999</v>
      </c>
      <c r="P110" s="33">
        <v>16.333300000000001</v>
      </c>
      <c r="Q110" s="33">
        <v>3.3332999999999999</v>
      </c>
      <c r="R110" s="33">
        <v>3</v>
      </c>
      <c r="S110" s="33">
        <v>1.8249</v>
      </c>
      <c r="T110" s="33">
        <v>2.19049</v>
      </c>
      <c r="U110" s="33">
        <v>1</v>
      </c>
      <c r="V110" s="89" t="str">
        <f t="shared" si="2"/>
        <v>SF</v>
      </c>
      <c r="W110" s="90">
        <f t="shared" si="3"/>
        <v>3</v>
      </c>
      <c r="X110" s="91">
        <v>2025</v>
      </c>
    </row>
    <row r="111" spans="1:24" x14ac:dyDescent="0.25">
      <c r="A111" s="74" t="s">
        <v>93</v>
      </c>
      <c r="B111" s="33">
        <v>2025</v>
      </c>
      <c r="C111" s="33">
        <v>1501.06</v>
      </c>
      <c r="D111" s="33">
        <v>-5.57E-2</v>
      </c>
      <c r="E111" s="33">
        <v>2.5083000000000001E-2</v>
      </c>
      <c r="F111" s="33">
        <v>-0.48465799999999998</v>
      </c>
      <c r="G111" s="33">
        <v>-0.16537099999999999</v>
      </c>
      <c r="H111" s="33">
        <v>2.2700000000000001E-2</v>
      </c>
      <c r="I111" s="33">
        <v>7.9100000000000004E-2</v>
      </c>
      <c r="J111" s="33">
        <v>1.16927E-2</v>
      </c>
      <c r="K111" s="33">
        <v>-5.2200000000000003E-2</v>
      </c>
      <c r="L111" s="33">
        <v>5.5999999999999999E-3</v>
      </c>
      <c r="M111" s="33">
        <v>-0.136549</v>
      </c>
      <c r="N111" s="169">
        <v>7.4800000000000005E-2</v>
      </c>
      <c r="O111" s="33">
        <v>20.666699999999999</v>
      </c>
      <c r="P111" s="33">
        <v>17</v>
      </c>
      <c r="Q111" s="33">
        <v>3.6667000000000001</v>
      </c>
      <c r="R111" s="33">
        <v>2</v>
      </c>
      <c r="S111" s="33">
        <v>1.8411</v>
      </c>
      <c r="T111" s="33">
        <v>2.19489</v>
      </c>
      <c r="U111" s="33">
        <v>2</v>
      </c>
      <c r="V111" s="89" t="str">
        <f t="shared" si="2"/>
        <v>ARI</v>
      </c>
      <c r="W111" s="90">
        <f t="shared" si="3"/>
        <v>3</v>
      </c>
      <c r="X111" s="91">
        <v>2025</v>
      </c>
    </row>
    <row r="112" spans="1:24" x14ac:dyDescent="0.25">
      <c r="A112" s="74" t="s">
        <v>38</v>
      </c>
      <c r="B112" s="33">
        <v>2025</v>
      </c>
      <c r="C112" s="33">
        <v>1635.95</v>
      </c>
      <c r="D112" s="33">
        <v>6.1649000000000003</v>
      </c>
      <c r="E112" s="33">
        <v>5.4208999999999996</v>
      </c>
      <c r="F112" s="33">
        <v>-0.218301</v>
      </c>
      <c r="G112" s="33">
        <v>0.61353500000000005</v>
      </c>
      <c r="H112" s="33">
        <v>6.2799999999999995E-2</v>
      </c>
      <c r="I112" s="33">
        <v>-4.4600000000000001E-2</v>
      </c>
      <c r="J112" s="33">
        <v>9.8389299999999999E-2</v>
      </c>
      <c r="K112" s="33">
        <v>-5.4999999999999997E-3</v>
      </c>
      <c r="L112" s="33">
        <v>-8.3099999999999993E-2</v>
      </c>
      <c r="M112" s="33">
        <v>5.2362299999999997E-3</v>
      </c>
      <c r="N112" s="173">
        <v>6.83E-2</v>
      </c>
      <c r="O112" s="33">
        <v>25.666699999999999</v>
      </c>
      <c r="P112" s="33">
        <v>21</v>
      </c>
      <c r="Q112" s="33">
        <v>4.6666999999999996</v>
      </c>
      <c r="R112" s="33">
        <v>3</v>
      </c>
      <c r="S112" s="33">
        <v>1.8501000000000001</v>
      </c>
      <c r="T112" s="33">
        <v>2.7526899999999999</v>
      </c>
      <c r="U112" s="33">
        <v>2</v>
      </c>
      <c r="V112" s="89" t="str">
        <f t="shared" si="2"/>
        <v>PHI</v>
      </c>
      <c r="W112" s="90">
        <f t="shared" si="3"/>
        <v>3</v>
      </c>
      <c r="X112" s="91">
        <v>2025</v>
      </c>
    </row>
    <row r="113" spans="1:24" x14ac:dyDescent="0.25">
      <c r="A113" s="74" t="s">
        <v>402</v>
      </c>
      <c r="B113" s="33">
        <v>2025</v>
      </c>
      <c r="C113" s="33">
        <v>1519.24</v>
      </c>
      <c r="D113" s="33">
        <v>6.9996999999999998</v>
      </c>
      <c r="E113" s="33">
        <v>0.752583</v>
      </c>
      <c r="F113" s="33">
        <v>-0.86116199999999998</v>
      </c>
      <c r="G113" s="33">
        <v>0.51935100000000001</v>
      </c>
      <c r="H113" s="33">
        <v>6.3E-3</v>
      </c>
      <c r="I113" s="33">
        <v>0.13389999999999999</v>
      </c>
      <c r="J113" s="33">
        <v>4.6703000000000001E-2</v>
      </c>
      <c r="K113" s="33">
        <v>-2.69E-2</v>
      </c>
      <c r="L113" s="33">
        <v>-2.6599999999999999E-2</v>
      </c>
      <c r="M113" s="33">
        <v>-0.11187800000000001</v>
      </c>
      <c r="N113" s="169">
        <v>3.3099999999999997E-2</v>
      </c>
      <c r="O113" s="33">
        <v>24</v>
      </c>
      <c r="P113" s="33">
        <v>22</v>
      </c>
      <c r="Q113" s="33">
        <v>2</v>
      </c>
      <c r="R113" s="33">
        <v>3</v>
      </c>
      <c r="S113" s="33">
        <v>1.6540999999999999</v>
      </c>
      <c r="T113" s="33">
        <v>2.1015299999999999</v>
      </c>
      <c r="U113" s="33">
        <v>1</v>
      </c>
      <c r="V113" s="89" t="str">
        <f t="shared" si="2"/>
        <v>TB</v>
      </c>
      <c r="W113" s="90">
        <f t="shared" si="3"/>
        <v>3</v>
      </c>
      <c r="X113" s="91">
        <v>2025</v>
      </c>
    </row>
    <row r="114" spans="1:24" x14ac:dyDescent="0.25">
      <c r="A114" s="74" t="s">
        <v>399</v>
      </c>
      <c r="B114" s="33">
        <v>2025</v>
      </c>
      <c r="C114" s="33">
        <v>1579.49</v>
      </c>
      <c r="D114" s="33">
        <v>4.6581000000000001</v>
      </c>
      <c r="E114" s="33">
        <v>3.1625399999999999</v>
      </c>
      <c r="F114" s="33">
        <v>-0.228237</v>
      </c>
      <c r="G114" s="33">
        <v>-0.173267</v>
      </c>
      <c r="H114" s="33">
        <v>8.0500000000000002E-2</v>
      </c>
      <c r="I114" s="33">
        <v>4.2700000000000002E-2</v>
      </c>
      <c r="J114" s="33">
        <v>0.12127499999999999</v>
      </c>
      <c r="K114" s="33">
        <v>5.6800000000000003E-2</v>
      </c>
      <c r="L114" s="33">
        <v>-2.4E-2</v>
      </c>
      <c r="M114" s="33">
        <v>2.07198E-2</v>
      </c>
      <c r="N114" s="169">
        <v>2.3699999999999999E-2</v>
      </c>
      <c r="O114" s="33">
        <v>20</v>
      </c>
      <c r="P114" s="33">
        <v>18.666699999999999</v>
      </c>
      <c r="Q114" s="33">
        <v>1.3332999999999999</v>
      </c>
      <c r="R114" s="33">
        <v>1</v>
      </c>
      <c r="S114" s="33">
        <v>1.6224000000000001</v>
      </c>
      <c r="T114" s="33">
        <v>2.3196699999999999</v>
      </c>
      <c r="U114" s="33">
        <v>0</v>
      </c>
      <c r="V114" s="89" t="str">
        <f t="shared" si="2"/>
        <v>KC</v>
      </c>
      <c r="W114" s="90">
        <f t="shared" si="3"/>
        <v>3</v>
      </c>
      <c r="X114" s="91">
        <v>2025</v>
      </c>
    </row>
    <row r="115" spans="1:24" x14ac:dyDescent="0.25">
      <c r="A115" s="74" t="s">
        <v>63</v>
      </c>
      <c r="B115" s="33">
        <v>2025</v>
      </c>
      <c r="C115" s="33">
        <v>1531.54</v>
      </c>
      <c r="D115" s="33">
        <v>2.0362</v>
      </c>
      <c r="E115" s="33">
        <v>1.24444</v>
      </c>
      <c r="F115" s="33">
        <v>-0.67607399999999995</v>
      </c>
      <c r="G115" s="33">
        <v>-0.36651400000000001</v>
      </c>
      <c r="H115" s="33">
        <v>-2.46E-2</v>
      </c>
      <c r="I115" s="33">
        <v>-8.8000000000000005E-3</v>
      </c>
      <c r="J115" s="33">
        <v>-4.17492E-2</v>
      </c>
      <c r="K115" s="33">
        <v>-4.7500000000000001E-2</v>
      </c>
      <c r="L115" s="33">
        <v>-4.3200000000000002E-2</v>
      </c>
      <c r="M115" s="33">
        <v>-0.13451099999999999</v>
      </c>
      <c r="N115" s="169">
        <v>2.29E-2</v>
      </c>
      <c r="O115" s="33">
        <v>22.666699999999999</v>
      </c>
      <c r="P115" s="33">
        <v>21.333300000000001</v>
      </c>
      <c r="Q115" s="33">
        <v>1.3332999999999999</v>
      </c>
      <c r="R115" s="33">
        <v>1</v>
      </c>
      <c r="S115" s="33">
        <v>1.6075999999999999</v>
      </c>
      <c r="T115" s="33">
        <v>2.4303300000000001</v>
      </c>
      <c r="U115" s="33">
        <v>1</v>
      </c>
      <c r="V115" s="89" t="str">
        <f t="shared" si="2"/>
        <v>DEN</v>
      </c>
      <c r="W115" s="90">
        <f t="shared" si="3"/>
        <v>3</v>
      </c>
      <c r="X115" s="91">
        <v>2025</v>
      </c>
    </row>
    <row r="116" spans="1:24" x14ac:dyDescent="0.25">
      <c r="A116" s="74" t="s">
        <v>85</v>
      </c>
      <c r="B116" s="33">
        <v>2025</v>
      </c>
      <c r="C116" s="33">
        <v>1499.8</v>
      </c>
      <c r="D116" s="33">
        <v>5.3769999999999998</v>
      </c>
      <c r="E116" s="33">
        <v>-2.5078099999999999E-2</v>
      </c>
      <c r="F116" s="33">
        <v>5.4091800000000002E-2</v>
      </c>
      <c r="G116" s="33">
        <v>-9.7382800000000005E-2</v>
      </c>
      <c r="H116" s="33">
        <v>1.5900000000000001E-2</v>
      </c>
      <c r="I116" s="33">
        <v>2.92E-2</v>
      </c>
      <c r="J116" s="33">
        <v>-0.14580599999999999</v>
      </c>
      <c r="K116" s="33">
        <v>4.0500000000000001E-2</v>
      </c>
      <c r="L116" s="33">
        <v>0.154</v>
      </c>
      <c r="M116" s="33">
        <v>-7.3285900000000001E-2</v>
      </c>
      <c r="N116" s="169">
        <v>-2.46E-2</v>
      </c>
      <c r="O116" s="33">
        <v>24</v>
      </c>
      <c r="P116" s="33">
        <v>25.666699999999999</v>
      </c>
      <c r="Q116" s="33">
        <v>-1.6667000000000001</v>
      </c>
      <c r="R116" s="33">
        <v>2</v>
      </c>
      <c r="S116" s="33">
        <v>1.3809</v>
      </c>
      <c r="T116" s="33">
        <v>2.0893700000000002</v>
      </c>
      <c r="U116" s="33">
        <v>0</v>
      </c>
      <c r="V116" s="89" t="str">
        <f t="shared" si="2"/>
        <v>PIT</v>
      </c>
      <c r="W116" s="90">
        <f t="shared" si="3"/>
        <v>3</v>
      </c>
      <c r="X116" s="91">
        <v>2025</v>
      </c>
    </row>
    <row r="117" spans="1:24" x14ac:dyDescent="0.25">
      <c r="A117" s="74" t="s">
        <v>69</v>
      </c>
      <c r="B117" s="33">
        <v>2025</v>
      </c>
      <c r="C117" s="33">
        <v>1464.25</v>
      </c>
      <c r="D117" s="33">
        <v>-16.631499999999999</v>
      </c>
      <c r="E117" s="33">
        <v>-1.4472100000000001</v>
      </c>
      <c r="F117" s="33">
        <v>-1.2423</v>
      </c>
      <c r="G117" s="33">
        <v>-0.36788599999999999</v>
      </c>
      <c r="H117" s="33">
        <v>-0.14169999999999999</v>
      </c>
      <c r="I117" s="33">
        <v>-0.2049</v>
      </c>
      <c r="J117" s="33">
        <v>-1.94583E-3</v>
      </c>
      <c r="K117" s="33">
        <v>-8.5999999999999993E-2</v>
      </c>
      <c r="L117" s="33">
        <v>-0.19070000000000001</v>
      </c>
      <c r="M117" s="33">
        <v>-3.3005199999999999E-3</v>
      </c>
      <c r="N117" s="169">
        <v>-5.5599999999999997E-2</v>
      </c>
      <c r="O117" s="33">
        <v>14</v>
      </c>
      <c r="P117" s="33">
        <v>19.666699999999999</v>
      </c>
      <c r="Q117" s="33">
        <v>-5.6666999999999996</v>
      </c>
      <c r="R117" s="33">
        <v>1</v>
      </c>
      <c r="S117" s="33">
        <v>0.92659999999999998</v>
      </c>
      <c r="T117" s="33">
        <v>1.67008</v>
      </c>
      <c r="U117" s="33">
        <v>2</v>
      </c>
      <c r="V117" s="89" t="str">
        <f t="shared" si="2"/>
        <v>ATL</v>
      </c>
      <c r="W117" s="90">
        <f t="shared" si="3"/>
        <v>3</v>
      </c>
      <c r="X117" s="91">
        <v>2025</v>
      </c>
    </row>
    <row r="118" spans="1:24" x14ac:dyDescent="0.25">
      <c r="A118" s="74" t="s">
        <v>404</v>
      </c>
      <c r="B118" s="33">
        <v>2025</v>
      </c>
      <c r="C118" s="33">
        <v>1421.56</v>
      </c>
      <c r="D118" s="33">
        <v>7.8836000000000004</v>
      </c>
      <c r="E118" s="33">
        <v>-3.1546699999999999</v>
      </c>
      <c r="F118" s="33">
        <v>-0.92140100000000003</v>
      </c>
      <c r="G118" s="33">
        <v>-0.104536</v>
      </c>
      <c r="H118" s="33">
        <v>1.5800000000000002E-2</v>
      </c>
      <c r="I118" s="33">
        <v>0.1517</v>
      </c>
      <c r="J118" s="33">
        <v>-0.175622</v>
      </c>
      <c r="K118" s="33">
        <v>9.0200000000000002E-2</v>
      </c>
      <c r="L118" s="33">
        <v>0.28170000000000001</v>
      </c>
      <c r="M118" s="33">
        <v>-0.17008899999999999</v>
      </c>
      <c r="N118" s="169">
        <v>-7.4399999999999994E-2</v>
      </c>
      <c r="O118" s="33">
        <v>20</v>
      </c>
      <c r="P118" s="33">
        <v>22.666699999999999</v>
      </c>
      <c r="Q118" s="33">
        <v>-2.6667000000000001</v>
      </c>
      <c r="R118" s="33">
        <v>1</v>
      </c>
      <c r="S118" s="33">
        <v>1.2790999999999999</v>
      </c>
      <c r="T118" s="33">
        <v>1.97824</v>
      </c>
      <c r="U118" s="33">
        <v>0</v>
      </c>
      <c r="V118" s="89" t="str">
        <f t="shared" si="2"/>
        <v>NE</v>
      </c>
      <c r="W118" s="90">
        <f t="shared" si="3"/>
        <v>3</v>
      </c>
      <c r="X118" s="91">
        <v>2025</v>
      </c>
    </row>
    <row r="119" spans="1:24" x14ac:dyDescent="0.25">
      <c r="A119" s="74" t="s">
        <v>31</v>
      </c>
      <c r="B119" s="33">
        <v>2025</v>
      </c>
      <c r="C119" s="33">
        <v>1480.74</v>
      </c>
      <c r="D119" s="33">
        <v>-12.3788</v>
      </c>
      <c r="E119" s="33">
        <v>-0.78752900000000003</v>
      </c>
      <c r="F119" s="33">
        <v>-0.77013200000000004</v>
      </c>
      <c r="G119" s="33">
        <v>-0.59191899999999997</v>
      </c>
      <c r="H119" s="33">
        <v>-0.1641</v>
      </c>
      <c r="I119" s="33">
        <v>-0.24179999999999999</v>
      </c>
      <c r="J119" s="33">
        <v>-1.3184700000000001E-2</v>
      </c>
      <c r="K119" s="33">
        <v>-8.1000000000000003E-2</v>
      </c>
      <c r="L119" s="33">
        <v>-7.5999999999999998E-2</v>
      </c>
      <c r="M119" s="33">
        <v>3.9534300000000001E-2</v>
      </c>
      <c r="N119" s="169">
        <v>-8.3000000000000004E-2</v>
      </c>
      <c r="O119" s="33">
        <v>12.666700000000001</v>
      </c>
      <c r="P119" s="33">
        <v>17</v>
      </c>
      <c r="Q119" s="33">
        <v>-4.3333000000000004</v>
      </c>
      <c r="R119" s="33">
        <v>0</v>
      </c>
      <c r="S119" s="33">
        <v>0.99719999999999998</v>
      </c>
      <c r="T119" s="33">
        <v>2.2397499999999999</v>
      </c>
      <c r="U119" s="33">
        <v>1</v>
      </c>
      <c r="V119" s="89" t="str">
        <f t="shared" si="2"/>
        <v>HOU</v>
      </c>
      <c r="W119" s="90">
        <f t="shared" si="3"/>
        <v>3</v>
      </c>
      <c r="X119" s="91">
        <v>2025</v>
      </c>
    </row>
    <row r="120" spans="1:24" x14ac:dyDescent="0.25">
      <c r="A120" s="74" t="s">
        <v>14</v>
      </c>
      <c r="B120" s="33">
        <v>2025</v>
      </c>
      <c r="C120" s="33">
        <v>1469.56</v>
      </c>
      <c r="D120" s="33">
        <v>9.0097000000000005</v>
      </c>
      <c r="E120" s="33">
        <v>-1.2348600000000001</v>
      </c>
      <c r="F120" s="33">
        <v>-0.96792</v>
      </c>
      <c r="G120" s="33">
        <v>-0.25215799999999999</v>
      </c>
      <c r="H120" s="33">
        <v>0.1232</v>
      </c>
      <c r="I120" s="33">
        <v>6.9199999999999998E-2</v>
      </c>
      <c r="J120" s="33">
        <v>2.41468E-2</v>
      </c>
      <c r="K120" s="33">
        <v>0.2402</v>
      </c>
      <c r="L120" s="33">
        <v>0.39829999999999999</v>
      </c>
      <c r="M120" s="33">
        <v>2.26792E-2</v>
      </c>
      <c r="N120" s="169">
        <v>-0.1171</v>
      </c>
      <c r="O120" s="33">
        <v>24.666699999999999</v>
      </c>
      <c r="P120" s="33">
        <v>30.666699999999999</v>
      </c>
      <c r="Q120" s="33">
        <v>-6</v>
      </c>
      <c r="R120" s="33">
        <v>1</v>
      </c>
      <c r="S120" s="33">
        <v>1.1214</v>
      </c>
      <c r="T120" s="33">
        <v>1.7759</v>
      </c>
      <c r="U120" s="33">
        <v>0</v>
      </c>
      <c r="V120" s="89" t="str">
        <f t="shared" si="2"/>
        <v>DAL</v>
      </c>
      <c r="W120" s="90">
        <f t="shared" si="3"/>
        <v>3</v>
      </c>
      <c r="X120" s="91">
        <v>2025</v>
      </c>
    </row>
    <row r="121" spans="1:24" x14ac:dyDescent="0.25">
      <c r="A121" s="74" t="s">
        <v>401</v>
      </c>
      <c r="B121" s="33">
        <v>2025</v>
      </c>
      <c r="C121" s="33">
        <v>1423.01</v>
      </c>
      <c r="D121" s="33">
        <v>1.6369</v>
      </c>
      <c r="E121" s="33">
        <v>-3.0966499999999999</v>
      </c>
      <c r="F121" s="33">
        <v>-0.69012200000000001</v>
      </c>
      <c r="G121" s="33">
        <v>-0.65918900000000002</v>
      </c>
      <c r="H121" s="33">
        <v>-8.2500000000000004E-2</v>
      </c>
      <c r="I121" s="33">
        <v>3.85E-2</v>
      </c>
      <c r="J121" s="33">
        <v>-0.265741</v>
      </c>
      <c r="K121" s="33">
        <v>3.5000000000000003E-2</v>
      </c>
      <c r="L121" s="33">
        <v>0.21940000000000001</v>
      </c>
      <c r="M121" s="33">
        <v>-0.206599</v>
      </c>
      <c r="N121" s="173">
        <v>-0.11749999999999999</v>
      </c>
      <c r="O121" s="33">
        <v>17.666699999999999</v>
      </c>
      <c r="P121" s="33">
        <v>24.666699999999999</v>
      </c>
      <c r="Q121" s="33">
        <v>-7</v>
      </c>
      <c r="R121" s="33">
        <v>1</v>
      </c>
      <c r="S121" s="33">
        <v>0.93579999999999997</v>
      </c>
      <c r="T121" s="33">
        <v>1.6018300000000001</v>
      </c>
      <c r="U121" s="33">
        <v>1</v>
      </c>
      <c r="V121" s="89" t="str">
        <f t="shared" si="2"/>
        <v>LV</v>
      </c>
      <c r="W121" s="90">
        <f t="shared" si="3"/>
        <v>3</v>
      </c>
      <c r="X121" s="91">
        <v>2025</v>
      </c>
    </row>
    <row r="122" spans="1:24" x14ac:dyDescent="0.25">
      <c r="A122" s="74" t="s">
        <v>72</v>
      </c>
      <c r="B122" s="33">
        <v>2025</v>
      </c>
      <c r="C122" s="33">
        <v>1485.32</v>
      </c>
      <c r="D122" s="33">
        <v>14.8847</v>
      </c>
      <c r="E122" s="33">
        <v>-0.60438999999999998</v>
      </c>
      <c r="F122" s="33">
        <v>0.50158199999999997</v>
      </c>
      <c r="G122" s="33">
        <v>0.71113300000000002</v>
      </c>
      <c r="H122" s="33">
        <v>-3.1800000000000002E-2</v>
      </c>
      <c r="I122" s="33">
        <v>0.1133</v>
      </c>
      <c r="J122" s="33">
        <v>-0.11471099999999999</v>
      </c>
      <c r="K122" s="33">
        <v>0.1031</v>
      </c>
      <c r="L122" s="33">
        <v>0.1215</v>
      </c>
      <c r="M122" s="33">
        <v>4.96292E-3</v>
      </c>
      <c r="N122" s="169">
        <v>-0.13500000000000001</v>
      </c>
      <c r="O122" s="33">
        <v>25.333300000000001</v>
      </c>
      <c r="P122" s="33">
        <v>31</v>
      </c>
      <c r="Q122" s="33">
        <v>-5.6666999999999996</v>
      </c>
      <c r="R122" s="33">
        <v>1</v>
      </c>
      <c r="S122" s="33">
        <v>1.1478999999999999</v>
      </c>
      <c r="T122" s="33">
        <v>1.5432900000000001</v>
      </c>
      <c r="U122" s="33">
        <v>0</v>
      </c>
      <c r="V122" s="89" t="str">
        <f t="shared" si="2"/>
        <v>CHI</v>
      </c>
      <c r="W122" s="90">
        <f t="shared" si="3"/>
        <v>3</v>
      </c>
      <c r="X122" s="91">
        <v>2025</v>
      </c>
    </row>
    <row r="123" spans="1:24" x14ac:dyDescent="0.25">
      <c r="A123" s="74" t="s">
        <v>95</v>
      </c>
      <c r="B123" s="33">
        <v>2025</v>
      </c>
      <c r="C123" s="33">
        <v>1369.91</v>
      </c>
      <c r="D123" s="33">
        <v>9.5675000000000008</v>
      </c>
      <c r="E123" s="33">
        <v>-5.2208899999999998</v>
      </c>
      <c r="F123" s="33">
        <v>-1.2949900000000001</v>
      </c>
      <c r="G123" s="33">
        <v>-0.48059099999999999</v>
      </c>
      <c r="H123" s="33">
        <v>-1.0999999999999999E-2</v>
      </c>
      <c r="I123" s="33">
        <v>-8.3099999999999993E-2</v>
      </c>
      <c r="J123" s="33">
        <v>-9.3555399999999997E-2</v>
      </c>
      <c r="K123" s="33">
        <v>0.13350000000000001</v>
      </c>
      <c r="L123" s="33">
        <v>0.16550000000000001</v>
      </c>
      <c r="M123" s="33">
        <v>0.103348</v>
      </c>
      <c r="N123" s="169">
        <v>-0.14449999999999999</v>
      </c>
      <c r="O123" s="33">
        <v>17.333300000000001</v>
      </c>
      <c r="P123" s="33">
        <v>27.666699999999999</v>
      </c>
      <c r="Q123" s="33">
        <v>-10.333299999999999</v>
      </c>
      <c r="R123" s="33">
        <v>0</v>
      </c>
      <c r="S123" s="33">
        <v>0.74460000000000004</v>
      </c>
      <c r="T123" s="33">
        <v>0.981464</v>
      </c>
      <c r="U123" s="33">
        <v>1</v>
      </c>
      <c r="V123" s="89" t="str">
        <f t="shared" si="2"/>
        <v>NYG</v>
      </c>
      <c r="W123" s="90">
        <f t="shared" si="3"/>
        <v>3</v>
      </c>
      <c r="X123" s="91">
        <v>2025</v>
      </c>
    </row>
    <row r="124" spans="1:24" x14ac:dyDescent="0.25">
      <c r="A124" s="74" t="s">
        <v>91</v>
      </c>
      <c r="B124" s="33">
        <v>2025</v>
      </c>
      <c r="C124" s="33">
        <v>1387.68</v>
      </c>
      <c r="D124" s="33">
        <v>-7.32</v>
      </c>
      <c r="E124" s="33">
        <v>-4.5098399999999996</v>
      </c>
      <c r="F124" s="33">
        <v>-0.31958500000000001</v>
      </c>
      <c r="G124" s="33">
        <v>6.8407999999999997E-2</v>
      </c>
      <c r="H124" s="33">
        <v>-0.1807</v>
      </c>
      <c r="I124" s="33">
        <v>-0.26250000000000001</v>
      </c>
      <c r="J124" s="33">
        <v>5.0383900000000002E-2</v>
      </c>
      <c r="K124" s="33">
        <v>-2.8199999999999999E-2</v>
      </c>
      <c r="L124" s="33">
        <v>0.1048</v>
      </c>
      <c r="M124" s="33">
        <v>-0.158668</v>
      </c>
      <c r="N124" s="169">
        <v>-0.1525</v>
      </c>
      <c r="O124" s="33">
        <v>15.333299999999999</v>
      </c>
      <c r="P124" s="33">
        <v>22.666699999999999</v>
      </c>
      <c r="Q124" s="33">
        <v>-7.3333000000000004</v>
      </c>
      <c r="R124" s="33">
        <v>1</v>
      </c>
      <c r="S124" s="33">
        <v>0.85099999999999998</v>
      </c>
      <c r="T124" s="33">
        <v>0.927701</v>
      </c>
      <c r="U124" s="33">
        <v>0</v>
      </c>
      <c r="V124" s="89" t="str">
        <f t="shared" si="2"/>
        <v>CLE</v>
      </c>
      <c r="W124" s="90">
        <f t="shared" si="3"/>
        <v>3</v>
      </c>
      <c r="X124" s="91">
        <v>2025</v>
      </c>
    </row>
    <row r="125" spans="1:24" x14ac:dyDescent="0.25">
      <c r="A125" s="74" t="s">
        <v>79</v>
      </c>
      <c r="B125" s="33">
        <v>2025</v>
      </c>
      <c r="C125" s="33">
        <v>1437.44</v>
      </c>
      <c r="D125" s="33">
        <v>-1.0349999999999999</v>
      </c>
      <c r="E125" s="33">
        <v>-2.5194200000000002</v>
      </c>
      <c r="F125" s="33">
        <v>1.6714899999999999</v>
      </c>
      <c r="G125" s="33">
        <v>0.64298299999999997</v>
      </c>
      <c r="H125" s="33">
        <v>-2.3599999999999999E-2</v>
      </c>
      <c r="I125" s="33">
        <v>-2.4199999999999999E-2</v>
      </c>
      <c r="J125" s="33">
        <v>-0.116412</v>
      </c>
      <c r="K125" s="33">
        <v>0.1419</v>
      </c>
      <c r="L125" s="33">
        <v>0.218</v>
      </c>
      <c r="M125" s="33">
        <v>-2.4750100000000001E-3</v>
      </c>
      <c r="N125" s="169">
        <v>-0.16550000000000001</v>
      </c>
      <c r="O125" s="33">
        <v>23</v>
      </c>
      <c r="P125" s="33">
        <v>31</v>
      </c>
      <c r="Q125" s="33">
        <v>-8</v>
      </c>
      <c r="R125" s="33">
        <v>0</v>
      </c>
      <c r="S125" s="33">
        <v>0.99050000000000005</v>
      </c>
      <c r="T125" s="33">
        <v>1.556</v>
      </c>
      <c r="U125" s="33">
        <v>1</v>
      </c>
      <c r="V125" s="89" t="str">
        <f t="shared" si="2"/>
        <v>NYJ</v>
      </c>
      <c r="W125" s="90">
        <f t="shared" si="3"/>
        <v>3</v>
      </c>
      <c r="X125" s="91">
        <v>2025</v>
      </c>
    </row>
    <row r="126" spans="1:24" x14ac:dyDescent="0.25">
      <c r="A126" s="74" t="s">
        <v>77</v>
      </c>
      <c r="B126" s="33">
        <v>2025</v>
      </c>
      <c r="C126" s="33">
        <v>1446.25</v>
      </c>
      <c r="D126" s="33">
        <v>-72.248800000000003</v>
      </c>
      <c r="E126" s="33">
        <v>-2.1671200000000002</v>
      </c>
      <c r="F126" s="33">
        <v>-1.1531400000000001</v>
      </c>
      <c r="G126" s="33">
        <v>-3.83941</v>
      </c>
      <c r="H126" s="33">
        <v>-0.21790000000000001</v>
      </c>
      <c r="I126" s="33">
        <v>-0.37869999999999998</v>
      </c>
      <c r="J126" s="33">
        <v>-0.17662800000000001</v>
      </c>
      <c r="K126" s="33">
        <v>1.06E-2</v>
      </c>
      <c r="L126" s="33">
        <v>7.9100000000000004E-2</v>
      </c>
      <c r="M126" s="33">
        <v>1.3509699999999999E-2</v>
      </c>
      <c r="N126" s="169">
        <v>-0.22850000000000001</v>
      </c>
      <c r="O126" s="33">
        <v>19.333300000000001</v>
      </c>
      <c r="P126" s="33">
        <v>30.333300000000001</v>
      </c>
      <c r="Q126" s="33">
        <v>-11</v>
      </c>
      <c r="R126" s="33">
        <v>2</v>
      </c>
      <c r="S126" s="33">
        <v>0.76759999999999995</v>
      </c>
      <c r="T126" s="33">
        <v>2.2935500000000002</v>
      </c>
      <c r="U126" s="33">
        <v>1</v>
      </c>
      <c r="V126" s="89" t="str">
        <f t="shared" si="2"/>
        <v>CIN</v>
      </c>
      <c r="W126" s="90">
        <f t="shared" si="3"/>
        <v>3</v>
      </c>
      <c r="X126" s="91">
        <v>2025</v>
      </c>
    </row>
    <row r="127" spans="1:24" x14ac:dyDescent="0.25">
      <c r="A127" s="74" t="s">
        <v>2</v>
      </c>
      <c r="B127" s="33">
        <v>2025</v>
      </c>
      <c r="C127" s="33">
        <v>1441.42</v>
      </c>
      <c r="D127" s="33">
        <v>-4.8894000000000002</v>
      </c>
      <c r="E127" s="33">
        <v>-2.3602099999999999</v>
      </c>
      <c r="F127" s="33">
        <v>-0.48109400000000002</v>
      </c>
      <c r="G127" s="33">
        <v>-2.12344</v>
      </c>
      <c r="H127" s="33">
        <v>1.18E-2</v>
      </c>
      <c r="I127" s="33">
        <v>-6.1899999999999997E-2</v>
      </c>
      <c r="J127" s="33">
        <v>0.11509900000000001</v>
      </c>
      <c r="K127" s="33">
        <v>0.28499999999999998</v>
      </c>
      <c r="L127" s="33">
        <v>0.48299999999999998</v>
      </c>
      <c r="M127" s="33">
        <v>0.143451</v>
      </c>
      <c r="N127" s="169">
        <v>-0.27329999999999999</v>
      </c>
      <c r="O127" s="33">
        <v>18.666699999999999</v>
      </c>
      <c r="P127" s="33">
        <v>32.333300000000001</v>
      </c>
      <c r="Q127" s="33">
        <v>-13.666700000000001</v>
      </c>
      <c r="R127" s="33">
        <v>0</v>
      </c>
      <c r="S127" s="33">
        <v>0.64149999999999996</v>
      </c>
      <c r="T127" s="33">
        <v>1.8875200000000001</v>
      </c>
      <c r="U127" s="33">
        <v>1</v>
      </c>
      <c r="V127" s="89" t="str">
        <f t="shared" si="2"/>
        <v>MIA</v>
      </c>
      <c r="W127" s="90">
        <f t="shared" si="3"/>
        <v>3</v>
      </c>
      <c r="X127" s="91">
        <v>2025</v>
      </c>
    </row>
    <row r="128" spans="1:24" x14ac:dyDescent="0.25">
      <c r="A128" s="74" t="s">
        <v>89</v>
      </c>
      <c r="B128" s="33">
        <v>2025</v>
      </c>
      <c r="C128" s="33">
        <v>1318.39</v>
      </c>
      <c r="D128" s="33">
        <v>-11.6119</v>
      </c>
      <c r="E128" s="33">
        <v>-7.2816299999999998</v>
      </c>
      <c r="F128" s="33">
        <v>-1.57223</v>
      </c>
      <c r="G128" s="33">
        <v>-2.4483999999999999</v>
      </c>
      <c r="H128" s="33">
        <v>-0.14130000000000001</v>
      </c>
      <c r="I128" s="33">
        <v>-0.32979999999999998</v>
      </c>
      <c r="J128" s="33">
        <v>-0.129221</v>
      </c>
      <c r="K128" s="33">
        <v>0.13400000000000001</v>
      </c>
      <c r="L128" s="33">
        <v>0.1321</v>
      </c>
      <c r="M128" s="33">
        <v>8.0553200000000005E-2</v>
      </c>
      <c r="N128" s="173">
        <v>-0.27529999999999999</v>
      </c>
      <c r="O128" s="33">
        <v>17</v>
      </c>
      <c r="P128" s="33">
        <v>31.333300000000001</v>
      </c>
      <c r="Q128" s="33">
        <v>-14.333299999999999</v>
      </c>
      <c r="R128" s="33">
        <v>0</v>
      </c>
      <c r="S128" s="33">
        <v>0.57040000000000002</v>
      </c>
      <c r="T128" s="33">
        <v>1.09263</v>
      </c>
      <c r="U128" s="33">
        <v>0</v>
      </c>
      <c r="V128" s="89" t="str">
        <f t="shared" si="2"/>
        <v>TEN</v>
      </c>
      <c r="W128" s="90">
        <f t="shared" si="3"/>
        <v>3</v>
      </c>
      <c r="X128" s="91">
        <v>2025</v>
      </c>
    </row>
    <row r="129" spans="1:24" ht="15.75" thickBot="1" x14ac:dyDescent="0.3">
      <c r="A129" s="75" t="s">
        <v>403</v>
      </c>
      <c r="B129" s="76">
        <v>2025</v>
      </c>
      <c r="C129" s="76">
        <v>1340.71</v>
      </c>
      <c r="D129" s="76">
        <v>-7.3766999999999996</v>
      </c>
      <c r="E129" s="76">
        <v>-6.3889399999999998</v>
      </c>
      <c r="F129" s="76">
        <v>-0.75408200000000003</v>
      </c>
      <c r="G129" s="76">
        <v>-0.36107899999999998</v>
      </c>
      <c r="H129" s="76">
        <v>-0.1908</v>
      </c>
      <c r="I129" s="76">
        <v>-9.7100000000000006E-2</v>
      </c>
      <c r="J129" s="76">
        <v>-6.2624100000000002E-2</v>
      </c>
      <c r="K129" s="76">
        <v>8.4699999999999998E-2</v>
      </c>
      <c r="L129" s="76">
        <v>0.22789999999999999</v>
      </c>
      <c r="M129" s="76">
        <v>-0.126584</v>
      </c>
      <c r="N129" s="170">
        <v>-0.27550000000000002</v>
      </c>
      <c r="O129" s="76">
        <v>15.666700000000001</v>
      </c>
      <c r="P129" s="76">
        <v>30</v>
      </c>
      <c r="Q129" s="76">
        <v>-14.333299999999999</v>
      </c>
      <c r="R129" s="76">
        <v>0</v>
      </c>
      <c r="S129" s="76">
        <v>0.52969999999999995</v>
      </c>
      <c r="T129" s="76">
        <v>1.1819900000000001</v>
      </c>
      <c r="U129" s="76">
        <v>0</v>
      </c>
      <c r="V129" s="92" t="str">
        <f t="shared" si="2"/>
        <v>NO</v>
      </c>
      <c r="W129" s="93">
        <f t="shared" si="3"/>
        <v>3</v>
      </c>
      <c r="X129" s="94">
        <v>2025</v>
      </c>
    </row>
    <row r="130" spans="1:24" x14ac:dyDescent="0.25">
      <c r="A130" s="74" t="s">
        <v>10</v>
      </c>
      <c r="B130" s="33">
        <v>2025</v>
      </c>
      <c r="C130" s="33">
        <v>1634.51</v>
      </c>
      <c r="D130" s="33">
        <v>7.7047999999999996</v>
      </c>
      <c r="E130" s="33">
        <v>5.5176499999999997</v>
      </c>
      <c r="F130" s="33">
        <v>0.29636200000000001</v>
      </c>
      <c r="G130" s="33">
        <v>0.84414999999999996</v>
      </c>
      <c r="H130" s="33">
        <v>0.15110000000000001</v>
      </c>
      <c r="I130" s="33">
        <v>0.31730000000000003</v>
      </c>
      <c r="J130" s="33">
        <v>-1.7735299999999999E-2</v>
      </c>
      <c r="K130" s="33">
        <v>-8.9200000000000002E-2</v>
      </c>
      <c r="L130" s="33">
        <v>-5.0000000000000001E-3</v>
      </c>
      <c r="M130" s="33">
        <v>-0.223049</v>
      </c>
      <c r="N130" s="173">
        <v>0.2402</v>
      </c>
      <c r="O130" s="33">
        <v>34.25</v>
      </c>
      <c r="P130" s="33">
        <v>22</v>
      </c>
      <c r="Q130" s="33">
        <v>12.25</v>
      </c>
      <c r="R130" s="33">
        <v>3</v>
      </c>
      <c r="S130" s="33">
        <v>2.9624000000000001</v>
      </c>
      <c r="T130" s="33">
        <v>3.1728800000000001</v>
      </c>
      <c r="U130" s="33">
        <v>2</v>
      </c>
      <c r="V130" s="89" t="str">
        <f t="shared" ref="V130:V193" si="4">IF(A130&lt;&gt;"",IF(A130="OAK","LV",A130),"")</f>
        <v>DET</v>
      </c>
      <c r="W130" s="90">
        <f t="shared" si="3"/>
        <v>4</v>
      </c>
      <c r="X130" s="91">
        <v>2025</v>
      </c>
    </row>
    <row r="131" spans="1:24" x14ac:dyDescent="0.25">
      <c r="A131" s="74" t="s">
        <v>57</v>
      </c>
      <c r="B131" s="33">
        <v>2025</v>
      </c>
      <c r="C131" s="33">
        <v>1512.28</v>
      </c>
      <c r="D131" s="33">
        <v>17.004100000000001</v>
      </c>
      <c r="E131" s="33">
        <v>0.62826199999999999</v>
      </c>
      <c r="F131" s="33">
        <v>-0.26018599999999997</v>
      </c>
      <c r="G131" s="33">
        <v>3.7006299999999999</v>
      </c>
      <c r="H131" s="33">
        <v>0.1981</v>
      </c>
      <c r="I131" s="33">
        <v>0.25750000000000001</v>
      </c>
      <c r="J131" s="33">
        <v>6.5139699999999995E-2</v>
      </c>
      <c r="K131" s="33">
        <v>-1.44E-2</v>
      </c>
      <c r="L131" s="33">
        <v>-4.2799999999999998E-2</v>
      </c>
      <c r="M131" s="33">
        <v>-4.6309799999999998E-2</v>
      </c>
      <c r="N131" s="169">
        <v>0.21249999999999999</v>
      </c>
      <c r="O131" s="33">
        <v>30.75</v>
      </c>
      <c r="P131" s="33">
        <v>20.75</v>
      </c>
      <c r="Q131" s="33">
        <v>10</v>
      </c>
      <c r="R131" s="33">
        <v>3</v>
      </c>
      <c r="S131" s="33">
        <v>2.8700999999999999</v>
      </c>
      <c r="T131" s="33">
        <v>2.6299299999999999</v>
      </c>
      <c r="U131" s="33">
        <v>3</v>
      </c>
      <c r="V131" s="89" t="str">
        <f t="shared" si="4"/>
        <v>IND</v>
      </c>
      <c r="W131" s="90">
        <f t="shared" ref="W131:W194" si="5">W99+1</f>
        <v>4</v>
      </c>
      <c r="X131" s="91">
        <v>2025</v>
      </c>
    </row>
    <row r="132" spans="1:24" x14ac:dyDescent="0.25">
      <c r="A132" s="74" t="s">
        <v>55</v>
      </c>
      <c r="B132" s="33">
        <v>2025</v>
      </c>
      <c r="C132" s="33">
        <v>1534.96</v>
      </c>
      <c r="D132" s="33">
        <v>-0.96289999999999998</v>
      </c>
      <c r="E132" s="33">
        <v>1.5354399999999999</v>
      </c>
      <c r="F132" s="33">
        <v>0.73232900000000001</v>
      </c>
      <c r="G132" s="33">
        <v>1.60765</v>
      </c>
      <c r="H132" s="33">
        <v>5.8599999999999999E-2</v>
      </c>
      <c r="I132" s="33">
        <v>0.18190000000000001</v>
      </c>
      <c r="J132" s="33">
        <v>-0.13048799999999999</v>
      </c>
      <c r="K132" s="33">
        <v>-0.1464</v>
      </c>
      <c r="L132" s="33">
        <v>1.24E-2</v>
      </c>
      <c r="M132" s="33">
        <v>-0.193024</v>
      </c>
      <c r="N132" s="169">
        <v>0.20499999999999999</v>
      </c>
      <c r="O132" s="33">
        <v>27.75</v>
      </c>
      <c r="P132" s="33">
        <v>16.75</v>
      </c>
      <c r="Q132" s="33">
        <v>11</v>
      </c>
      <c r="R132" s="33">
        <v>3</v>
      </c>
      <c r="S132" s="33">
        <v>3.0716000000000001</v>
      </c>
      <c r="T132" s="33">
        <v>2.9500799999999998</v>
      </c>
      <c r="U132" s="33">
        <v>3</v>
      </c>
      <c r="V132" s="89" t="str">
        <f t="shared" si="4"/>
        <v>SEA</v>
      </c>
      <c r="W132" s="90">
        <f t="shared" si="5"/>
        <v>4</v>
      </c>
      <c r="X132" s="91">
        <v>2025</v>
      </c>
    </row>
    <row r="133" spans="1:24" x14ac:dyDescent="0.25">
      <c r="A133" s="74" t="s">
        <v>25</v>
      </c>
      <c r="B133" s="33">
        <v>2025</v>
      </c>
      <c r="C133" s="33">
        <v>1633.73</v>
      </c>
      <c r="D133" s="33">
        <v>10.590400000000001</v>
      </c>
      <c r="E133" s="33">
        <v>5.4862799999999998</v>
      </c>
      <c r="F133" s="33">
        <v>-0.18068400000000001</v>
      </c>
      <c r="G133" s="33">
        <v>1.08257</v>
      </c>
      <c r="H133" s="33">
        <v>0.23799999999999999</v>
      </c>
      <c r="I133" s="33">
        <v>0.2387</v>
      </c>
      <c r="J133" s="33">
        <v>0.15409300000000001</v>
      </c>
      <c r="K133" s="33">
        <v>7.2800000000000004E-2</v>
      </c>
      <c r="L133" s="33">
        <v>-6.9800000000000001E-2</v>
      </c>
      <c r="M133" s="33">
        <v>8.7023400000000001E-2</v>
      </c>
      <c r="N133" s="169">
        <v>0.1653</v>
      </c>
      <c r="O133" s="33">
        <v>33.25</v>
      </c>
      <c r="P133" s="33">
        <v>22.5</v>
      </c>
      <c r="Q133" s="33">
        <v>10.75</v>
      </c>
      <c r="R133" s="33">
        <v>4</v>
      </c>
      <c r="S133" s="33">
        <v>2.8647</v>
      </c>
      <c r="T133" s="33">
        <v>3.8046099999999998</v>
      </c>
      <c r="U133" s="33">
        <v>2</v>
      </c>
      <c r="V133" s="89" t="str">
        <f t="shared" si="4"/>
        <v>BUF</v>
      </c>
      <c r="W133" s="90">
        <f t="shared" si="5"/>
        <v>4</v>
      </c>
      <c r="X133" s="91">
        <v>2025</v>
      </c>
    </row>
    <row r="134" spans="1:24" x14ac:dyDescent="0.25">
      <c r="A134" s="74" t="s">
        <v>63</v>
      </c>
      <c r="B134" s="33">
        <v>2025</v>
      </c>
      <c r="C134" s="33">
        <v>1562.26</v>
      </c>
      <c r="D134" s="33">
        <v>9.4878999999999998</v>
      </c>
      <c r="E134" s="33">
        <v>2.6275599999999999</v>
      </c>
      <c r="F134" s="33">
        <v>1.3687100000000001</v>
      </c>
      <c r="G134" s="33">
        <v>1.0164800000000001</v>
      </c>
      <c r="H134" s="33">
        <v>4.6300000000000001E-2</v>
      </c>
      <c r="I134" s="33">
        <v>9.0800000000000006E-2</v>
      </c>
      <c r="J134" s="33">
        <v>7.23589E-3</v>
      </c>
      <c r="K134" s="33">
        <v>-8.2199999999999995E-2</v>
      </c>
      <c r="L134" s="33">
        <v>-0.1133</v>
      </c>
      <c r="M134" s="33">
        <v>-0.116469</v>
      </c>
      <c r="N134" s="169">
        <v>0.1285</v>
      </c>
      <c r="O134" s="33">
        <v>24</v>
      </c>
      <c r="P134" s="33">
        <v>16.75</v>
      </c>
      <c r="Q134" s="33">
        <v>7.25</v>
      </c>
      <c r="R134" s="33">
        <v>2</v>
      </c>
      <c r="S134" s="33">
        <v>2.8043</v>
      </c>
      <c r="T134" s="33">
        <v>2.56786</v>
      </c>
      <c r="U134" s="33">
        <v>1</v>
      </c>
      <c r="V134" s="89" t="str">
        <f t="shared" si="4"/>
        <v>DEN</v>
      </c>
      <c r="W134" s="90">
        <f t="shared" si="5"/>
        <v>4</v>
      </c>
      <c r="X134" s="91">
        <v>2025</v>
      </c>
    </row>
    <row r="135" spans="1:24" x14ac:dyDescent="0.25">
      <c r="A135" s="74" t="s">
        <v>400</v>
      </c>
      <c r="B135" s="33">
        <v>2025</v>
      </c>
      <c r="C135" s="33">
        <v>1590.08</v>
      </c>
      <c r="D135" s="33">
        <v>-4.5069999999999997</v>
      </c>
      <c r="E135" s="33">
        <v>3.7404199999999999</v>
      </c>
      <c r="F135" s="33">
        <v>0.124815</v>
      </c>
      <c r="G135" s="33">
        <v>1.5701499999999999</v>
      </c>
      <c r="H135" s="33">
        <v>0.1313</v>
      </c>
      <c r="I135" s="33">
        <v>0.30769999999999997</v>
      </c>
      <c r="J135" s="33">
        <v>1.6081299999999999E-3</v>
      </c>
      <c r="K135" s="33">
        <v>1.09E-2</v>
      </c>
      <c r="L135" s="33">
        <v>3.78E-2</v>
      </c>
      <c r="M135" s="33">
        <v>-6.6657099999999997E-2</v>
      </c>
      <c r="N135" s="169">
        <v>0.12039999999999999</v>
      </c>
      <c r="O135" s="33">
        <v>26</v>
      </c>
      <c r="P135" s="33">
        <v>21</v>
      </c>
      <c r="Q135" s="33">
        <v>5</v>
      </c>
      <c r="R135" s="33">
        <v>2</v>
      </c>
      <c r="S135" s="33">
        <v>2.4956</v>
      </c>
      <c r="T135" s="33">
        <v>2.5356999999999998</v>
      </c>
      <c r="U135" s="33">
        <v>2</v>
      </c>
      <c r="V135" s="89" t="str">
        <f t="shared" si="4"/>
        <v>GB</v>
      </c>
      <c r="W135" s="90">
        <f t="shared" si="5"/>
        <v>4</v>
      </c>
      <c r="X135" s="91">
        <v>2025</v>
      </c>
    </row>
    <row r="136" spans="1:24" x14ac:dyDescent="0.25">
      <c r="A136" s="74" t="s">
        <v>44</v>
      </c>
      <c r="B136" s="33">
        <v>2025</v>
      </c>
      <c r="C136" s="33">
        <v>1493.5</v>
      </c>
      <c r="D136" s="33">
        <v>-5.67</v>
      </c>
      <c r="E136" s="33">
        <v>-0.123027</v>
      </c>
      <c r="F136" s="33">
        <v>1.06507</v>
      </c>
      <c r="G136" s="33">
        <v>1.8245899999999999</v>
      </c>
      <c r="H136" s="33">
        <v>2.0999999999999999E-3</v>
      </c>
      <c r="I136" s="33">
        <v>1.5900000000000001E-2</v>
      </c>
      <c r="J136" s="33">
        <v>4.00924E-2</v>
      </c>
      <c r="K136" s="33">
        <v>-0.11169999999999999</v>
      </c>
      <c r="L136" s="33">
        <v>-0.17649999999999999</v>
      </c>
      <c r="M136" s="33">
        <v>-5.4604300000000001E-2</v>
      </c>
      <c r="N136" s="169">
        <v>0.1138</v>
      </c>
      <c r="O136" s="33">
        <v>24</v>
      </c>
      <c r="P136" s="33">
        <v>18</v>
      </c>
      <c r="Q136" s="33">
        <v>6</v>
      </c>
      <c r="R136" s="33">
        <v>3</v>
      </c>
      <c r="S136" s="33">
        <v>2.6566000000000001</v>
      </c>
      <c r="T136" s="33">
        <v>2.02468</v>
      </c>
      <c r="U136" s="33">
        <v>3</v>
      </c>
      <c r="V136" s="89" t="str">
        <f t="shared" si="4"/>
        <v>JAX</v>
      </c>
      <c r="W136" s="90">
        <f t="shared" si="5"/>
        <v>4</v>
      </c>
      <c r="X136" s="91">
        <v>2025</v>
      </c>
    </row>
    <row r="137" spans="1:24" x14ac:dyDescent="0.25">
      <c r="A137" s="74" t="s">
        <v>21</v>
      </c>
      <c r="B137" s="33">
        <v>2025</v>
      </c>
      <c r="C137" s="33">
        <v>1575.9</v>
      </c>
      <c r="D137" s="33">
        <v>8.7589000000000006</v>
      </c>
      <c r="E137" s="33">
        <v>3.1730200000000002</v>
      </c>
      <c r="F137" s="33">
        <v>0.620591</v>
      </c>
      <c r="G137" s="33">
        <v>2.0675699999999999</v>
      </c>
      <c r="H137" s="33">
        <v>6.1999999999999998E-3</v>
      </c>
      <c r="I137" s="33">
        <v>0.17330000000000001</v>
      </c>
      <c r="J137" s="33">
        <v>-0.102455</v>
      </c>
      <c r="K137" s="33">
        <v>-8.4599999999999995E-2</v>
      </c>
      <c r="L137" s="33">
        <v>-0.152</v>
      </c>
      <c r="M137" s="33">
        <v>-3.56639E-3</v>
      </c>
      <c r="N137" s="169">
        <v>9.0899999999999995E-2</v>
      </c>
      <c r="O137" s="33">
        <v>25</v>
      </c>
      <c r="P137" s="33">
        <v>20.25</v>
      </c>
      <c r="Q137" s="33">
        <v>4.75</v>
      </c>
      <c r="R137" s="33">
        <v>3</v>
      </c>
      <c r="S137" s="33">
        <v>2.4893000000000001</v>
      </c>
      <c r="T137" s="33">
        <v>2.9538700000000002</v>
      </c>
      <c r="U137" s="33">
        <v>3</v>
      </c>
      <c r="V137" s="89" t="str">
        <f t="shared" si="4"/>
        <v>LAR</v>
      </c>
      <c r="W137" s="90">
        <f t="shared" si="5"/>
        <v>4</v>
      </c>
      <c r="X137" s="91">
        <v>2025</v>
      </c>
    </row>
    <row r="138" spans="1:24" x14ac:dyDescent="0.25">
      <c r="A138" s="74" t="s">
        <v>399</v>
      </c>
      <c r="B138" s="33">
        <v>2025</v>
      </c>
      <c r="C138" s="33">
        <v>1597.25</v>
      </c>
      <c r="D138" s="33">
        <v>10.991099999999999</v>
      </c>
      <c r="E138" s="33">
        <v>4.02712</v>
      </c>
      <c r="F138" s="33">
        <v>0.85489199999999999</v>
      </c>
      <c r="G138" s="33">
        <v>0.69120599999999999</v>
      </c>
      <c r="H138" s="33">
        <v>0.1217</v>
      </c>
      <c r="I138" s="33">
        <v>0.1449</v>
      </c>
      <c r="J138" s="33">
        <v>7.8666700000000006E-2</v>
      </c>
      <c r="K138" s="33">
        <v>3.09E-2</v>
      </c>
      <c r="L138" s="33">
        <v>-0.1089</v>
      </c>
      <c r="M138" s="33">
        <v>9.2594599999999999E-2</v>
      </c>
      <c r="N138" s="169">
        <v>9.0800000000000006E-2</v>
      </c>
      <c r="O138" s="33">
        <v>24.25</v>
      </c>
      <c r="P138" s="33">
        <v>19</v>
      </c>
      <c r="Q138" s="33">
        <v>5.25</v>
      </c>
      <c r="R138" s="33">
        <v>2</v>
      </c>
      <c r="S138" s="33">
        <v>2.5626000000000002</v>
      </c>
      <c r="T138" s="33">
        <v>2.9966400000000002</v>
      </c>
      <c r="U138" s="33">
        <v>1</v>
      </c>
      <c r="V138" s="89" t="str">
        <f t="shared" si="4"/>
        <v>KC</v>
      </c>
      <c r="W138" s="90">
        <f t="shared" si="5"/>
        <v>4</v>
      </c>
      <c r="X138" s="91">
        <v>2025</v>
      </c>
    </row>
    <row r="139" spans="1:24" x14ac:dyDescent="0.25">
      <c r="A139" s="74" t="s">
        <v>38</v>
      </c>
      <c r="B139" s="33">
        <v>2025</v>
      </c>
      <c r="C139" s="33">
        <v>1636.29</v>
      </c>
      <c r="D139" s="33">
        <v>4.0015000000000001</v>
      </c>
      <c r="E139" s="33">
        <v>5.5888999999999998</v>
      </c>
      <c r="F139" s="33">
        <v>0.27017999999999998</v>
      </c>
      <c r="G139" s="33">
        <v>0.781416</v>
      </c>
      <c r="H139" s="33">
        <v>3.1199999999999999E-2</v>
      </c>
      <c r="I139" s="33">
        <v>-4.6800000000000001E-2</v>
      </c>
      <c r="J139" s="33">
        <v>5.1511300000000003E-2</v>
      </c>
      <c r="K139" s="33">
        <v>-5.6899999999999999E-2</v>
      </c>
      <c r="L139" s="33">
        <v>-9.8699999999999996E-2</v>
      </c>
      <c r="M139" s="33">
        <v>-3.8970200000000003E-2</v>
      </c>
      <c r="N139" s="169">
        <v>8.8099999999999998E-2</v>
      </c>
      <c r="O139" s="33">
        <v>27</v>
      </c>
      <c r="P139" s="33">
        <v>22</v>
      </c>
      <c r="Q139" s="33">
        <v>5</v>
      </c>
      <c r="R139" s="33">
        <v>4</v>
      </c>
      <c r="S139" s="33">
        <v>2.4761000000000002</v>
      </c>
      <c r="T139" s="33">
        <v>3.4696699999999998</v>
      </c>
      <c r="U139" s="33">
        <v>2</v>
      </c>
      <c r="V139" s="89" t="str">
        <f t="shared" si="4"/>
        <v>PHI</v>
      </c>
      <c r="W139" s="90">
        <f t="shared" si="5"/>
        <v>4</v>
      </c>
      <c r="X139" s="91">
        <v>2025</v>
      </c>
    </row>
    <row r="140" spans="1:24" x14ac:dyDescent="0.25">
      <c r="A140" s="74" t="s">
        <v>41</v>
      </c>
      <c r="B140" s="33">
        <v>2025</v>
      </c>
      <c r="C140" s="33">
        <v>1493.8</v>
      </c>
      <c r="D140" s="33">
        <v>-44.044400000000003</v>
      </c>
      <c r="E140" s="33">
        <v>-0.11107400000000001</v>
      </c>
      <c r="F140" s="33">
        <v>-0.59653299999999998</v>
      </c>
      <c r="G140" s="33">
        <v>-1.9597199999999999</v>
      </c>
      <c r="H140" s="33">
        <v>0.1245</v>
      </c>
      <c r="I140" s="33">
        <v>2.4299999999999999E-2</v>
      </c>
      <c r="J140" s="33">
        <v>0.133467</v>
      </c>
      <c r="K140" s="33">
        <v>4.0599999999999997E-2</v>
      </c>
      <c r="L140" s="33">
        <v>0.20799999999999999</v>
      </c>
      <c r="M140" s="33">
        <v>-0.12814900000000001</v>
      </c>
      <c r="N140" s="169">
        <v>8.3900000000000002E-2</v>
      </c>
      <c r="O140" s="33">
        <v>26.75</v>
      </c>
      <c r="P140" s="33">
        <v>22.75</v>
      </c>
      <c r="Q140" s="33">
        <v>4</v>
      </c>
      <c r="R140" s="33">
        <v>2</v>
      </c>
      <c r="S140" s="33">
        <v>2.3792</v>
      </c>
      <c r="T140" s="33">
        <v>3.01335</v>
      </c>
      <c r="U140" s="33">
        <v>2</v>
      </c>
      <c r="V140" s="89" t="str">
        <f t="shared" si="4"/>
        <v>WAS</v>
      </c>
      <c r="W140" s="90">
        <f t="shared" si="5"/>
        <v>4</v>
      </c>
      <c r="X140" s="91">
        <v>2025</v>
      </c>
    </row>
    <row r="141" spans="1:24" x14ac:dyDescent="0.25">
      <c r="A141" s="74" t="s">
        <v>404</v>
      </c>
      <c r="B141" s="33">
        <v>2025</v>
      </c>
      <c r="C141" s="33">
        <v>1458.14</v>
      </c>
      <c r="D141" s="33">
        <v>13.977499999999999</v>
      </c>
      <c r="E141" s="33">
        <v>-1.5372699999999999</v>
      </c>
      <c r="F141" s="33">
        <v>1.57413</v>
      </c>
      <c r="G141" s="33">
        <v>1.5127200000000001</v>
      </c>
      <c r="H141" s="33">
        <v>7.9600000000000004E-2</v>
      </c>
      <c r="I141" s="33">
        <v>0.2782</v>
      </c>
      <c r="J141" s="33">
        <v>-0.13492199999999999</v>
      </c>
      <c r="K141" s="33">
        <v>-3.8E-3</v>
      </c>
      <c r="L141" s="33">
        <v>0.2084</v>
      </c>
      <c r="M141" s="33">
        <v>-0.1464</v>
      </c>
      <c r="N141" s="169">
        <v>8.3400000000000002E-2</v>
      </c>
      <c r="O141" s="33">
        <v>25.5</v>
      </c>
      <c r="P141" s="33">
        <v>20.25</v>
      </c>
      <c r="Q141" s="33">
        <v>5.25</v>
      </c>
      <c r="R141" s="33">
        <v>2</v>
      </c>
      <c r="S141" s="33">
        <v>2.5331000000000001</v>
      </c>
      <c r="T141" s="33">
        <v>2.1497600000000001</v>
      </c>
      <c r="U141" s="33">
        <v>0</v>
      </c>
      <c r="V141" s="89" t="str">
        <f t="shared" si="4"/>
        <v>NE</v>
      </c>
      <c r="W141" s="90">
        <f t="shared" si="5"/>
        <v>4</v>
      </c>
      <c r="X141" s="91">
        <v>2025</v>
      </c>
    </row>
    <row r="142" spans="1:24" x14ac:dyDescent="0.25">
      <c r="A142" s="74" t="s">
        <v>31</v>
      </c>
      <c r="B142" s="33">
        <v>2025</v>
      </c>
      <c r="C142" s="33">
        <v>1499.35</v>
      </c>
      <c r="D142" s="33">
        <v>-5.5316000000000001</v>
      </c>
      <c r="E142" s="33">
        <v>0.11107400000000001</v>
      </c>
      <c r="F142" s="33">
        <v>0.86017100000000002</v>
      </c>
      <c r="G142" s="33">
        <v>0.306562</v>
      </c>
      <c r="H142" s="33">
        <v>-9.1899999999999996E-2</v>
      </c>
      <c r="I142" s="33">
        <v>-0.1138</v>
      </c>
      <c r="J142" s="33">
        <v>8.2959599999999998E-3</v>
      </c>
      <c r="K142" s="33">
        <v>-0.17080000000000001</v>
      </c>
      <c r="L142" s="33">
        <v>-0.1852</v>
      </c>
      <c r="M142" s="33">
        <v>4.4143700000000001E-2</v>
      </c>
      <c r="N142" s="169">
        <v>7.8899999999999998E-2</v>
      </c>
      <c r="O142" s="33">
        <v>16</v>
      </c>
      <c r="P142" s="33">
        <v>12.75</v>
      </c>
      <c r="Q142" s="33">
        <v>3.25</v>
      </c>
      <c r="R142" s="33">
        <v>1</v>
      </c>
      <c r="S142" s="33">
        <v>2.5255000000000001</v>
      </c>
      <c r="T142" s="33">
        <v>2.5247600000000001</v>
      </c>
      <c r="U142" s="33">
        <v>1</v>
      </c>
      <c r="V142" s="89" t="str">
        <f t="shared" si="4"/>
        <v>HOU</v>
      </c>
      <c r="W142" s="90">
        <f t="shared" si="5"/>
        <v>4</v>
      </c>
      <c r="X142" s="91">
        <v>2025</v>
      </c>
    </row>
    <row r="143" spans="1:24" x14ac:dyDescent="0.25">
      <c r="A143" s="74" t="s">
        <v>60</v>
      </c>
      <c r="B143" s="33">
        <v>2025</v>
      </c>
      <c r="C143" s="33">
        <v>1531.77</v>
      </c>
      <c r="D143" s="33">
        <v>-2.6573000000000002</v>
      </c>
      <c r="E143" s="33">
        <v>1.40791</v>
      </c>
      <c r="F143" s="33">
        <v>-0.93603000000000003</v>
      </c>
      <c r="G143" s="33">
        <v>0.64107899999999995</v>
      </c>
      <c r="H143" s="33">
        <v>-2.0999999999999999E-3</v>
      </c>
      <c r="I143" s="33">
        <v>2.8299999999999999E-2</v>
      </c>
      <c r="J143" s="33">
        <v>-5.2383399999999997E-2</v>
      </c>
      <c r="K143" s="33">
        <v>-7.9299999999999995E-2</v>
      </c>
      <c r="L143" s="33">
        <v>-0.21590000000000001</v>
      </c>
      <c r="M143" s="33">
        <v>2.3904100000000001E-2</v>
      </c>
      <c r="N143" s="169">
        <v>7.7200000000000005E-2</v>
      </c>
      <c r="O143" s="33">
        <v>22</v>
      </c>
      <c r="P143" s="33">
        <v>17.75</v>
      </c>
      <c r="Q143" s="33">
        <v>4.25</v>
      </c>
      <c r="R143" s="33">
        <v>3</v>
      </c>
      <c r="S143" s="33">
        <v>2.4980000000000002</v>
      </c>
      <c r="T143" s="33">
        <v>2.99437</v>
      </c>
      <c r="U143" s="33">
        <v>3</v>
      </c>
      <c r="V143" s="89" t="str">
        <f t="shared" si="4"/>
        <v>LAC</v>
      </c>
      <c r="W143" s="90">
        <f t="shared" si="5"/>
        <v>4</v>
      </c>
      <c r="X143" s="91">
        <v>2025</v>
      </c>
    </row>
    <row r="144" spans="1:24" x14ac:dyDescent="0.25">
      <c r="A144" s="74" t="s">
        <v>75</v>
      </c>
      <c r="B144" s="33">
        <v>2025</v>
      </c>
      <c r="C144" s="33">
        <v>1522.81</v>
      </c>
      <c r="D144" s="33">
        <v>-12.020799999999999</v>
      </c>
      <c r="E144" s="33">
        <v>1.04942</v>
      </c>
      <c r="F144" s="33">
        <v>-0.11264200000000001</v>
      </c>
      <c r="G144" s="33">
        <v>0.32097199999999998</v>
      </c>
      <c r="H144" s="33">
        <v>-8.8800000000000004E-2</v>
      </c>
      <c r="I144" s="33">
        <v>-0.1666</v>
      </c>
      <c r="J144" s="33">
        <v>-6.32585E-3</v>
      </c>
      <c r="K144" s="33">
        <v>-0.16400000000000001</v>
      </c>
      <c r="L144" s="33">
        <v>-0.44319999999999998</v>
      </c>
      <c r="M144" s="33">
        <v>5.6255699999999999E-2</v>
      </c>
      <c r="N144" s="169">
        <v>7.5200000000000003E-2</v>
      </c>
      <c r="O144" s="33">
        <v>25.5</v>
      </c>
      <c r="P144" s="33">
        <v>20</v>
      </c>
      <c r="Q144" s="33">
        <v>5.5</v>
      </c>
      <c r="R144" s="33">
        <v>2</v>
      </c>
      <c r="S144" s="33">
        <v>2.5604</v>
      </c>
      <c r="T144" s="33">
        <v>3.0514000000000001</v>
      </c>
      <c r="U144" s="33">
        <v>2</v>
      </c>
      <c r="V144" s="89" t="str">
        <f t="shared" si="4"/>
        <v>MIN</v>
      </c>
      <c r="W144" s="90">
        <f t="shared" si="5"/>
        <v>4</v>
      </c>
      <c r="X144" s="91">
        <v>2025</v>
      </c>
    </row>
    <row r="145" spans="1:24" x14ac:dyDescent="0.25">
      <c r="A145" s="74" t="s">
        <v>47</v>
      </c>
      <c r="B145" s="33">
        <v>2025</v>
      </c>
      <c r="C145" s="33">
        <v>1650.67</v>
      </c>
      <c r="D145" s="33">
        <v>0.55759999999999998</v>
      </c>
      <c r="E145" s="33">
        <v>6.1641000000000004</v>
      </c>
      <c r="F145" s="33">
        <v>-0.67522000000000004</v>
      </c>
      <c r="G145" s="33">
        <v>-0.31493100000000002</v>
      </c>
      <c r="H145" s="33">
        <v>0.19239999999999999</v>
      </c>
      <c r="I145" s="33">
        <v>0.1603</v>
      </c>
      <c r="J145" s="33">
        <v>9.6899299999999994E-2</v>
      </c>
      <c r="K145" s="33">
        <v>0.1434</v>
      </c>
      <c r="L145" s="33">
        <v>0.1318</v>
      </c>
      <c r="M145" s="33">
        <v>0.124763</v>
      </c>
      <c r="N145" s="169">
        <v>4.9000000000000002E-2</v>
      </c>
      <c r="O145" s="33">
        <v>32.75</v>
      </c>
      <c r="P145" s="33">
        <v>33.25</v>
      </c>
      <c r="Q145" s="33">
        <v>-0.5</v>
      </c>
      <c r="R145" s="33">
        <v>1</v>
      </c>
      <c r="S145" s="33">
        <v>1.9641</v>
      </c>
      <c r="T145" s="33">
        <v>3.0269499999999998</v>
      </c>
      <c r="U145" s="33">
        <v>2</v>
      </c>
      <c r="V145" s="89" t="str">
        <f t="shared" si="4"/>
        <v>BAL</v>
      </c>
      <c r="W145" s="90">
        <f t="shared" si="5"/>
        <v>4</v>
      </c>
      <c r="X145" s="91">
        <v>2025</v>
      </c>
    </row>
    <row r="146" spans="1:24" x14ac:dyDescent="0.25">
      <c r="A146" s="74" t="s">
        <v>93</v>
      </c>
      <c r="B146" s="33">
        <v>2025</v>
      </c>
      <c r="C146" s="33">
        <v>1478.47</v>
      </c>
      <c r="D146" s="33">
        <v>-7.2332999999999998</v>
      </c>
      <c r="E146" s="33">
        <v>-0.72399899999999995</v>
      </c>
      <c r="F146" s="33">
        <v>-0.72661100000000001</v>
      </c>
      <c r="G146" s="33">
        <v>-0.91456499999999996</v>
      </c>
      <c r="H146" s="33">
        <v>1.4500000000000001E-2</v>
      </c>
      <c r="I146" s="33">
        <v>2.8799999999999999E-2</v>
      </c>
      <c r="J146" s="33">
        <v>-1.0624400000000001E-2</v>
      </c>
      <c r="K146" s="33">
        <v>-2.18E-2</v>
      </c>
      <c r="L146" s="33">
        <v>6.3799999999999996E-2</v>
      </c>
      <c r="M146" s="33">
        <v>-0.152921</v>
      </c>
      <c r="N146" s="169">
        <v>3.6299999999999999E-2</v>
      </c>
      <c r="O146" s="33">
        <v>20.5</v>
      </c>
      <c r="P146" s="33">
        <v>18.5</v>
      </c>
      <c r="Q146" s="33">
        <v>2</v>
      </c>
      <c r="R146" s="33">
        <v>2</v>
      </c>
      <c r="S146" s="33">
        <v>2.2421000000000002</v>
      </c>
      <c r="T146" s="33">
        <v>2.9877500000000001</v>
      </c>
      <c r="U146" s="33">
        <v>2</v>
      </c>
      <c r="V146" s="89" t="str">
        <f t="shared" si="4"/>
        <v>ARI</v>
      </c>
      <c r="W146" s="90">
        <f t="shared" si="5"/>
        <v>4</v>
      </c>
      <c r="X146" s="91">
        <v>2025</v>
      </c>
    </row>
    <row r="147" spans="1:24" x14ac:dyDescent="0.25">
      <c r="A147" s="74" t="s">
        <v>405</v>
      </c>
      <c r="B147" s="33">
        <v>2025</v>
      </c>
      <c r="C147" s="33">
        <v>1528.36</v>
      </c>
      <c r="D147" s="33">
        <v>1.2850999999999999</v>
      </c>
      <c r="E147" s="33">
        <v>1.2716499999999999</v>
      </c>
      <c r="F147" s="33">
        <v>-0.84817900000000002</v>
      </c>
      <c r="G147" s="33">
        <v>0.50668500000000005</v>
      </c>
      <c r="H147" s="33">
        <v>-2.7E-2</v>
      </c>
      <c r="I147" s="33">
        <v>0.10199999999999999</v>
      </c>
      <c r="J147" s="33">
        <v>-0.15382399999999999</v>
      </c>
      <c r="K147" s="33">
        <v>-6.2199999999999998E-2</v>
      </c>
      <c r="L147" s="33">
        <v>-0.1023</v>
      </c>
      <c r="M147" s="33">
        <v>-2.7654399999999999E-2</v>
      </c>
      <c r="N147" s="169">
        <v>3.5099999999999999E-2</v>
      </c>
      <c r="O147" s="33">
        <v>20</v>
      </c>
      <c r="P147" s="33">
        <v>18.75</v>
      </c>
      <c r="Q147" s="33">
        <v>1.25</v>
      </c>
      <c r="R147" s="33">
        <v>3</v>
      </c>
      <c r="S147" s="33">
        <v>2.1526999999999998</v>
      </c>
      <c r="T147" s="33">
        <v>2.4826899999999998</v>
      </c>
      <c r="U147" s="33">
        <v>2</v>
      </c>
      <c r="V147" s="89" t="str">
        <f t="shared" si="4"/>
        <v>SF</v>
      </c>
      <c r="W147" s="90">
        <f t="shared" si="5"/>
        <v>4</v>
      </c>
      <c r="X147" s="91">
        <v>2025</v>
      </c>
    </row>
    <row r="148" spans="1:24" x14ac:dyDescent="0.25">
      <c r="A148" s="74" t="s">
        <v>85</v>
      </c>
      <c r="B148" s="33">
        <v>2025</v>
      </c>
      <c r="C148" s="33">
        <v>1499.63</v>
      </c>
      <c r="D148" s="33">
        <v>5.3739999999999997</v>
      </c>
      <c r="E148" s="33">
        <v>0.12220200000000001</v>
      </c>
      <c r="F148" s="33">
        <v>0.12481399999999999</v>
      </c>
      <c r="G148" s="33">
        <v>4.9990199999999999E-2</v>
      </c>
      <c r="H148" s="33">
        <v>5.6300000000000003E-2</v>
      </c>
      <c r="I148" s="33">
        <v>5.7599999999999998E-2</v>
      </c>
      <c r="J148" s="33">
        <v>-5.0217400000000002E-2</v>
      </c>
      <c r="K148" s="33">
        <v>4.8300000000000003E-2</v>
      </c>
      <c r="L148" s="33">
        <v>0.125</v>
      </c>
      <c r="M148" s="33">
        <v>-6.1368300000000001E-2</v>
      </c>
      <c r="N148" s="169">
        <v>8.0000000000000002E-3</v>
      </c>
      <c r="O148" s="33">
        <v>24</v>
      </c>
      <c r="P148" s="33">
        <v>24.5</v>
      </c>
      <c r="Q148" s="33">
        <v>-0.5</v>
      </c>
      <c r="R148" s="33">
        <v>3</v>
      </c>
      <c r="S148" s="33">
        <v>1.9511000000000001</v>
      </c>
      <c r="T148" s="33">
        <v>2.0732499999999998</v>
      </c>
      <c r="U148" s="33">
        <v>1</v>
      </c>
      <c r="V148" s="89" t="str">
        <f t="shared" si="4"/>
        <v>PIT</v>
      </c>
      <c r="W148" s="90">
        <f t="shared" si="5"/>
        <v>4</v>
      </c>
      <c r="X148" s="91">
        <v>2025</v>
      </c>
    </row>
    <row r="149" spans="1:24" x14ac:dyDescent="0.25">
      <c r="A149" s="74" t="s">
        <v>402</v>
      </c>
      <c r="B149" s="33">
        <v>2025</v>
      </c>
      <c r="C149" s="33">
        <v>1512.64</v>
      </c>
      <c r="D149" s="33">
        <v>5.5808999999999997</v>
      </c>
      <c r="E149" s="33">
        <v>0.64257799999999998</v>
      </c>
      <c r="F149" s="33">
        <v>-0.23492199999999999</v>
      </c>
      <c r="G149" s="33">
        <v>0.40922900000000001</v>
      </c>
      <c r="H149" s="33">
        <v>-4.5199999999999997E-2</v>
      </c>
      <c r="I149" s="33">
        <v>5.6800000000000003E-2</v>
      </c>
      <c r="J149" s="33">
        <v>-3.9147399999999999E-3</v>
      </c>
      <c r="K149" s="33">
        <v>-3.7100000000000001E-2</v>
      </c>
      <c r="L149" s="33">
        <v>-3.1800000000000002E-2</v>
      </c>
      <c r="M149" s="33">
        <v>-0.106118</v>
      </c>
      <c r="N149" s="169">
        <v>-8.2000000000000007E-3</v>
      </c>
      <c r="O149" s="33">
        <v>24.25</v>
      </c>
      <c r="P149" s="33">
        <v>24.25</v>
      </c>
      <c r="Q149" s="33">
        <v>0</v>
      </c>
      <c r="R149" s="33">
        <v>3</v>
      </c>
      <c r="S149" s="33">
        <v>2</v>
      </c>
      <c r="T149" s="33">
        <v>2.47661</v>
      </c>
      <c r="U149" s="33">
        <v>2</v>
      </c>
      <c r="V149" s="89" t="str">
        <f t="shared" si="4"/>
        <v>TB</v>
      </c>
      <c r="W149" s="90">
        <f t="shared" si="5"/>
        <v>4</v>
      </c>
      <c r="X149" s="91">
        <v>2025</v>
      </c>
    </row>
    <row r="150" spans="1:24" x14ac:dyDescent="0.25">
      <c r="A150" s="74" t="s">
        <v>69</v>
      </c>
      <c r="B150" s="33">
        <v>2025</v>
      </c>
      <c r="C150" s="33">
        <v>1464.59</v>
      </c>
      <c r="D150" s="33">
        <v>-16.631</v>
      </c>
      <c r="E150" s="33">
        <v>-1.2793099999999999</v>
      </c>
      <c r="F150" s="33">
        <v>0.12481399999999999</v>
      </c>
      <c r="G150" s="33">
        <v>-0.20013700000000001</v>
      </c>
      <c r="H150" s="33">
        <v>-4.1599999999999998E-2</v>
      </c>
      <c r="I150" s="33">
        <v>-2.5999999999999999E-2</v>
      </c>
      <c r="J150" s="33">
        <v>-2.9530399999999998E-2</v>
      </c>
      <c r="K150" s="33">
        <v>-5.1000000000000004E-3</v>
      </c>
      <c r="L150" s="33">
        <v>-0.14030000000000001</v>
      </c>
      <c r="M150" s="33">
        <v>4.8367800000000002E-2</v>
      </c>
      <c r="N150" s="169">
        <v>-3.6400000000000002E-2</v>
      </c>
      <c r="O150" s="33">
        <v>19</v>
      </c>
      <c r="P150" s="33">
        <v>21.5</v>
      </c>
      <c r="Q150" s="33">
        <v>-2.5</v>
      </c>
      <c r="R150" s="33">
        <v>2</v>
      </c>
      <c r="S150" s="33">
        <v>1.7091000000000001</v>
      </c>
      <c r="T150" s="33">
        <v>1.6019300000000001</v>
      </c>
      <c r="U150" s="33">
        <v>2</v>
      </c>
      <c r="V150" s="89" t="str">
        <f t="shared" si="4"/>
        <v>ATL</v>
      </c>
      <c r="W150" s="90">
        <f t="shared" si="5"/>
        <v>4</v>
      </c>
      <c r="X150" s="91">
        <v>2025</v>
      </c>
    </row>
    <row r="151" spans="1:24" x14ac:dyDescent="0.25">
      <c r="A151" s="74" t="s">
        <v>67</v>
      </c>
      <c r="B151" s="33">
        <v>2025</v>
      </c>
      <c r="C151" s="33">
        <v>1357.16</v>
      </c>
      <c r="D151" s="33">
        <v>1.4040999999999999</v>
      </c>
      <c r="E151" s="33">
        <v>-5.5766499999999999</v>
      </c>
      <c r="F151" s="33">
        <v>-1.1183399999999999</v>
      </c>
      <c r="G151" s="33">
        <v>2.46725E-2</v>
      </c>
      <c r="H151" s="33">
        <v>-7.5200000000000003E-2</v>
      </c>
      <c r="I151" s="33">
        <v>-9.1200000000000003E-2</v>
      </c>
      <c r="J151" s="33">
        <v>-4.9980999999999998E-2</v>
      </c>
      <c r="K151" s="33">
        <v>-1.7100000000000001E-2</v>
      </c>
      <c r="L151" s="33">
        <v>3.44E-2</v>
      </c>
      <c r="M151" s="33">
        <v>4.81194E-2</v>
      </c>
      <c r="N151" s="169">
        <v>-5.8099999999999999E-2</v>
      </c>
      <c r="O151" s="33">
        <v>18.75</v>
      </c>
      <c r="P151" s="33">
        <v>23.75</v>
      </c>
      <c r="Q151" s="33">
        <v>-5</v>
      </c>
      <c r="R151" s="33">
        <v>1</v>
      </c>
      <c r="S151" s="33">
        <v>1.454</v>
      </c>
      <c r="T151" s="33">
        <v>1.94312</v>
      </c>
      <c r="U151" s="33">
        <v>1</v>
      </c>
      <c r="V151" s="89" t="str">
        <f t="shared" si="4"/>
        <v>CAR</v>
      </c>
      <c r="W151" s="90">
        <f t="shared" si="5"/>
        <v>4</v>
      </c>
      <c r="X151" s="91">
        <v>2025</v>
      </c>
    </row>
    <row r="152" spans="1:24" x14ac:dyDescent="0.25">
      <c r="A152" s="74" t="s">
        <v>72</v>
      </c>
      <c r="B152" s="33">
        <v>2025</v>
      </c>
      <c r="C152" s="33">
        <v>1484.81</v>
      </c>
      <c r="D152" s="33">
        <v>14.884499999999999</v>
      </c>
      <c r="E152" s="33">
        <v>-0.47048299999999998</v>
      </c>
      <c r="F152" s="33">
        <v>0.12481399999999999</v>
      </c>
      <c r="G152" s="33">
        <v>0.84491700000000003</v>
      </c>
      <c r="H152" s="33">
        <v>-4.8599999999999997E-2</v>
      </c>
      <c r="I152" s="33">
        <v>7.2800000000000004E-2</v>
      </c>
      <c r="J152" s="33">
        <v>-0.14816599999999999</v>
      </c>
      <c r="K152" s="33">
        <v>3.0099999999999998E-2</v>
      </c>
      <c r="L152" s="33">
        <v>1.7500000000000002E-2</v>
      </c>
      <c r="M152" s="33">
        <v>-4.1416299999999999E-5</v>
      </c>
      <c r="N152" s="169">
        <v>-7.8700000000000006E-2</v>
      </c>
      <c r="O152" s="33">
        <v>25.25</v>
      </c>
      <c r="P152" s="33">
        <v>29.25</v>
      </c>
      <c r="Q152" s="33">
        <v>-4</v>
      </c>
      <c r="R152" s="33">
        <v>2</v>
      </c>
      <c r="S152" s="33">
        <v>1.655</v>
      </c>
      <c r="T152" s="33">
        <v>1.51389</v>
      </c>
      <c r="U152" s="33">
        <v>1</v>
      </c>
      <c r="V152" s="89" t="str">
        <f t="shared" si="4"/>
        <v>CHI</v>
      </c>
      <c r="W152" s="90">
        <f t="shared" si="5"/>
        <v>4</v>
      </c>
      <c r="X152" s="91">
        <v>2025</v>
      </c>
    </row>
    <row r="153" spans="1:24" x14ac:dyDescent="0.25">
      <c r="A153" s="74" t="s">
        <v>14</v>
      </c>
      <c r="B153" s="33">
        <v>2025</v>
      </c>
      <c r="C153" s="33">
        <v>1487.6</v>
      </c>
      <c r="D153" s="33">
        <v>20.905100000000001</v>
      </c>
      <c r="E153" s="33">
        <v>-0.35887200000000002</v>
      </c>
      <c r="F153" s="33">
        <v>0.82697799999999999</v>
      </c>
      <c r="G153" s="33">
        <v>0.62373000000000001</v>
      </c>
      <c r="H153" s="33">
        <v>0.1681</v>
      </c>
      <c r="I153" s="33">
        <v>0.1835</v>
      </c>
      <c r="J153" s="33">
        <v>3.3852E-2</v>
      </c>
      <c r="K153" s="33">
        <v>0.26550000000000001</v>
      </c>
      <c r="L153" s="33">
        <v>0.43030000000000002</v>
      </c>
      <c r="M153" s="33">
        <v>5.8280499999999999E-2</v>
      </c>
      <c r="N153" s="169">
        <v>-9.74E-2</v>
      </c>
      <c r="O153" s="33">
        <v>28.5</v>
      </c>
      <c r="P153" s="33">
        <v>33</v>
      </c>
      <c r="Q153" s="33">
        <v>-4.5</v>
      </c>
      <c r="R153" s="33">
        <v>1</v>
      </c>
      <c r="S153" s="33">
        <v>1.6559999999999999</v>
      </c>
      <c r="T153" s="33">
        <v>2.26187</v>
      </c>
      <c r="U153" s="33">
        <v>0</v>
      </c>
      <c r="V153" s="89" t="str">
        <f t="shared" si="4"/>
        <v>DAL</v>
      </c>
      <c r="W153" s="90">
        <f t="shared" si="5"/>
        <v>4</v>
      </c>
      <c r="X153" s="91">
        <v>2025</v>
      </c>
    </row>
    <row r="154" spans="1:24" x14ac:dyDescent="0.25">
      <c r="A154" s="74" t="s">
        <v>95</v>
      </c>
      <c r="B154" s="33">
        <v>2025</v>
      </c>
      <c r="C154" s="33">
        <v>1328.34</v>
      </c>
      <c r="D154" s="33">
        <v>-50.914400000000001</v>
      </c>
      <c r="E154" s="33">
        <v>-6.72933</v>
      </c>
      <c r="F154" s="33">
        <v>0.88375899999999996</v>
      </c>
      <c r="G154" s="33">
        <v>-1.9891300000000001</v>
      </c>
      <c r="H154" s="33">
        <v>-1.7299999999999999E-2</v>
      </c>
      <c r="I154" s="33">
        <v>-0.12089999999999999</v>
      </c>
      <c r="J154" s="33">
        <v>-8.8669899999999996E-2</v>
      </c>
      <c r="K154" s="33">
        <v>8.6400000000000005E-2</v>
      </c>
      <c r="L154" s="33">
        <v>-8.8999999999999999E-3</v>
      </c>
      <c r="M154" s="33">
        <v>0.202907</v>
      </c>
      <c r="N154" s="169">
        <v>-0.1038</v>
      </c>
      <c r="O154" s="33">
        <v>18.25</v>
      </c>
      <c r="P154" s="33">
        <v>25.25</v>
      </c>
      <c r="Q154" s="33">
        <v>-7</v>
      </c>
      <c r="R154" s="33">
        <v>1</v>
      </c>
      <c r="S154" s="33">
        <v>1.2664</v>
      </c>
      <c r="T154" s="33">
        <v>1.3468199999999999</v>
      </c>
      <c r="U154" s="33">
        <v>1</v>
      </c>
      <c r="V154" s="89" t="str">
        <f t="shared" si="4"/>
        <v>NYG</v>
      </c>
      <c r="W154" s="90">
        <f t="shared" si="5"/>
        <v>4</v>
      </c>
      <c r="X154" s="91">
        <v>2025</v>
      </c>
    </row>
    <row r="155" spans="1:24" x14ac:dyDescent="0.25">
      <c r="A155" s="74" t="s">
        <v>401</v>
      </c>
      <c r="B155" s="33">
        <v>2025</v>
      </c>
      <c r="C155" s="33">
        <v>1417.88</v>
      </c>
      <c r="D155" s="33">
        <v>-2.6747999999999998</v>
      </c>
      <c r="E155" s="33">
        <v>-3.1477599999999999</v>
      </c>
      <c r="F155" s="33">
        <v>-8.2539100000000004E-2</v>
      </c>
      <c r="G155" s="33">
        <v>-0.71041500000000002</v>
      </c>
      <c r="H155" s="33">
        <v>-0.1116</v>
      </c>
      <c r="I155" s="33">
        <v>-4.2900000000000001E-2</v>
      </c>
      <c r="J155" s="33">
        <v>-0.189466</v>
      </c>
      <c r="K155" s="33">
        <v>-2.0000000000000001E-4</v>
      </c>
      <c r="L155" s="33">
        <v>0.14779999999999999</v>
      </c>
      <c r="M155" s="33">
        <v>-0.21859899999999999</v>
      </c>
      <c r="N155" s="169">
        <v>-0.1113</v>
      </c>
      <c r="O155" s="33">
        <v>19.25</v>
      </c>
      <c r="P155" s="33">
        <v>24.75</v>
      </c>
      <c r="Q155" s="33">
        <v>-5.5</v>
      </c>
      <c r="R155" s="33">
        <v>1</v>
      </c>
      <c r="S155" s="33">
        <v>1.4214</v>
      </c>
      <c r="T155" s="33">
        <v>1.9168799999999999</v>
      </c>
      <c r="U155" s="33">
        <v>1</v>
      </c>
      <c r="V155" s="89" t="str">
        <f t="shared" si="4"/>
        <v>LV</v>
      </c>
      <c r="W155" s="90">
        <f t="shared" si="5"/>
        <v>4</v>
      </c>
      <c r="X155" s="91">
        <v>2025</v>
      </c>
    </row>
    <row r="156" spans="1:24" x14ac:dyDescent="0.25">
      <c r="A156" s="74" t="s">
        <v>79</v>
      </c>
      <c r="B156" s="33">
        <v>2025</v>
      </c>
      <c r="C156" s="33">
        <v>1438.29</v>
      </c>
      <c r="D156" s="33">
        <v>8.7561999999999998</v>
      </c>
      <c r="E156" s="33">
        <v>-2.3314499999999998</v>
      </c>
      <c r="F156" s="33">
        <v>0.251807</v>
      </c>
      <c r="G156" s="33">
        <v>0.83077599999999996</v>
      </c>
      <c r="H156" s="33">
        <v>8.0000000000000002E-3</v>
      </c>
      <c r="I156" s="33">
        <v>3.3799999999999997E-2</v>
      </c>
      <c r="J156" s="33">
        <v>-5.4643400000000002E-2</v>
      </c>
      <c r="K156" s="33">
        <v>0.16189999999999999</v>
      </c>
      <c r="L156" s="33">
        <v>0.26240000000000002</v>
      </c>
      <c r="M156" s="33">
        <v>-2.62153E-2</v>
      </c>
      <c r="N156" s="169">
        <v>-0.15379999999999999</v>
      </c>
      <c r="O156" s="33">
        <v>22.5</v>
      </c>
      <c r="P156" s="33">
        <v>30</v>
      </c>
      <c r="Q156" s="33">
        <v>-7.5</v>
      </c>
      <c r="R156" s="33">
        <v>0</v>
      </c>
      <c r="S156" s="33">
        <v>1.3433999999999999</v>
      </c>
      <c r="T156" s="33">
        <v>2.07714</v>
      </c>
      <c r="U156" s="33">
        <v>1</v>
      </c>
      <c r="V156" s="89" t="str">
        <f t="shared" si="4"/>
        <v>NYJ</v>
      </c>
      <c r="W156" s="90">
        <f t="shared" si="5"/>
        <v>4</v>
      </c>
      <c r="X156" s="91">
        <v>2025</v>
      </c>
    </row>
    <row r="157" spans="1:24" x14ac:dyDescent="0.25">
      <c r="A157" s="74" t="s">
        <v>2</v>
      </c>
      <c r="B157" s="33">
        <v>2025</v>
      </c>
      <c r="C157" s="33">
        <v>1450.76</v>
      </c>
      <c r="D157" s="33">
        <v>-2.0710000000000002</v>
      </c>
      <c r="E157" s="33">
        <v>-1.83267</v>
      </c>
      <c r="F157" s="33">
        <v>0.56281199999999998</v>
      </c>
      <c r="G157" s="33">
        <v>-1.59602</v>
      </c>
      <c r="H157" s="33">
        <v>6.8699999999999997E-2</v>
      </c>
      <c r="I157" s="33">
        <v>3.5099999999999999E-2</v>
      </c>
      <c r="J157" s="33">
        <v>3.4574399999999998E-2</v>
      </c>
      <c r="K157" s="33">
        <v>0.2412</v>
      </c>
      <c r="L157" s="33">
        <v>0.41349999999999998</v>
      </c>
      <c r="M157" s="33">
        <v>0.13903699999999999</v>
      </c>
      <c r="N157" s="169">
        <v>-0.17249999999999999</v>
      </c>
      <c r="O157" s="33">
        <v>20.75</v>
      </c>
      <c r="P157" s="33">
        <v>29.5</v>
      </c>
      <c r="Q157" s="33">
        <v>-8.75</v>
      </c>
      <c r="R157" s="33">
        <v>1</v>
      </c>
      <c r="S157" s="33">
        <v>1.2113</v>
      </c>
      <c r="T157" s="33">
        <v>2.4070399999999998</v>
      </c>
      <c r="U157" s="33">
        <v>1</v>
      </c>
      <c r="V157" s="89" t="str">
        <f t="shared" si="4"/>
        <v>MIA</v>
      </c>
      <c r="W157" s="90">
        <f t="shared" si="5"/>
        <v>4</v>
      </c>
      <c r="X157" s="91">
        <v>2025</v>
      </c>
    </row>
    <row r="158" spans="1:24" x14ac:dyDescent="0.25">
      <c r="A158" s="74" t="s">
        <v>91</v>
      </c>
      <c r="B158" s="33">
        <v>2025</v>
      </c>
      <c r="C158" s="33">
        <v>1365.78</v>
      </c>
      <c r="D158" s="33">
        <v>-19.520199999999999</v>
      </c>
      <c r="E158" s="33">
        <v>-5.2318600000000002</v>
      </c>
      <c r="F158" s="33">
        <v>-0.75845200000000002</v>
      </c>
      <c r="G158" s="33">
        <v>-0.65368700000000002</v>
      </c>
      <c r="H158" s="33">
        <v>-0.26029999999999998</v>
      </c>
      <c r="I158" s="33">
        <v>-0.33550000000000002</v>
      </c>
      <c r="J158" s="33">
        <v>1.3049099999999999E-2</v>
      </c>
      <c r="K158" s="33">
        <v>-5.0999999999999997E-2</v>
      </c>
      <c r="L158" s="33">
        <v>6.7799999999999999E-2</v>
      </c>
      <c r="M158" s="33">
        <v>-0.17095399999999999</v>
      </c>
      <c r="N158" s="169">
        <v>-0.20930000000000001</v>
      </c>
      <c r="O158" s="33">
        <v>14</v>
      </c>
      <c r="P158" s="33">
        <v>25.5</v>
      </c>
      <c r="Q158" s="33">
        <v>-11.5</v>
      </c>
      <c r="R158" s="33">
        <v>1</v>
      </c>
      <c r="S158" s="33">
        <v>0.77800000000000002</v>
      </c>
      <c r="T158" s="33">
        <v>1.22319</v>
      </c>
      <c r="U158" s="33">
        <v>1</v>
      </c>
      <c r="V158" s="89" t="str">
        <f t="shared" si="4"/>
        <v>CLE</v>
      </c>
      <c r="W158" s="90">
        <f t="shared" si="5"/>
        <v>4</v>
      </c>
      <c r="X158" s="91">
        <v>2025</v>
      </c>
    </row>
    <row r="159" spans="1:24" x14ac:dyDescent="0.25">
      <c r="A159" s="74" t="s">
        <v>403</v>
      </c>
      <c r="B159" s="33">
        <v>2025</v>
      </c>
      <c r="C159" s="33">
        <v>1348.05</v>
      </c>
      <c r="D159" s="33">
        <v>-5.3726000000000003</v>
      </c>
      <c r="E159" s="33">
        <v>-5.9407800000000002</v>
      </c>
      <c r="F159" s="33">
        <v>0.417632</v>
      </c>
      <c r="G159" s="33">
        <v>8.6957900000000005E-2</v>
      </c>
      <c r="H159" s="33">
        <v>-0.15260000000000001</v>
      </c>
      <c r="I159" s="33">
        <v>-0.15939999999999999</v>
      </c>
      <c r="J159" s="33">
        <v>7.7183900000000003E-3</v>
      </c>
      <c r="K159" s="33">
        <v>0.10390000000000001</v>
      </c>
      <c r="L159" s="33">
        <v>0.2271</v>
      </c>
      <c r="M159" s="33">
        <v>-6.1572099999999998E-2</v>
      </c>
      <c r="N159" s="169">
        <v>-0.25650000000000001</v>
      </c>
      <c r="O159" s="33">
        <v>16.5</v>
      </c>
      <c r="P159" s="33">
        <v>30.25</v>
      </c>
      <c r="Q159" s="33">
        <v>-13.75</v>
      </c>
      <c r="R159" s="33">
        <v>0</v>
      </c>
      <c r="S159" s="33">
        <v>0.76829999999999998</v>
      </c>
      <c r="T159" s="33">
        <v>1.7685900000000001</v>
      </c>
      <c r="U159" s="33">
        <v>0</v>
      </c>
      <c r="V159" s="89" t="str">
        <f t="shared" si="4"/>
        <v>NO</v>
      </c>
      <c r="W159" s="90">
        <f t="shared" si="5"/>
        <v>4</v>
      </c>
      <c r="X159" s="91">
        <v>2025</v>
      </c>
    </row>
    <row r="160" spans="1:24" x14ac:dyDescent="0.25">
      <c r="A160" s="74" t="s">
        <v>77</v>
      </c>
      <c r="B160" s="33">
        <v>2025</v>
      </c>
      <c r="C160" s="33">
        <v>1418.64</v>
      </c>
      <c r="D160" s="33">
        <v>-76.408600000000007</v>
      </c>
      <c r="E160" s="33">
        <v>-3.1171600000000002</v>
      </c>
      <c r="F160" s="33">
        <v>-0.98502900000000004</v>
      </c>
      <c r="G160" s="33">
        <v>-4.7895700000000003</v>
      </c>
      <c r="H160" s="33">
        <v>-0.22359999999999999</v>
      </c>
      <c r="I160" s="33">
        <v>-0.3861</v>
      </c>
      <c r="J160" s="33">
        <v>-0.14719699999999999</v>
      </c>
      <c r="K160" s="33">
        <v>6.4799999999999996E-2</v>
      </c>
      <c r="L160" s="33">
        <v>0.14419999999999999</v>
      </c>
      <c r="M160" s="33">
        <v>4.2138700000000001E-2</v>
      </c>
      <c r="N160" s="169">
        <v>-0.28839999999999999</v>
      </c>
      <c r="O160" s="33">
        <v>15.25</v>
      </c>
      <c r="P160" s="33">
        <v>29.75</v>
      </c>
      <c r="Q160" s="33">
        <v>-14.5</v>
      </c>
      <c r="R160" s="33">
        <v>2</v>
      </c>
      <c r="S160" s="33">
        <v>0.68110000000000004</v>
      </c>
      <c r="T160" s="33">
        <v>2.7306699999999999</v>
      </c>
      <c r="U160" s="33">
        <v>1</v>
      </c>
      <c r="V160" s="89" t="str">
        <f t="shared" si="4"/>
        <v>CIN</v>
      </c>
      <c r="W160" s="90">
        <f t="shared" si="5"/>
        <v>4</v>
      </c>
      <c r="X160" s="91">
        <v>2025</v>
      </c>
    </row>
    <row r="161" spans="1:24" ht="15.75" thickBot="1" x14ac:dyDescent="0.3">
      <c r="A161" s="75" t="s">
        <v>89</v>
      </c>
      <c r="B161" s="76">
        <v>2025</v>
      </c>
      <c r="C161" s="76">
        <v>1300.8499999999999</v>
      </c>
      <c r="D161" s="76">
        <v>-18.023599999999998</v>
      </c>
      <c r="E161" s="76">
        <v>-7.8287199999999997</v>
      </c>
      <c r="F161" s="76">
        <v>-0.599854</v>
      </c>
      <c r="G161" s="76">
        <v>-2.9956499999999999</v>
      </c>
      <c r="H161" s="76">
        <v>-0.2238</v>
      </c>
      <c r="I161" s="76">
        <v>-0.39400000000000002</v>
      </c>
      <c r="J161" s="76">
        <v>-8.9621999999999993E-2</v>
      </c>
      <c r="K161" s="76">
        <v>0.12139999999999999</v>
      </c>
      <c r="L161" s="76">
        <v>0.1666</v>
      </c>
      <c r="M161" s="76">
        <v>7.0953500000000003E-2</v>
      </c>
      <c r="N161" s="170">
        <v>-0.34510000000000002</v>
      </c>
      <c r="O161" s="76">
        <v>12.75</v>
      </c>
      <c r="P161" s="76">
        <v>30</v>
      </c>
      <c r="Q161" s="76">
        <v>-17.25</v>
      </c>
      <c r="R161" s="76">
        <v>0</v>
      </c>
      <c r="S161" s="76">
        <v>0.4652</v>
      </c>
      <c r="T161" s="76">
        <v>1.3220499999999999</v>
      </c>
      <c r="U161" s="76">
        <v>0</v>
      </c>
      <c r="V161" s="92" t="str">
        <f t="shared" si="4"/>
        <v>TEN</v>
      </c>
      <c r="W161" s="93">
        <f t="shared" si="5"/>
        <v>4</v>
      </c>
      <c r="X161" s="94">
        <v>2025</v>
      </c>
    </row>
    <row r="162" spans="1:24" x14ac:dyDescent="0.25">
      <c r="A162" s="74" t="s">
        <v>57</v>
      </c>
      <c r="B162" s="33">
        <v>2025</v>
      </c>
      <c r="C162" s="33">
        <v>1527.77</v>
      </c>
      <c r="D162" s="33">
        <v>19.958100000000002</v>
      </c>
      <c r="E162" s="33">
        <v>1.0557000000000001</v>
      </c>
      <c r="F162" s="33">
        <v>0.42518099999999998</v>
      </c>
      <c r="G162" s="33">
        <v>4.1280599999999996</v>
      </c>
      <c r="H162" s="33">
        <v>0.218</v>
      </c>
      <c r="I162" s="33">
        <v>0.26819999999999999</v>
      </c>
      <c r="J162" s="33">
        <v>9.5824099999999995E-2</v>
      </c>
      <c r="K162" s="33">
        <v>-7.1999999999999995E-2</v>
      </c>
      <c r="L162" s="33">
        <v>-9.5699999999999993E-2</v>
      </c>
      <c r="M162" s="33">
        <v>-6.2413299999999998E-2</v>
      </c>
      <c r="N162" s="173">
        <v>0.28999999999999998</v>
      </c>
      <c r="O162" s="33">
        <v>32.6</v>
      </c>
      <c r="P162" s="33">
        <v>17.8</v>
      </c>
      <c r="Q162" s="33">
        <v>14.8</v>
      </c>
      <c r="R162" s="33">
        <v>4</v>
      </c>
      <c r="S162" s="33">
        <v>4.0377000000000001</v>
      </c>
      <c r="T162" s="33">
        <v>3.29332</v>
      </c>
      <c r="U162" s="33">
        <v>3</v>
      </c>
      <c r="V162" s="89" t="str">
        <f t="shared" si="4"/>
        <v>IND</v>
      </c>
      <c r="W162" s="90">
        <f t="shared" si="5"/>
        <v>5</v>
      </c>
      <c r="X162" s="91">
        <v>2025</v>
      </c>
    </row>
    <row r="163" spans="1:24" x14ac:dyDescent="0.25">
      <c r="A163" s="74" t="s">
        <v>10</v>
      </c>
      <c r="B163" s="33">
        <v>2025</v>
      </c>
      <c r="C163" s="33">
        <v>1655.62</v>
      </c>
      <c r="D163" s="33">
        <v>7.7572000000000001</v>
      </c>
      <c r="E163" s="33">
        <v>6.16974</v>
      </c>
      <c r="F163" s="33">
        <v>0.71082500000000004</v>
      </c>
      <c r="G163" s="33">
        <v>1.49624</v>
      </c>
      <c r="H163" s="33">
        <v>0.16950000000000001</v>
      </c>
      <c r="I163" s="33">
        <v>0.35420000000000001</v>
      </c>
      <c r="J163" s="33">
        <v>-3.8737500000000001E-2</v>
      </c>
      <c r="K163" s="33">
        <v>-7.6600000000000001E-2</v>
      </c>
      <c r="L163" s="33">
        <v>-5.8900000000000001E-2</v>
      </c>
      <c r="M163" s="33">
        <v>-0.17593700000000001</v>
      </c>
      <c r="N163" s="169">
        <v>0.24610000000000001</v>
      </c>
      <c r="O163" s="33">
        <v>34.799999999999997</v>
      </c>
      <c r="P163" s="33">
        <v>22.4</v>
      </c>
      <c r="Q163" s="33">
        <v>12.4</v>
      </c>
      <c r="R163" s="33">
        <v>4</v>
      </c>
      <c r="S163" s="33">
        <v>3.6981999999999999</v>
      </c>
      <c r="T163" s="33">
        <v>3.7254999999999998</v>
      </c>
      <c r="U163" s="33">
        <v>3</v>
      </c>
      <c r="V163" s="89" t="str">
        <f t="shared" si="4"/>
        <v>DET</v>
      </c>
      <c r="W163" s="90">
        <f t="shared" si="5"/>
        <v>5</v>
      </c>
      <c r="X163" s="91">
        <v>2025</v>
      </c>
    </row>
    <row r="164" spans="1:24" x14ac:dyDescent="0.25">
      <c r="A164" s="74" t="s">
        <v>31</v>
      </c>
      <c r="B164" s="33">
        <v>2025</v>
      </c>
      <c r="C164" s="33">
        <v>1498.79</v>
      </c>
      <c r="D164" s="33">
        <v>-5.5316000000000001</v>
      </c>
      <c r="E164" s="33">
        <v>-0.103779</v>
      </c>
      <c r="F164" s="33">
        <v>-0.21492700000000001</v>
      </c>
      <c r="G164" s="33">
        <v>9.1708999999999999E-2</v>
      </c>
      <c r="H164" s="33">
        <v>1.8700000000000001E-2</v>
      </c>
      <c r="I164" s="33">
        <v>3.6200000000000003E-2</v>
      </c>
      <c r="J164" s="33">
        <v>2.9332500000000001E-2</v>
      </c>
      <c r="K164" s="33">
        <v>-0.20169999999999999</v>
      </c>
      <c r="L164" s="33">
        <v>-0.21240000000000001</v>
      </c>
      <c r="M164" s="33">
        <v>-1.08001E-2</v>
      </c>
      <c r="N164" s="169">
        <v>0.22040000000000001</v>
      </c>
      <c r="O164" s="33">
        <v>21.6</v>
      </c>
      <c r="P164" s="33">
        <v>12.2</v>
      </c>
      <c r="Q164" s="33">
        <v>9.4</v>
      </c>
      <c r="R164" s="33">
        <v>2</v>
      </c>
      <c r="S164" s="33">
        <v>3.9738000000000002</v>
      </c>
      <c r="T164" s="33">
        <v>2.7013400000000001</v>
      </c>
      <c r="U164" s="33">
        <v>2</v>
      </c>
      <c r="V164" s="89" t="str">
        <f t="shared" si="4"/>
        <v>HOU</v>
      </c>
      <c r="W164" s="90">
        <f t="shared" si="5"/>
        <v>5</v>
      </c>
      <c r="X164" s="91">
        <v>2025</v>
      </c>
    </row>
    <row r="165" spans="1:24" x14ac:dyDescent="0.25">
      <c r="A165" s="74" t="s">
        <v>55</v>
      </c>
      <c r="B165" s="33">
        <v>2025</v>
      </c>
      <c r="C165" s="33">
        <v>1541.19</v>
      </c>
      <c r="D165" s="33">
        <v>11.2126</v>
      </c>
      <c r="E165" s="33">
        <v>1.5925499999999999</v>
      </c>
      <c r="F165" s="33">
        <v>-1.83544E-2</v>
      </c>
      <c r="G165" s="33">
        <v>1.6647700000000001</v>
      </c>
      <c r="H165" s="33">
        <v>0.11310000000000001</v>
      </c>
      <c r="I165" s="33">
        <v>0.30759999999999998</v>
      </c>
      <c r="J165" s="33">
        <v>-0.12278699999999999</v>
      </c>
      <c r="K165" s="33">
        <v>-4.0599999999999997E-2</v>
      </c>
      <c r="L165" s="33">
        <v>0.14910000000000001</v>
      </c>
      <c r="M165" s="33">
        <v>-0.18068899999999999</v>
      </c>
      <c r="N165" s="169">
        <v>0.1537</v>
      </c>
      <c r="O165" s="33">
        <v>29.2</v>
      </c>
      <c r="P165" s="33">
        <v>21</v>
      </c>
      <c r="Q165" s="33">
        <v>8.1999999999999993</v>
      </c>
      <c r="R165" s="33">
        <v>3</v>
      </c>
      <c r="S165" s="33">
        <v>3.4298000000000002</v>
      </c>
      <c r="T165" s="33">
        <v>3.4874499999999999</v>
      </c>
      <c r="U165" s="33">
        <v>4</v>
      </c>
      <c r="V165" s="89" t="str">
        <f t="shared" si="4"/>
        <v>SEA</v>
      </c>
      <c r="W165" s="90">
        <f t="shared" si="5"/>
        <v>5</v>
      </c>
      <c r="X165" s="91">
        <v>2025</v>
      </c>
    </row>
    <row r="166" spans="1:24" x14ac:dyDescent="0.25">
      <c r="A166" s="74" t="s">
        <v>41</v>
      </c>
      <c r="B166" s="33">
        <v>2025</v>
      </c>
      <c r="C166" s="33">
        <v>1555.2</v>
      </c>
      <c r="D166" s="33">
        <v>5.4824999999999999</v>
      </c>
      <c r="E166" s="33">
        <v>2.1528700000000001</v>
      </c>
      <c r="F166" s="33">
        <v>0.308027</v>
      </c>
      <c r="G166" s="33">
        <v>0.30422399999999999</v>
      </c>
      <c r="H166" s="33">
        <v>0.14799999999999999</v>
      </c>
      <c r="I166" s="33">
        <v>0.1153</v>
      </c>
      <c r="J166" s="33">
        <v>0.10537199999999999</v>
      </c>
      <c r="K166" s="33">
        <v>1.0699999999999999E-2</v>
      </c>
      <c r="L166" s="33">
        <v>7.8700000000000006E-2</v>
      </c>
      <c r="M166" s="33">
        <v>-7.4383099999999994E-2</v>
      </c>
      <c r="N166" s="169">
        <v>0.13730000000000001</v>
      </c>
      <c r="O166" s="33">
        <v>26.8</v>
      </c>
      <c r="P166" s="33">
        <v>20.2</v>
      </c>
      <c r="Q166" s="33">
        <v>6.6</v>
      </c>
      <c r="R166" s="33">
        <v>3</v>
      </c>
      <c r="S166" s="33">
        <v>3.3075999999999999</v>
      </c>
      <c r="T166" s="33">
        <v>3.7434400000000001</v>
      </c>
      <c r="U166" s="33">
        <v>2</v>
      </c>
      <c r="V166" s="89" t="str">
        <f t="shared" si="4"/>
        <v>WAS</v>
      </c>
      <c r="W166" s="90">
        <f t="shared" si="5"/>
        <v>5</v>
      </c>
      <c r="X166" s="91">
        <v>2025</v>
      </c>
    </row>
    <row r="167" spans="1:24" x14ac:dyDescent="0.25">
      <c r="A167" s="74" t="s">
        <v>63</v>
      </c>
      <c r="B167" s="33">
        <v>2025</v>
      </c>
      <c r="C167" s="33">
        <v>1574.34</v>
      </c>
      <c r="D167" s="33">
        <v>9.8079999999999998</v>
      </c>
      <c r="E167" s="33">
        <v>2.9184100000000002</v>
      </c>
      <c r="F167" s="33">
        <v>0.40709000000000001</v>
      </c>
      <c r="G167" s="33">
        <v>1.3073300000000001</v>
      </c>
      <c r="H167" s="33">
        <v>5.45E-2</v>
      </c>
      <c r="I167" s="33">
        <v>9.4299999999999995E-2</v>
      </c>
      <c r="J167" s="33">
        <v>1.16478E-2</v>
      </c>
      <c r="K167" s="33">
        <v>-6.8400000000000002E-2</v>
      </c>
      <c r="L167" s="33">
        <v>-8.5400000000000004E-2</v>
      </c>
      <c r="M167" s="33">
        <v>-0.10761999999999999</v>
      </c>
      <c r="N167" s="169">
        <v>0.1229</v>
      </c>
      <c r="O167" s="33">
        <v>23.4</v>
      </c>
      <c r="P167" s="33">
        <v>16.8</v>
      </c>
      <c r="Q167" s="33">
        <v>6.6</v>
      </c>
      <c r="R167" s="33">
        <v>3</v>
      </c>
      <c r="S167" s="33">
        <v>3.4340999999999999</v>
      </c>
      <c r="T167" s="33">
        <v>3.3508599999999999</v>
      </c>
      <c r="U167" s="33">
        <v>2</v>
      </c>
      <c r="V167" s="89" t="str">
        <f t="shared" si="4"/>
        <v>DEN</v>
      </c>
      <c r="W167" s="90">
        <f t="shared" si="5"/>
        <v>5</v>
      </c>
      <c r="X167" s="91">
        <v>2025</v>
      </c>
    </row>
    <row r="168" spans="1:24" x14ac:dyDescent="0.25">
      <c r="A168" s="74" t="s">
        <v>25</v>
      </c>
      <c r="B168" s="33">
        <v>2025</v>
      </c>
      <c r="C168" s="33">
        <v>1621.01</v>
      </c>
      <c r="D168" s="33">
        <v>11.266299999999999</v>
      </c>
      <c r="E168" s="33">
        <v>4.7852199999999998</v>
      </c>
      <c r="F168" s="33">
        <v>-0.70522499999999999</v>
      </c>
      <c r="G168" s="33">
        <v>0.38150400000000001</v>
      </c>
      <c r="H168" s="33">
        <v>0.1986</v>
      </c>
      <c r="I168" s="33">
        <v>0.2321</v>
      </c>
      <c r="J168" s="33">
        <v>0.101908</v>
      </c>
      <c r="K168" s="33">
        <v>7.7200000000000005E-2</v>
      </c>
      <c r="L168" s="33">
        <v>-2.1100000000000001E-2</v>
      </c>
      <c r="M168" s="33">
        <v>6.5623299999999996E-2</v>
      </c>
      <c r="N168" s="173">
        <v>0.12139999999999999</v>
      </c>
      <c r="O168" s="33">
        <v>30.6</v>
      </c>
      <c r="P168" s="33">
        <v>22.6</v>
      </c>
      <c r="Q168" s="33">
        <v>8</v>
      </c>
      <c r="R168" s="33">
        <v>4</v>
      </c>
      <c r="S168" s="33">
        <v>3.3611</v>
      </c>
      <c r="T168" s="33">
        <v>4.47607</v>
      </c>
      <c r="U168" s="33">
        <v>3</v>
      </c>
      <c r="V168" s="89" t="str">
        <f t="shared" si="4"/>
        <v>BUF</v>
      </c>
      <c r="W168" s="90">
        <f t="shared" si="5"/>
        <v>5</v>
      </c>
      <c r="X168" s="91">
        <v>2025</v>
      </c>
    </row>
    <row r="169" spans="1:24" x14ac:dyDescent="0.25">
      <c r="A169" s="74" t="s">
        <v>400</v>
      </c>
      <c r="B169" s="33">
        <v>2025</v>
      </c>
      <c r="C169" s="33">
        <v>1601.86</v>
      </c>
      <c r="D169" s="33">
        <v>7.5864000000000003</v>
      </c>
      <c r="E169" s="33">
        <v>4.0190799999999998</v>
      </c>
      <c r="F169" s="33">
        <v>-0.21492700000000001</v>
      </c>
      <c r="G169" s="33">
        <v>1.8488100000000001</v>
      </c>
      <c r="H169" s="33">
        <v>0.1313</v>
      </c>
      <c r="I169" s="33">
        <v>0.30769999999999997</v>
      </c>
      <c r="J169" s="33">
        <v>1.6081299999999999E-3</v>
      </c>
      <c r="K169" s="33">
        <v>1.09E-2</v>
      </c>
      <c r="L169" s="33">
        <v>3.78E-2</v>
      </c>
      <c r="M169" s="33">
        <v>-6.6657099999999997E-2</v>
      </c>
      <c r="N169" s="169">
        <v>0.12039999999999999</v>
      </c>
      <c r="O169" s="33">
        <v>26</v>
      </c>
      <c r="P169" s="33">
        <v>21</v>
      </c>
      <c r="Q169" s="33">
        <v>5</v>
      </c>
      <c r="R169" s="33">
        <v>2</v>
      </c>
      <c r="S169" s="33">
        <v>2.4956</v>
      </c>
      <c r="T169" s="33">
        <v>3.3157100000000002</v>
      </c>
      <c r="U169" s="33">
        <v>2</v>
      </c>
      <c r="V169" s="89" t="str">
        <f t="shared" si="4"/>
        <v>GB</v>
      </c>
      <c r="W169" s="90">
        <f t="shared" si="5"/>
        <v>5</v>
      </c>
      <c r="X169" s="91">
        <v>2025</v>
      </c>
    </row>
    <row r="170" spans="1:24" x14ac:dyDescent="0.25">
      <c r="A170" s="74" t="s">
        <v>44</v>
      </c>
      <c r="B170" s="33">
        <v>2025</v>
      </c>
      <c r="C170" s="33">
        <v>1507.74</v>
      </c>
      <c r="D170" s="33">
        <v>1.2496</v>
      </c>
      <c r="E170" s="33">
        <v>0.25456099999999998</v>
      </c>
      <c r="F170" s="33">
        <v>0.365703</v>
      </c>
      <c r="G170" s="33">
        <v>2.2021799999999998</v>
      </c>
      <c r="H170" s="33">
        <v>3.9E-2</v>
      </c>
      <c r="I170" s="33">
        <v>9.1999999999999998E-3</v>
      </c>
      <c r="J170" s="33">
        <v>4.8811500000000001E-2</v>
      </c>
      <c r="K170" s="33">
        <v>-5.5599999999999997E-2</v>
      </c>
      <c r="L170" s="33">
        <v>-0.1265</v>
      </c>
      <c r="M170" s="33">
        <v>4.3000299999999998E-2</v>
      </c>
      <c r="N170" s="169">
        <v>9.4600000000000004E-2</v>
      </c>
      <c r="O170" s="33">
        <v>25.4</v>
      </c>
      <c r="P170" s="33">
        <v>20</v>
      </c>
      <c r="Q170" s="33">
        <v>5.4</v>
      </c>
      <c r="R170" s="33">
        <v>4</v>
      </c>
      <c r="S170" s="33">
        <v>3.1897000000000002</v>
      </c>
      <c r="T170" s="33">
        <v>2.5095800000000001</v>
      </c>
      <c r="U170" s="33">
        <v>4</v>
      </c>
      <c r="V170" s="89" t="str">
        <f t="shared" si="4"/>
        <v>JAX</v>
      </c>
      <c r="W170" s="90">
        <f t="shared" si="5"/>
        <v>5</v>
      </c>
      <c r="X170" s="91">
        <v>2025</v>
      </c>
    </row>
    <row r="171" spans="1:24" x14ac:dyDescent="0.25">
      <c r="A171" s="74" t="s">
        <v>404</v>
      </c>
      <c r="B171" s="33">
        <v>2025</v>
      </c>
      <c r="C171" s="33">
        <v>1467.74</v>
      </c>
      <c r="D171" s="33">
        <v>11.587999999999999</v>
      </c>
      <c r="E171" s="33">
        <v>-1.34565</v>
      </c>
      <c r="F171" s="33">
        <v>0.20801800000000001</v>
      </c>
      <c r="G171" s="33">
        <v>1.70434</v>
      </c>
      <c r="H171" s="33">
        <v>8.2400000000000001E-2</v>
      </c>
      <c r="I171" s="33">
        <v>0.25240000000000001</v>
      </c>
      <c r="J171" s="33">
        <v>-0.11884400000000001</v>
      </c>
      <c r="K171" s="33">
        <v>2.5999999999999999E-3</v>
      </c>
      <c r="L171" s="33">
        <v>0.2077</v>
      </c>
      <c r="M171" s="33">
        <v>-0.14426700000000001</v>
      </c>
      <c r="N171" s="169">
        <v>7.9799999999999996E-2</v>
      </c>
      <c r="O171" s="33">
        <v>25</v>
      </c>
      <c r="P171" s="33">
        <v>20.2</v>
      </c>
      <c r="Q171" s="33">
        <v>4.8</v>
      </c>
      <c r="R171" s="33">
        <v>3</v>
      </c>
      <c r="S171" s="33">
        <v>3.1185</v>
      </c>
      <c r="T171" s="33">
        <v>2.6488399999999999</v>
      </c>
      <c r="U171" s="33">
        <v>1</v>
      </c>
      <c r="V171" s="89" t="str">
        <f t="shared" si="4"/>
        <v>NE</v>
      </c>
      <c r="W171" s="90">
        <f t="shared" si="5"/>
        <v>5</v>
      </c>
      <c r="X171" s="91">
        <v>2025</v>
      </c>
    </row>
    <row r="172" spans="1:24" x14ac:dyDescent="0.25">
      <c r="A172" s="74" t="s">
        <v>75</v>
      </c>
      <c r="B172" s="33">
        <v>2025</v>
      </c>
      <c r="C172" s="33">
        <v>1522.43</v>
      </c>
      <c r="D172" s="33">
        <v>-12.020799999999999</v>
      </c>
      <c r="E172" s="33">
        <v>0.84195299999999995</v>
      </c>
      <c r="F172" s="33">
        <v>-0.21492700000000001</v>
      </c>
      <c r="G172" s="33">
        <v>0.113506</v>
      </c>
      <c r="H172" s="33">
        <v>-5.8200000000000002E-2</v>
      </c>
      <c r="I172" s="33">
        <v>-4.7199999999999999E-2</v>
      </c>
      <c r="J172" s="33">
        <v>-8.7211999999999998E-2</v>
      </c>
      <c r="K172" s="33">
        <v>-0.12959999999999999</v>
      </c>
      <c r="L172" s="33">
        <v>-0.3538</v>
      </c>
      <c r="M172" s="33">
        <v>5.3971900000000003E-2</v>
      </c>
      <c r="N172" s="169">
        <v>7.1400000000000005E-2</v>
      </c>
      <c r="O172" s="33">
        <v>24.6</v>
      </c>
      <c r="P172" s="33">
        <v>19.399999999999999</v>
      </c>
      <c r="Q172" s="33">
        <v>5.2</v>
      </c>
      <c r="R172" s="33">
        <v>3</v>
      </c>
      <c r="S172" s="33">
        <v>3.1855000000000002</v>
      </c>
      <c r="T172" s="33">
        <v>3.1112899999999999</v>
      </c>
      <c r="U172" s="33">
        <v>2</v>
      </c>
      <c r="V172" s="89" t="str">
        <f t="shared" si="4"/>
        <v>MIN</v>
      </c>
      <c r="W172" s="90">
        <f t="shared" si="5"/>
        <v>5</v>
      </c>
      <c r="X172" s="91">
        <v>2025</v>
      </c>
    </row>
    <row r="173" spans="1:24" x14ac:dyDescent="0.25">
      <c r="A173" s="74" t="s">
        <v>399</v>
      </c>
      <c r="B173" s="33">
        <v>2025</v>
      </c>
      <c r="C173" s="33">
        <v>1598.08</v>
      </c>
      <c r="D173" s="33">
        <v>18.9665</v>
      </c>
      <c r="E173" s="33">
        <v>3.8678599999999999</v>
      </c>
      <c r="F173" s="33">
        <v>-0.176846</v>
      </c>
      <c r="G173" s="33">
        <v>0.53194300000000005</v>
      </c>
      <c r="H173" s="33">
        <v>0.1305</v>
      </c>
      <c r="I173" s="33">
        <v>0.12709999999999999</v>
      </c>
      <c r="J173" s="33">
        <v>0.138761</v>
      </c>
      <c r="K173" s="33">
        <v>6.6100000000000006E-2</v>
      </c>
      <c r="L173" s="33">
        <v>-9.5399999999999999E-2</v>
      </c>
      <c r="M173" s="33">
        <v>9.1542999999999999E-2</v>
      </c>
      <c r="N173" s="169">
        <v>6.4399999999999999E-2</v>
      </c>
      <c r="O173" s="33">
        <v>25</v>
      </c>
      <c r="P173" s="33">
        <v>21.4</v>
      </c>
      <c r="Q173" s="33">
        <v>3.6</v>
      </c>
      <c r="R173" s="33">
        <v>2</v>
      </c>
      <c r="S173" s="33">
        <v>2.9554999999999998</v>
      </c>
      <c r="T173" s="33">
        <v>3.48034</v>
      </c>
      <c r="U173" s="33">
        <v>2</v>
      </c>
      <c r="V173" s="89" t="str">
        <f t="shared" si="4"/>
        <v>KC</v>
      </c>
      <c r="W173" s="90">
        <f t="shared" si="5"/>
        <v>5</v>
      </c>
      <c r="X173" s="91">
        <v>2025</v>
      </c>
    </row>
    <row r="174" spans="1:24" x14ac:dyDescent="0.25">
      <c r="A174" s="74" t="s">
        <v>38</v>
      </c>
      <c r="B174" s="33">
        <v>2025</v>
      </c>
      <c r="C174" s="33">
        <v>1616.17</v>
      </c>
      <c r="D174" s="33">
        <v>-0.75290000000000001</v>
      </c>
      <c r="E174" s="33">
        <v>4.5914400000000004</v>
      </c>
      <c r="F174" s="33">
        <v>-1.02728</v>
      </c>
      <c r="G174" s="33">
        <v>-0.21604000000000001</v>
      </c>
      <c r="H174" s="33">
        <v>2.4199999999999999E-2</v>
      </c>
      <c r="I174" s="33">
        <v>-3.0499999999999999E-2</v>
      </c>
      <c r="J174" s="33">
        <v>4.5166999999999999E-2</v>
      </c>
      <c r="K174" s="33">
        <v>-2.5399999999999999E-2</v>
      </c>
      <c r="L174" s="33">
        <v>-5.21E-2</v>
      </c>
      <c r="M174" s="33">
        <v>-2.4295000000000001E-2</v>
      </c>
      <c r="N174" s="169">
        <v>4.9599999999999998E-2</v>
      </c>
      <c r="O174" s="33">
        <v>25</v>
      </c>
      <c r="P174" s="33">
        <v>21.8</v>
      </c>
      <c r="Q174" s="33">
        <v>3.2</v>
      </c>
      <c r="R174" s="33">
        <v>4</v>
      </c>
      <c r="S174" s="33">
        <v>2.9022000000000001</v>
      </c>
      <c r="T174" s="33">
        <v>4.3471000000000002</v>
      </c>
      <c r="U174" s="33">
        <v>3</v>
      </c>
      <c r="V174" s="89" t="str">
        <f t="shared" si="4"/>
        <v>PHI</v>
      </c>
      <c r="W174" s="90">
        <f t="shared" si="5"/>
        <v>5</v>
      </c>
      <c r="X174" s="91">
        <v>2025</v>
      </c>
    </row>
    <row r="175" spans="1:24" x14ac:dyDescent="0.25">
      <c r="A175" s="74" t="s">
        <v>21</v>
      </c>
      <c r="B175" s="33">
        <v>2025</v>
      </c>
      <c r="C175" s="33">
        <v>1576.7</v>
      </c>
      <c r="D175" s="33">
        <v>17.767499999999998</v>
      </c>
      <c r="E175" s="33">
        <v>3.0127000000000002</v>
      </c>
      <c r="F175" s="33">
        <v>-0.203213</v>
      </c>
      <c r="G175" s="33">
        <v>1.9072499999999999</v>
      </c>
      <c r="H175" s="33">
        <v>2.3699999999999999E-2</v>
      </c>
      <c r="I175" s="33">
        <v>0.2112</v>
      </c>
      <c r="J175" s="33">
        <v>-0.175788</v>
      </c>
      <c r="K175" s="33">
        <v>-2.47E-2</v>
      </c>
      <c r="L175" s="33">
        <v>-2.9499999999999998E-2</v>
      </c>
      <c r="M175" s="33">
        <v>-3.0707700000000001E-2</v>
      </c>
      <c r="N175" s="169">
        <v>4.8399999999999999E-2</v>
      </c>
      <c r="O175" s="33">
        <v>24.6</v>
      </c>
      <c r="P175" s="33">
        <v>21.4</v>
      </c>
      <c r="Q175" s="33">
        <v>3.2</v>
      </c>
      <c r="R175" s="33">
        <v>3</v>
      </c>
      <c r="S175" s="33">
        <v>2.9091</v>
      </c>
      <c r="T175" s="33">
        <v>3.45092</v>
      </c>
      <c r="U175" s="33">
        <v>4</v>
      </c>
      <c r="V175" s="89" t="str">
        <f t="shared" si="4"/>
        <v>LAR</v>
      </c>
      <c r="W175" s="90">
        <f t="shared" si="5"/>
        <v>5</v>
      </c>
      <c r="X175" s="91">
        <v>2025</v>
      </c>
    </row>
    <row r="176" spans="1:24" x14ac:dyDescent="0.25">
      <c r="A176" s="74" t="s">
        <v>405</v>
      </c>
      <c r="B176" s="33">
        <v>2025</v>
      </c>
      <c r="C176" s="33">
        <v>1499.04</v>
      </c>
      <c r="D176" s="33">
        <v>-37.384500000000003</v>
      </c>
      <c r="E176" s="33">
        <v>-9.3759800000000004E-2</v>
      </c>
      <c r="F176" s="33">
        <v>0.58566399999999996</v>
      </c>
      <c r="G176" s="33">
        <v>-0.85872099999999996</v>
      </c>
      <c r="H176" s="33">
        <v>1.49E-2</v>
      </c>
      <c r="I176" s="33">
        <v>0.1464</v>
      </c>
      <c r="J176" s="33">
        <v>-0.144316</v>
      </c>
      <c r="K176" s="33">
        <v>-3.0200000000000001E-2</v>
      </c>
      <c r="L176" s="33">
        <v>1.4E-2</v>
      </c>
      <c r="M176" s="33">
        <v>-0.105055</v>
      </c>
      <c r="N176" s="169">
        <v>4.5100000000000001E-2</v>
      </c>
      <c r="O176" s="33">
        <v>21.2</v>
      </c>
      <c r="P176" s="33">
        <v>19.600000000000001</v>
      </c>
      <c r="Q176" s="33">
        <v>1.6</v>
      </c>
      <c r="R176" s="33">
        <v>4</v>
      </c>
      <c r="S176" s="33">
        <v>2.7317999999999998</v>
      </c>
      <c r="T176" s="33">
        <v>2.9024200000000002</v>
      </c>
      <c r="U176" s="33">
        <v>2</v>
      </c>
      <c r="V176" s="89" t="str">
        <f t="shared" si="4"/>
        <v>SF</v>
      </c>
      <c r="W176" s="90">
        <f t="shared" si="5"/>
        <v>5</v>
      </c>
      <c r="X176" s="91">
        <v>2025</v>
      </c>
    </row>
    <row r="177" spans="1:24" x14ac:dyDescent="0.25">
      <c r="A177" s="74" t="s">
        <v>93</v>
      </c>
      <c r="B177" s="33">
        <v>2025</v>
      </c>
      <c r="C177" s="33">
        <v>1455.22</v>
      </c>
      <c r="D177" s="33">
        <v>-6.4249999999999998</v>
      </c>
      <c r="E177" s="33">
        <v>-1.84629</v>
      </c>
      <c r="F177" s="33">
        <v>-1.09355</v>
      </c>
      <c r="G177" s="33">
        <v>-2.0368599999999999</v>
      </c>
      <c r="H177" s="33">
        <v>-6.8999999999999999E-3</v>
      </c>
      <c r="I177" s="33">
        <v>3.0499999999999999E-2</v>
      </c>
      <c r="J177" s="33">
        <v>-5.6516900000000002E-2</v>
      </c>
      <c r="K177" s="33">
        <v>-2.3800000000000002E-2</v>
      </c>
      <c r="L177" s="33">
        <v>5.9499999999999997E-2</v>
      </c>
      <c r="M177" s="33">
        <v>-0.17702399999999999</v>
      </c>
      <c r="N177" s="169">
        <v>1.6899999999999998E-2</v>
      </c>
      <c r="O177" s="33">
        <v>20.6</v>
      </c>
      <c r="P177" s="33">
        <v>19.2</v>
      </c>
      <c r="Q177" s="33">
        <v>1.4</v>
      </c>
      <c r="R177" s="33">
        <v>2</v>
      </c>
      <c r="S177" s="33">
        <v>2.7080000000000002</v>
      </c>
      <c r="T177" s="33">
        <v>3.3061699999999998</v>
      </c>
      <c r="U177" s="33">
        <v>2</v>
      </c>
      <c r="V177" s="89" t="str">
        <f t="shared" si="4"/>
        <v>ARI</v>
      </c>
      <c r="W177" s="90">
        <f t="shared" si="5"/>
        <v>5</v>
      </c>
      <c r="X177" s="91">
        <v>2025</v>
      </c>
    </row>
    <row r="178" spans="1:24" x14ac:dyDescent="0.25">
      <c r="A178" s="74" t="s">
        <v>402</v>
      </c>
      <c r="B178" s="33">
        <v>2025</v>
      </c>
      <c r="C178" s="33">
        <v>1532.73</v>
      </c>
      <c r="D178" s="33">
        <v>17.473600000000001</v>
      </c>
      <c r="E178" s="33">
        <v>1.2539199999999999</v>
      </c>
      <c r="F178" s="33">
        <v>0.59461399999999998</v>
      </c>
      <c r="G178" s="33">
        <v>1.02057</v>
      </c>
      <c r="H178" s="33">
        <v>4.36E-2</v>
      </c>
      <c r="I178" s="33">
        <v>0.19500000000000001</v>
      </c>
      <c r="J178" s="33">
        <v>-2.5788700000000001E-2</v>
      </c>
      <c r="K178" s="33">
        <v>3.3799999999999997E-2</v>
      </c>
      <c r="L178" s="33">
        <v>0.1203</v>
      </c>
      <c r="M178" s="33">
        <v>-0.10108499999999999</v>
      </c>
      <c r="N178" s="169">
        <v>9.7999999999999997E-3</v>
      </c>
      <c r="O178" s="33">
        <v>27</v>
      </c>
      <c r="P178" s="33">
        <v>26.4</v>
      </c>
      <c r="Q178" s="33">
        <v>0.6</v>
      </c>
      <c r="R178" s="33">
        <v>4</v>
      </c>
      <c r="S178" s="33">
        <v>2.5666000000000002</v>
      </c>
      <c r="T178" s="33">
        <v>3.1013299999999999</v>
      </c>
      <c r="U178" s="33">
        <v>2</v>
      </c>
      <c r="V178" s="89" t="str">
        <f t="shared" si="4"/>
        <v>TB</v>
      </c>
      <c r="W178" s="90">
        <f t="shared" si="5"/>
        <v>5</v>
      </c>
      <c r="X178" s="91">
        <v>2025</v>
      </c>
    </row>
    <row r="179" spans="1:24" x14ac:dyDescent="0.25">
      <c r="A179" s="74" t="s">
        <v>85</v>
      </c>
      <c r="B179" s="33">
        <v>2025</v>
      </c>
      <c r="C179" s="33">
        <v>1506.06</v>
      </c>
      <c r="D179" s="33">
        <v>5.3616000000000001</v>
      </c>
      <c r="E179" s="33">
        <v>0.18729000000000001</v>
      </c>
      <c r="F179" s="33">
        <v>-0.21492700000000001</v>
      </c>
      <c r="G179" s="33">
        <v>0.115078</v>
      </c>
      <c r="H179" s="33">
        <v>5.6300000000000003E-2</v>
      </c>
      <c r="I179" s="33">
        <v>5.7599999999999998E-2</v>
      </c>
      <c r="J179" s="33">
        <v>-5.0217400000000002E-2</v>
      </c>
      <c r="K179" s="33">
        <v>4.8300000000000003E-2</v>
      </c>
      <c r="L179" s="33">
        <v>0.125</v>
      </c>
      <c r="M179" s="33">
        <v>-6.1368300000000001E-2</v>
      </c>
      <c r="N179" s="169">
        <v>8.0000000000000002E-3</v>
      </c>
      <c r="O179" s="33">
        <v>24</v>
      </c>
      <c r="P179" s="33">
        <v>24.5</v>
      </c>
      <c r="Q179" s="33">
        <v>-0.5</v>
      </c>
      <c r="R179" s="33">
        <v>3</v>
      </c>
      <c r="S179" s="33">
        <v>1.9511000000000001</v>
      </c>
      <c r="T179" s="33">
        <v>2.8644400000000001</v>
      </c>
      <c r="U179" s="33">
        <v>2</v>
      </c>
      <c r="V179" s="89" t="str">
        <f t="shared" si="4"/>
        <v>PIT</v>
      </c>
      <c r="W179" s="90">
        <f t="shared" si="5"/>
        <v>5</v>
      </c>
      <c r="X179" s="91">
        <v>2025</v>
      </c>
    </row>
    <row r="180" spans="1:24" x14ac:dyDescent="0.25">
      <c r="A180" s="74" t="s">
        <v>60</v>
      </c>
      <c r="B180" s="33">
        <v>2025</v>
      </c>
      <c r="C180" s="33">
        <v>1518.91</v>
      </c>
      <c r="D180" s="33">
        <v>-3.4538000000000002</v>
      </c>
      <c r="E180" s="33">
        <v>0.70110799999999995</v>
      </c>
      <c r="F180" s="33">
        <v>-0.72885699999999998</v>
      </c>
      <c r="G180" s="33">
        <v>-6.5717800000000007E-2</v>
      </c>
      <c r="H180" s="33">
        <v>-2.3199999999999998E-2</v>
      </c>
      <c r="I180" s="33">
        <v>-5.0700000000000002E-2</v>
      </c>
      <c r="J180" s="33">
        <v>-4.0155499999999997E-3</v>
      </c>
      <c r="K180" s="33">
        <v>-1.8499999999999999E-2</v>
      </c>
      <c r="L180" s="33">
        <v>-8.9300000000000004E-2</v>
      </c>
      <c r="M180" s="33">
        <v>1.8678299999999998E-2</v>
      </c>
      <c r="N180" s="169">
        <v>-4.5999999999999999E-3</v>
      </c>
      <c r="O180" s="33">
        <v>19.600000000000001</v>
      </c>
      <c r="P180" s="33">
        <v>19.600000000000001</v>
      </c>
      <c r="Q180" s="33">
        <v>0</v>
      </c>
      <c r="R180" s="33">
        <v>3</v>
      </c>
      <c r="S180" s="33">
        <v>2.5</v>
      </c>
      <c r="T180" s="33">
        <v>3.5558700000000001</v>
      </c>
      <c r="U180" s="33">
        <v>3</v>
      </c>
      <c r="V180" s="89" t="str">
        <f t="shared" si="4"/>
        <v>LAC</v>
      </c>
      <c r="W180" s="90">
        <f t="shared" si="5"/>
        <v>5</v>
      </c>
      <c r="X180" s="91">
        <v>2025</v>
      </c>
    </row>
    <row r="181" spans="1:24" x14ac:dyDescent="0.25">
      <c r="A181" s="74" t="s">
        <v>14</v>
      </c>
      <c r="B181" s="33">
        <v>2025</v>
      </c>
      <c r="C181" s="33">
        <v>1503.72</v>
      </c>
      <c r="D181" s="33">
        <v>25.828099999999999</v>
      </c>
      <c r="E181" s="33">
        <v>9.3759800000000004E-2</v>
      </c>
      <c r="F181" s="33">
        <v>0.42502400000000001</v>
      </c>
      <c r="G181" s="33">
        <v>1.07636</v>
      </c>
      <c r="H181" s="33">
        <v>0.20180000000000001</v>
      </c>
      <c r="I181" s="33">
        <v>0.216</v>
      </c>
      <c r="J181" s="33">
        <v>8.0653600000000006E-2</v>
      </c>
      <c r="K181" s="33">
        <v>0.214</v>
      </c>
      <c r="L181" s="33">
        <v>0.33879999999999999</v>
      </c>
      <c r="M181" s="33">
        <v>2.53368E-2</v>
      </c>
      <c r="N181" s="169">
        <v>-1.2200000000000001E-2</v>
      </c>
      <c r="O181" s="33">
        <v>30.2</v>
      </c>
      <c r="P181" s="33">
        <v>30.8</v>
      </c>
      <c r="Q181" s="33">
        <v>-0.6</v>
      </c>
      <c r="R181" s="33">
        <v>2</v>
      </c>
      <c r="S181" s="33">
        <v>2.4417</v>
      </c>
      <c r="T181" s="33">
        <v>2.7809200000000001</v>
      </c>
      <c r="U181" s="33">
        <v>1</v>
      </c>
      <c r="V181" s="89" t="str">
        <f t="shared" si="4"/>
        <v>DAL</v>
      </c>
      <c r="W181" s="90">
        <f t="shared" si="5"/>
        <v>5</v>
      </c>
      <c r="X181" s="91">
        <v>2025</v>
      </c>
    </row>
    <row r="182" spans="1:24" x14ac:dyDescent="0.25">
      <c r="A182" s="74" t="s">
        <v>69</v>
      </c>
      <c r="B182" s="33">
        <v>2025</v>
      </c>
      <c r="C182" s="33">
        <v>1491.29</v>
      </c>
      <c r="D182" s="33">
        <v>-8.8642000000000003</v>
      </c>
      <c r="E182" s="33">
        <v>-0.40352500000000002</v>
      </c>
      <c r="F182" s="33">
        <v>-0.21492700000000001</v>
      </c>
      <c r="G182" s="33">
        <v>0.67564500000000005</v>
      </c>
      <c r="H182" s="33">
        <v>-4.1599999999999998E-2</v>
      </c>
      <c r="I182" s="33">
        <v>-2.5999999999999999E-2</v>
      </c>
      <c r="J182" s="33">
        <v>-2.9530399999999998E-2</v>
      </c>
      <c r="K182" s="33">
        <v>-5.1000000000000004E-3</v>
      </c>
      <c r="L182" s="33">
        <v>-0.14030000000000001</v>
      </c>
      <c r="M182" s="33">
        <v>4.8367800000000002E-2</v>
      </c>
      <c r="N182" s="169">
        <v>-3.6400000000000002E-2</v>
      </c>
      <c r="O182" s="33">
        <v>19</v>
      </c>
      <c r="P182" s="33">
        <v>21.5</v>
      </c>
      <c r="Q182" s="33">
        <v>-2.5</v>
      </c>
      <c r="R182" s="33">
        <v>2</v>
      </c>
      <c r="S182" s="33">
        <v>1.7091000000000001</v>
      </c>
      <c r="T182" s="33">
        <v>1.94923</v>
      </c>
      <c r="U182" s="33">
        <v>3</v>
      </c>
      <c r="V182" s="89" t="str">
        <f t="shared" si="4"/>
        <v>ATL</v>
      </c>
      <c r="W182" s="90">
        <f t="shared" si="5"/>
        <v>5</v>
      </c>
      <c r="X182" s="91">
        <v>2025</v>
      </c>
    </row>
    <row r="183" spans="1:24" x14ac:dyDescent="0.25">
      <c r="A183" s="74" t="s">
        <v>67</v>
      </c>
      <c r="B183" s="33">
        <v>2025</v>
      </c>
      <c r="C183" s="33">
        <v>1367.14</v>
      </c>
      <c r="D183" s="33">
        <v>-2.3557999999999999</v>
      </c>
      <c r="E183" s="33">
        <v>-5.36944</v>
      </c>
      <c r="F183" s="33">
        <v>0.14196300000000001</v>
      </c>
      <c r="G183" s="33">
        <v>0.23188400000000001</v>
      </c>
      <c r="H183" s="33">
        <v>-2.87E-2</v>
      </c>
      <c r="I183" s="33">
        <v>-8.3199999999999996E-2</v>
      </c>
      <c r="J183" s="33">
        <v>4.2174900000000001E-2</v>
      </c>
      <c r="K183" s="33">
        <v>1.7600000000000001E-2</v>
      </c>
      <c r="L183" s="33">
        <v>0.1014</v>
      </c>
      <c r="M183" s="33">
        <v>-1.1125400000000001E-2</v>
      </c>
      <c r="N183" s="169">
        <v>-4.6199999999999998E-2</v>
      </c>
      <c r="O183" s="33">
        <v>20.399999999999999</v>
      </c>
      <c r="P183" s="33">
        <v>23.8</v>
      </c>
      <c r="Q183" s="33">
        <v>-3.4</v>
      </c>
      <c r="R183" s="33">
        <v>2</v>
      </c>
      <c r="S183" s="33">
        <v>2.0482999999999998</v>
      </c>
      <c r="T183" s="33">
        <v>2.3742200000000002</v>
      </c>
      <c r="U183" s="33">
        <v>1</v>
      </c>
      <c r="V183" s="89" t="str">
        <f t="shared" si="4"/>
        <v>CAR</v>
      </c>
      <c r="W183" s="90">
        <f t="shared" si="5"/>
        <v>5</v>
      </c>
      <c r="X183" s="91">
        <v>2025</v>
      </c>
    </row>
    <row r="184" spans="1:24" x14ac:dyDescent="0.25">
      <c r="A184" s="74" t="s">
        <v>72</v>
      </c>
      <c r="B184" s="33">
        <v>2025</v>
      </c>
      <c r="C184" s="33">
        <v>1477.21</v>
      </c>
      <c r="D184" s="33">
        <v>10.278</v>
      </c>
      <c r="E184" s="33">
        <v>-0.96665000000000001</v>
      </c>
      <c r="F184" s="33">
        <v>-0.21492700000000001</v>
      </c>
      <c r="G184" s="33">
        <v>0.34875</v>
      </c>
      <c r="H184" s="33">
        <v>-4.8599999999999997E-2</v>
      </c>
      <c r="I184" s="33">
        <v>7.2800000000000004E-2</v>
      </c>
      <c r="J184" s="33">
        <v>-0.14816599999999999</v>
      </c>
      <c r="K184" s="33">
        <v>3.0099999999999998E-2</v>
      </c>
      <c r="L184" s="33">
        <v>1.7500000000000002E-2</v>
      </c>
      <c r="M184" s="33">
        <v>-4.1416299999999999E-5</v>
      </c>
      <c r="N184" s="169">
        <v>-7.8700000000000006E-2</v>
      </c>
      <c r="O184" s="33">
        <v>25.25</v>
      </c>
      <c r="P184" s="33">
        <v>29.25</v>
      </c>
      <c r="Q184" s="33">
        <v>-4</v>
      </c>
      <c r="R184" s="33">
        <v>2</v>
      </c>
      <c r="S184" s="33">
        <v>1.655</v>
      </c>
      <c r="T184" s="33">
        <v>1.79857</v>
      </c>
      <c r="U184" s="33">
        <v>2</v>
      </c>
      <c r="V184" s="89" t="str">
        <f t="shared" si="4"/>
        <v>CHI</v>
      </c>
      <c r="W184" s="90">
        <f t="shared" si="5"/>
        <v>5</v>
      </c>
      <c r="X184" s="91">
        <v>2025</v>
      </c>
    </row>
    <row r="185" spans="1:24" x14ac:dyDescent="0.25">
      <c r="A185" s="74" t="s">
        <v>47</v>
      </c>
      <c r="B185" s="33">
        <v>2025</v>
      </c>
      <c r="C185" s="33">
        <v>1454.03</v>
      </c>
      <c r="D185" s="33">
        <v>-124.277</v>
      </c>
      <c r="E185" s="33">
        <v>-1.8939999999999999</v>
      </c>
      <c r="F185" s="33">
        <v>-3.17692</v>
      </c>
      <c r="G185" s="33">
        <v>-8.37303</v>
      </c>
      <c r="H185" s="33">
        <v>9.98E-2</v>
      </c>
      <c r="I185" s="33">
        <v>7.4899999999999994E-2</v>
      </c>
      <c r="J185" s="33">
        <v>2.6653199999999998E-2</v>
      </c>
      <c r="K185" s="33">
        <v>0.19159999999999999</v>
      </c>
      <c r="L185" s="33">
        <v>0.20899999999999999</v>
      </c>
      <c r="M185" s="33">
        <v>0.118061</v>
      </c>
      <c r="N185" s="169">
        <v>-9.1700000000000004E-2</v>
      </c>
      <c r="O185" s="33">
        <v>28.2</v>
      </c>
      <c r="P185" s="33">
        <v>35.4</v>
      </c>
      <c r="Q185" s="33">
        <v>-7.2</v>
      </c>
      <c r="R185" s="33">
        <v>1</v>
      </c>
      <c r="S185" s="33">
        <v>1.8422000000000001</v>
      </c>
      <c r="T185" s="33">
        <v>3.3001800000000001</v>
      </c>
      <c r="U185" s="33">
        <v>2</v>
      </c>
      <c r="V185" s="89" t="str">
        <f t="shared" si="4"/>
        <v>BAL</v>
      </c>
      <c r="W185" s="90">
        <f t="shared" si="5"/>
        <v>5</v>
      </c>
      <c r="X185" s="91">
        <v>2025</v>
      </c>
    </row>
    <row r="186" spans="1:24" x14ac:dyDescent="0.25">
      <c r="A186" s="74" t="s">
        <v>95</v>
      </c>
      <c r="B186" s="33">
        <v>2025</v>
      </c>
      <c r="C186" s="33">
        <v>1327.37</v>
      </c>
      <c r="D186" s="33">
        <v>-42.7697</v>
      </c>
      <c r="E186" s="33">
        <v>-6.9605100000000002</v>
      </c>
      <c r="F186" s="33">
        <v>-0.33489799999999997</v>
      </c>
      <c r="G186" s="33">
        <v>-2.22031</v>
      </c>
      <c r="H186" s="33">
        <v>-7.0699999999999999E-2</v>
      </c>
      <c r="I186" s="33">
        <v>-0.20100000000000001</v>
      </c>
      <c r="J186" s="33">
        <v>-8.4083099999999994E-2</v>
      </c>
      <c r="K186" s="33">
        <v>6.0100000000000001E-2</v>
      </c>
      <c r="L186" s="33">
        <v>4.9099999999999998E-2</v>
      </c>
      <c r="M186" s="33">
        <v>0.10863399999999999</v>
      </c>
      <c r="N186" s="169">
        <v>-0.1308</v>
      </c>
      <c r="O186" s="33">
        <v>17.399999999999999</v>
      </c>
      <c r="P186" s="33">
        <v>25.4</v>
      </c>
      <c r="Q186" s="33">
        <v>-8</v>
      </c>
      <c r="R186" s="33">
        <v>1</v>
      </c>
      <c r="S186" s="33">
        <v>1.4488000000000001</v>
      </c>
      <c r="T186" s="33">
        <v>1.58372</v>
      </c>
      <c r="U186" s="33">
        <v>2</v>
      </c>
      <c r="V186" s="89" t="str">
        <f t="shared" si="4"/>
        <v>NYG</v>
      </c>
      <c r="W186" s="90">
        <f t="shared" si="5"/>
        <v>5</v>
      </c>
      <c r="X186" s="91">
        <v>2025</v>
      </c>
    </row>
    <row r="187" spans="1:24" x14ac:dyDescent="0.25">
      <c r="A187" s="74" t="s">
        <v>2</v>
      </c>
      <c r="B187" s="33">
        <v>2025</v>
      </c>
      <c r="C187" s="33">
        <v>1440.44</v>
      </c>
      <c r="D187" s="33">
        <v>3.2517</v>
      </c>
      <c r="E187" s="33">
        <v>-2.4376500000000001</v>
      </c>
      <c r="F187" s="33">
        <v>-0.53015599999999996</v>
      </c>
      <c r="G187" s="33">
        <v>-2.2010000000000001</v>
      </c>
      <c r="H187" s="33">
        <v>8.77E-2</v>
      </c>
      <c r="I187" s="33">
        <v>9.9400000000000002E-2</v>
      </c>
      <c r="J187" s="33">
        <v>-3.6763200000000003E-2</v>
      </c>
      <c r="K187" s="33">
        <v>0.22339999999999999</v>
      </c>
      <c r="L187" s="33">
        <v>0.31340000000000001</v>
      </c>
      <c r="M187" s="33">
        <v>0.18007899999999999</v>
      </c>
      <c r="N187" s="169">
        <v>-0.13569999999999999</v>
      </c>
      <c r="O187" s="33">
        <v>21.4</v>
      </c>
      <c r="P187" s="33">
        <v>29</v>
      </c>
      <c r="Q187" s="33">
        <v>-7.6</v>
      </c>
      <c r="R187" s="33">
        <v>1</v>
      </c>
      <c r="S187" s="33">
        <v>1.6367</v>
      </c>
      <c r="T187" s="33">
        <v>2.83169</v>
      </c>
      <c r="U187" s="33">
        <v>2</v>
      </c>
      <c r="V187" s="89" t="str">
        <f t="shared" si="4"/>
        <v>MIA</v>
      </c>
      <c r="W187" s="90">
        <f t="shared" si="5"/>
        <v>5</v>
      </c>
      <c r="X187" s="91">
        <v>2025</v>
      </c>
    </row>
    <row r="188" spans="1:24" x14ac:dyDescent="0.25">
      <c r="A188" s="74" t="s">
        <v>403</v>
      </c>
      <c r="B188" s="33">
        <v>2025</v>
      </c>
      <c r="C188" s="33">
        <v>1362.81</v>
      </c>
      <c r="D188" s="33">
        <v>0.58350000000000002</v>
      </c>
      <c r="E188" s="33">
        <v>-5.54277</v>
      </c>
      <c r="F188" s="33">
        <v>0.35607899999999998</v>
      </c>
      <c r="G188" s="33">
        <v>0.48496099999999998</v>
      </c>
      <c r="H188" s="33">
        <v>-0.13519999999999999</v>
      </c>
      <c r="I188" s="33">
        <v>-7.1900000000000006E-2</v>
      </c>
      <c r="J188" s="33">
        <v>-3.8034400000000003E-2</v>
      </c>
      <c r="K188" s="33">
        <v>0.02</v>
      </c>
      <c r="L188" s="33">
        <v>4.4200000000000003E-2</v>
      </c>
      <c r="M188" s="33">
        <v>-6.2455900000000002E-2</v>
      </c>
      <c r="N188" s="169">
        <v>-0.1552</v>
      </c>
      <c r="O188" s="33">
        <v>18.399999999999999</v>
      </c>
      <c r="P188" s="33">
        <v>27</v>
      </c>
      <c r="Q188" s="33">
        <v>-8.6</v>
      </c>
      <c r="R188" s="33">
        <v>1</v>
      </c>
      <c r="S188" s="33">
        <v>1.4361999999999999</v>
      </c>
      <c r="T188" s="33">
        <v>2.1535700000000002</v>
      </c>
      <c r="U188" s="33">
        <v>0</v>
      </c>
      <c r="V188" s="89" t="str">
        <f t="shared" si="4"/>
        <v>NO</v>
      </c>
      <c r="W188" s="90">
        <f t="shared" si="5"/>
        <v>5</v>
      </c>
      <c r="X188" s="91">
        <v>2025</v>
      </c>
    </row>
    <row r="189" spans="1:24" x14ac:dyDescent="0.25">
      <c r="A189" s="74" t="s">
        <v>91</v>
      </c>
      <c r="B189" s="33">
        <v>2025</v>
      </c>
      <c r="C189" s="33">
        <v>1338.49</v>
      </c>
      <c r="D189" s="33">
        <v>-59.19</v>
      </c>
      <c r="E189" s="33">
        <v>-6.5156299999999998</v>
      </c>
      <c r="F189" s="33">
        <v>-0.41554200000000002</v>
      </c>
      <c r="G189" s="33">
        <v>-1.93746</v>
      </c>
      <c r="H189" s="33">
        <v>-0.21</v>
      </c>
      <c r="I189" s="33">
        <v>-0.29089999999999999</v>
      </c>
      <c r="J189" s="33">
        <v>2.1491799999999998E-2</v>
      </c>
      <c r="K189" s="33">
        <v>-2.76E-2</v>
      </c>
      <c r="L189" s="33">
        <v>0.13669999999999999</v>
      </c>
      <c r="M189" s="33">
        <v>-0.21693100000000001</v>
      </c>
      <c r="N189" s="169">
        <v>-0.18229999999999999</v>
      </c>
      <c r="O189" s="33">
        <v>14.6</v>
      </c>
      <c r="P189" s="33">
        <v>24.6</v>
      </c>
      <c r="Q189" s="33">
        <v>-10</v>
      </c>
      <c r="R189" s="33">
        <v>1</v>
      </c>
      <c r="S189" s="33">
        <v>1.1252</v>
      </c>
      <c r="T189" s="33">
        <v>1.3721000000000001</v>
      </c>
      <c r="U189" s="33">
        <v>1</v>
      </c>
      <c r="V189" s="89" t="str">
        <f t="shared" si="4"/>
        <v>CLE</v>
      </c>
      <c r="W189" s="90">
        <f t="shared" si="5"/>
        <v>5</v>
      </c>
      <c r="X189" s="91">
        <v>2025</v>
      </c>
    </row>
    <row r="190" spans="1:24" x14ac:dyDescent="0.25">
      <c r="A190" s="74" t="s">
        <v>79</v>
      </c>
      <c r="B190" s="33">
        <v>2025</v>
      </c>
      <c r="C190" s="33">
        <v>1431.58</v>
      </c>
      <c r="D190" s="33">
        <v>9.5206</v>
      </c>
      <c r="E190" s="33">
        <v>-2.7919999999999998</v>
      </c>
      <c r="F190" s="33">
        <v>-0.65512700000000001</v>
      </c>
      <c r="G190" s="33">
        <v>0.37021999999999999</v>
      </c>
      <c r="H190" s="33">
        <v>1.4200000000000001E-2</v>
      </c>
      <c r="I190" s="33">
        <v>4.8399999999999999E-2</v>
      </c>
      <c r="J190" s="33">
        <v>-7.1624999999999994E-2</v>
      </c>
      <c r="K190" s="33">
        <v>0.2</v>
      </c>
      <c r="L190" s="33">
        <v>0.29270000000000002</v>
      </c>
      <c r="M190" s="33">
        <v>2.21424E-2</v>
      </c>
      <c r="N190" s="169">
        <v>-0.18579999999999999</v>
      </c>
      <c r="O190" s="33">
        <v>22.4</v>
      </c>
      <c r="P190" s="33">
        <v>31.4</v>
      </c>
      <c r="Q190" s="33">
        <v>-9</v>
      </c>
      <c r="R190" s="33">
        <v>0</v>
      </c>
      <c r="S190" s="33">
        <v>1.5496000000000001</v>
      </c>
      <c r="T190" s="33">
        <v>2.3259500000000002</v>
      </c>
      <c r="U190" s="33">
        <v>1</v>
      </c>
      <c r="V190" s="89" t="str">
        <f t="shared" si="4"/>
        <v>NYJ</v>
      </c>
      <c r="W190" s="90">
        <f t="shared" si="5"/>
        <v>5</v>
      </c>
      <c r="X190" s="91">
        <v>2025</v>
      </c>
    </row>
    <row r="191" spans="1:24" x14ac:dyDescent="0.25">
      <c r="A191" s="74" t="s">
        <v>401</v>
      </c>
      <c r="B191" s="33">
        <v>2025</v>
      </c>
      <c r="C191" s="33">
        <v>1397.1</v>
      </c>
      <c r="D191" s="33">
        <v>-10.714399999999999</v>
      </c>
      <c r="E191" s="33">
        <v>-4.1713399999999998</v>
      </c>
      <c r="F191" s="33">
        <v>-1.0591699999999999</v>
      </c>
      <c r="G191" s="33">
        <v>-1.7339899999999999</v>
      </c>
      <c r="H191" s="33">
        <v>-0.1474</v>
      </c>
      <c r="I191" s="33">
        <v>-0.1</v>
      </c>
      <c r="J191" s="33">
        <v>-0.175345</v>
      </c>
      <c r="K191" s="33">
        <v>5.9799999999999999E-2</v>
      </c>
      <c r="L191" s="33">
        <v>0.18079999999999999</v>
      </c>
      <c r="M191" s="33">
        <v>-0.125726</v>
      </c>
      <c r="N191" s="169">
        <v>-0.2072</v>
      </c>
      <c r="O191" s="33">
        <v>16.600000000000001</v>
      </c>
      <c r="P191" s="33">
        <v>27.8</v>
      </c>
      <c r="Q191" s="33">
        <v>-11.2</v>
      </c>
      <c r="R191" s="33">
        <v>1</v>
      </c>
      <c r="S191" s="33">
        <v>1.1378999999999999</v>
      </c>
      <c r="T191" s="33">
        <v>2.54895</v>
      </c>
      <c r="U191" s="33">
        <v>2</v>
      </c>
      <c r="V191" s="89" t="str">
        <f t="shared" si="4"/>
        <v>LV</v>
      </c>
      <c r="W191" s="90">
        <f t="shared" si="5"/>
        <v>5</v>
      </c>
      <c r="X191" s="91">
        <v>2025</v>
      </c>
    </row>
    <row r="192" spans="1:24" x14ac:dyDescent="0.25">
      <c r="A192" s="74" t="s">
        <v>89</v>
      </c>
      <c r="B192" s="33">
        <v>2025</v>
      </c>
      <c r="C192" s="33">
        <v>1319.94</v>
      </c>
      <c r="D192" s="33">
        <v>-21.994499999999999</v>
      </c>
      <c r="E192" s="33">
        <v>-7.2576000000000001</v>
      </c>
      <c r="F192" s="33">
        <v>0.52462399999999998</v>
      </c>
      <c r="G192" s="33">
        <v>-2.4245299999999999</v>
      </c>
      <c r="H192" s="33">
        <v>-0.18160000000000001</v>
      </c>
      <c r="I192" s="33">
        <v>-0.29060000000000002</v>
      </c>
      <c r="J192" s="33">
        <v>-0.129442</v>
      </c>
      <c r="K192" s="33">
        <v>7.8899999999999998E-2</v>
      </c>
      <c r="L192" s="33">
        <v>0.1406</v>
      </c>
      <c r="M192" s="33">
        <v>1.6459999999999999E-2</v>
      </c>
      <c r="N192" s="173">
        <v>-0.26050000000000001</v>
      </c>
      <c r="O192" s="33">
        <v>14.6</v>
      </c>
      <c r="P192" s="33">
        <v>28.2</v>
      </c>
      <c r="Q192" s="33">
        <v>-13.6</v>
      </c>
      <c r="R192" s="33">
        <v>1</v>
      </c>
      <c r="S192" s="33">
        <v>0.86809999999999998</v>
      </c>
      <c r="T192" s="33">
        <v>1.70817</v>
      </c>
      <c r="U192" s="33">
        <v>0</v>
      </c>
      <c r="V192" s="89" t="str">
        <f t="shared" si="4"/>
        <v>TEN</v>
      </c>
      <c r="W192" s="90">
        <f t="shared" si="5"/>
        <v>5</v>
      </c>
      <c r="X192" s="91">
        <v>2025</v>
      </c>
    </row>
    <row r="193" spans="1:24" ht="15.75" thickBot="1" x14ac:dyDescent="0.3">
      <c r="A193" s="75" t="s">
        <v>77</v>
      </c>
      <c r="B193" s="76">
        <v>2025</v>
      </c>
      <c r="C193" s="76">
        <v>1404.99</v>
      </c>
      <c r="D193" s="76">
        <v>-71.266800000000003</v>
      </c>
      <c r="E193" s="76">
        <v>-3.85555</v>
      </c>
      <c r="F193" s="76">
        <v>-0.93806599999999996</v>
      </c>
      <c r="G193" s="76">
        <v>-5.5279499999999997</v>
      </c>
      <c r="H193" s="76">
        <v>-0.1807</v>
      </c>
      <c r="I193" s="76">
        <v>-0.34429999999999999</v>
      </c>
      <c r="J193" s="76">
        <v>-0.10201</v>
      </c>
      <c r="K193" s="76">
        <v>9.69E-2</v>
      </c>
      <c r="L193" s="76">
        <v>0.19819999999999999</v>
      </c>
      <c r="M193" s="76">
        <v>8.3598000000000006E-3</v>
      </c>
      <c r="N193" s="170">
        <v>-0.27760000000000001</v>
      </c>
      <c r="O193" s="76">
        <v>17</v>
      </c>
      <c r="P193" s="76">
        <v>31.2</v>
      </c>
      <c r="Q193" s="76">
        <v>-14.2</v>
      </c>
      <c r="R193" s="76">
        <v>2</v>
      </c>
      <c r="S193" s="76">
        <v>0.95840000000000003</v>
      </c>
      <c r="T193" s="76">
        <v>2.9007399999999999</v>
      </c>
      <c r="U193" s="76">
        <v>1</v>
      </c>
      <c r="V193" s="92" t="str">
        <f t="shared" si="4"/>
        <v>CIN</v>
      </c>
      <c r="W193" s="93">
        <f t="shared" si="5"/>
        <v>5</v>
      </c>
      <c r="X193" s="94">
        <v>2025</v>
      </c>
    </row>
    <row r="194" spans="1:24" x14ac:dyDescent="0.25">
      <c r="A194" s="74" t="s">
        <v>57</v>
      </c>
      <c r="B194" s="33">
        <v>2025</v>
      </c>
      <c r="C194" s="33">
        <v>1523.95</v>
      </c>
      <c r="D194" s="33">
        <v>23.3096</v>
      </c>
      <c r="E194" s="33">
        <v>0.94666499999999998</v>
      </c>
      <c r="F194" s="33">
        <v>-8.8325100000000004E-2</v>
      </c>
      <c r="G194" s="33">
        <v>4.0190299999999999</v>
      </c>
      <c r="H194" s="33">
        <v>0.21759999999999999</v>
      </c>
      <c r="I194" s="33">
        <v>0.24030000000000001</v>
      </c>
      <c r="J194" s="33">
        <v>0.11264399999999999</v>
      </c>
      <c r="K194" s="33">
        <v>-0.03</v>
      </c>
      <c r="L194" s="33">
        <v>-4.8300000000000003E-2</v>
      </c>
      <c r="M194" s="33">
        <v>-5.0988400000000003E-2</v>
      </c>
      <c r="N194" s="173">
        <v>0.2475</v>
      </c>
      <c r="O194" s="33">
        <v>32.333300000000001</v>
      </c>
      <c r="P194" s="33">
        <v>19.333300000000001</v>
      </c>
      <c r="Q194" s="33">
        <v>13</v>
      </c>
      <c r="R194" s="33">
        <v>5</v>
      </c>
      <c r="S194" s="33">
        <v>4.6311</v>
      </c>
      <c r="T194" s="33">
        <v>3.6474000000000002</v>
      </c>
      <c r="U194" s="33">
        <v>4</v>
      </c>
      <c r="V194" s="89" t="str">
        <f t="shared" ref="V194:V257" si="6">IF(A194&lt;&gt;"",IF(A194="OAK","LV",A194),"")</f>
        <v>IND</v>
      </c>
      <c r="W194" s="90">
        <f t="shared" si="5"/>
        <v>6</v>
      </c>
      <c r="X194" s="91">
        <v>2025</v>
      </c>
    </row>
    <row r="195" spans="1:24" x14ac:dyDescent="0.25">
      <c r="A195" s="74" t="s">
        <v>31</v>
      </c>
      <c r="B195" s="33">
        <v>2025</v>
      </c>
      <c r="C195" s="33">
        <v>1583.85</v>
      </c>
      <c r="D195" s="33">
        <v>8.2988</v>
      </c>
      <c r="E195" s="33">
        <v>3.3428300000000002</v>
      </c>
      <c r="F195" s="33">
        <v>4.7226400000000002E-2</v>
      </c>
      <c r="G195" s="33">
        <v>3.5383200000000001</v>
      </c>
      <c r="H195" s="33">
        <v>1.8700000000000001E-2</v>
      </c>
      <c r="I195" s="33">
        <v>3.6200000000000003E-2</v>
      </c>
      <c r="J195" s="33">
        <v>2.9332500000000001E-2</v>
      </c>
      <c r="K195" s="33">
        <v>-0.20169999999999999</v>
      </c>
      <c r="L195" s="33">
        <v>-0.21240000000000001</v>
      </c>
      <c r="M195" s="33">
        <v>-1.08001E-2</v>
      </c>
      <c r="N195" s="169">
        <v>0.22040000000000001</v>
      </c>
      <c r="O195" s="33">
        <v>21.6</v>
      </c>
      <c r="P195" s="33">
        <v>12.2</v>
      </c>
      <c r="Q195" s="33">
        <v>9.4</v>
      </c>
      <c r="R195" s="33">
        <v>2</v>
      </c>
      <c r="S195" s="33">
        <v>3.9738000000000002</v>
      </c>
      <c r="T195" s="33">
        <v>3.1068500000000001</v>
      </c>
      <c r="U195" s="33">
        <v>3</v>
      </c>
      <c r="V195" s="89" t="str">
        <f t="shared" si="6"/>
        <v>HOU</v>
      </c>
      <c r="W195" s="90">
        <f t="shared" ref="W195:W258" si="7">W163+1</f>
        <v>6</v>
      </c>
      <c r="X195" s="91">
        <v>2025</v>
      </c>
    </row>
    <row r="196" spans="1:24" x14ac:dyDescent="0.25">
      <c r="A196" s="74" t="s">
        <v>10</v>
      </c>
      <c r="B196" s="33">
        <v>2025</v>
      </c>
      <c r="C196" s="33">
        <v>1632.92</v>
      </c>
      <c r="D196" s="33">
        <v>10.959</v>
      </c>
      <c r="E196" s="33">
        <v>5.30565</v>
      </c>
      <c r="F196" s="33">
        <v>-0.90655799999999997</v>
      </c>
      <c r="G196" s="33">
        <v>0.632158</v>
      </c>
      <c r="H196" s="33">
        <v>0.15740000000000001</v>
      </c>
      <c r="I196" s="33">
        <v>0.33389999999999997</v>
      </c>
      <c r="J196" s="33">
        <v>-3.79887E-2</v>
      </c>
      <c r="K196" s="33">
        <v>-1.46E-2</v>
      </c>
      <c r="L196" s="33">
        <v>3.2800000000000003E-2</v>
      </c>
      <c r="M196" s="33">
        <v>-0.15204200000000001</v>
      </c>
      <c r="N196" s="169">
        <v>0.17199999999999999</v>
      </c>
      <c r="O196" s="33">
        <v>31.833300000000001</v>
      </c>
      <c r="P196" s="33">
        <v>23.666699999999999</v>
      </c>
      <c r="Q196" s="33">
        <v>8.1667000000000005</v>
      </c>
      <c r="R196" s="33">
        <v>4</v>
      </c>
      <c r="S196" s="33">
        <v>4.0125999999999999</v>
      </c>
      <c r="T196" s="33">
        <v>4.3292200000000003</v>
      </c>
      <c r="U196" s="33">
        <v>4</v>
      </c>
      <c r="V196" s="89" t="str">
        <f t="shared" si="6"/>
        <v>DET</v>
      </c>
      <c r="W196" s="90">
        <f t="shared" si="7"/>
        <v>6</v>
      </c>
      <c r="X196" s="91">
        <v>2025</v>
      </c>
    </row>
    <row r="197" spans="1:24" x14ac:dyDescent="0.25">
      <c r="A197" s="74" t="s">
        <v>55</v>
      </c>
      <c r="B197" s="33">
        <v>2025</v>
      </c>
      <c r="C197" s="33">
        <v>1578.61</v>
      </c>
      <c r="D197" s="33">
        <v>12.6812</v>
      </c>
      <c r="E197" s="33">
        <v>3.1329199999999999</v>
      </c>
      <c r="F197" s="33">
        <v>1.5234000000000001</v>
      </c>
      <c r="G197" s="33">
        <v>3.20513</v>
      </c>
      <c r="H197" s="33">
        <v>0.10340000000000001</v>
      </c>
      <c r="I197" s="33">
        <v>0.32119999999999999</v>
      </c>
      <c r="J197" s="33">
        <v>-0.18170700000000001</v>
      </c>
      <c r="K197" s="33">
        <v>-5.4300000000000001E-2</v>
      </c>
      <c r="L197" s="33">
        <v>0.12</v>
      </c>
      <c r="M197" s="33">
        <v>-0.16334399999999999</v>
      </c>
      <c r="N197" s="169">
        <v>0.15770000000000001</v>
      </c>
      <c r="O197" s="33">
        <v>27.666699999999999</v>
      </c>
      <c r="P197" s="33">
        <v>19.5</v>
      </c>
      <c r="Q197" s="33">
        <v>8.1667000000000005</v>
      </c>
      <c r="R197" s="33">
        <v>4</v>
      </c>
      <c r="S197" s="33">
        <v>4.1768999999999998</v>
      </c>
      <c r="T197" s="33">
        <v>4.05905</v>
      </c>
      <c r="U197" s="33">
        <v>5</v>
      </c>
      <c r="V197" s="89" t="str">
        <f t="shared" si="6"/>
        <v>SEA</v>
      </c>
      <c r="W197" s="90">
        <f t="shared" si="7"/>
        <v>6</v>
      </c>
      <c r="X197" s="91">
        <v>2025</v>
      </c>
    </row>
    <row r="198" spans="1:24" x14ac:dyDescent="0.25">
      <c r="A198" s="74" t="s">
        <v>400</v>
      </c>
      <c r="B198" s="33">
        <v>2025</v>
      </c>
      <c r="C198" s="33">
        <v>1597.13</v>
      </c>
      <c r="D198" s="33">
        <v>8.4140999999999995</v>
      </c>
      <c r="E198" s="33">
        <v>3.87398</v>
      </c>
      <c r="F198" s="33">
        <v>-0.141738</v>
      </c>
      <c r="G198" s="33">
        <v>1.7037100000000001</v>
      </c>
      <c r="H198" s="33">
        <v>0.15820000000000001</v>
      </c>
      <c r="I198" s="33">
        <v>0.3034</v>
      </c>
      <c r="J198" s="33">
        <v>3.3196299999999998E-2</v>
      </c>
      <c r="K198" s="33">
        <v>3.3399999999999999E-2</v>
      </c>
      <c r="L198" s="33">
        <v>6.1199999999999997E-2</v>
      </c>
      <c r="M198" s="33">
        <v>-6.4421199999999998E-2</v>
      </c>
      <c r="N198" s="169">
        <v>0.12479999999999999</v>
      </c>
      <c r="O198" s="33">
        <v>26.2</v>
      </c>
      <c r="P198" s="33">
        <v>20.399999999999999</v>
      </c>
      <c r="Q198" s="33">
        <v>5.8</v>
      </c>
      <c r="R198" s="33">
        <v>3</v>
      </c>
      <c r="S198" s="33">
        <v>3.2202999999999999</v>
      </c>
      <c r="T198" s="33">
        <v>3.8591899999999999</v>
      </c>
      <c r="U198" s="33">
        <v>2</v>
      </c>
      <c r="V198" s="89" t="str">
        <f t="shared" si="6"/>
        <v>GB</v>
      </c>
      <c r="W198" s="90">
        <f t="shared" si="7"/>
        <v>6</v>
      </c>
      <c r="X198" s="91">
        <v>2025</v>
      </c>
    </row>
    <row r="199" spans="1:24" x14ac:dyDescent="0.25">
      <c r="A199" s="74" t="s">
        <v>63</v>
      </c>
      <c r="B199" s="33">
        <v>2025</v>
      </c>
      <c r="C199" s="33">
        <v>1564.68</v>
      </c>
      <c r="D199" s="33">
        <v>8.1911000000000005</v>
      </c>
      <c r="E199" s="33">
        <v>2.5758700000000001</v>
      </c>
      <c r="F199" s="33">
        <v>-0.24653800000000001</v>
      </c>
      <c r="G199" s="33">
        <v>0.96479499999999996</v>
      </c>
      <c r="H199" s="33">
        <v>2.4799999999999999E-2</v>
      </c>
      <c r="I199" s="33">
        <v>8.2000000000000003E-2</v>
      </c>
      <c r="J199" s="33">
        <v>-2.8792000000000002E-2</v>
      </c>
      <c r="K199" s="33">
        <v>-8.8200000000000001E-2</v>
      </c>
      <c r="L199" s="33">
        <v>-0.18729999999999999</v>
      </c>
      <c r="M199" s="33">
        <v>-0.10704</v>
      </c>
      <c r="N199" s="169">
        <v>0.113</v>
      </c>
      <c r="O199" s="33">
        <v>21.666699999999999</v>
      </c>
      <c r="P199" s="33">
        <v>15.833299999999999</v>
      </c>
      <c r="Q199" s="33">
        <v>5.8333000000000004</v>
      </c>
      <c r="R199" s="33">
        <v>4</v>
      </c>
      <c r="S199" s="33">
        <v>4.0663999999999998</v>
      </c>
      <c r="T199" s="33">
        <v>4.1406400000000003</v>
      </c>
      <c r="U199" s="33">
        <v>2</v>
      </c>
      <c r="V199" s="89" t="str">
        <f t="shared" si="6"/>
        <v>DEN</v>
      </c>
      <c r="W199" s="90">
        <f t="shared" si="7"/>
        <v>6</v>
      </c>
      <c r="X199" s="91">
        <v>2025</v>
      </c>
    </row>
    <row r="200" spans="1:24" x14ac:dyDescent="0.25">
      <c r="A200" s="74" t="s">
        <v>41</v>
      </c>
      <c r="B200" s="33">
        <v>2025</v>
      </c>
      <c r="C200" s="33">
        <v>1550.52</v>
      </c>
      <c r="D200" s="33">
        <v>7.3916000000000004</v>
      </c>
      <c r="E200" s="33">
        <v>2.0093899999999998</v>
      </c>
      <c r="F200" s="33">
        <v>-0.13758300000000001</v>
      </c>
      <c r="G200" s="33">
        <v>0.160747</v>
      </c>
      <c r="H200" s="33">
        <v>0.1308</v>
      </c>
      <c r="I200" s="33">
        <v>0.13519999999999999</v>
      </c>
      <c r="J200" s="33">
        <v>2.3298800000000001E-2</v>
      </c>
      <c r="K200" s="33">
        <v>2.8400000000000002E-2</v>
      </c>
      <c r="L200" s="33">
        <v>8.3599999999999994E-2</v>
      </c>
      <c r="M200" s="33">
        <v>-2.8693400000000001E-2</v>
      </c>
      <c r="N200" s="169">
        <v>0.1024</v>
      </c>
      <c r="O200" s="33">
        <v>26.333300000000001</v>
      </c>
      <c r="P200" s="33">
        <v>21</v>
      </c>
      <c r="Q200" s="33">
        <v>5.3333000000000004</v>
      </c>
      <c r="R200" s="33">
        <v>3</v>
      </c>
      <c r="S200" s="33">
        <v>3.7858000000000001</v>
      </c>
      <c r="T200" s="33">
        <v>4.3419299999999996</v>
      </c>
      <c r="U200" s="33">
        <v>3</v>
      </c>
      <c r="V200" s="89" t="str">
        <f t="shared" si="6"/>
        <v>WAS</v>
      </c>
      <c r="W200" s="90">
        <f t="shared" si="7"/>
        <v>6</v>
      </c>
      <c r="X200" s="91">
        <v>2025</v>
      </c>
    </row>
    <row r="201" spans="1:24" x14ac:dyDescent="0.25">
      <c r="A201" s="74" t="s">
        <v>404</v>
      </c>
      <c r="B201" s="33">
        <v>2025</v>
      </c>
      <c r="C201" s="33">
        <v>1481.4</v>
      </c>
      <c r="D201" s="33">
        <v>18.052800000000001</v>
      </c>
      <c r="E201" s="33">
        <v>-0.75517100000000004</v>
      </c>
      <c r="F201" s="33">
        <v>0.59512200000000004</v>
      </c>
      <c r="G201" s="33">
        <v>2.2948200000000001</v>
      </c>
      <c r="H201" s="33">
        <v>8.9499999999999996E-2</v>
      </c>
      <c r="I201" s="33">
        <v>0.31269999999999998</v>
      </c>
      <c r="J201" s="33">
        <v>-0.157857</v>
      </c>
      <c r="K201" s="33">
        <v>3.5999999999999999E-3</v>
      </c>
      <c r="L201" s="33">
        <v>0.1701</v>
      </c>
      <c r="M201" s="33">
        <v>-0.12587200000000001</v>
      </c>
      <c r="N201" s="169">
        <v>8.5900000000000004E-2</v>
      </c>
      <c r="O201" s="33">
        <v>25</v>
      </c>
      <c r="P201" s="33">
        <v>20</v>
      </c>
      <c r="Q201" s="33">
        <v>5</v>
      </c>
      <c r="R201" s="33">
        <v>4</v>
      </c>
      <c r="S201" s="33">
        <v>3.7753000000000001</v>
      </c>
      <c r="T201" s="33">
        <v>3.3092000000000001</v>
      </c>
      <c r="U201" s="33">
        <v>2</v>
      </c>
      <c r="V201" s="89" t="str">
        <f t="shared" si="6"/>
        <v>NE</v>
      </c>
      <c r="W201" s="90">
        <f t="shared" si="7"/>
        <v>6</v>
      </c>
      <c r="X201" s="91">
        <v>2025</v>
      </c>
    </row>
    <row r="202" spans="1:24" x14ac:dyDescent="0.25">
      <c r="A202" s="74" t="s">
        <v>399</v>
      </c>
      <c r="B202" s="33">
        <v>2025</v>
      </c>
      <c r="C202" s="33">
        <v>1632.13</v>
      </c>
      <c r="D202" s="33">
        <v>23.744499999999999</v>
      </c>
      <c r="E202" s="33">
        <v>5.2739599999999998</v>
      </c>
      <c r="F202" s="33">
        <v>1.3362700000000001</v>
      </c>
      <c r="G202" s="33">
        <v>1.9380500000000001</v>
      </c>
      <c r="H202" s="33">
        <v>0.15409999999999999</v>
      </c>
      <c r="I202" s="33">
        <v>0.182</v>
      </c>
      <c r="J202" s="33">
        <v>0.101688</v>
      </c>
      <c r="K202" s="33">
        <v>6.9400000000000003E-2</v>
      </c>
      <c r="L202" s="33">
        <v>-4.1200000000000001E-2</v>
      </c>
      <c r="M202" s="33">
        <v>7.2691599999999995E-2</v>
      </c>
      <c r="N202" s="169">
        <v>8.4699999999999998E-2</v>
      </c>
      <c r="O202" s="33">
        <v>25.833300000000001</v>
      </c>
      <c r="P202" s="33">
        <v>20.666699999999999</v>
      </c>
      <c r="Q202" s="33">
        <v>5.1666999999999996</v>
      </c>
      <c r="R202" s="33">
        <v>3</v>
      </c>
      <c r="S202" s="33">
        <v>3.7753000000000001</v>
      </c>
      <c r="T202" s="33">
        <v>4.3613600000000003</v>
      </c>
      <c r="U202" s="33">
        <v>3</v>
      </c>
      <c r="V202" s="89" t="str">
        <f t="shared" si="6"/>
        <v>KC</v>
      </c>
      <c r="W202" s="90">
        <f t="shared" si="7"/>
        <v>6</v>
      </c>
      <c r="X202" s="91">
        <v>2025</v>
      </c>
    </row>
    <row r="203" spans="1:24" x14ac:dyDescent="0.25">
      <c r="A203" s="74" t="s">
        <v>21</v>
      </c>
      <c r="B203" s="33">
        <v>2025</v>
      </c>
      <c r="C203" s="33">
        <v>1614.08</v>
      </c>
      <c r="D203" s="33">
        <v>12.9659</v>
      </c>
      <c r="E203" s="33">
        <v>4.5517099999999999</v>
      </c>
      <c r="F203" s="33">
        <v>1.40917</v>
      </c>
      <c r="G203" s="33">
        <v>3.4462600000000001</v>
      </c>
      <c r="H203" s="33">
        <v>5.4999999999999997E-3</v>
      </c>
      <c r="I203" s="33">
        <v>0.1895</v>
      </c>
      <c r="J203" s="33">
        <v>-0.17505000000000001</v>
      </c>
      <c r="K203" s="33">
        <v>-7.8799999999999995E-2</v>
      </c>
      <c r="L203" s="33">
        <v>-0.1135</v>
      </c>
      <c r="M203" s="33">
        <v>-5.97612E-2</v>
      </c>
      <c r="N203" s="169">
        <v>8.43E-2</v>
      </c>
      <c r="O203" s="33">
        <v>23.333300000000001</v>
      </c>
      <c r="P203" s="33">
        <v>18.333300000000001</v>
      </c>
      <c r="Q203" s="33">
        <v>5</v>
      </c>
      <c r="R203" s="33">
        <v>4</v>
      </c>
      <c r="S203" s="33">
        <v>3.8347000000000002</v>
      </c>
      <c r="T203" s="33">
        <v>4.2013800000000003</v>
      </c>
      <c r="U203" s="33">
        <v>5</v>
      </c>
      <c r="V203" s="89" t="str">
        <f t="shared" si="6"/>
        <v>LAR</v>
      </c>
      <c r="W203" s="90">
        <f t="shared" si="7"/>
        <v>6</v>
      </c>
      <c r="X203" s="91">
        <v>2025</v>
      </c>
    </row>
    <row r="204" spans="1:24" x14ac:dyDescent="0.25">
      <c r="A204" s="74" t="s">
        <v>25</v>
      </c>
      <c r="B204" s="33">
        <v>2025</v>
      </c>
      <c r="C204" s="33">
        <v>1620.9</v>
      </c>
      <c r="D204" s="33">
        <v>11.266299999999999</v>
      </c>
      <c r="E204" s="33">
        <v>4.8245199999999997</v>
      </c>
      <c r="F204" s="33">
        <v>4.7226900000000002E-2</v>
      </c>
      <c r="G204" s="33">
        <v>0.42080099999999998</v>
      </c>
      <c r="H204" s="33">
        <v>0.15409999999999999</v>
      </c>
      <c r="I204" s="33">
        <v>0.15989999999999999</v>
      </c>
      <c r="J204" s="33">
        <v>9.2792600000000003E-2</v>
      </c>
      <c r="K204" s="33">
        <v>7.5899999999999995E-2</v>
      </c>
      <c r="L204" s="33">
        <v>-1.9599999999999999E-2</v>
      </c>
      <c r="M204" s="33">
        <v>8.18493E-2</v>
      </c>
      <c r="N204" s="169">
        <v>7.8200000000000006E-2</v>
      </c>
      <c r="O204" s="33">
        <v>27.833300000000001</v>
      </c>
      <c r="P204" s="33">
        <v>22.833300000000001</v>
      </c>
      <c r="Q204" s="33">
        <v>5</v>
      </c>
      <c r="R204" s="33">
        <v>4</v>
      </c>
      <c r="S204" s="33">
        <v>3.6913</v>
      </c>
      <c r="T204" s="33">
        <v>4.4648899999999996</v>
      </c>
      <c r="U204" s="33">
        <v>3</v>
      </c>
      <c r="V204" s="89" t="str">
        <f t="shared" si="6"/>
        <v>BUF</v>
      </c>
      <c r="W204" s="90">
        <f t="shared" si="7"/>
        <v>6</v>
      </c>
      <c r="X204" s="91">
        <v>2025</v>
      </c>
    </row>
    <row r="205" spans="1:24" x14ac:dyDescent="0.25">
      <c r="A205" s="74" t="s">
        <v>75</v>
      </c>
      <c r="B205" s="33">
        <v>2025</v>
      </c>
      <c r="C205" s="33">
        <v>1499.77</v>
      </c>
      <c r="D205" s="33">
        <v>-22.809200000000001</v>
      </c>
      <c r="E205" s="33">
        <v>-2.0522499999999999E-2</v>
      </c>
      <c r="F205" s="33">
        <v>4.7226600000000001E-2</v>
      </c>
      <c r="G205" s="33">
        <v>-0.74897000000000002</v>
      </c>
      <c r="H205" s="33">
        <v>-5.8200000000000002E-2</v>
      </c>
      <c r="I205" s="33">
        <v>-4.7199999999999999E-2</v>
      </c>
      <c r="J205" s="33">
        <v>-8.7211999999999998E-2</v>
      </c>
      <c r="K205" s="33">
        <v>-0.12959999999999999</v>
      </c>
      <c r="L205" s="33">
        <v>-0.3538</v>
      </c>
      <c r="M205" s="33">
        <v>5.3971900000000003E-2</v>
      </c>
      <c r="N205" s="169">
        <v>7.1400000000000005E-2</v>
      </c>
      <c r="O205" s="33">
        <v>24.6</v>
      </c>
      <c r="P205" s="33">
        <v>19.399999999999999</v>
      </c>
      <c r="Q205" s="33">
        <v>5.2</v>
      </c>
      <c r="R205" s="33">
        <v>3</v>
      </c>
      <c r="S205" s="33">
        <v>3.1855000000000002</v>
      </c>
      <c r="T205" s="33">
        <v>3.56264</v>
      </c>
      <c r="U205" s="33">
        <v>2</v>
      </c>
      <c r="V205" s="89" t="str">
        <f t="shared" si="6"/>
        <v>MIN</v>
      </c>
      <c r="W205" s="90">
        <f t="shared" si="7"/>
        <v>6</v>
      </c>
      <c r="X205" s="91">
        <v>2025</v>
      </c>
    </row>
    <row r="206" spans="1:24" x14ac:dyDescent="0.25">
      <c r="A206" s="74" t="s">
        <v>85</v>
      </c>
      <c r="B206" s="33">
        <v>2025</v>
      </c>
      <c r="C206" s="33">
        <v>1519.25</v>
      </c>
      <c r="D206" s="33">
        <v>10.2235</v>
      </c>
      <c r="E206" s="33">
        <v>0.75875999999999999</v>
      </c>
      <c r="F206" s="33">
        <v>0.57134799999999997</v>
      </c>
      <c r="G206" s="33">
        <v>0.68654800000000005</v>
      </c>
      <c r="H206" s="33">
        <v>7.5499999999999998E-2</v>
      </c>
      <c r="I206" s="33">
        <v>0.1135</v>
      </c>
      <c r="J206" s="33">
        <v>-5.8561299999999997E-2</v>
      </c>
      <c r="K206" s="33">
        <v>1.54E-2</v>
      </c>
      <c r="L206" s="33">
        <v>1.8800000000000001E-2</v>
      </c>
      <c r="M206" s="33">
        <v>-5.3822200000000001E-2</v>
      </c>
      <c r="N206" s="169">
        <v>6.0100000000000001E-2</v>
      </c>
      <c r="O206" s="33">
        <v>23.8</v>
      </c>
      <c r="P206" s="33">
        <v>21.4</v>
      </c>
      <c r="Q206" s="33">
        <v>2.4</v>
      </c>
      <c r="R206" s="33">
        <v>4</v>
      </c>
      <c r="S206" s="33">
        <v>2.8132000000000001</v>
      </c>
      <c r="T206" s="33">
        <v>3.4121700000000001</v>
      </c>
      <c r="U206" s="33">
        <v>2</v>
      </c>
      <c r="V206" s="89" t="str">
        <f t="shared" si="6"/>
        <v>PIT</v>
      </c>
      <c r="W206" s="90">
        <f t="shared" si="7"/>
        <v>6</v>
      </c>
      <c r="X206" s="91">
        <v>2025</v>
      </c>
    </row>
    <row r="207" spans="1:24" x14ac:dyDescent="0.25">
      <c r="A207" s="74" t="s">
        <v>44</v>
      </c>
      <c r="B207" s="33">
        <v>2025</v>
      </c>
      <c r="C207" s="33">
        <v>1467.61</v>
      </c>
      <c r="D207" s="33">
        <v>-1.7092000000000001</v>
      </c>
      <c r="E207" s="33">
        <v>-1.3068299999999999</v>
      </c>
      <c r="F207" s="33">
        <v>-1.51834</v>
      </c>
      <c r="G207" s="33">
        <v>0.640791</v>
      </c>
      <c r="H207" s="33">
        <v>1.0800000000000001E-2</v>
      </c>
      <c r="I207" s="33">
        <v>5.4999999999999997E-3</v>
      </c>
      <c r="J207" s="33">
        <v>3.59236E-2</v>
      </c>
      <c r="K207" s="33">
        <v>-3.9699999999999999E-2</v>
      </c>
      <c r="L207" s="33">
        <v>-6.4600000000000005E-2</v>
      </c>
      <c r="M207" s="33">
        <v>-6.4278100000000005E-2</v>
      </c>
      <c r="N207" s="169">
        <v>5.0500000000000003E-2</v>
      </c>
      <c r="O207" s="33">
        <v>23.166699999999999</v>
      </c>
      <c r="P207" s="33">
        <v>20</v>
      </c>
      <c r="Q207" s="33">
        <v>3.1667000000000001</v>
      </c>
      <c r="R207" s="33">
        <v>4</v>
      </c>
      <c r="S207" s="33">
        <v>3.5173000000000001</v>
      </c>
      <c r="T207" s="33">
        <v>2.8698399999999999</v>
      </c>
      <c r="U207" s="33">
        <v>4</v>
      </c>
      <c r="V207" s="89" t="str">
        <f t="shared" si="6"/>
        <v>JAX</v>
      </c>
      <c r="W207" s="90">
        <f t="shared" si="7"/>
        <v>6</v>
      </c>
      <c r="X207" s="91">
        <v>2025</v>
      </c>
    </row>
    <row r="208" spans="1:24" x14ac:dyDescent="0.25">
      <c r="A208" s="74" t="s">
        <v>402</v>
      </c>
      <c r="B208" s="33">
        <v>2025</v>
      </c>
      <c r="C208" s="33">
        <v>1545.94</v>
      </c>
      <c r="D208" s="33">
        <v>19.962499999999999</v>
      </c>
      <c r="E208" s="33">
        <v>1.8261700000000001</v>
      </c>
      <c r="F208" s="33">
        <v>0.59628400000000004</v>
      </c>
      <c r="G208" s="33">
        <v>1.5928199999999999</v>
      </c>
      <c r="H208" s="33">
        <v>6.6799999999999998E-2</v>
      </c>
      <c r="I208" s="33">
        <v>0.23350000000000001</v>
      </c>
      <c r="J208" s="33">
        <v>-1.5302700000000001E-2</v>
      </c>
      <c r="K208" s="33">
        <v>3.1300000000000001E-2</v>
      </c>
      <c r="L208" s="33">
        <v>7.4700000000000003E-2</v>
      </c>
      <c r="M208" s="33">
        <v>-9.4596100000000002E-2</v>
      </c>
      <c r="N208" s="173">
        <v>3.5499999999999997E-2</v>
      </c>
      <c r="O208" s="33">
        <v>27.5</v>
      </c>
      <c r="P208" s="33">
        <v>25.166699999999999</v>
      </c>
      <c r="Q208" s="33">
        <v>2.3332999999999999</v>
      </c>
      <c r="R208" s="33">
        <v>5</v>
      </c>
      <c r="S208" s="33">
        <v>3.3140999999999998</v>
      </c>
      <c r="T208" s="33">
        <v>3.4134000000000002</v>
      </c>
      <c r="U208" s="33">
        <v>2</v>
      </c>
      <c r="V208" s="89" t="str">
        <f t="shared" si="6"/>
        <v>TB</v>
      </c>
      <c r="W208" s="90">
        <f t="shared" si="7"/>
        <v>6</v>
      </c>
      <c r="X208" s="91">
        <v>2025</v>
      </c>
    </row>
    <row r="209" spans="1:24" x14ac:dyDescent="0.25">
      <c r="A209" s="74" t="s">
        <v>405</v>
      </c>
      <c r="B209" s="33">
        <v>2025</v>
      </c>
      <c r="C209" s="33">
        <v>1478.15</v>
      </c>
      <c r="D209" s="33">
        <v>-44.055999999999997</v>
      </c>
      <c r="E209" s="33">
        <v>-0.88537100000000002</v>
      </c>
      <c r="F209" s="33">
        <v>-0.65629899999999997</v>
      </c>
      <c r="G209" s="33">
        <v>-1.6503300000000001</v>
      </c>
      <c r="H209" s="33">
        <v>1.5800000000000002E-2</v>
      </c>
      <c r="I209" s="33">
        <v>0.1045</v>
      </c>
      <c r="J209" s="33">
        <v>-0.132605</v>
      </c>
      <c r="K209" s="33">
        <v>4.1000000000000003E-3</v>
      </c>
      <c r="L209" s="33">
        <v>7.4499999999999997E-2</v>
      </c>
      <c r="M209" s="33">
        <v>-8.0778799999999998E-2</v>
      </c>
      <c r="N209" s="169">
        <v>1.17E-2</v>
      </c>
      <c r="O209" s="33">
        <v>20.833300000000001</v>
      </c>
      <c r="P209" s="33">
        <v>21.333300000000001</v>
      </c>
      <c r="Q209" s="33">
        <v>-0.5</v>
      </c>
      <c r="R209" s="33">
        <v>4</v>
      </c>
      <c r="S209" s="33">
        <v>2.9157000000000002</v>
      </c>
      <c r="T209" s="33">
        <v>3.4860099999999998</v>
      </c>
      <c r="U209" s="33">
        <v>2</v>
      </c>
      <c r="V209" s="89" t="str">
        <f t="shared" si="6"/>
        <v>SF</v>
      </c>
      <c r="W209" s="90">
        <f t="shared" si="7"/>
        <v>6</v>
      </c>
      <c r="X209" s="91">
        <v>2025</v>
      </c>
    </row>
    <row r="210" spans="1:24" x14ac:dyDescent="0.25">
      <c r="A210" s="74" t="s">
        <v>93</v>
      </c>
      <c r="B210" s="33">
        <v>2025</v>
      </c>
      <c r="C210" s="33">
        <v>1460.96</v>
      </c>
      <c r="D210" s="33">
        <v>-7.2527999999999997</v>
      </c>
      <c r="E210" s="33">
        <v>-1.5728599999999999</v>
      </c>
      <c r="F210" s="33">
        <v>3.00393</v>
      </c>
      <c r="G210" s="33">
        <v>-1.76342</v>
      </c>
      <c r="H210" s="33">
        <v>2.29E-2</v>
      </c>
      <c r="I210" s="33">
        <v>5.4399999999999997E-2</v>
      </c>
      <c r="J210" s="33">
        <v>-4.7065099999999999E-2</v>
      </c>
      <c r="K210" s="33">
        <v>1.11E-2</v>
      </c>
      <c r="L210" s="33">
        <v>6.4000000000000001E-2</v>
      </c>
      <c r="M210" s="33">
        <v>-0.107943</v>
      </c>
      <c r="N210" s="169">
        <v>1.17E-2</v>
      </c>
      <c r="O210" s="33">
        <v>21.666699999999999</v>
      </c>
      <c r="P210" s="33">
        <v>21.166699999999999</v>
      </c>
      <c r="Q210" s="33">
        <v>0.5</v>
      </c>
      <c r="R210" s="33">
        <v>2</v>
      </c>
      <c r="S210" s="33">
        <v>3.0830000000000002</v>
      </c>
      <c r="T210" s="33">
        <v>3.7219699999999998</v>
      </c>
      <c r="U210" s="33">
        <v>2</v>
      </c>
      <c r="V210" s="89" t="str">
        <f t="shared" si="6"/>
        <v>ARI</v>
      </c>
      <c r="W210" s="90">
        <f t="shared" si="7"/>
        <v>6</v>
      </c>
      <c r="X210" s="91">
        <v>2025</v>
      </c>
    </row>
    <row r="211" spans="1:24" x14ac:dyDescent="0.25">
      <c r="A211" s="74" t="s">
        <v>60</v>
      </c>
      <c r="B211" s="33">
        <v>2025</v>
      </c>
      <c r="C211" s="33">
        <v>1531.61</v>
      </c>
      <c r="D211" s="33">
        <v>2.6796000000000002</v>
      </c>
      <c r="E211" s="33">
        <v>1.25292</v>
      </c>
      <c r="F211" s="33">
        <v>0.55241700000000005</v>
      </c>
      <c r="G211" s="33">
        <v>0.48609400000000003</v>
      </c>
      <c r="H211" s="33">
        <v>8.8999999999999999E-3</v>
      </c>
      <c r="I211" s="33">
        <v>-1.04E-2</v>
      </c>
      <c r="J211" s="33">
        <v>-5.2603399999999996E-3</v>
      </c>
      <c r="K211" s="33">
        <v>-2.0999999999999999E-3</v>
      </c>
      <c r="L211" s="33">
        <v>-7.6999999999999999E-2</v>
      </c>
      <c r="M211" s="33">
        <v>5.4449999999999998E-2</v>
      </c>
      <c r="N211" s="169">
        <v>1.0999999999999999E-2</v>
      </c>
      <c r="O211" s="33">
        <v>21.166699999999999</v>
      </c>
      <c r="P211" s="33">
        <v>20.833300000000001</v>
      </c>
      <c r="Q211" s="33">
        <v>0.33329999999999999</v>
      </c>
      <c r="R211" s="33">
        <v>4</v>
      </c>
      <c r="S211" s="33">
        <v>3.0564</v>
      </c>
      <c r="T211" s="33">
        <v>4.1202300000000003</v>
      </c>
      <c r="U211" s="33">
        <v>3</v>
      </c>
      <c r="V211" s="89" t="str">
        <f t="shared" si="6"/>
        <v>LAC</v>
      </c>
      <c r="W211" s="90">
        <f t="shared" si="7"/>
        <v>6</v>
      </c>
      <c r="X211" s="91">
        <v>2025</v>
      </c>
    </row>
    <row r="212" spans="1:24" x14ac:dyDescent="0.25">
      <c r="A212" s="74" t="s">
        <v>69</v>
      </c>
      <c r="B212" s="33">
        <v>2025</v>
      </c>
      <c r="C212" s="33">
        <v>1504.29</v>
      </c>
      <c r="D212" s="33">
        <v>-6.2203999999999997</v>
      </c>
      <c r="E212" s="33">
        <v>0.16012699999999999</v>
      </c>
      <c r="F212" s="33">
        <v>0.56701699999999999</v>
      </c>
      <c r="G212" s="33">
        <v>1.2393000000000001</v>
      </c>
      <c r="H212" s="33">
        <v>-1.9199999999999998E-2</v>
      </c>
      <c r="I212" s="33">
        <v>-2.35E-2</v>
      </c>
      <c r="J212" s="33">
        <v>6.35623E-3</v>
      </c>
      <c r="K212" s="33">
        <v>-2.7699999999999999E-2</v>
      </c>
      <c r="L212" s="33">
        <v>-0.16719999999999999</v>
      </c>
      <c r="M212" s="33">
        <v>4.487E-2</v>
      </c>
      <c r="N212" s="169">
        <v>8.6E-3</v>
      </c>
      <c r="O212" s="33">
        <v>20</v>
      </c>
      <c r="P212" s="33">
        <v>20</v>
      </c>
      <c r="Q212" s="33">
        <v>0</v>
      </c>
      <c r="R212" s="33">
        <v>3</v>
      </c>
      <c r="S212" s="33">
        <v>2.5</v>
      </c>
      <c r="T212" s="33">
        <v>2.4268700000000001</v>
      </c>
      <c r="U212" s="33">
        <v>3</v>
      </c>
      <c r="V212" s="89" t="str">
        <f t="shared" si="6"/>
        <v>ATL</v>
      </c>
      <c r="W212" s="90">
        <f t="shared" si="7"/>
        <v>6</v>
      </c>
      <c r="X212" s="91">
        <v>2025</v>
      </c>
    </row>
    <row r="213" spans="1:24" x14ac:dyDescent="0.25">
      <c r="A213" s="74" t="s">
        <v>38</v>
      </c>
      <c r="B213" s="33">
        <v>2025</v>
      </c>
      <c r="C213" s="33">
        <v>1578.73</v>
      </c>
      <c r="D213" s="33">
        <v>-1.2443</v>
      </c>
      <c r="E213" s="33">
        <v>3.1377600000000001</v>
      </c>
      <c r="F213" s="33">
        <v>-1.5425800000000001</v>
      </c>
      <c r="G213" s="33">
        <v>-1.6697200000000001</v>
      </c>
      <c r="H213" s="33">
        <v>1.3899999999999999E-2</v>
      </c>
      <c r="I213" s="33">
        <v>-4.2000000000000003E-2</v>
      </c>
      <c r="J213" s="33">
        <v>2.4651900000000001E-2</v>
      </c>
      <c r="K213" s="33">
        <v>1.77E-2</v>
      </c>
      <c r="L213" s="33">
        <v>-1.6899999999999998E-2</v>
      </c>
      <c r="M213" s="33">
        <v>2.2290299999999999E-2</v>
      </c>
      <c r="N213" s="169">
        <v>-3.8E-3</v>
      </c>
      <c r="O213" s="33">
        <v>23.666699999999999</v>
      </c>
      <c r="P213" s="33">
        <v>23.833300000000001</v>
      </c>
      <c r="Q213" s="33">
        <v>-0.16669999999999999</v>
      </c>
      <c r="R213" s="33">
        <v>4</v>
      </c>
      <c r="S213" s="33">
        <v>2.9750999999999999</v>
      </c>
      <c r="T213" s="33">
        <v>4.9157200000000003</v>
      </c>
      <c r="U213" s="33">
        <v>4</v>
      </c>
      <c r="V213" s="89" t="str">
        <f t="shared" si="6"/>
        <v>PHI</v>
      </c>
      <c r="W213" s="90">
        <f t="shared" si="7"/>
        <v>6</v>
      </c>
      <c r="X213" s="91">
        <v>2025</v>
      </c>
    </row>
    <row r="214" spans="1:24" x14ac:dyDescent="0.25">
      <c r="A214" s="74" t="s">
        <v>14</v>
      </c>
      <c r="B214" s="33">
        <v>2025</v>
      </c>
      <c r="C214" s="33">
        <v>1500.8</v>
      </c>
      <c r="D214" s="33">
        <v>30.593699999999998</v>
      </c>
      <c r="E214" s="33">
        <v>2.0522499999999999E-2</v>
      </c>
      <c r="F214" s="33">
        <v>-4.7226600000000001E-2</v>
      </c>
      <c r="G214" s="33">
        <v>1.00312</v>
      </c>
      <c r="H214" s="33">
        <v>0.20749999999999999</v>
      </c>
      <c r="I214" s="33">
        <v>0.26019999999999999</v>
      </c>
      <c r="J214" s="33">
        <v>1.1639999999999999E-2</v>
      </c>
      <c r="K214" s="33">
        <v>0.2122</v>
      </c>
      <c r="L214" s="33">
        <v>0.30869999999999997</v>
      </c>
      <c r="M214" s="33">
        <v>5.6859699999999999E-2</v>
      </c>
      <c r="N214" s="169">
        <v>-4.7000000000000002E-3</v>
      </c>
      <c r="O214" s="33">
        <v>29.666699999999999</v>
      </c>
      <c r="P214" s="33">
        <v>30.666699999999999</v>
      </c>
      <c r="Q214" s="33">
        <v>-1</v>
      </c>
      <c r="R214" s="33">
        <v>2</v>
      </c>
      <c r="S214" s="33">
        <v>2.8822000000000001</v>
      </c>
      <c r="T214" s="33">
        <v>3.1564999999999999</v>
      </c>
      <c r="U214" s="33">
        <v>2</v>
      </c>
      <c r="V214" s="89" t="str">
        <f t="shared" si="6"/>
        <v>DAL</v>
      </c>
      <c r="W214" s="90">
        <f t="shared" si="7"/>
        <v>6</v>
      </c>
      <c r="X214" s="91">
        <v>2025</v>
      </c>
    </row>
    <row r="215" spans="1:24" x14ac:dyDescent="0.25">
      <c r="A215" s="74" t="s">
        <v>67</v>
      </c>
      <c r="B215" s="33">
        <v>2025</v>
      </c>
      <c r="C215" s="33">
        <v>1378.88</v>
      </c>
      <c r="D215" s="33">
        <v>0.99399999999999999</v>
      </c>
      <c r="E215" s="33">
        <v>-4.8561699999999997</v>
      </c>
      <c r="F215" s="33">
        <v>0.49467800000000001</v>
      </c>
      <c r="G215" s="33">
        <v>0.74515600000000004</v>
      </c>
      <c r="H215" s="33">
        <v>9.4000000000000004E-3</v>
      </c>
      <c r="I215" s="33">
        <v>-6.2300000000000001E-2</v>
      </c>
      <c r="J215" s="33">
        <v>7.1651000000000006E-2</v>
      </c>
      <c r="K215" s="33">
        <v>5.3699999999999998E-2</v>
      </c>
      <c r="L215" s="33">
        <v>0.17780000000000001</v>
      </c>
      <c r="M215" s="33">
        <v>-7.0076100000000002E-2</v>
      </c>
      <c r="N215" s="169">
        <v>-4.4299999999999999E-2</v>
      </c>
      <c r="O215" s="33">
        <v>22</v>
      </c>
      <c r="P215" s="33">
        <v>24.333300000000001</v>
      </c>
      <c r="Q215" s="33">
        <v>-2.3332999999999999</v>
      </c>
      <c r="R215" s="33">
        <v>3</v>
      </c>
      <c r="S215" s="33">
        <v>2.6433</v>
      </c>
      <c r="T215" s="33">
        <v>2.8993699999999998</v>
      </c>
      <c r="U215" s="33">
        <v>2</v>
      </c>
      <c r="V215" s="89" t="str">
        <f t="shared" si="6"/>
        <v>CAR</v>
      </c>
      <c r="W215" s="90">
        <f t="shared" si="7"/>
        <v>6</v>
      </c>
      <c r="X215" s="91">
        <v>2025</v>
      </c>
    </row>
    <row r="216" spans="1:24" x14ac:dyDescent="0.25">
      <c r="A216" s="74" t="s">
        <v>72</v>
      </c>
      <c r="B216" s="33">
        <v>2025</v>
      </c>
      <c r="C216" s="33">
        <v>1483.33</v>
      </c>
      <c r="D216" s="33">
        <v>9.6548999999999996</v>
      </c>
      <c r="E216" s="33">
        <v>-0.67813500000000004</v>
      </c>
      <c r="F216" s="33">
        <v>0.29187999999999997</v>
      </c>
      <c r="G216" s="33">
        <v>0.637266</v>
      </c>
      <c r="H216" s="33">
        <v>-1.54E-2</v>
      </c>
      <c r="I216" s="33">
        <v>7.9500000000000001E-2</v>
      </c>
      <c r="J216" s="33">
        <v>-7.4858499999999994E-2</v>
      </c>
      <c r="K216" s="33">
        <v>3.3700000000000001E-2</v>
      </c>
      <c r="L216" s="33">
        <v>5.9299999999999999E-2</v>
      </c>
      <c r="M216" s="33">
        <v>-7.3897900000000002E-2</v>
      </c>
      <c r="N216" s="169">
        <v>-4.9099999999999998E-2</v>
      </c>
      <c r="O216" s="33">
        <v>25.2</v>
      </c>
      <c r="P216" s="33">
        <v>28.2</v>
      </c>
      <c r="Q216" s="33">
        <v>-3</v>
      </c>
      <c r="R216" s="33">
        <v>3</v>
      </c>
      <c r="S216" s="33">
        <v>2.1686999999999999</v>
      </c>
      <c r="T216" s="33">
        <v>2.4454199999999999</v>
      </c>
      <c r="U216" s="33">
        <v>2</v>
      </c>
      <c r="V216" s="89" t="str">
        <f t="shared" si="6"/>
        <v>CHI</v>
      </c>
      <c r="W216" s="90">
        <f t="shared" si="7"/>
        <v>6</v>
      </c>
      <c r="X216" s="91">
        <v>2025</v>
      </c>
    </row>
    <row r="217" spans="1:24" x14ac:dyDescent="0.25">
      <c r="A217" s="74" t="s">
        <v>95</v>
      </c>
      <c r="B217" s="33">
        <v>2025</v>
      </c>
      <c r="C217" s="33">
        <v>1376.74</v>
      </c>
      <c r="D217" s="33">
        <v>-33.198500000000003</v>
      </c>
      <c r="E217" s="33">
        <v>-4.9417600000000004</v>
      </c>
      <c r="F217" s="33">
        <v>2.00684</v>
      </c>
      <c r="G217" s="33">
        <v>-0.20156199999999999</v>
      </c>
      <c r="H217" s="33">
        <v>-2.12E-2</v>
      </c>
      <c r="I217" s="33">
        <v>-0.1452</v>
      </c>
      <c r="J217" s="33">
        <v>-2.6989699999999998E-2</v>
      </c>
      <c r="K217" s="33">
        <v>4.5400000000000003E-2</v>
      </c>
      <c r="L217" s="33">
        <v>2.1700000000000001E-2</v>
      </c>
      <c r="M217" s="33">
        <v>7.8418199999999993E-2</v>
      </c>
      <c r="N217" s="169">
        <v>-6.6600000000000006E-2</v>
      </c>
      <c r="O217" s="33">
        <v>20.166699999999999</v>
      </c>
      <c r="P217" s="33">
        <v>24</v>
      </c>
      <c r="Q217" s="33">
        <v>-3.8332999999999999</v>
      </c>
      <c r="R217" s="33">
        <v>2</v>
      </c>
      <c r="S217" s="33">
        <v>2.39</v>
      </c>
      <c r="T217" s="33">
        <v>1.75549</v>
      </c>
      <c r="U217" s="33">
        <v>2</v>
      </c>
      <c r="V217" s="89" t="str">
        <f t="shared" si="6"/>
        <v>NYG</v>
      </c>
      <c r="W217" s="90">
        <f t="shared" si="7"/>
        <v>6</v>
      </c>
      <c r="X217" s="91">
        <v>2025</v>
      </c>
    </row>
    <row r="218" spans="1:24" x14ac:dyDescent="0.25">
      <c r="A218" s="74" t="s">
        <v>2</v>
      </c>
      <c r="B218" s="33">
        <v>2025</v>
      </c>
      <c r="C218" s="33">
        <v>1425.1</v>
      </c>
      <c r="D218" s="33">
        <v>-6.1228999999999996</v>
      </c>
      <c r="E218" s="33">
        <v>-3.0071599999999998</v>
      </c>
      <c r="F218" s="33">
        <v>-0.54586900000000005</v>
      </c>
      <c r="G218" s="33">
        <v>-2.7705099999999998</v>
      </c>
      <c r="H218" s="33">
        <v>8.72E-2</v>
      </c>
      <c r="I218" s="33">
        <v>7.9000000000000001E-2</v>
      </c>
      <c r="J218" s="33">
        <v>1.8273000000000001E-2</v>
      </c>
      <c r="K218" s="33">
        <v>0.21390000000000001</v>
      </c>
      <c r="L218" s="33">
        <v>0.28499999999999998</v>
      </c>
      <c r="M218" s="33">
        <v>0.153943</v>
      </c>
      <c r="N218" s="169">
        <v>-0.12670000000000001</v>
      </c>
      <c r="O218" s="33">
        <v>22.333300000000001</v>
      </c>
      <c r="P218" s="33">
        <v>29</v>
      </c>
      <c r="Q218" s="33">
        <v>-6.6666999999999996</v>
      </c>
      <c r="R218" s="33">
        <v>1</v>
      </c>
      <c r="S218" s="33">
        <v>2.0998999999999999</v>
      </c>
      <c r="T218" s="33">
        <v>3.3212000000000002</v>
      </c>
      <c r="U218" s="33">
        <v>2</v>
      </c>
      <c r="V218" s="89" t="str">
        <f t="shared" si="6"/>
        <v>MIA</v>
      </c>
      <c r="W218" s="90">
        <f t="shared" si="7"/>
        <v>6</v>
      </c>
      <c r="X218" s="91">
        <v>2025</v>
      </c>
    </row>
    <row r="219" spans="1:24" x14ac:dyDescent="0.25">
      <c r="A219" s="74" t="s">
        <v>401</v>
      </c>
      <c r="B219" s="33">
        <v>2025</v>
      </c>
      <c r="C219" s="33">
        <v>1400.15</v>
      </c>
      <c r="D219" s="33">
        <v>-14.2193</v>
      </c>
      <c r="E219" s="33">
        <v>-4.0054600000000002</v>
      </c>
      <c r="F219" s="33">
        <v>0.14224100000000001</v>
      </c>
      <c r="G219" s="33">
        <v>-1.56812</v>
      </c>
      <c r="H219" s="33">
        <v>-0.1389</v>
      </c>
      <c r="I219" s="33">
        <v>-8.4699999999999998E-2</v>
      </c>
      <c r="J219" s="33">
        <v>-0.21722900000000001</v>
      </c>
      <c r="K219" s="33">
        <v>4.7999999999999996E-3</v>
      </c>
      <c r="L219" s="33">
        <v>7.5600000000000001E-2</v>
      </c>
      <c r="M219" s="33">
        <v>-0.13496</v>
      </c>
      <c r="N219" s="169">
        <v>-0.14369999999999999</v>
      </c>
      <c r="O219" s="33">
        <v>17.166699999999999</v>
      </c>
      <c r="P219" s="33">
        <v>24.833300000000001</v>
      </c>
      <c r="Q219" s="33">
        <v>-7.6666999999999996</v>
      </c>
      <c r="R219" s="33">
        <v>2</v>
      </c>
      <c r="S219" s="33">
        <v>1.7652000000000001</v>
      </c>
      <c r="T219" s="33">
        <v>2.6530100000000001</v>
      </c>
      <c r="U219" s="33">
        <v>2</v>
      </c>
      <c r="V219" s="89" t="str">
        <f t="shared" si="6"/>
        <v>LV</v>
      </c>
      <c r="W219" s="90">
        <f t="shared" si="7"/>
        <v>6</v>
      </c>
      <c r="X219" s="91">
        <v>2025</v>
      </c>
    </row>
    <row r="220" spans="1:24" x14ac:dyDescent="0.25">
      <c r="A220" s="74" t="s">
        <v>47</v>
      </c>
      <c r="B220" s="33">
        <v>2025</v>
      </c>
      <c r="C220" s="33">
        <v>1454.84</v>
      </c>
      <c r="D220" s="33">
        <v>-124.277</v>
      </c>
      <c r="E220" s="33">
        <v>-1.81782</v>
      </c>
      <c r="F220" s="33">
        <v>4.7226700000000003E-2</v>
      </c>
      <c r="G220" s="33">
        <v>-8.2968499999999992</v>
      </c>
      <c r="H220" s="33">
        <v>5.1000000000000004E-3</v>
      </c>
      <c r="I220" s="33">
        <v>-5.3800000000000001E-2</v>
      </c>
      <c r="J220" s="33">
        <v>-2.3279999999999999E-2</v>
      </c>
      <c r="K220" s="33">
        <v>0.15409999999999999</v>
      </c>
      <c r="L220" s="33">
        <v>0.1885</v>
      </c>
      <c r="M220" s="33">
        <v>8.0905599999999994E-2</v>
      </c>
      <c r="N220" s="169">
        <v>-0.14899999999999999</v>
      </c>
      <c r="O220" s="33">
        <v>24</v>
      </c>
      <c r="P220" s="33">
        <v>32.333300000000001</v>
      </c>
      <c r="Q220" s="33">
        <v>-8.3332999999999995</v>
      </c>
      <c r="R220" s="33">
        <v>1</v>
      </c>
      <c r="S220" s="33">
        <v>1.9823999999999999</v>
      </c>
      <c r="T220" s="33">
        <v>3.2123599999999999</v>
      </c>
      <c r="U220" s="33">
        <v>2</v>
      </c>
      <c r="V220" s="89" t="str">
        <f t="shared" si="6"/>
        <v>BAL</v>
      </c>
      <c r="W220" s="90">
        <f t="shared" si="7"/>
        <v>6</v>
      </c>
      <c r="X220" s="91">
        <v>2025</v>
      </c>
    </row>
    <row r="221" spans="1:24" x14ac:dyDescent="0.25">
      <c r="A221" s="74" t="s">
        <v>403</v>
      </c>
      <c r="B221" s="33">
        <v>2025</v>
      </c>
      <c r="C221" s="33">
        <v>1358.74</v>
      </c>
      <c r="D221" s="33">
        <v>3.6974999999999998</v>
      </c>
      <c r="E221" s="33">
        <v>-5.6617699999999997</v>
      </c>
      <c r="F221" s="33">
        <v>-0.112798</v>
      </c>
      <c r="G221" s="33">
        <v>0.36596200000000001</v>
      </c>
      <c r="H221" s="33">
        <v>-0.1157</v>
      </c>
      <c r="I221" s="33">
        <v>-7.6799999999999993E-2</v>
      </c>
      <c r="J221" s="33">
        <v>-3.6706900000000001E-2</v>
      </c>
      <c r="K221" s="33">
        <v>3.6900000000000002E-2</v>
      </c>
      <c r="L221" s="33">
        <v>0.1361</v>
      </c>
      <c r="M221" s="33">
        <v>-0.107409</v>
      </c>
      <c r="N221" s="169">
        <v>-0.15260000000000001</v>
      </c>
      <c r="O221" s="33">
        <v>18.5</v>
      </c>
      <c r="P221" s="33">
        <v>26.666699999999999</v>
      </c>
      <c r="Q221" s="33">
        <v>-8.1667000000000005</v>
      </c>
      <c r="R221" s="33">
        <v>1</v>
      </c>
      <c r="S221" s="33">
        <v>1.7758</v>
      </c>
      <c r="T221" s="33">
        <v>2.5096500000000002</v>
      </c>
      <c r="U221" s="33">
        <v>1</v>
      </c>
      <c r="V221" s="89" t="str">
        <f t="shared" si="6"/>
        <v>NO</v>
      </c>
      <c r="W221" s="90">
        <f t="shared" si="7"/>
        <v>6</v>
      </c>
      <c r="X221" s="91">
        <v>2025</v>
      </c>
    </row>
    <row r="222" spans="1:24" x14ac:dyDescent="0.25">
      <c r="A222" s="74" t="s">
        <v>79</v>
      </c>
      <c r="B222" s="33">
        <v>2025</v>
      </c>
      <c r="C222" s="33">
        <v>1417.89</v>
      </c>
      <c r="D222" s="33">
        <v>-7.8410000000000002</v>
      </c>
      <c r="E222" s="33">
        <v>-3.2959100000000001</v>
      </c>
      <c r="F222" s="33">
        <v>-0.52622100000000005</v>
      </c>
      <c r="G222" s="33">
        <v>-0.133691</v>
      </c>
      <c r="H222" s="33">
        <v>-1.8200000000000001E-2</v>
      </c>
      <c r="I222" s="33">
        <v>-7.6100000000000001E-2</v>
      </c>
      <c r="J222" s="33">
        <v>-7.7865199999999996E-2</v>
      </c>
      <c r="K222" s="33">
        <v>0.1457</v>
      </c>
      <c r="L222" s="33">
        <v>0.2427</v>
      </c>
      <c r="M222" s="33">
        <v>-1.64738E-2</v>
      </c>
      <c r="N222" s="169">
        <v>-0.1638</v>
      </c>
      <c r="O222" s="33">
        <v>20.5</v>
      </c>
      <c r="P222" s="33">
        <v>28.333300000000001</v>
      </c>
      <c r="Q222" s="33">
        <v>-7.8333000000000004</v>
      </c>
      <c r="R222" s="33">
        <v>0</v>
      </c>
      <c r="S222" s="33">
        <v>1.9028</v>
      </c>
      <c r="T222" s="33">
        <v>2.8649300000000002</v>
      </c>
      <c r="U222" s="33">
        <v>1</v>
      </c>
      <c r="V222" s="89" t="str">
        <f t="shared" si="6"/>
        <v>NYJ</v>
      </c>
      <c r="W222" s="90">
        <f t="shared" si="7"/>
        <v>6</v>
      </c>
      <c r="X222" s="91">
        <v>2025</v>
      </c>
    </row>
    <row r="223" spans="1:24" x14ac:dyDescent="0.25">
      <c r="A223" s="74" t="s">
        <v>91</v>
      </c>
      <c r="B223" s="33">
        <v>2025</v>
      </c>
      <c r="C223" s="33">
        <v>1348.19</v>
      </c>
      <c r="D223" s="33">
        <v>-42.687899999999999</v>
      </c>
      <c r="E223" s="33">
        <v>-6.0835900000000001</v>
      </c>
      <c r="F223" s="33">
        <v>-0.481236</v>
      </c>
      <c r="G223" s="33">
        <v>-1.50542</v>
      </c>
      <c r="H223" s="33">
        <v>-0.19040000000000001</v>
      </c>
      <c r="I223" s="33">
        <v>-0.28589999999999999</v>
      </c>
      <c r="J223" s="33">
        <v>1.8726599999999999E-2</v>
      </c>
      <c r="K223" s="33">
        <v>2.3E-3</v>
      </c>
      <c r="L223" s="33">
        <v>0.16930000000000001</v>
      </c>
      <c r="M223" s="33">
        <v>-0.19349</v>
      </c>
      <c r="N223" s="169">
        <v>-0.1928</v>
      </c>
      <c r="O223" s="33">
        <v>13.666700000000001</v>
      </c>
      <c r="P223" s="33">
        <v>24.333300000000001</v>
      </c>
      <c r="Q223" s="33">
        <v>-10.666700000000001</v>
      </c>
      <c r="R223" s="33">
        <v>1</v>
      </c>
      <c r="S223" s="33">
        <v>1.2183999999999999</v>
      </c>
      <c r="T223" s="33">
        <v>1.9331</v>
      </c>
      <c r="U223" s="33">
        <v>2</v>
      </c>
      <c r="V223" s="89" t="str">
        <f t="shared" si="6"/>
        <v>CLE</v>
      </c>
      <c r="W223" s="90">
        <f t="shared" si="7"/>
        <v>6</v>
      </c>
      <c r="X223" s="91">
        <v>2025</v>
      </c>
    </row>
    <row r="224" spans="1:24" x14ac:dyDescent="0.25">
      <c r="A224" s="74" t="s">
        <v>77</v>
      </c>
      <c r="B224" s="33">
        <v>2025</v>
      </c>
      <c r="C224" s="33">
        <v>1399.03</v>
      </c>
      <c r="D224" s="33">
        <v>-82.488399999999999</v>
      </c>
      <c r="E224" s="33">
        <v>-4.05023</v>
      </c>
      <c r="F224" s="33">
        <v>0.69990699999999995</v>
      </c>
      <c r="G224" s="33">
        <v>-5.7226400000000002</v>
      </c>
      <c r="H224" s="33">
        <v>-0.1225</v>
      </c>
      <c r="I224" s="33">
        <v>-0.2359</v>
      </c>
      <c r="J224" s="33">
        <v>-9.46607E-2</v>
      </c>
      <c r="K224" s="33">
        <v>0.1229</v>
      </c>
      <c r="L224" s="33">
        <v>0.20899999999999999</v>
      </c>
      <c r="M224" s="33">
        <v>3.3315600000000001E-2</v>
      </c>
      <c r="N224" s="169">
        <v>-0.24540000000000001</v>
      </c>
      <c r="O224" s="33">
        <v>17.166699999999999</v>
      </c>
      <c r="P224" s="33">
        <v>30.5</v>
      </c>
      <c r="Q224" s="33">
        <v>-13.333299999999999</v>
      </c>
      <c r="R224" s="33">
        <v>2</v>
      </c>
      <c r="S224" s="33">
        <v>1.2233000000000001</v>
      </c>
      <c r="T224" s="33">
        <v>3.4247800000000002</v>
      </c>
      <c r="U224" s="33">
        <v>1</v>
      </c>
      <c r="V224" s="89" t="str">
        <f t="shared" si="6"/>
        <v>CIN</v>
      </c>
      <c r="W224" s="90">
        <f t="shared" si="7"/>
        <v>6</v>
      </c>
      <c r="X224" s="91">
        <v>2025</v>
      </c>
    </row>
    <row r="225" spans="1:24" ht="15.75" thickBot="1" x14ac:dyDescent="0.3">
      <c r="A225" s="75" t="s">
        <v>89</v>
      </c>
      <c r="B225" s="76">
        <v>2025</v>
      </c>
      <c r="C225" s="76">
        <v>1309.8</v>
      </c>
      <c r="D225" s="76">
        <v>-25.188600000000001</v>
      </c>
      <c r="E225" s="76">
        <v>-7.6193200000000001</v>
      </c>
      <c r="F225" s="76">
        <v>-0.38104500000000002</v>
      </c>
      <c r="G225" s="76">
        <v>-2.7862499999999999</v>
      </c>
      <c r="H225" s="76">
        <v>-0.1976</v>
      </c>
      <c r="I225" s="76">
        <v>-0.30859999999999999</v>
      </c>
      <c r="J225" s="76">
        <v>-0.139405</v>
      </c>
      <c r="K225" s="76">
        <v>5.2400000000000002E-2</v>
      </c>
      <c r="L225" s="76">
        <v>0.126</v>
      </c>
      <c r="M225" s="76">
        <v>-5.5267799999999999E-2</v>
      </c>
      <c r="N225" s="170">
        <v>-0.25</v>
      </c>
      <c r="O225" s="76">
        <v>13.833299999999999</v>
      </c>
      <c r="P225" s="76">
        <v>26.833300000000001</v>
      </c>
      <c r="Q225" s="76">
        <v>-13</v>
      </c>
      <c r="R225" s="76">
        <v>1</v>
      </c>
      <c r="S225" s="76">
        <v>1.0330999999999999</v>
      </c>
      <c r="T225" s="76">
        <v>2.07422</v>
      </c>
      <c r="U225" s="76">
        <v>1</v>
      </c>
      <c r="V225" s="92" t="str">
        <f t="shared" si="6"/>
        <v>TEN</v>
      </c>
      <c r="W225" s="93">
        <f t="shared" si="7"/>
        <v>6</v>
      </c>
      <c r="X225" s="94">
        <v>2025</v>
      </c>
    </row>
    <row r="226" spans="1:24" x14ac:dyDescent="0.25">
      <c r="A226" s="74" t="s">
        <v>57</v>
      </c>
      <c r="B226" s="33">
        <v>2025</v>
      </c>
      <c r="C226" s="33">
        <v>1543.63</v>
      </c>
      <c r="D226" s="33">
        <v>27.7681</v>
      </c>
      <c r="E226" s="33">
        <v>1.17988</v>
      </c>
      <c r="F226" s="33">
        <v>0.64038600000000001</v>
      </c>
      <c r="G226" s="33">
        <v>4.2522399999999996</v>
      </c>
      <c r="H226" s="33">
        <v>0.25140000000000001</v>
      </c>
      <c r="I226" s="33">
        <v>0.26939999999999997</v>
      </c>
      <c r="J226" s="33">
        <v>0.135739</v>
      </c>
      <c r="K226" s="33">
        <v>-6.4000000000000003E-3</v>
      </c>
      <c r="L226" s="33">
        <v>-1.7600000000000001E-2</v>
      </c>
      <c r="M226" s="33">
        <v>-4.12007E-2</v>
      </c>
      <c r="N226" s="173">
        <v>0.25779999999999997</v>
      </c>
      <c r="O226" s="33">
        <v>33.142899999999997</v>
      </c>
      <c r="P226" s="33">
        <v>20</v>
      </c>
      <c r="Q226" s="33">
        <v>13.142899999999999</v>
      </c>
      <c r="R226" s="33">
        <v>6</v>
      </c>
      <c r="S226" s="33">
        <v>5.3760000000000003</v>
      </c>
      <c r="T226" s="33">
        <v>4.4789199999999996</v>
      </c>
      <c r="U226" s="33">
        <v>5</v>
      </c>
      <c r="V226" s="89" t="str">
        <f t="shared" si="6"/>
        <v>IND</v>
      </c>
      <c r="W226" s="90">
        <f t="shared" si="7"/>
        <v>7</v>
      </c>
      <c r="X226" s="91">
        <v>2025</v>
      </c>
    </row>
    <row r="227" spans="1:24" x14ac:dyDescent="0.25">
      <c r="A227" s="74" t="s">
        <v>10</v>
      </c>
      <c r="B227" s="33">
        <v>2025</v>
      </c>
      <c r="C227" s="33">
        <v>1639.03</v>
      </c>
      <c r="D227" s="33">
        <v>10.959</v>
      </c>
      <c r="E227" s="33">
        <v>4.99566</v>
      </c>
      <c r="F227" s="33">
        <v>-0.15412600000000001</v>
      </c>
      <c r="G227" s="33">
        <v>0.32216299999999998</v>
      </c>
      <c r="H227" s="33">
        <v>0.1153</v>
      </c>
      <c r="I227" s="33">
        <v>0.24410000000000001</v>
      </c>
      <c r="J227" s="33">
        <v>-2.8179900000000001E-2</v>
      </c>
      <c r="K227" s="33">
        <v>-7.17E-2</v>
      </c>
      <c r="L227" s="33">
        <v>-9.6000000000000002E-2</v>
      </c>
      <c r="M227" s="33">
        <v>-0.13017000000000001</v>
      </c>
      <c r="N227" s="169">
        <v>0.18690000000000001</v>
      </c>
      <c r="O227" s="33">
        <v>30.714300000000001</v>
      </c>
      <c r="P227" s="33">
        <v>21.571400000000001</v>
      </c>
      <c r="Q227" s="33">
        <v>9.1428999999999991</v>
      </c>
      <c r="R227" s="33">
        <v>5</v>
      </c>
      <c r="S227" s="33">
        <v>4.8855000000000004</v>
      </c>
      <c r="T227" s="33">
        <v>4.3726700000000003</v>
      </c>
      <c r="U227" s="33">
        <v>4</v>
      </c>
      <c r="V227" s="89" t="str">
        <f t="shared" si="6"/>
        <v>DET</v>
      </c>
      <c r="W227" s="90">
        <f t="shared" si="7"/>
        <v>7</v>
      </c>
      <c r="X227" s="91">
        <v>2025</v>
      </c>
    </row>
    <row r="228" spans="1:24" x14ac:dyDescent="0.25">
      <c r="A228" s="74" t="s">
        <v>31</v>
      </c>
      <c r="B228" s="33">
        <v>2025</v>
      </c>
      <c r="C228" s="33">
        <v>1560.69</v>
      </c>
      <c r="D228" s="33">
        <v>2.0777999999999999</v>
      </c>
      <c r="E228" s="33">
        <v>1.8622000000000001</v>
      </c>
      <c r="F228" s="33">
        <v>-1.0805</v>
      </c>
      <c r="G228" s="33">
        <v>2.05769</v>
      </c>
      <c r="H228" s="33">
        <v>-5.33E-2</v>
      </c>
      <c r="I228" s="33">
        <v>-4.0500000000000001E-2</v>
      </c>
      <c r="J228" s="33">
        <v>-2.85188E-2</v>
      </c>
      <c r="K228" s="33">
        <v>-0.2094</v>
      </c>
      <c r="L228" s="33">
        <v>-0.25619999999999998</v>
      </c>
      <c r="M228" s="33">
        <v>-1.6458299999999999E-2</v>
      </c>
      <c r="N228" s="169">
        <v>0.15609999999999999</v>
      </c>
      <c r="O228" s="33">
        <v>21.166699999999999</v>
      </c>
      <c r="P228" s="33">
        <v>14.666700000000001</v>
      </c>
      <c r="Q228" s="33">
        <v>6.5</v>
      </c>
      <c r="R228" s="33">
        <v>2</v>
      </c>
      <c r="S228" s="33">
        <v>4.2278000000000002</v>
      </c>
      <c r="T228" s="33">
        <v>3.6786300000000001</v>
      </c>
      <c r="U228" s="33">
        <v>3</v>
      </c>
      <c r="V228" s="89" t="str">
        <f t="shared" si="6"/>
        <v>HOU</v>
      </c>
      <c r="W228" s="90">
        <f t="shared" si="7"/>
        <v>7</v>
      </c>
      <c r="X228" s="91">
        <v>2025</v>
      </c>
    </row>
    <row r="229" spans="1:24" x14ac:dyDescent="0.25">
      <c r="A229" s="74" t="s">
        <v>399</v>
      </c>
      <c r="B229" s="33">
        <v>2025</v>
      </c>
      <c r="C229" s="33">
        <v>1662.91</v>
      </c>
      <c r="D229" s="33">
        <v>28.841699999999999</v>
      </c>
      <c r="E229" s="33">
        <v>5.9509499999999997</v>
      </c>
      <c r="F229" s="33">
        <v>1.3240099999999999</v>
      </c>
      <c r="G229" s="33">
        <v>2.61503</v>
      </c>
      <c r="H229" s="33">
        <v>0.1681</v>
      </c>
      <c r="I229" s="33">
        <v>0.2341</v>
      </c>
      <c r="J229" s="33">
        <v>6.6053700000000007E-2</v>
      </c>
      <c r="K229" s="33">
        <v>2.0799999999999999E-2</v>
      </c>
      <c r="L229" s="33">
        <v>-9.1600000000000001E-2</v>
      </c>
      <c r="M229" s="33">
        <v>8.9038199999999998E-3</v>
      </c>
      <c r="N229" s="169">
        <v>0.14729999999999999</v>
      </c>
      <c r="O229" s="33">
        <v>26.571400000000001</v>
      </c>
      <c r="P229" s="33">
        <v>17.714300000000001</v>
      </c>
      <c r="Q229" s="33">
        <v>8.8571000000000009</v>
      </c>
      <c r="R229" s="33">
        <v>4</v>
      </c>
      <c r="S229" s="33">
        <v>5.0632000000000001</v>
      </c>
      <c r="T229" s="33">
        <v>5.08005</v>
      </c>
      <c r="U229" s="33">
        <v>4</v>
      </c>
      <c r="V229" s="89" t="str">
        <f t="shared" si="6"/>
        <v>KC</v>
      </c>
      <c r="W229" s="90">
        <f t="shared" si="7"/>
        <v>7</v>
      </c>
      <c r="X229" s="91">
        <v>2025</v>
      </c>
    </row>
    <row r="230" spans="1:24" x14ac:dyDescent="0.25">
      <c r="A230" s="74" t="s">
        <v>55</v>
      </c>
      <c r="B230" s="33">
        <v>2025</v>
      </c>
      <c r="C230" s="33">
        <v>1579.64</v>
      </c>
      <c r="D230" s="33">
        <v>12.6812</v>
      </c>
      <c r="E230" s="33">
        <v>2.62005</v>
      </c>
      <c r="F230" s="33">
        <v>-0.15412600000000001</v>
      </c>
      <c r="G230" s="33">
        <v>2.6922600000000001</v>
      </c>
      <c r="H230" s="33">
        <v>4.6600000000000003E-2</v>
      </c>
      <c r="I230" s="33">
        <v>0.1925</v>
      </c>
      <c r="J230" s="33">
        <v>-0.15795999999999999</v>
      </c>
      <c r="K230" s="33">
        <v>-9.9900000000000003E-2</v>
      </c>
      <c r="L230" s="33">
        <v>5.0099999999999999E-2</v>
      </c>
      <c r="M230" s="33">
        <v>-0.196691</v>
      </c>
      <c r="N230" s="169">
        <v>0.14649999999999999</v>
      </c>
      <c r="O230" s="33">
        <v>27.571400000000001</v>
      </c>
      <c r="P230" s="33">
        <v>19.428599999999999</v>
      </c>
      <c r="Q230" s="33">
        <v>8.1428999999999991</v>
      </c>
      <c r="R230" s="33">
        <v>5</v>
      </c>
      <c r="S230" s="33">
        <v>4.8738999999999999</v>
      </c>
      <c r="T230" s="33">
        <v>4.0860099999999999</v>
      </c>
      <c r="U230" s="33">
        <v>6</v>
      </c>
      <c r="V230" s="89" t="str">
        <f t="shared" si="6"/>
        <v>SEA</v>
      </c>
      <c r="W230" s="90">
        <f t="shared" si="7"/>
        <v>7</v>
      </c>
      <c r="X230" s="91">
        <v>2025</v>
      </c>
    </row>
    <row r="231" spans="1:24" x14ac:dyDescent="0.25">
      <c r="A231" s="74" t="s">
        <v>21</v>
      </c>
      <c r="B231" s="33">
        <v>2025</v>
      </c>
      <c r="C231" s="33">
        <v>1614.31</v>
      </c>
      <c r="D231" s="33">
        <v>12.9659</v>
      </c>
      <c r="E231" s="33">
        <v>4.0070800000000002</v>
      </c>
      <c r="F231" s="33">
        <v>-0.15412600000000001</v>
      </c>
      <c r="G231" s="33">
        <v>2.90164</v>
      </c>
      <c r="H231" s="33">
        <v>5.45E-2</v>
      </c>
      <c r="I231" s="33">
        <v>0.19989999999999999</v>
      </c>
      <c r="J231" s="33">
        <v>-0.15615499999999999</v>
      </c>
      <c r="K231" s="33">
        <v>-8.8700000000000001E-2</v>
      </c>
      <c r="L231" s="33">
        <v>-0.14649999999999999</v>
      </c>
      <c r="M231" s="33">
        <v>-4.2831500000000002E-2</v>
      </c>
      <c r="N231" s="169">
        <v>0.14319999999999999</v>
      </c>
      <c r="O231" s="33">
        <v>25</v>
      </c>
      <c r="P231" s="33">
        <v>16.714300000000001</v>
      </c>
      <c r="Q231" s="33">
        <v>8.2857000000000003</v>
      </c>
      <c r="R231" s="33">
        <v>5</v>
      </c>
      <c r="S231" s="33">
        <v>5.0537000000000001</v>
      </c>
      <c r="T231" s="33">
        <v>4.1808899999999998</v>
      </c>
      <c r="U231" s="33">
        <v>6</v>
      </c>
      <c r="V231" s="89" t="str">
        <f t="shared" si="6"/>
        <v>LAR</v>
      </c>
      <c r="W231" s="90">
        <f t="shared" si="7"/>
        <v>7</v>
      </c>
      <c r="X231" s="91">
        <v>2025</v>
      </c>
    </row>
    <row r="232" spans="1:24" x14ac:dyDescent="0.25">
      <c r="A232" s="74" t="s">
        <v>404</v>
      </c>
      <c r="B232" s="33">
        <v>2025</v>
      </c>
      <c r="C232" s="33">
        <v>1511.96</v>
      </c>
      <c r="D232" s="33">
        <v>23.937000000000001</v>
      </c>
      <c r="E232" s="33">
        <v>-8.6904300000000004E-2</v>
      </c>
      <c r="F232" s="33">
        <v>1.05915</v>
      </c>
      <c r="G232" s="33">
        <v>2.9630899999999998</v>
      </c>
      <c r="H232" s="33">
        <v>0.10730000000000001</v>
      </c>
      <c r="I232" s="33">
        <v>0.33239999999999997</v>
      </c>
      <c r="J232" s="33">
        <v>-0.112094</v>
      </c>
      <c r="K232" s="33">
        <v>-1.9300000000000001E-2</v>
      </c>
      <c r="L232" s="33">
        <v>8.8999999999999996E-2</v>
      </c>
      <c r="M232" s="33">
        <v>-0.133772</v>
      </c>
      <c r="N232" s="169">
        <v>0.12659999999999999</v>
      </c>
      <c r="O232" s="33">
        <v>25.857099999999999</v>
      </c>
      <c r="P232" s="33">
        <v>19</v>
      </c>
      <c r="Q232" s="33">
        <v>6.8571</v>
      </c>
      <c r="R232" s="33">
        <v>5</v>
      </c>
      <c r="S232" s="33">
        <v>4.7241</v>
      </c>
      <c r="T232" s="33">
        <v>3.99092</v>
      </c>
      <c r="U232" s="33">
        <v>3</v>
      </c>
      <c r="V232" s="89" t="str">
        <f t="shared" si="6"/>
        <v>NE</v>
      </c>
      <c r="W232" s="90">
        <f t="shared" si="7"/>
        <v>7</v>
      </c>
      <c r="X232" s="91">
        <v>2025</v>
      </c>
    </row>
    <row r="233" spans="1:24" x14ac:dyDescent="0.25">
      <c r="A233" s="74" t="s">
        <v>400</v>
      </c>
      <c r="B233" s="33">
        <v>2025</v>
      </c>
      <c r="C233" s="33">
        <v>1592.32</v>
      </c>
      <c r="D233" s="33">
        <v>6.5848000000000004</v>
      </c>
      <c r="E233" s="33">
        <v>3.1271200000000001</v>
      </c>
      <c r="F233" s="33">
        <v>-0.39594699999999999</v>
      </c>
      <c r="G233" s="33">
        <v>0.95685600000000004</v>
      </c>
      <c r="H233" s="33">
        <v>0.1598</v>
      </c>
      <c r="I233" s="33">
        <v>0.2878</v>
      </c>
      <c r="J233" s="33">
        <v>2.91819E-2</v>
      </c>
      <c r="K233" s="33">
        <v>3.6299999999999999E-2</v>
      </c>
      <c r="L233" s="33">
        <v>5.6399999999999999E-2</v>
      </c>
      <c r="M233" s="33">
        <v>-8.6627499999999996E-2</v>
      </c>
      <c r="N233" s="169">
        <v>0.1235</v>
      </c>
      <c r="O233" s="33">
        <v>26.333300000000001</v>
      </c>
      <c r="P233" s="33">
        <v>20.833300000000001</v>
      </c>
      <c r="Q233" s="33">
        <v>5.5</v>
      </c>
      <c r="R233" s="33">
        <v>4</v>
      </c>
      <c r="S233" s="33">
        <v>3.8121</v>
      </c>
      <c r="T233" s="33">
        <v>4.44299</v>
      </c>
      <c r="U233" s="33">
        <v>3</v>
      </c>
      <c r="V233" s="89" t="str">
        <f t="shared" si="6"/>
        <v>GB</v>
      </c>
      <c r="W233" s="90">
        <f t="shared" si="7"/>
        <v>7</v>
      </c>
      <c r="X233" s="91">
        <v>2025</v>
      </c>
    </row>
    <row r="234" spans="1:24" x14ac:dyDescent="0.25">
      <c r="A234" s="74" t="s">
        <v>63</v>
      </c>
      <c r="B234" s="33">
        <v>2025</v>
      </c>
      <c r="C234" s="33">
        <v>1544.29</v>
      </c>
      <c r="D234" s="33">
        <v>15.5389</v>
      </c>
      <c r="E234" s="33">
        <v>1.2061500000000001</v>
      </c>
      <c r="F234" s="33">
        <v>-1.0056400000000001</v>
      </c>
      <c r="G234" s="33">
        <v>-0.40492699999999998</v>
      </c>
      <c r="H234" s="33">
        <v>4.3799999999999999E-2</v>
      </c>
      <c r="I234" s="33">
        <v>6.0100000000000001E-2</v>
      </c>
      <c r="J234" s="33">
        <v>1.8597700000000002E-2</v>
      </c>
      <c r="K234" s="33">
        <v>-4.2299999999999997E-2</v>
      </c>
      <c r="L234" s="33">
        <v>-0.1212</v>
      </c>
      <c r="M234" s="33">
        <v>-8.5631499999999999E-2</v>
      </c>
      <c r="N234" s="169">
        <v>8.6099999999999996E-2</v>
      </c>
      <c r="O234" s="33">
        <v>23.285699999999999</v>
      </c>
      <c r="P234" s="33">
        <v>18.142900000000001</v>
      </c>
      <c r="Q234" s="33">
        <v>5.1429</v>
      </c>
      <c r="R234" s="33">
        <v>5</v>
      </c>
      <c r="S234" s="33">
        <v>4.5058999999999996</v>
      </c>
      <c r="T234" s="33">
        <v>4.8360900000000004</v>
      </c>
      <c r="U234" s="33">
        <v>3</v>
      </c>
      <c r="V234" s="89" t="str">
        <f t="shared" si="6"/>
        <v>DEN</v>
      </c>
      <c r="W234" s="90">
        <f t="shared" si="7"/>
        <v>7</v>
      </c>
      <c r="X234" s="91">
        <v>2025</v>
      </c>
    </row>
    <row r="235" spans="1:24" x14ac:dyDescent="0.25">
      <c r="A235" s="74" t="s">
        <v>25</v>
      </c>
      <c r="B235" s="33">
        <v>2025</v>
      </c>
      <c r="C235" s="33">
        <v>1598.69</v>
      </c>
      <c r="D235" s="33">
        <v>-0.78849999999999998</v>
      </c>
      <c r="E235" s="33">
        <v>3.38232</v>
      </c>
      <c r="F235" s="33">
        <v>-0.15412600000000001</v>
      </c>
      <c r="G235" s="33">
        <v>-1.0214000000000001</v>
      </c>
      <c r="H235" s="33">
        <v>0.15409999999999999</v>
      </c>
      <c r="I235" s="33">
        <v>0.15989999999999999</v>
      </c>
      <c r="J235" s="33">
        <v>9.2792600000000003E-2</v>
      </c>
      <c r="K235" s="33">
        <v>7.5899999999999995E-2</v>
      </c>
      <c r="L235" s="33">
        <v>-1.9599999999999999E-2</v>
      </c>
      <c r="M235" s="33">
        <v>8.18493E-2</v>
      </c>
      <c r="N235" s="169">
        <v>7.8200000000000006E-2</v>
      </c>
      <c r="O235" s="33">
        <v>27.833300000000001</v>
      </c>
      <c r="P235" s="33">
        <v>22.833300000000001</v>
      </c>
      <c r="Q235" s="33">
        <v>5</v>
      </c>
      <c r="R235" s="33">
        <v>4</v>
      </c>
      <c r="S235" s="33">
        <v>3.6913</v>
      </c>
      <c r="T235" s="33">
        <v>5.18424</v>
      </c>
      <c r="U235" s="33">
        <v>3</v>
      </c>
      <c r="V235" s="89" t="str">
        <f t="shared" si="6"/>
        <v>BUF</v>
      </c>
      <c r="W235" s="90">
        <f t="shared" si="7"/>
        <v>7</v>
      </c>
      <c r="X235" s="91">
        <v>2025</v>
      </c>
    </row>
    <row r="236" spans="1:24" x14ac:dyDescent="0.25">
      <c r="A236" s="74" t="s">
        <v>85</v>
      </c>
      <c r="B236" s="33">
        <v>2025</v>
      </c>
      <c r="C236" s="33">
        <v>1516.31</v>
      </c>
      <c r="D236" s="33">
        <v>12.659000000000001</v>
      </c>
      <c r="E236" s="33">
        <v>8.6899400000000002E-2</v>
      </c>
      <c r="F236" s="33">
        <v>-0.27205099999999999</v>
      </c>
      <c r="G236" s="33">
        <v>1.4687499999999999E-2</v>
      </c>
      <c r="H236" s="33">
        <v>0.123</v>
      </c>
      <c r="I236" s="33">
        <v>0.16750000000000001</v>
      </c>
      <c r="J236" s="33">
        <v>-6.03902E-3</v>
      </c>
      <c r="K236" s="33">
        <v>6.2399999999999997E-2</v>
      </c>
      <c r="L236" s="33">
        <v>7.85E-2</v>
      </c>
      <c r="M236" s="33">
        <v>-1.1417099999999999E-2</v>
      </c>
      <c r="N236" s="169">
        <v>6.0600000000000001E-2</v>
      </c>
      <c r="O236" s="33">
        <v>25</v>
      </c>
      <c r="P236" s="33">
        <v>23.333300000000001</v>
      </c>
      <c r="Q236" s="33">
        <v>1.6667000000000001</v>
      </c>
      <c r="R236" s="33">
        <v>4</v>
      </c>
      <c r="S236" s="33">
        <v>3.2446999999999999</v>
      </c>
      <c r="T236" s="33">
        <v>3.9514499999999999</v>
      </c>
      <c r="U236" s="33">
        <v>3</v>
      </c>
      <c r="V236" s="89" t="str">
        <f t="shared" si="6"/>
        <v>PIT</v>
      </c>
      <c r="W236" s="90">
        <f t="shared" si="7"/>
        <v>7</v>
      </c>
      <c r="X236" s="91">
        <v>2025</v>
      </c>
    </row>
    <row r="237" spans="1:24" x14ac:dyDescent="0.25">
      <c r="A237" s="74" t="s">
        <v>14</v>
      </c>
      <c r="B237" s="33">
        <v>2025</v>
      </c>
      <c r="C237" s="33">
        <v>1530.84</v>
      </c>
      <c r="D237" s="33">
        <v>32.168199999999999</v>
      </c>
      <c r="E237" s="33">
        <v>0.66793899999999995</v>
      </c>
      <c r="F237" s="33">
        <v>1.0638300000000001</v>
      </c>
      <c r="G237" s="33">
        <v>1.6505399999999999</v>
      </c>
      <c r="H237" s="33">
        <v>0.21529999999999999</v>
      </c>
      <c r="I237" s="33">
        <v>0.25790000000000002</v>
      </c>
      <c r="J237" s="33">
        <v>2.1329500000000002E-3</v>
      </c>
      <c r="K237" s="33">
        <v>0.16250000000000001</v>
      </c>
      <c r="L237" s="33">
        <v>0.18440000000000001</v>
      </c>
      <c r="M237" s="33">
        <v>7.6397699999999999E-2</v>
      </c>
      <c r="N237" s="169">
        <v>5.28E-2</v>
      </c>
      <c r="O237" s="33">
        <v>31.714300000000001</v>
      </c>
      <c r="P237" s="33">
        <v>29.428599999999999</v>
      </c>
      <c r="Q237" s="33">
        <v>2.2856999999999998</v>
      </c>
      <c r="R237" s="33">
        <v>3</v>
      </c>
      <c r="S237" s="33">
        <v>3.8094000000000001</v>
      </c>
      <c r="T237" s="33">
        <v>3.4699800000000001</v>
      </c>
      <c r="U237" s="33">
        <v>2</v>
      </c>
      <c r="V237" s="89" t="str">
        <f t="shared" si="6"/>
        <v>DAL</v>
      </c>
      <c r="W237" s="90">
        <f t="shared" si="7"/>
        <v>7</v>
      </c>
      <c r="X237" s="91">
        <v>2025</v>
      </c>
    </row>
    <row r="238" spans="1:24" x14ac:dyDescent="0.25">
      <c r="A238" s="74" t="s">
        <v>75</v>
      </c>
      <c r="B238" s="33">
        <v>2025</v>
      </c>
      <c r="C238" s="33">
        <v>1480.22</v>
      </c>
      <c r="D238" s="33">
        <v>-22.540900000000001</v>
      </c>
      <c r="E238" s="33">
        <v>-1.3567400000000001</v>
      </c>
      <c r="F238" s="33">
        <v>-1.6052200000000001</v>
      </c>
      <c r="G238" s="33">
        <v>-2.0851899999999999</v>
      </c>
      <c r="H238" s="33">
        <v>-5.16E-2</v>
      </c>
      <c r="I238" s="33">
        <v>-4.87E-2</v>
      </c>
      <c r="J238" s="33">
        <v>-9.9007800000000007E-2</v>
      </c>
      <c r="K238" s="33">
        <v>-9.8599999999999993E-2</v>
      </c>
      <c r="L238" s="33">
        <v>-0.18559999999999999</v>
      </c>
      <c r="M238" s="33">
        <v>4.2368900000000001E-3</v>
      </c>
      <c r="N238" s="169">
        <v>4.7100000000000003E-2</v>
      </c>
      <c r="O238" s="33">
        <v>24.166699999999999</v>
      </c>
      <c r="P238" s="33">
        <v>20.833300000000001</v>
      </c>
      <c r="Q238" s="33">
        <v>3.3332999999999999</v>
      </c>
      <c r="R238" s="33">
        <v>3</v>
      </c>
      <c r="S238" s="33">
        <v>3.5223</v>
      </c>
      <c r="T238" s="33">
        <v>4.0413800000000002</v>
      </c>
      <c r="U238" s="33">
        <v>2</v>
      </c>
      <c r="V238" s="89" t="str">
        <f t="shared" si="6"/>
        <v>MIN</v>
      </c>
      <c r="W238" s="90">
        <f t="shared" si="7"/>
        <v>7</v>
      </c>
      <c r="X238" s="91">
        <v>2025</v>
      </c>
    </row>
    <row r="239" spans="1:24" x14ac:dyDescent="0.25">
      <c r="A239" s="74" t="s">
        <v>405</v>
      </c>
      <c r="B239" s="33">
        <v>2025</v>
      </c>
      <c r="C239" s="33">
        <v>1483.63</v>
      </c>
      <c r="D239" s="33">
        <v>-47.657200000000003</v>
      </c>
      <c r="E239" s="33">
        <v>-1.2202</v>
      </c>
      <c r="F239" s="33">
        <v>3.0507800000000002E-2</v>
      </c>
      <c r="G239" s="33">
        <v>-1.98516</v>
      </c>
      <c r="H239" s="33">
        <v>2.07E-2</v>
      </c>
      <c r="I239" s="33">
        <v>0.1017</v>
      </c>
      <c r="J239" s="33">
        <v>-0.115506</v>
      </c>
      <c r="K239" s="33">
        <v>-1.0699999999999999E-2</v>
      </c>
      <c r="L239" s="33">
        <v>3.3300000000000003E-2</v>
      </c>
      <c r="M239" s="33">
        <v>-7.2374499999999994E-2</v>
      </c>
      <c r="N239" s="169">
        <v>3.1300000000000001E-2</v>
      </c>
      <c r="O239" s="33">
        <v>20.714300000000001</v>
      </c>
      <c r="P239" s="33">
        <v>19.714300000000001</v>
      </c>
      <c r="Q239" s="33">
        <v>1</v>
      </c>
      <c r="R239" s="33">
        <v>5</v>
      </c>
      <c r="S239" s="33">
        <v>3.7050000000000001</v>
      </c>
      <c r="T239" s="33">
        <v>3.83148</v>
      </c>
      <c r="U239" s="33">
        <v>2</v>
      </c>
      <c r="V239" s="89" t="str">
        <f t="shared" si="6"/>
        <v>SF</v>
      </c>
      <c r="W239" s="90">
        <f t="shared" si="7"/>
        <v>7</v>
      </c>
      <c r="X239" s="91">
        <v>2025</v>
      </c>
    </row>
    <row r="240" spans="1:24" x14ac:dyDescent="0.25">
      <c r="A240" s="74" t="s">
        <v>41</v>
      </c>
      <c r="B240" s="33">
        <v>2025</v>
      </c>
      <c r="C240" s="33">
        <v>1518.33</v>
      </c>
      <c r="D240" s="33">
        <v>4.4772999999999996</v>
      </c>
      <c r="E240" s="33">
        <v>0.16772899999999999</v>
      </c>
      <c r="F240" s="33">
        <v>-1.4473199999999999</v>
      </c>
      <c r="G240" s="33">
        <v>-1.68092</v>
      </c>
      <c r="H240" s="33">
        <v>8.77E-2</v>
      </c>
      <c r="I240" s="33">
        <v>1.67E-2</v>
      </c>
      <c r="J240" s="33">
        <v>4.9803100000000003E-2</v>
      </c>
      <c r="K240" s="33">
        <v>6.1600000000000002E-2</v>
      </c>
      <c r="L240" s="33">
        <v>0.1052</v>
      </c>
      <c r="M240" s="33">
        <v>-3.0719900000000001E-2</v>
      </c>
      <c r="N240" s="169">
        <v>2.6100000000000002E-2</v>
      </c>
      <c r="O240" s="33">
        <v>25.714300000000001</v>
      </c>
      <c r="P240" s="33">
        <v>24.285699999999999</v>
      </c>
      <c r="Q240" s="33">
        <v>1.4286000000000001</v>
      </c>
      <c r="R240" s="33">
        <v>3</v>
      </c>
      <c r="S240" s="33">
        <v>3.7366999999999999</v>
      </c>
      <c r="T240" s="33">
        <v>4.5770799999999996</v>
      </c>
      <c r="U240" s="33">
        <v>3</v>
      </c>
      <c r="V240" s="89" t="str">
        <f t="shared" si="6"/>
        <v>WAS</v>
      </c>
      <c r="W240" s="90">
        <f t="shared" si="7"/>
        <v>7</v>
      </c>
      <c r="X240" s="91">
        <v>2025</v>
      </c>
    </row>
    <row r="241" spans="1:24" x14ac:dyDescent="0.25">
      <c r="A241" s="74" t="s">
        <v>38</v>
      </c>
      <c r="B241" s="33">
        <v>2025</v>
      </c>
      <c r="C241" s="33">
        <v>1603.44</v>
      </c>
      <c r="D241" s="33">
        <v>3.1959</v>
      </c>
      <c r="E241" s="33">
        <v>3.5721699999999998</v>
      </c>
      <c r="F241" s="33">
        <v>0.81357900000000005</v>
      </c>
      <c r="G241" s="33">
        <v>-1.2353099999999999</v>
      </c>
      <c r="H241" s="33">
        <v>2.3099999999999999E-2</v>
      </c>
      <c r="I241" s="33">
        <v>5.96E-2</v>
      </c>
      <c r="J241" s="33">
        <v>-1.7405299999999999E-2</v>
      </c>
      <c r="K241" s="33">
        <v>1.17E-2</v>
      </c>
      <c r="L241" s="33">
        <v>-2.3300000000000001E-2</v>
      </c>
      <c r="M241" s="33">
        <v>8.9462700000000005E-4</v>
      </c>
      <c r="N241" s="173">
        <v>1.14E-2</v>
      </c>
      <c r="O241" s="33">
        <v>24.285699999999999</v>
      </c>
      <c r="P241" s="33">
        <v>23.571400000000001</v>
      </c>
      <c r="Q241" s="33">
        <v>0.71430000000000005</v>
      </c>
      <c r="R241" s="33">
        <v>5</v>
      </c>
      <c r="S241" s="33">
        <v>3.6238000000000001</v>
      </c>
      <c r="T241" s="33">
        <v>5.7702099999999996</v>
      </c>
      <c r="U241" s="33">
        <v>4</v>
      </c>
      <c r="V241" s="89" t="str">
        <f t="shared" si="6"/>
        <v>PHI</v>
      </c>
      <c r="W241" s="90">
        <f t="shared" si="7"/>
        <v>7</v>
      </c>
      <c r="X241" s="91">
        <v>2025</v>
      </c>
    </row>
    <row r="242" spans="1:24" x14ac:dyDescent="0.25">
      <c r="A242" s="74" t="s">
        <v>72</v>
      </c>
      <c r="B242" s="33">
        <v>2025</v>
      </c>
      <c r="C242" s="33">
        <v>1481.42</v>
      </c>
      <c r="D242" s="33">
        <v>2.1040000000000001</v>
      </c>
      <c r="E242" s="33">
        <v>-1.30863</v>
      </c>
      <c r="F242" s="33">
        <v>-0.26580100000000001</v>
      </c>
      <c r="G242" s="33">
        <v>6.7723999999999996E-3</v>
      </c>
      <c r="H242" s="33">
        <v>-1.4999999999999999E-2</v>
      </c>
      <c r="I242" s="33">
        <v>7.9899999999999999E-2</v>
      </c>
      <c r="J242" s="33">
        <v>-5.4501599999999997E-2</v>
      </c>
      <c r="K242" s="33">
        <v>-1.89E-2</v>
      </c>
      <c r="L242" s="33">
        <v>-2.1399999999999999E-2</v>
      </c>
      <c r="M242" s="33">
        <v>-8.8324399999999997E-2</v>
      </c>
      <c r="N242" s="169">
        <v>3.8999999999999998E-3</v>
      </c>
      <c r="O242" s="33">
        <v>25.333300000000001</v>
      </c>
      <c r="P242" s="33">
        <v>25.833300000000001</v>
      </c>
      <c r="Q242" s="33">
        <v>-0.5</v>
      </c>
      <c r="R242" s="33">
        <v>4</v>
      </c>
      <c r="S242" s="33">
        <v>2.9304999999999999</v>
      </c>
      <c r="T242" s="33">
        <v>2.7650299999999999</v>
      </c>
      <c r="U242" s="33">
        <v>2</v>
      </c>
      <c r="V242" s="89" t="str">
        <f t="shared" si="6"/>
        <v>CHI</v>
      </c>
      <c r="W242" s="90">
        <f t="shared" si="7"/>
        <v>7</v>
      </c>
      <c r="X242" s="91">
        <v>2025</v>
      </c>
    </row>
    <row r="243" spans="1:24" x14ac:dyDescent="0.25">
      <c r="A243" s="74" t="s">
        <v>93</v>
      </c>
      <c r="B243" s="33">
        <v>2025</v>
      </c>
      <c r="C243" s="33">
        <v>1402.07</v>
      </c>
      <c r="D243" s="33">
        <v>-66.323700000000002</v>
      </c>
      <c r="E243" s="33">
        <v>-4.4828099999999997</v>
      </c>
      <c r="F243" s="33">
        <v>-0.15412600000000001</v>
      </c>
      <c r="G243" s="33">
        <v>-4.6733799999999999</v>
      </c>
      <c r="H243" s="33">
        <v>2.7099999999999999E-2</v>
      </c>
      <c r="I243" s="33">
        <v>5.0599999999999999E-2</v>
      </c>
      <c r="J243" s="33">
        <v>-6.63382E-2</v>
      </c>
      <c r="K243" s="33">
        <v>2.9700000000000001E-2</v>
      </c>
      <c r="L243" s="33">
        <v>7.9799999999999996E-2</v>
      </c>
      <c r="M243" s="33">
        <v>-9.3201300000000001E-2</v>
      </c>
      <c r="N243" s="169">
        <v>-2.7000000000000001E-3</v>
      </c>
      <c r="O243" s="33">
        <v>21.857099999999999</v>
      </c>
      <c r="P243" s="33">
        <v>22</v>
      </c>
      <c r="Q243" s="33">
        <v>-0.1429</v>
      </c>
      <c r="R243" s="33">
        <v>2</v>
      </c>
      <c r="S243" s="33">
        <v>3.4729999999999999</v>
      </c>
      <c r="T243" s="33">
        <v>3.6579999999999999</v>
      </c>
      <c r="U243" s="33">
        <v>2</v>
      </c>
      <c r="V243" s="89" t="str">
        <f t="shared" si="6"/>
        <v>ARI</v>
      </c>
      <c r="W243" s="90">
        <f t="shared" si="7"/>
        <v>7</v>
      </c>
      <c r="X243" s="91">
        <v>2025</v>
      </c>
    </row>
    <row r="244" spans="1:24" x14ac:dyDescent="0.25">
      <c r="A244" s="74" t="s">
        <v>402</v>
      </c>
      <c r="B244" s="33">
        <v>2025</v>
      </c>
      <c r="C244" s="33">
        <v>1520.82</v>
      </c>
      <c r="D244" s="33">
        <v>8.3425999999999991</v>
      </c>
      <c r="E244" s="33">
        <v>0.26740199999999997</v>
      </c>
      <c r="F244" s="33">
        <v>-1.1264799999999999</v>
      </c>
      <c r="G244" s="33">
        <v>3.4052699999999998E-2</v>
      </c>
      <c r="H244" s="33">
        <v>-1E-4</v>
      </c>
      <c r="I244" s="33">
        <v>6.7500000000000004E-2</v>
      </c>
      <c r="J244" s="33">
        <v>-5.3639300000000003E-3</v>
      </c>
      <c r="K244" s="33">
        <v>8.6E-3</v>
      </c>
      <c r="L244" s="33">
        <v>2.76E-2</v>
      </c>
      <c r="M244" s="33">
        <v>-7.2767399999999996E-2</v>
      </c>
      <c r="N244" s="169">
        <v>-8.6999999999999994E-3</v>
      </c>
      <c r="O244" s="33">
        <v>24.857099999999999</v>
      </c>
      <c r="P244" s="33">
        <v>25</v>
      </c>
      <c r="Q244" s="33">
        <v>-0.1429</v>
      </c>
      <c r="R244" s="33">
        <v>5</v>
      </c>
      <c r="S244" s="33">
        <v>3.4762</v>
      </c>
      <c r="T244" s="33">
        <v>4.0852199999999996</v>
      </c>
      <c r="U244" s="33">
        <v>3</v>
      </c>
      <c r="V244" s="89" t="str">
        <f t="shared" si="6"/>
        <v>TB</v>
      </c>
      <c r="W244" s="90">
        <f t="shared" si="7"/>
        <v>7</v>
      </c>
      <c r="X244" s="91">
        <v>2025</v>
      </c>
    </row>
    <row r="245" spans="1:24" x14ac:dyDescent="0.25">
      <c r="A245" s="74" t="s">
        <v>67</v>
      </c>
      <c r="B245" s="33">
        <v>2025</v>
      </c>
      <c r="C245" s="33">
        <v>1401.52</v>
      </c>
      <c r="D245" s="33">
        <v>1.1831</v>
      </c>
      <c r="E245" s="33">
        <v>-4.5047699999999997</v>
      </c>
      <c r="F245" s="33">
        <v>0.73428700000000002</v>
      </c>
      <c r="G245" s="33">
        <v>1.0965499999999999</v>
      </c>
      <c r="H245" s="33">
        <v>-2.5000000000000001E-3</v>
      </c>
      <c r="I245" s="33">
        <v>-6.4899999999999999E-2</v>
      </c>
      <c r="J245" s="33">
        <v>3.7788000000000002E-2</v>
      </c>
      <c r="K245" s="33">
        <v>8.5000000000000006E-3</v>
      </c>
      <c r="L245" s="33">
        <v>8.9399999999999993E-2</v>
      </c>
      <c r="M245" s="33">
        <v>-7.2875300000000004E-2</v>
      </c>
      <c r="N245" s="169">
        <v>-1.0999999999999999E-2</v>
      </c>
      <c r="O245" s="33">
        <v>20.714300000000001</v>
      </c>
      <c r="P245" s="33">
        <v>21.714300000000001</v>
      </c>
      <c r="Q245" s="33">
        <v>-1</v>
      </c>
      <c r="R245" s="33">
        <v>4</v>
      </c>
      <c r="S245" s="33">
        <v>3.3047</v>
      </c>
      <c r="T245" s="33">
        <v>3.1860200000000001</v>
      </c>
      <c r="U245" s="33">
        <v>3</v>
      </c>
      <c r="V245" s="89" t="str">
        <f t="shared" si="6"/>
        <v>CAR</v>
      </c>
      <c r="W245" s="90">
        <f t="shared" si="7"/>
        <v>7</v>
      </c>
      <c r="X245" s="91">
        <v>2025</v>
      </c>
    </row>
    <row r="246" spans="1:24" x14ac:dyDescent="0.25">
      <c r="A246" s="74" t="s">
        <v>69</v>
      </c>
      <c r="B246" s="33">
        <v>2025</v>
      </c>
      <c r="C246" s="33">
        <v>1495.55</v>
      </c>
      <c r="D246" s="33">
        <v>-6.3360000000000003</v>
      </c>
      <c r="E246" s="33">
        <v>-0.74330600000000002</v>
      </c>
      <c r="F246" s="33">
        <v>-0.49481900000000001</v>
      </c>
      <c r="G246" s="33">
        <v>0.335864</v>
      </c>
      <c r="H246" s="33">
        <v>-3.15E-2</v>
      </c>
      <c r="I246" s="33">
        <v>-5.2400000000000002E-2</v>
      </c>
      <c r="J246" s="33">
        <v>5.0247900000000003E-3</v>
      </c>
      <c r="K246" s="33">
        <v>-1.18E-2</v>
      </c>
      <c r="L246" s="33">
        <v>-0.12690000000000001</v>
      </c>
      <c r="M246" s="33">
        <v>2.25659E-2</v>
      </c>
      <c r="N246" s="169">
        <v>-1.9699999999999999E-2</v>
      </c>
      <c r="O246" s="33">
        <v>18.333300000000001</v>
      </c>
      <c r="P246" s="33">
        <v>20</v>
      </c>
      <c r="Q246" s="33">
        <v>-1.6667000000000001</v>
      </c>
      <c r="R246" s="33">
        <v>3</v>
      </c>
      <c r="S246" s="33">
        <v>2.6918000000000002</v>
      </c>
      <c r="T246" s="33">
        <v>3.1808800000000002</v>
      </c>
      <c r="U246" s="33">
        <v>4</v>
      </c>
      <c r="V246" s="89" t="str">
        <f t="shared" si="6"/>
        <v>ATL</v>
      </c>
      <c r="W246" s="90">
        <f t="shared" si="7"/>
        <v>7</v>
      </c>
      <c r="X246" s="91">
        <v>2025</v>
      </c>
    </row>
    <row r="247" spans="1:24" x14ac:dyDescent="0.25">
      <c r="A247" s="74" t="s">
        <v>44</v>
      </c>
      <c r="B247" s="33">
        <v>2025</v>
      </c>
      <c r="C247" s="33">
        <v>1466.56</v>
      </c>
      <c r="D247" s="33">
        <v>-1.7092000000000001</v>
      </c>
      <c r="E247" s="33">
        <v>-1.9029400000000001</v>
      </c>
      <c r="F247" s="33">
        <v>-0.15412600000000001</v>
      </c>
      <c r="G247" s="33">
        <v>4.4677700000000001E-2</v>
      </c>
      <c r="H247" s="33">
        <v>-1.38E-2</v>
      </c>
      <c r="I247" s="33">
        <v>-4.9099999999999998E-2</v>
      </c>
      <c r="J247" s="33">
        <v>4.3693799999999998E-2</v>
      </c>
      <c r="K247" s="33">
        <v>1.5900000000000001E-2</v>
      </c>
      <c r="L247" s="33">
        <v>-2.23E-2</v>
      </c>
      <c r="M247" s="33">
        <v>-6.3696100000000005E-2</v>
      </c>
      <c r="N247" s="169">
        <v>-2.9700000000000001E-2</v>
      </c>
      <c r="O247" s="33">
        <v>20.857099999999999</v>
      </c>
      <c r="P247" s="33">
        <v>22.142900000000001</v>
      </c>
      <c r="Q247" s="33">
        <v>-1.2857000000000001</v>
      </c>
      <c r="R247" s="33">
        <v>4</v>
      </c>
      <c r="S247" s="33">
        <v>3.2523</v>
      </c>
      <c r="T247" s="33">
        <v>2.8903400000000001</v>
      </c>
      <c r="U247" s="33">
        <v>4</v>
      </c>
      <c r="V247" s="89" t="str">
        <f t="shared" si="6"/>
        <v>JAX</v>
      </c>
      <c r="W247" s="90">
        <f t="shared" si="7"/>
        <v>7</v>
      </c>
      <c r="X247" s="91">
        <v>2025</v>
      </c>
    </row>
    <row r="248" spans="1:24" x14ac:dyDescent="0.25">
      <c r="A248" s="74" t="s">
        <v>60</v>
      </c>
      <c r="B248" s="33">
        <v>2025</v>
      </c>
      <c r="C248" s="33">
        <v>1523.89</v>
      </c>
      <c r="D248" s="33">
        <v>9.0189000000000004</v>
      </c>
      <c r="E248" s="33">
        <v>0.39008300000000001</v>
      </c>
      <c r="F248" s="33">
        <v>-0.50156699999999999</v>
      </c>
      <c r="G248" s="33">
        <v>-0.37674299999999999</v>
      </c>
      <c r="H248" s="33">
        <v>2.5499999999999998E-2</v>
      </c>
      <c r="I248" s="33">
        <v>1.2800000000000001E-2</v>
      </c>
      <c r="J248" s="33">
        <v>-6.8574900000000004E-4</v>
      </c>
      <c r="K248" s="33">
        <v>6.4100000000000004E-2</v>
      </c>
      <c r="L248" s="33">
        <v>1.8E-3</v>
      </c>
      <c r="M248" s="33">
        <v>8.8683799999999993E-2</v>
      </c>
      <c r="N248" s="169">
        <v>-3.8600000000000002E-2</v>
      </c>
      <c r="O248" s="33">
        <v>21.571400000000001</v>
      </c>
      <c r="P248" s="33">
        <v>23.285699999999999</v>
      </c>
      <c r="Q248" s="33">
        <v>-1.7142999999999999</v>
      </c>
      <c r="R248" s="33">
        <v>4</v>
      </c>
      <c r="S248" s="33">
        <v>3.1837</v>
      </c>
      <c r="T248" s="33">
        <v>4.6854300000000002</v>
      </c>
      <c r="U248" s="33">
        <v>3</v>
      </c>
      <c r="V248" s="89" t="str">
        <f t="shared" si="6"/>
        <v>LAC</v>
      </c>
      <c r="W248" s="90">
        <f t="shared" si="7"/>
        <v>7</v>
      </c>
      <c r="X248" s="91">
        <v>2025</v>
      </c>
    </row>
    <row r="249" spans="1:24" x14ac:dyDescent="0.25">
      <c r="A249" s="74" t="s">
        <v>95</v>
      </c>
      <c r="B249" s="33">
        <v>2025</v>
      </c>
      <c r="C249" s="33">
        <v>1409.4</v>
      </c>
      <c r="D249" s="33">
        <v>-29.434000000000001</v>
      </c>
      <c r="E249" s="33">
        <v>-4.1894400000000003</v>
      </c>
      <c r="F249" s="33">
        <v>1.1717500000000001</v>
      </c>
      <c r="G249" s="33">
        <v>0.55075200000000002</v>
      </c>
      <c r="H249" s="33">
        <v>1.09E-2</v>
      </c>
      <c r="I249" s="33">
        <v>-8.7599999999999997E-2</v>
      </c>
      <c r="J249" s="33">
        <v>-2.1952900000000001E-2</v>
      </c>
      <c r="K249" s="33">
        <v>6.0600000000000001E-2</v>
      </c>
      <c r="L249" s="33">
        <v>1.26E-2</v>
      </c>
      <c r="M249" s="33">
        <v>0.115497</v>
      </c>
      <c r="N249" s="169">
        <v>-4.9700000000000001E-2</v>
      </c>
      <c r="O249" s="33">
        <v>21.857099999999999</v>
      </c>
      <c r="P249" s="33">
        <v>25.285699999999999</v>
      </c>
      <c r="Q249" s="33">
        <v>-3.4285999999999999</v>
      </c>
      <c r="R249" s="33">
        <v>2</v>
      </c>
      <c r="S249" s="33">
        <v>2.9016000000000002</v>
      </c>
      <c r="T249" s="33">
        <v>1.93787</v>
      </c>
      <c r="U249" s="33">
        <v>3</v>
      </c>
      <c r="V249" s="89" t="str">
        <f t="shared" si="6"/>
        <v>NYG</v>
      </c>
      <c r="W249" s="90">
        <f t="shared" si="7"/>
        <v>7</v>
      </c>
      <c r="X249" s="91">
        <v>2025</v>
      </c>
    </row>
    <row r="250" spans="1:24" x14ac:dyDescent="0.25">
      <c r="A250" s="74" t="s">
        <v>91</v>
      </c>
      <c r="B250" s="33">
        <v>2025</v>
      </c>
      <c r="C250" s="33">
        <v>1400.11</v>
      </c>
      <c r="D250" s="33">
        <v>-42.188600000000001</v>
      </c>
      <c r="E250" s="33">
        <v>-4.5610999999999997</v>
      </c>
      <c r="F250" s="33">
        <v>1.91951</v>
      </c>
      <c r="G250" s="33">
        <v>1.70703E-2</v>
      </c>
      <c r="H250" s="33">
        <v>-0.17710000000000001</v>
      </c>
      <c r="I250" s="33">
        <v>-0.26340000000000002</v>
      </c>
      <c r="J250" s="33">
        <v>-2.5412199999999999E-2</v>
      </c>
      <c r="K250" s="33">
        <v>-7.8200000000000006E-2</v>
      </c>
      <c r="L250" s="33">
        <v>1.04E-2</v>
      </c>
      <c r="M250" s="33">
        <v>-0.19935800000000001</v>
      </c>
      <c r="N250" s="169">
        <v>-9.9000000000000005E-2</v>
      </c>
      <c r="O250" s="33">
        <v>16.142900000000001</v>
      </c>
      <c r="P250" s="33">
        <v>21.714300000000001</v>
      </c>
      <c r="Q250" s="33">
        <v>-5.5713999999999997</v>
      </c>
      <c r="R250" s="33">
        <v>2</v>
      </c>
      <c r="S250" s="33">
        <v>2.3184999999999998</v>
      </c>
      <c r="T250" s="33">
        <v>2.18973</v>
      </c>
      <c r="U250" s="33">
        <v>2</v>
      </c>
      <c r="V250" s="89" t="str">
        <f t="shared" si="6"/>
        <v>CLE</v>
      </c>
      <c r="W250" s="90">
        <f t="shared" si="7"/>
        <v>7</v>
      </c>
      <c r="X250" s="91">
        <v>2025</v>
      </c>
    </row>
    <row r="251" spans="1:24" x14ac:dyDescent="0.25">
      <c r="A251" s="74" t="s">
        <v>47</v>
      </c>
      <c r="B251" s="33">
        <v>2025</v>
      </c>
      <c r="C251" s="33">
        <v>1555.26</v>
      </c>
      <c r="D251" s="33">
        <v>16.9163</v>
      </c>
      <c r="E251" s="33">
        <v>1.6449199999999999</v>
      </c>
      <c r="F251" s="33">
        <v>-0.15412600000000001</v>
      </c>
      <c r="G251" s="33">
        <v>-4.8341200000000004</v>
      </c>
      <c r="H251" s="33">
        <v>5.1000000000000004E-3</v>
      </c>
      <c r="I251" s="33">
        <v>-5.3800000000000001E-2</v>
      </c>
      <c r="J251" s="33">
        <v>-2.3279999999999999E-2</v>
      </c>
      <c r="K251" s="33">
        <v>0.15409999999999999</v>
      </c>
      <c r="L251" s="33">
        <v>0.1885</v>
      </c>
      <c r="M251" s="33">
        <v>8.0905599999999994E-2</v>
      </c>
      <c r="N251" s="169">
        <v>-0.14899999999999999</v>
      </c>
      <c r="O251" s="33">
        <v>24</v>
      </c>
      <c r="P251" s="33">
        <v>32.333300000000001</v>
      </c>
      <c r="Q251" s="33">
        <v>-8.3332999999999995</v>
      </c>
      <c r="R251" s="33">
        <v>1</v>
      </c>
      <c r="S251" s="33">
        <v>1.9823999999999999</v>
      </c>
      <c r="T251" s="33">
        <v>3.90802</v>
      </c>
      <c r="U251" s="33">
        <v>2</v>
      </c>
      <c r="V251" s="89" t="str">
        <f t="shared" si="6"/>
        <v>BAL</v>
      </c>
      <c r="W251" s="90">
        <f t="shared" si="7"/>
        <v>7</v>
      </c>
      <c r="X251" s="91">
        <v>2025</v>
      </c>
    </row>
    <row r="252" spans="1:24" x14ac:dyDescent="0.25">
      <c r="A252" s="74" t="s">
        <v>79</v>
      </c>
      <c r="B252" s="33">
        <v>2025</v>
      </c>
      <c r="C252" s="33">
        <v>1384.55</v>
      </c>
      <c r="D252" s="33">
        <v>-17.417200000000001</v>
      </c>
      <c r="E252" s="33">
        <v>-5.1835699999999996</v>
      </c>
      <c r="F252" s="33">
        <v>-1.4519299999999999</v>
      </c>
      <c r="G252" s="33">
        <v>-2.02135</v>
      </c>
      <c r="H252" s="33">
        <v>-4.9700000000000001E-2</v>
      </c>
      <c r="I252" s="33">
        <v>-0.1288</v>
      </c>
      <c r="J252" s="33">
        <v>-7.9420500000000005E-2</v>
      </c>
      <c r="K252" s="33">
        <v>0.1109</v>
      </c>
      <c r="L252" s="33">
        <v>0.1913</v>
      </c>
      <c r="M252" s="33">
        <v>-3.4458900000000001E-2</v>
      </c>
      <c r="N252" s="169">
        <v>-0.1605</v>
      </c>
      <c r="O252" s="33">
        <v>18.428599999999999</v>
      </c>
      <c r="P252" s="33">
        <v>26.142900000000001</v>
      </c>
      <c r="Q252" s="33">
        <v>-7.7142999999999997</v>
      </c>
      <c r="R252" s="33">
        <v>0</v>
      </c>
      <c r="S252" s="33">
        <v>2.1274000000000002</v>
      </c>
      <c r="T252" s="33">
        <v>3.1194299999999999</v>
      </c>
      <c r="U252" s="33">
        <v>1</v>
      </c>
      <c r="V252" s="89" t="str">
        <f t="shared" si="6"/>
        <v>NYJ</v>
      </c>
      <c r="W252" s="90">
        <f t="shared" si="7"/>
        <v>7</v>
      </c>
      <c r="X252" s="91">
        <v>2025</v>
      </c>
    </row>
    <row r="253" spans="1:24" x14ac:dyDescent="0.25">
      <c r="A253" s="74" t="s">
        <v>403</v>
      </c>
      <c r="B253" s="33">
        <v>2025</v>
      </c>
      <c r="C253" s="33">
        <v>1345.12</v>
      </c>
      <c r="D253" s="33">
        <v>-2.7639999999999998</v>
      </c>
      <c r="E253" s="33">
        <v>-6.7606599999999997</v>
      </c>
      <c r="F253" s="33">
        <v>-0.68529799999999996</v>
      </c>
      <c r="G253" s="33">
        <v>-0.73292500000000005</v>
      </c>
      <c r="H253" s="33">
        <v>-0.13869999999999999</v>
      </c>
      <c r="I253" s="33">
        <v>-0.1177</v>
      </c>
      <c r="J253" s="33">
        <v>-5.2295800000000003E-2</v>
      </c>
      <c r="K253" s="33">
        <v>2.92E-2</v>
      </c>
      <c r="L253" s="33">
        <v>0.12920000000000001</v>
      </c>
      <c r="M253" s="33">
        <v>-8.5196400000000005E-2</v>
      </c>
      <c r="N253" s="169">
        <v>-0.16789999999999999</v>
      </c>
      <c r="O253" s="33">
        <v>17.857099999999999</v>
      </c>
      <c r="P253" s="33">
        <v>26.571400000000001</v>
      </c>
      <c r="Q253" s="33">
        <v>-8.7142999999999997</v>
      </c>
      <c r="R253" s="33">
        <v>1</v>
      </c>
      <c r="S253" s="33">
        <v>1.9636</v>
      </c>
      <c r="T253" s="33">
        <v>2.7791100000000002</v>
      </c>
      <c r="U253" s="33">
        <v>1</v>
      </c>
      <c r="V253" s="89" t="str">
        <f t="shared" si="6"/>
        <v>NO</v>
      </c>
      <c r="W253" s="90">
        <f t="shared" si="7"/>
        <v>7</v>
      </c>
      <c r="X253" s="91">
        <v>2025</v>
      </c>
    </row>
    <row r="254" spans="1:24" x14ac:dyDescent="0.25">
      <c r="A254" s="74" t="s">
        <v>2</v>
      </c>
      <c r="B254" s="33">
        <v>2025</v>
      </c>
      <c r="C254" s="33">
        <v>1357.25</v>
      </c>
      <c r="D254" s="33">
        <v>-20.584700000000002</v>
      </c>
      <c r="E254" s="33">
        <v>-6.27529</v>
      </c>
      <c r="F254" s="33">
        <v>-2.8380200000000002</v>
      </c>
      <c r="G254" s="33">
        <v>-6.03864</v>
      </c>
      <c r="H254" s="33">
        <v>-9.1999999999999998E-3</v>
      </c>
      <c r="I254" s="33">
        <v>-5.0900000000000001E-2</v>
      </c>
      <c r="J254" s="33">
        <v>-2.24239E-2</v>
      </c>
      <c r="K254" s="33">
        <v>0.1777</v>
      </c>
      <c r="L254" s="33">
        <v>0.26279999999999998</v>
      </c>
      <c r="M254" s="33">
        <v>9.7728999999999996E-2</v>
      </c>
      <c r="N254" s="169">
        <v>-0.187</v>
      </c>
      <c r="O254" s="33">
        <v>20</v>
      </c>
      <c r="P254" s="33">
        <v>29.285699999999999</v>
      </c>
      <c r="Q254" s="33">
        <v>-9.2857000000000003</v>
      </c>
      <c r="R254" s="33">
        <v>1</v>
      </c>
      <c r="S254" s="33">
        <v>2.0177999999999998</v>
      </c>
      <c r="T254" s="33">
        <v>3.6771500000000001</v>
      </c>
      <c r="U254" s="33">
        <v>3</v>
      </c>
      <c r="V254" s="89" t="str">
        <f t="shared" si="6"/>
        <v>MIA</v>
      </c>
      <c r="W254" s="90">
        <f t="shared" si="7"/>
        <v>7</v>
      </c>
      <c r="X254" s="91">
        <v>2025</v>
      </c>
    </row>
    <row r="255" spans="1:24" x14ac:dyDescent="0.25">
      <c r="A255" s="74" t="s">
        <v>77</v>
      </c>
      <c r="B255" s="33">
        <v>2025</v>
      </c>
      <c r="C255" s="33">
        <v>1418.46</v>
      </c>
      <c r="D255" s="33">
        <v>-69.374200000000002</v>
      </c>
      <c r="E255" s="33">
        <v>-3.82707</v>
      </c>
      <c r="F255" s="33">
        <v>0.67658700000000005</v>
      </c>
      <c r="G255" s="33">
        <v>-5.4994699999999996</v>
      </c>
      <c r="H255" s="33">
        <v>-4.8800000000000003E-2</v>
      </c>
      <c r="I255" s="33">
        <v>-0.13220000000000001</v>
      </c>
      <c r="J255" s="33">
        <v>-3.6345500000000003E-2</v>
      </c>
      <c r="K255" s="33">
        <v>0.15160000000000001</v>
      </c>
      <c r="L255" s="33">
        <v>0.23519999999999999</v>
      </c>
      <c r="M255" s="33">
        <v>6.1110100000000001E-2</v>
      </c>
      <c r="N255" s="169">
        <v>-0.20039999999999999</v>
      </c>
      <c r="O255" s="33">
        <v>19.428599999999999</v>
      </c>
      <c r="P255" s="33">
        <v>30.571400000000001</v>
      </c>
      <c r="Q255" s="33">
        <v>-11.142899999999999</v>
      </c>
      <c r="R255" s="33">
        <v>3</v>
      </c>
      <c r="S255" s="33">
        <v>1.782</v>
      </c>
      <c r="T255" s="33">
        <v>4.1051700000000002</v>
      </c>
      <c r="U255" s="33">
        <v>1</v>
      </c>
      <c r="V255" s="89" t="str">
        <f t="shared" si="6"/>
        <v>CIN</v>
      </c>
      <c r="W255" s="90">
        <f t="shared" si="7"/>
        <v>7</v>
      </c>
      <c r="X255" s="91">
        <v>2025</v>
      </c>
    </row>
    <row r="256" spans="1:24" x14ac:dyDescent="0.25">
      <c r="A256" s="74" t="s">
        <v>401</v>
      </c>
      <c r="B256" s="33">
        <v>2025</v>
      </c>
      <c r="C256" s="33">
        <v>1398.4</v>
      </c>
      <c r="D256" s="33">
        <v>-14.2193</v>
      </c>
      <c r="E256" s="33">
        <v>-4.6295200000000003</v>
      </c>
      <c r="F256" s="33">
        <v>-0.15412600000000001</v>
      </c>
      <c r="G256" s="33">
        <v>-2.19217</v>
      </c>
      <c r="H256" s="33">
        <v>-0.16869999999999999</v>
      </c>
      <c r="I256" s="33">
        <v>-0.1283</v>
      </c>
      <c r="J256" s="33">
        <v>-0.25938299999999997</v>
      </c>
      <c r="K256" s="33">
        <v>4.5600000000000002E-2</v>
      </c>
      <c r="L256" s="33">
        <v>0.1452</v>
      </c>
      <c r="M256" s="33">
        <v>-0.119993</v>
      </c>
      <c r="N256" s="173">
        <v>-0.21429999999999999</v>
      </c>
      <c r="O256" s="33">
        <v>14.7143</v>
      </c>
      <c r="P256" s="33">
        <v>25.714300000000001</v>
      </c>
      <c r="Q256" s="33">
        <v>-11</v>
      </c>
      <c r="R256" s="33">
        <v>2</v>
      </c>
      <c r="S256" s="33">
        <v>1.4722</v>
      </c>
      <c r="T256" s="33">
        <v>2.65449</v>
      </c>
      <c r="U256" s="33">
        <v>3</v>
      </c>
      <c r="V256" s="89" t="str">
        <f t="shared" si="6"/>
        <v>LV</v>
      </c>
      <c r="W256" s="90">
        <f t="shared" si="7"/>
        <v>7</v>
      </c>
      <c r="X256" s="91">
        <v>2025</v>
      </c>
    </row>
    <row r="257" spans="1:24" ht="15.75" thickBot="1" x14ac:dyDescent="0.3">
      <c r="A257" s="75" t="s">
        <v>89</v>
      </c>
      <c r="B257" s="76">
        <v>2025</v>
      </c>
      <c r="C257" s="76">
        <v>1290.07</v>
      </c>
      <c r="D257" s="76">
        <v>-22.4344</v>
      </c>
      <c r="E257" s="76">
        <v>-8.9626300000000008</v>
      </c>
      <c r="F257" s="76">
        <v>-1.02332</v>
      </c>
      <c r="G257" s="76">
        <v>-4.1295599999999997</v>
      </c>
      <c r="H257" s="76">
        <v>-0.19439999999999999</v>
      </c>
      <c r="I257" s="76">
        <v>-0.31390000000000001</v>
      </c>
      <c r="J257" s="76">
        <v>-0.14716000000000001</v>
      </c>
      <c r="K257" s="76">
        <v>7.51E-2</v>
      </c>
      <c r="L257" s="76">
        <v>0.16719999999999999</v>
      </c>
      <c r="M257" s="76">
        <v>-3.0726699999999999E-2</v>
      </c>
      <c r="N257" s="170">
        <v>-0.26960000000000001</v>
      </c>
      <c r="O257" s="76">
        <v>13.7143</v>
      </c>
      <c r="P257" s="76">
        <v>27.428599999999999</v>
      </c>
      <c r="Q257" s="76">
        <v>-13.7143</v>
      </c>
      <c r="R257" s="76">
        <v>1</v>
      </c>
      <c r="S257" s="76">
        <v>1.1346000000000001</v>
      </c>
      <c r="T257" s="76">
        <v>2.20513</v>
      </c>
      <c r="U257" s="76">
        <v>1</v>
      </c>
      <c r="V257" s="92" t="str">
        <f t="shared" si="6"/>
        <v>TEN</v>
      </c>
      <c r="W257" s="93">
        <f t="shared" si="7"/>
        <v>7</v>
      </c>
      <c r="X257" s="94">
        <v>2025</v>
      </c>
    </row>
    <row r="258" spans="1:24" x14ac:dyDescent="0.25">
      <c r="A258" s="74" t="s">
        <v>57</v>
      </c>
      <c r="B258" s="33">
        <v>2025</v>
      </c>
      <c r="C258" s="33">
        <v>1576.25</v>
      </c>
      <c r="D258" s="33">
        <v>29.740300000000001</v>
      </c>
      <c r="E258" s="33">
        <v>3.9249999999999998</v>
      </c>
      <c r="F258" s="33">
        <v>2.31257</v>
      </c>
      <c r="G258" s="33">
        <v>6.9973599999999996</v>
      </c>
      <c r="H258" s="33">
        <v>0.26569999999999999</v>
      </c>
      <c r="I258" s="33">
        <v>0.2828</v>
      </c>
      <c r="J258" s="33">
        <v>0.16211400000000001</v>
      </c>
      <c r="K258" s="33">
        <v>-2.0899999999999998E-2</v>
      </c>
      <c r="L258" s="33">
        <v>-4.0599999999999997E-2</v>
      </c>
      <c r="M258" s="33">
        <v>-2.04844E-2</v>
      </c>
      <c r="N258" s="173">
        <v>0.28660000000000002</v>
      </c>
      <c r="O258" s="33">
        <v>33.75</v>
      </c>
      <c r="P258" s="33">
        <v>19.25</v>
      </c>
      <c r="Q258" s="33">
        <v>14.5</v>
      </c>
      <c r="R258" s="33">
        <v>7</v>
      </c>
      <c r="S258" s="33">
        <v>6.3276000000000003</v>
      </c>
      <c r="T258" s="33">
        <v>5.0049400000000004</v>
      </c>
      <c r="U258" s="33">
        <v>7</v>
      </c>
      <c r="V258" s="89" t="str">
        <f t="shared" ref="V258:V321" si="8">IF(A258&lt;&gt;"",IF(A258="OAK","LV",A258),"")</f>
        <v>IND</v>
      </c>
      <c r="W258" s="90">
        <f t="shared" si="7"/>
        <v>8</v>
      </c>
      <c r="X258" s="91">
        <v>2025</v>
      </c>
    </row>
    <row r="259" spans="1:24" x14ac:dyDescent="0.25">
      <c r="A259" s="74" t="s">
        <v>10</v>
      </c>
      <c r="B259" s="33">
        <v>2025</v>
      </c>
      <c r="C259" s="33">
        <v>1638.39</v>
      </c>
      <c r="D259" s="33">
        <v>2.1686999999999999</v>
      </c>
      <c r="E259" s="33">
        <v>6.4103000000000003</v>
      </c>
      <c r="F259" s="33">
        <v>0.99833000000000005</v>
      </c>
      <c r="G259" s="33">
        <v>1.73681</v>
      </c>
      <c r="H259" s="33">
        <v>0.1153</v>
      </c>
      <c r="I259" s="33">
        <v>0.24410000000000001</v>
      </c>
      <c r="J259" s="33">
        <v>-2.8179900000000001E-2</v>
      </c>
      <c r="K259" s="33">
        <v>-7.17E-2</v>
      </c>
      <c r="L259" s="33">
        <v>-9.6000000000000002E-2</v>
      </c>
      <c r="M259" s="33">
        <v>-0.13017000000000001</v>
      </c>
      <c r="N259" s="169">
        <v>0.18690000000000001</v>
      </c>
      <c r="O259" s="33">
        <v>30.714300000000001</v>
      </c>
      <c r="P259" s="33">
        <v>21.571400000000001</v>
      </c>
      <c r="Q259" s="33">
        <v>9.1428999999999991</v>
      </c>
      <c r="R259" s="33">
        <v>5</v>
      </c>
      <c r="S259" s="33">
        <v>4.8855000000000004</v>
      </c>
      <c r="T259" s="33">
        <v>5.1271599999999999</v>
      </c>
      <c r="U259" s="33">
        <v>5</v>
      </c>
      <c r="V259" s="89" t="str">
        <f t="shared" si="8"/>
        <v>DET</v>
      </c>
      <c r="W259" s="90">
        <f t="shared" ref="W259:W322" si="9">W227+1</f>
        <v>8</v>
      </c>
      <c r="X259" s="91">
        <v>2025</v>
      </c>
    </row>
    <row r="260" spans="1:24" x14ac:dyDescent="0.25">
      <c r="A260" s="74" t="s">
        <v>399</v>
      </c>
      <c r="B260" s="33">
        <v>2025</v>
      </c>
      <c r="C260" s="33">
        <v>1672.72</v>
      </c>
      <c r="D260" s="33">
        <v>26.098800000000001</v>
      </c>
      <c r="E260" s="33">
        <v>7.7835599999999996</v>
      </c>
      <c r="F260" s="33">
        <v>1.41303</v>
      </c>
      <c r="G260" s="33">
        <v>4.4476500000000003</v>
      </c>
      <c r="H260" s="33">
        <v>0.17879999999999999</v>
      </c>
      <c r="I260" s="33">
        <v>0.2545</v>
      </c>
      <c r="J260" s="33">
        <v>6.9789699999999996E-2</v>
      </c>
      <c r="K260" s="33">
        <v>1.9E-3</v>
      </c>
      <c r="L260" s="33">
        <v>-0.1125</v>
      </c>
      <c r="M260" s="33">
        <v>-3.05661E-3</v>
      </c>
      <c r="N260" s="169">
        <v>0.1769</v>
      </c>
      <c r="O260" s="33">
        <v>26.75</v>
      </c>
      <c r="P260" s="33">
        <v>16.375</v>
      </c>
      <c r="Q260" s="33">
        <v>10.375</v>
      </c>
      <c r="R260" s="33">
        <v>5</v>
      </c>
      <c r="S260" s="33">
        <v>6.0952000000000002</v>
      </c>
      <c r="T260" s="33">
        <v>5.5463399999999998</v>
      </c>
      <c r="U260" s="33">
        <v>5</v>
      </c>
      <c r="V260" s="89" t="str">
        <f t="shared" si="8"/>
        <v>KC</v>
      </c>
      <c r="W260" s="90">
        <f t="shared" si="9"/>
        <v>8</v>
      </c>
      <c r="X260" s="91">
        <v>2025</v>
      </c>
    </row>
    <row r="261" spans="1:24" x14ac:dyDescent="0.25">
      <c r="A261" s="74" t="s">
        <v>31</v>
      </c>
      <c r="B261" s="33">
        <v>2025</v>
      </c>
      <c r="C261" s="33">
        <v>1578.26</v>
      </c>
      <c r="D261" s="33">
        <v>12.714700000000001</v>
      </c>
      <c r="E261" s="33">
        <v>4.0050800000000004</v>
      </c>
      <c r="F261" s="33">
        <v>1.69997</v>
      </c>
      <c r="G261" s="33">
        <v>4.2005699999999999</v>
      </c>
      <c r="H261" s="33">
        <v>-4.1000000000000003E-3</v>
      </c>
      <c r="I261" s="33">
        <v>4.6399999999999997E-2</v>
      </c>
      <c r="J261" s="33">
        <v>-3.2655700000000003E-2</v>
      </c>
      <c r="K261" s="33">
        <v>-0.1797</v>
      </c>
      <c r="L261" s="33">
        <v>-0.2303</v>
      </c>
      <c r="M261" s="33">
        <v>-9.2023399999999998E-3</v>
      </c>
      <c r="N261" s="169">
        <v>0.17560000000000001</v>
      </c>
      <c r="O261" s="33">
        <v>21.857099999999999</v>
      </c>
      <c r="P261" s="33">
        <v>14.7143</v>
      </c>
      <c r="Q261" s="33">
        <v>7.1429</v>
      </c>
      <c r="R261" s="33">
        <v>3</v>
      </c>
      <c r="S261" s="33">
        <v>5.0305999999999997</v>
      </c>
      <c r="T261" s="33">
        <v>4.0247900000000003</v>
      </c>
      <c r="U261" s="33">
        <v>4</v>
      </c>
      <c r="V261" s="89" t="str">
        <f t="shared" si="8"/>
        <v>HOU</v>
      </c>
      <c r="W261" s="90">
        <f t="shared" si="9"/>
        <v>8</v>
      </c>
      <c r="X261" s="91">
        <v>2025</v>
      </c>
    </row>
    <row r="262" spans="1:24" x14ac:dyDescent="0.25">
      <c r="A262" s="74" t="s">
        <v>25</v>
      </c>
      <c r="B262" s="33">
        <v>2025</v>
      </c>
      <c r="C262" s="33">
        <v>1608.09</v>
      </c>
      <c r="D262" s="33">
        <v>-3.3980999999999999</v>
      </c>
      <c r="E262" s="33">
        <v>5.1984899999999996</v>
      </c>
      <c r="F262" s="33">
        <v>1.3753899999999999</v>
      </c>
      <c r="G262" s="33">
        <v>0.79477100000000001</v>
      </c>
      <c r="H262" s="33">
        <v>0.1837</v>
      </c>
      <c r="I262" s="33">
        <v>0.18290000000000001</v>
      </c>
      <c r="J262" s="33">
        <v>0.13333200000000001</v>
      </c>
      <c r="K262" s="33">
        <v>2.4E-2</v>
      </c>
      <c r="L262" s="33">
        <v>-8.5099999999999995E-2</v>
      </c>
      <c r="M262" s="33">
        <v>3.09386E-2</v>
      </c>
      <c r="N262" s="169">
        <v>0.15970000000000001</v>
      </c>
      <c r="O262" s="33">
        <v>29.571400000000001</v>
      </c>
      <c r="P262" s="33">
        <v>20.857099999999999</v>
      </c>
      <c r="Q262" s="33">
        <v>8.7142999999999997</v>
      </c>
      <c r="R262" s="33">
        <v>5</v>
      </c>
      <c r="S262" s="33">
        <v>4.8705999999999996</v>
      </c>
      <c r="T262" s="33">
        <v>5.6873899999999997</v>
      </c>
      <c r="U262" s="33">
        <v>4</v>
      </c>
      <c r="V262" s="89" t="str">
        <f t="shared" si="8"/>
        <v>BUF</v>
      </c>
      <c r="W262" s="90">
        <f t="shared" si="9"/>
        <v>8</v>
      </c>
      <c r="X262" s="91">
        <v>2025</v>
      </c>
    </row>
    <row r="263" spans="1:24" x14ac:dyDescent="0.25">
      <c r="A263" s="74" t="s">
        <v>404</v>
      </c>
      <c r="B263" s="33">
        <v>2025</v>
      </c>
      <c r="C263" s="33">
        <v>1521.02</v>
      </c>
      <c r="D263" s="33">
        <v>25.298300000000001</v>
      </c>
      <c r="E263" s="33">
        <v>1.71576</v>
      </c>
      <c r="F263" s="33">
        <v>1.45285</v>
      </c>
      <c r="G263" s="33">
        <v>4.7657499999999997</v>
      </c>
      <c r="H263" s="33">
        <v>9.1499999999999998E-2</v>
      </c>
      <c r="I263" s="33">
        <v>0.32550000000000001</v>
      </c>
      <c r="J263" s="33">
        <v>-0.12181500000000001</v>
      </c>
      <c r="K263" s="33">
        <v>-6.3899999999999998E-2</v>
      </c>
      <c r="L263" s="33">
        <v>-2.5000000000000001E-3</v>
      </c>
      <c r="M263" s="33">
        <v>-0.113595</v>
      </c>
      <c r="N263" s="169">
        <v>0.15540000000000001</v>
      </c>
      <c r="O263" s="33">
        <v>26.625</v>
      </c>
      <c r="P263" s="33">
        <v>18.25</v>
      </c>
      <c r="Q263" s="33">
        <v>8.375</v>
      </c>
      <c r="R263" s="33">
        <v>6</v>
      </c>
      <c r="S263" s="33">
        <v>5.6795999999999998</v>
      </c>
      <c r="T263" s="33">
        <v>4.6403400000000001</v>
      </c>
      <c r="U263" s="33">
        <v>5</v>
      </c>
      <c r="V263" s="89" t="str">
        <f t="shared" si="8"/>
        <v>NE</v>
      </c>
      <c r="W263" s="90">
        <f t="shared" si="9"/>
        <v>8</v>
      </c>
      <c r="X263" s="91">
        <v>2025</v>
      </c>
    </row>
    <row r="264" spans="1:24" x14ac:dyDescent="0.25">
      <c r="A264" s="74" t="s">
        <v>55</v>
      </c>
      <c r="B264" s="33">
        <v>2025</v>
      </c>
      <c r="C264" s="33">
        <v>1589.32</v>
      </c>
      <c r="D264" s="33">
        <v>7.2793999999999999</v>
      </c>
      <c r="E264" s="33">
        <v>4.4475300000000004</v>
      </c>
      <c r="F264" s="33">
        <v>0.99833000000000005</v>
      </c>
      <c r="G264" s="33">
        <v>4.5197399999999996</v>
      </c>
      <c r="H264" s="33">
        <v>4.6600000000000003E-2</v>
      </c>
      <c r="I264" s="33">
        <v>0.1925</v>
      </c>
      <c r="J264" s="33">
        <v>-0.15795999999999999</v>
      </c>
      <c r="K264" s="33">
        <v>-9.9900000000000003E-2</v>
      </c>
      <c r="L264" s="33">
        <v>5.0099999999999999E-2</v>
      </c>
      <c r="M264" s="33">
        <v>-0.196691</v>
      </c>
      <c r="N264" s="169">
        <v>0.14649999999999999</v>
      </c>
      <c r="O264" s="33">
        <v>27.571400000000001</v>
      </c>
      <c r="P264" s="33">
        <v>19.428599999999999</v>
      </c>
      <c r="Q264" s="33">
        <v>8.1428999999999991</v>
      </c>
      <c r="R264" s="33">
        <v>5</v>
      </c>
      <c r="S264" s="33">
        <v>4.8738999999999999</v>
      </c>
      <c r="T264" s="33">
        <v>4.6893000000000002</v>
      </c>
      <c r="U264" s="33">
        <v>7</v>
      </c>
      <c r="V264" s="89" t="str">
        <f t="shared" si="8"/>
        <v>SEA</v>
      </c>
      <c r="W264" s="90">
        <f t="shared" si="9"/>
        <v>8</v>
      </c>
      <c r="X264" s="91">
        <v>2025</v>
      </c>
    </row>
    <row r="265" spans="1:24" x14ac:dyDescent="0.25">
      <c r="A265" s="74" t="s">
        <v>21</v>
      </c>
      <c r="B265" s="33">
        <v>2025</v>
      </c>
      <c r="C265" s="33">
        <v>1631.91</v>
      </c>
      <c r="D265" s="33">
        <v>18.0717</v>
      </c>
      <c r="E265" s="33">
        <v>6.15116</v>
      </c>
      <c r="F265" s="33">
        <v>0.99833000000000005</v>
      </c>
      <c r="G265" s="33">
        <v>5.0457099999999997</v>
      </c>
      <c r="H265" s="33">
        <v>5.45E-2</v>
      </c>
      <c r="I265" s="33">
        <v>0.19989999999999999</v>
      </c>
      <c r="J265" s="33">
        <v>-0.15615499999999999</v>
      </c>
      <c r="K265" s="33">
        <v>-8.8700000000000001E-2</v>
      </c>
      <c r="L265" s="33">
        <v>-0.14649999999999999</v>
      </c>
      <c r="M265" s="33">
        <v>-4.2831500000000002E-2</v>
      </c>
      <c r="N265" s="169">
        <v>0.14319999999999999</v>
      </c>
      <c r="O265" s="33">
        <v>25</v>
      </c>
      <c r="P265" s="33">
        <v>16.714300000000001</v>
      </c>
      <c r="Q265" s="33">
        <v>8.2857000000000003</v>
      </c>
      <c r="R265" s="33">
        <v>5</v>
      </c>
      <c r="S265" s="33">
        <v>5.0537000000000001</v>
      </c>
      <c r="T265" s="33">
        <v>5.0578900000000004</v>
      </c>
      <c r="U265" s="33">
        <v>7</v>
      </c>
      <c r="V265" s="89" t="str">
        <f t="shared" si="8"/>
        <v>LAR</v>
      </c>
      <c r="W265" s="90">
        <f t="shared" si="9"/>
        <v>8</v>
      </c>
      <c r="X265" s="91">
        <v>2025</v>
      </c>
    </row>
    <row r="266" spans="1:24" x14ac:dyDescent="0.25">
      <c r="A266" s="74" t="s">
        <v>400</v>
      </c>
      <c r="B266" s="33">
        <v>2025</v>
      </c>
      <c r="C266" s="33">
        <v>1615.91</v>
      </c>
      <c r="D266" s="33">
        <v>18.509499999999999</v>
      </c>
      <c r="E266" s="33">
        <v>5.5110799999999998</v>
      </c>
      <c r="F266" s="33">
        <v>1.9374</v>
      </c>
      <c r="G266" s="33">
        <v>3.3408199999999999</v>
      </c>
      <c r="H266" s="33">
        <v>0.1691</v>
      </c>
      <c r="I266" s="33">
        <v>0.3412</v>
      </c>
      <c r="J266" s="33">
        <v>8.8023400000000005E-3</v>
      </c>
      <c r="K266" s="33">
        <v>3.4599999999999999E-2</v>
      </c>
      <c r="L266" s="33">
        <v>2.0299999999999999E-2</v>
      </c>
      <c r="M266" s="33">
        <v>-8.4542900000000004E-2</v>
      </c>
      <c r="N266" s="169">
        <v>0.1346</v>
      </c>
      <c r="O266" s="33">
        <v>27.571400000000001</v>
      </c>
      <c r="P266" s="33">
        <v>21.428599999999999</v>
      </c>
      <c r="Q266" s="33">
        <v>6.1429</v>
      </c>
      <c r="R266" s="33">
        <v>5</v>
      </c>
      <c r="S266" s="33">
        <v>4.5153999999999996</v>
      </c>
      <c r="T266" s="33">
        <v>5.26065</v>
      </c>
      <c r="U266" s="33">
        <v>5</v>
      </c>
      <c r="V266" s="89" t="str">
        <f t="shared" si="8"/>
        <v>GB</v>
      </c>
      <c r="W266" s="90">
        <f t="shared" si="9"/>
        <v>8</v>
      </c>
      <c r="X266" s="91">
        <v>2025</v>
      </c>
    </row>
    <row r="267" spans="1:24" x14ac:dyDescent="0.25">
      <c r="A267" s="74" t="s">
        <v>63</v>
      </c>
      <c r="B267" s="33">
        <v>2025</v>
      </c>
      <c r="C267" s="33">
        <v>1561.98</v>
      </c>
      <c r="D267" s="33">
        <v>17.435500000000001</v>
      </c>
      <c r="E267" s="33">
        <v>3.3542100000000001</v>
      </c>
      <c r="F267" s="33">
        <v>1.68665</v>
      </c>
      <c r="G267" s="33">
        <v>1.7431300000000001</v>
      </c>
      <c r="H267" s="33">
        <v>8.9399999999999993E-2</v>
      </c>
      <c r="I267" s="33">
        <v>0.1026</v>
      </c>
      <c r="J267" s="33">
        <v>4.5395100000000001E-2</v>
      </c>
      <c r="K267" s="33">
        <v>-2.4400000000000002E-2</v>
      </c>
      <c r="L267" s="33">
        <v>-9.9500000000000005E-2</v>
      </c>
      <c r="M267" s="33">
        <v>-5.9958699999999997E-2</v>
      </c>
      <c r="N267" s="169">
        <v>0.1138</v>
      </c>
      <c r="O267" s="33">
        <v>25.875</v>
      </c>
      <c r="P267" s="33">
        <v>18.875</v>
      </c>
      <c r="Q267" s="33">
        <v>7</v>
      </c>
      <c r="R267" s="33">
        <v>6</v>
      </c>
      <c r="S267" s="33">
        <v>5.4291999999999998</v>
      </c>
      <c r="T267" s="33">
        <v>5.4593299999999996</v>
      </c>
      <c r="U267" s="33">
        <v>5</v>
      </c>
      <c r="V267" s="89" t="str">
        <f t="shared" si="8"/>
        <v>DEN</v>
      </c>
      <c r="W267" s="90">
        <f t="shared" si="9"/>
        <v>8</v>
      </c>
      <c r="X267" s="91">
        <v>2025</v>
      </c>
    </row>
    <row r="268" spans="1:24" x14ac:dyDescent="0.25">
      <c r="A268" s="74" t="s">
        <v>402</v>
      </c>
      <c r="B268" s="33">
        <v>2025</v>
      </c>
      <c r="C268" s="33">
        <v>1524</v>
      </c>
      <c r="D268" s="33">
        <v>8.3425999999999991</v>
      </c>
      <c r="E268" s="33">
        <v>1.8350599999999999</v>
      </c>
      <c r="F268" s="33">
        <v>0.99833000000000005</v>
      </c>
      <c r="G268" s="33">
        <v>1.60171</v>
      </c>
      <c r="H268" s="33">
        <v>-1.1599999999999999E-2</v>
      </c>
      <c r="I268" s="33">
        <v>5.5100000000000003E-2</v>
      </c>
      <c r="J268" s="33">
        <v>-3.6384800000000002E-2</v>
      </c>
      <c r="K268" s="33">
        <v>-6.0900000000000003E-2</v>
      </c>
      <c r="L268" s="33">
        <v>-7.3200000000000001E-2</v>
      </c>
      <c r="M268" s="33">
        <v>-0.100007</v>
      </c>
      <c r="N268" s="169">
        <v>4.9299999999999997E-2</v>
      </c>
      <c r="O268" s="33">
        <v>24.625</v>
      </c>
      <c r="P268" s="33">
        <v>22.25</v>
      </c>
      <c r="Q268" s="33">
        <v>2.375</v>
      </c>
      <c r="R268" s="33">
        <v>6</v>
      </c>
      <c r="S268" s="33">
        <v>4.4783999999999997</v>
      </c>
      <c r="T268" s="33">
        <v>4.0746200000000004</v>
      </c>
      <c r="U268" s="33">
        <v>3</v>
      </c>
      <c r="V268" s="89" t="str">
        <f t="shared" si="8"/>
        <v>TB</v>
      </c>
      <c r="W268" s="90">
        <f t="shared" si="9"/>
        <v>8</v>
      </c>
      <c r="X268" s="91">
        <v>2025</v>
      </c>
    </row>
    <row r="269" spans="1:24" x14ac:dyDescent="0.25">
      <c r="A269" s="74" t="s">
        <v>38</v>
      </c>
      <c r="B269" s="33">
        <v>2025</v>
      </c>
      <c r="C269" s="33">
        <v>1603.71</v>
      </c>
      <c r="D269" s="33">
        <v>3.1959</v>
      </c>
      <c r="E269" s="33">
        <v>5.0233699999999999</v>
      </c>
      <c r="F269" s="33">
        <v>0.99833000000000005</v>
      </c>
      <c r="G269" s="33">
        <v>0.215894</v>
      </c>
      <c r="H269" s="33">
        <v>7.3099999999999998E-2</v>
      </c>
      <c r="I269" s="33">
        <v>9.11E-2</v>
      </c>
      <c r="J269" s="33">
        <v>4.4888200000000003E-2</v>
      </c>
      <c r="K269" s="33">
        <v>2.4E-2</v>
      </c>
      <c r="L269" s="33">
        <v>-8.6E-3</v>
      </c>
      <c r="M269" s="33">
        <v>5.6231400000000004E-3</v>
      </c>
      <c r="N269" s="169">
        <v>4.9099999999999998E-2</v>
      </c>
      <c r="O269" s="33">
        <v>26</v>
      </c>
      <c r="P269" s="33">
        <v>23.125</v>
      </c>
      <c r="Q269" s="33">
        <v>2.875</v>
      </c>
      <c r="R269" s="33">
        <v>6</v>
      </c>
      <c r="S269" s="33">
        <v>4.5518999999999998</v>
      </c>
      <c r="T269" s="33">
        <v>5.7422300000000002</v>
      </c>
      <c r="U269" s="33">
        <v>6</v>
      </c>
      <c r="V269" s="89" t="str">
        <f t="shared" si="8"/>
        <v>PHI</v>
      </c>
      <c r="W269" s="90">
        <f t="shared" si="9"/>
        <v>8</v>
      </c>
      <c r="X269" s="91">
        <v>2025</v>
      </c>
    </row>
    <row r="270" spans="1:24" x14ac:dyDescent="0.25">
      <c r="A270" s="74" t="s">
        <v>60</v>
      </c>
      <c r="B270" s="33">
        <v>2025</v>
      </c>
      <c r="C270" s="33">
        <v>1542.33</v>
      </c>
      <c r="D270" s="33">
        <v>14.7125</v>
      </c>
      <c r="E270" s="33">
        <v>2.5678800000000002</v>
      </c>
      <c r="F270" s="33">
        <v>1.7255</v>
      </c>
      <c r="G270" s="33">
        <v>1.80105</v>
      </c>
      <c r="H270" s="33">
        <v>5.0599999999999999E-2</v>
      </c>
      <c r="I270" s="33">
        <v>5.04E-2</v>
      </c>
      <c r="J270" s="33">
        <v>1.2450299999999999E-2</v>
      </c>
      <c r="K270" s="33">
        <v>2.0299999999999999E-2</v>
      </c>
      <c r="L270" s="33">
        <v>-4.87E-2</v>
      </c>
      <c r="M270" s="33">
        <v>4.4072199999999999E-2</v>
      </c>
      <c r="N270" s="169">
        <v>3.0200000000000001E-2</v>
      </c>
      <c r="O270" s="33">
        <v>23.5</v>
      </c>
      <c r="P270" s="33">
        <v>21.625</v>
      </c>
      <c r="Q270" s="33">
        <v>1.875</v>
      </c>
      <c r="R270" s="33">
        <v>5</v>
      </c>
      <c r="S270" s="33">
        <v>4.3929</v>
      </c>
      <c r="T270" s="33">
        <v>5.4773500000000004</v>
      </c>
      <c r="U270" s="33">
        <v>4</v>
      </c>
      <c r="V270" s="89" t="str">
        <f t="shared" si="8"/>
        <v>LAC</v>
      </c>
      <c r="W270" s="90">
        <f t="shared" si="9"/>
        <v>8</v>
      </c>
      <c r="X270" s="91">
        <v>2025</v>
      </c>
    </row>
    <row r="271" spans="1:24" x14ac:dyDescent="0.25">
      <c r="A271" s="74" t="s">
        <v>85</v>
      </c>
      <c r="B271" s="33">
        <v>2025</v>
      </c>
      <c r="C271" s="33">
        <v>1502.62</v>
      </c>
      <c r="D271" s="33">
        <v>10.1822</v>
      </c>
      <c r="E271" s="33">
        <v>0.97977999999999998</v>
      </c>
      <c r="F271" s="33">
        <v>0.45019999999999999</v>
      </c>
      <c r="G271" s="33">
        <v>0.90756800000000004</v>
      </c>
      <c r="H271" s="33">
        <v>0.108</v>
      </c>
      <c r="I271" s="33">
        <v>0.1012</v>
      </c>
      <c r="J271" s="33">
        <v>-1.3088799999999999E-2</v>
      </c>
      <c r="K271" s="33">
        <v>8.3599999999999994E-2</v>
      </c>
      <c r="L271" s="33">
        <v>0.1484</v>
      </c>
      <c r="M271" s="33">
        <v>-2.81643E-2</v>
      </c>
      <c r="N271" s="169">
        <v>2.4500000000000001E-2</v>
      </c>
      <c r="O271" s="33">
        <v>25</v>
      </c>
      <c r="P271" s="33">
        <v>25</v>
      </c>
      <c r="Q271" s="33">
        <v>0</v>
      </c>
      <c r="R271" s="33">
        <v>4</v>
      </c>
      <c r="S271" s="33">
        <v>3.5</v>
      </c>
      <c r="T271" s="33">
        <v>4.4441699999999997</v>
      </c>
      <c r="U271" s="33">
        <v>3</v>
      </c>
      <c r="V271" s="89" t="str">
        <f t="shared" si="8"/>
        <v>PIT</v>
      </c>
      <c r="W271" s="90">
        <f t="shared" si="9"/>
        <v>8</v>
      </c>
      <c r="X271" s="91">
        <v>2025</v>
      </c>
    </row>
    <row r="272" spans="1:24" x14ac:dyDescent="0.25">
      <c r="A272" s="74" t="s">
        <v>14</v>
      </c>
      <c r="B272" s="33">
        <v>2025</v>
      </c>
      <c r="C272" s="33">
        <v>1504.45</v>
      </c>
      <c r="D272" s="33">
        <v>21.326899999999998</v>
      </c>
      <c r="E272" s="33">
        <v>1.0527500000000001</v>
      </c>
      <c r="F272" s="33">
        <v>-3.1679600000000002E-2</v>
      </c>
      <c r="G272" s="33">
        <v>2.0353599999999998</v>
      </c>
      <c r="H272" s="33">
        <v>0.19850000000000001</v>
      </c>
      <c r="I272" s="33">
        <v>0.23230000000000001</v>
      </c>
      <c r="J272" s="33">
        <v>1.39753E-2</v>
      </c>
      <c r="K272" s="33">
        <v>0.1943</v>
      </c>
      <c r="L272" s="33">
        <v>0.21609999999999999</v>
      </c>
      <c r="M272" s="33">
        <v>9.42186E-2</v>
      </c>
      <c r="N272" s="169">
        <v>4.1999999999999997E-3</v>
      </c>
      <c r="O272" s="33">
        <v>30.75</v>
      </c>
      <c r="P272" s="33">
        <v>31.25</v>
      </c>
      <c r="Q272" s="33">
        <v>-0.5</v>
      </c>
      <c r="R272" s="33">
        <v>3</v>
      </c>
      <c r="S272" s="33">
        <v>3.9236</v>
      </c>
      <c r="T272" s="33">
        <v>4.0118499999999999</v>
      </c>
      <c r="U272" s="33">
        <v>3</v>
      </c>
      <c r="V272" s="89" t="str">
        <f t="shared" si="8"/>
        <v>DAL</v>
      </c>
      <c r="W272" s="90">
        <f t="shared" si="9"/>
        <v>8</v>
      </c>
      <c r="X272" s="91">
        <v>2025</v>
      </c>
    </row>
    <row r="273" spans="1:24" x14ac:dyDescent="0.25">
      <c r="A273" s="74" t="s">
        <v>93</v>
      </c>
      <c r="B273" s="33">
        <v>2025</v>
      </c>
      <c r="C273" s="33">
        <v>1466.78</v>
      </c>
      <c r="D273" s="33">
        <v>-6.3417000000000003</v>
      </c>
      <c r="E273" s="33">
        <v>-0.45405299999999998</v>
      </c>
      <c r="F273" s="33">
        <v>0.99833000000000005</v>
      </c>
      <c r="G273" s="33">
        <v>-0.64461900000000005</v>
      </c>
      <c r="H273" s="33">
        <v>2.7099999999999999E-2</v>
      </c>
      <c r="I273" s="33">
        <v>5.0599999999999999E-2</v>
      </c>
      <c r="J273" s="33">
        <v>-6.63382E-2</v>
      </c>
      <c r="K273" s="33">
        <v>2.9700000000000001E-2</v>
      </c>
      <c r="L273" s="33">
        <v>7.9799999999999996E-2</v>
      </c>
      <c r="M273" s="33">
        <v>-9.3201300000000001E-2</v>
      </c>
      <c r="N273" s="169">
        <v>-2.7000000000000001E-3</v>
      </c>
      <c r="O273" s="33">
        <v>21.857099999999999</v>
      </c>
      <c r="P273" s="33">
        <v>22</v>
      </c>
      <c r="Q273" s="33">
        <v>-0.1429</v>
      </c>
      <c r="R273" s="33">
        <v>2</v>
      </c>
      <c r="S273" s="33">
        <v>3.4729999999999999</v>
      </c>
      <c r="T273" s="33">
        <v>4.0607600000000001</v>
      </c>
      <c r="U273" s="33">
        <v>2</v>
      </c>
      <c r="V273" s="89" t="str">
        <f t="shared" si="8"/>
        <v>ARI</v>
      </c>
      <c r="W273" s="90">
        <f t="shared" si="9"/>
        <v>8</v>
      </c>
      <c r="X273" s="91">
        <v>2025</v>
      </c>
    </row>
    <row r="274" spans="1:24" x14ac:dyDescent="0.25">
      <c r="A274" s="74" t="s">
        <v>405</v>
      </c>
      <c r="B274" s="33">
        <v>2025</v>
      </c>
      <c r="C274" s="33">
        <v>1481.13</v>
      </c>
      <c r="D274" s="33">
        <v>-43.517299999999999</v>
      </c>
      <c r="E274" s="33">
        <v>0.12002</v>
      </c>
      <c r="F274" s="33">
        <v>0.90263199999999999</v>
      </c>
      <c r="G274" s="33">
        <v>-0.64494099999999999</v>
      </c>
      <c r="H274" s="33">
        <v>2.3199999999999998E-2</v>
      </c>
      <c r="I274" s="33">
        <v>8.1299999999999997E-2</v>
      </c>
      <c r="J274" s="33">
        <v>-0.105296</v>
      </c>
      <c r="K274" s="33">
        <v>2.6499999999999999E-2</v>
      </c>
      <c r="L274" s="33">
        <v>9.9299999999999999E-2</v>
      </c>
      <c r="M274" s="33">
        <v>-6.8610099999999993E-2</v>
      </c>
      <c r="N274" s="169">
        <v>-3.3999999999999998E-3</v>
      </c>
      <c r="O274" s="33">
        <v>20</v>
      </c>
      <c r="P274" s="33">
        <v>20.5</v>
      </c>
      <c r="Q274" s="33">
        <v>-0.5</v>
      </c>
      <c r="R274" s="33">
        <v>5</v>
      </c>
      <c r="S274" s="33">
        <v>3.883</v>
      </c>
      <c r="T274" s="33">
        <v>4.4784300000000004</v>
      </c>
      <c r="U274" s="33">
        <v>3</v>
      </c>
      <c r="V274" s="89" t="str">
        <f t="shared" si="8"/>
        <v>SF</v>
      </c>
      <c r="W274" s="90">
        <f t="shared" si="9"/>
        <v>8</v>
      </c>
      <c r="X274" s="91">
        <v>2025</v>
      </c>
    </row>
    <row r="275" spans="1:24" x14ac:dyDescent="0.25">
      <c r="A275" s="74" t="s">
        <v>41</v>
      </c>
      <c r="B275" s="33">
        <v>2025</v>
      </c>
      <c r="C275" s="33">
        <v>1455.73</v>
      </c>
      <c r="D275" s="33">
        <v>-45.749200000000002</v>
      </c>
      <c r="E275" s="33">
        <v>-0.89588900000000005</v>
      </c>
      <c r="F275" s="33">
        <v>0.44808599999999998</v>
      </c>
      <c r="G275" s="33">
        <v>-2.7445400000000002</v>
      </c>
      <c r="H275" s="33">
        <v>6.3200000000000006E-2</v>
      </c>
      <c r="I275" s="33">
        <v>-1.6899999999999998E-2</v>
      </c>
      <c r="J275" s="33">
        <v>3.5686900000000001E-2</v>
      </c>
      <c r="K275" s="33">
        <v>8.6599999999999996E-2</v>
      </c>
      <c r="L275" s="33">
        <v>0.14560000000000001</v>
      </c>
      <c r="M275" s="33">
        <v>-1.47207E-2</v>
      </c>
      <c r="N275" s="169">
        <v>-2.35E-2</v>
      </c>
      <c r="O275" s="33">
        <v>23.375</v>
      </c>
      <c r="P275" s="33">
        <v>24.75</v>
      </c>
      <c r="Q275" s="33">
        <v>-1.375</v>
      </c>
      <c r="R275" s="33">
        <v>3</v>
      </c>
      <c r="S275" s="33">
        <v>3.7294999999999998</v>
      </c>
      <c r="T275" s="33">
        <v>5.0019200000000001</v>
      </c>
      <c r="U275" s="33">
        <v>3</v>
      </c>
      <c r="V275" s="89" t="str">
        <f t="shared" si="8"/>
        <v>WAS</v>
      </c>
      <c r="W275" s="90">
        <f t="shared" si="9"/>
        <v>8</v>
      </c>
      <c r="X275" s="91">
        <v>2025</v>
      </c>
    </row>
    <row r="276" spans="1:24" x14ac:dyDescent="0.25">
      <c r="A276" s="74" t="s">
        <v>44</v>
      </c>
      <c r="B276" s="33">
        <v>2025</v>
      </c>
      <c r="C276" s="33">
        <v>1446.91</v>
      </c>
      <c r="D276" s="33">
        <v>-9.1014999999999997</v>
      </c>
      <c r="E276" s="33">
        <v>-1.24855</v>
      </c>
      <c r="F276" s="33">
        <v>0.99833000000000005</v>
      </c>
      <c r="G276" s="33">
        <v>0.69906199999999996</v>
      </c>
      <c r="H276" s="33">
        <v>-9.1000000000000004E-3</v>
      </c>
      <c r="I276" s="33">
        <v>-4.9099999999999998E-2</v>
      </c>
      <c r="J276" s="33">
        <v>4.3693799999999998E-2</v>
      </c>
      <c r="K276" s="33">
        <v>1.5900000000000001E-2</v>
      </c>
      <c r="L276" s="33">
        <v>-2.23E-2</v>
      </c>
      <c r="M276" s="33">
        <v>-6.3696100000000005E-2</v>
      </c>
      <c r="N276" s="169">
        <v>-2.5000000000000001E-2</v>
      </c>
      <c r="O276" s="33">
        <v>20.857099999999999</v>
      </c>
      <c r="P276" s="33">
        <v>22.142900000000001</v>
      </c>
      <c r="Q276" s="33">
        <v>-1.2857000000000001</v>
      </c>
      <c r="R276" s="33">
        <v>4</v>
      </c>
      <c r="S276" s="33">
        <v>3.2523</v>
      </c>
      <c r="T276" s="33">
        <v>3.41676</v>
      </c>
      <c r="U276" s="33">
        <v>4</v>
      </c>
      <c r="V276" s="89" t="str">
        <f t="shared" si="8"/>
        <v>JAX</v>
      </c>
      <c r="W276" s="90">
        <f t="shared" si="9"/>
        <v>8</v>
      </c>
      <c r="X276" s="91">
        <v>2025</v>
      </c>
    </row>
    <row r="277" spans="1:24" x14ac:dyDescent="0.25">
      <c r="A277" s="74" t="s">
        <v>72</v>
      </c>
      <c r="B277" s="33">
        <v>2025</v>
      </c>
      <c r="C277" s="33">
        <v>1460.29</v>
      </c>
      <c r="D277" s="33">
        <v>3.9733999999999998</v>
      </c>
      <c r="E277" s="33">
        <v>-0.71365699999999999</v>
      </c>
      <c r="F277" s="33">
        <v>0.146704</v>
      </c>
      <c r="G277" s="33">
        <v>0.60174300000000003</v>
      </c>
      <c r="H277" s="33">
        <v>-5.3E-3</v>
      </c>
      <c r="I277" s="33">
        <v>7.1400000000000005E-2</v>
      </c>
      <c r="J277" s="33">
        <v>-4.6085399999999999E-2</v>
      </c>
      <c r="K277" s="33">
        <v>2.9100000000000001E-2</v>
      </c>
      <c r="L277" s="33">
        <v>7.9000000000000008E-3</v>
      </c>
      <c r="M277" s="33">
        <v>-3.3262100000000003E-2</v>
      </c>
      <c r="N277" s="169">
        <v>-3.44E-2</v>
      </c>
      <c r="O277" s="33">
        <v>24</v>
      </c>
      <c r="P277" s="33">
        <v>26.428599999999999</v>
      </c>
      <c r="Q277" s="33">
        <v>-2.4285999999999999</v>
      </c>
      <c r="R277" s="33">
        <v>4</v>
      </c>
      <c r="S277" s="33">
        <v>3.1019000000000001</v>
      </c>
      <c r="T277" s="33">
        <v>3.3390300000000002</v>
      </c>
      <c r="U277" s="33">
        <v>4</v>
      </c>
      <c r="V277" s="89" t="str">
        <f t="shared" si="8"/>
        <v>CHI</v>
      </c>
      <c r="W277" s="90">
        <f t="shared" si="9"/>
        <v>8</v>
      </c>
      <c r="X277" s="91">
        <v>2025</v>
      </c>
    </row>
    <row r="278" spans="1:24" x14ac:dyDescent="0.25">
      <c r="A278" s="74" t="s">
        <v>75</v>
      </c>
      <c r="B278" s="33">
        <v>2025</v>
      </c>
      <c r="C278" s="33">
        <v>1475.13</v>
      </c>
      <c r="D278" s="33">
        <v>-14.838200000000001</v>
      </c>
      <c r="E278" s="33">
        <v>-0.12002</v>
      </c>
      <c r="F278" s="33">
        <v>0.14288600000000001</v>
      </c>
      <c r="G278" s="33">
        <v>-0.84846699999999997</v>
      </c>
      <c r="H278" s="33">
        <v>-8.7900000000000006E-2</v>
      </c>
      <c r="I278" s="33">
        <v>-9.9400000000000002E-2</v>
      </c>
      <c r="J278" s="33">
        <v>-0.138873</v>
      </c>
      <c r="K278" s="33">
        <v>-4.6100000000000002E-2</v>
      </c>
      <c r="L278" s="33">
        <v>-9.8400000000000001E-2</v>
      </c>
      <c r="M278" s="33">
        <v>1.59591E-2</v>
      </c>
      <c r="N278" s="169">
        <v>-4.1799999999999997E-2</v>
      </c>
      <c r="O278" s="33">
        <v>22.142900000000001</v>
      </c>
      <c r="P278" s="33">
        <v>23.142900000000001</v>
      </c>
      <c r="Q278" s="33">
        <v>-1</v>
      </c>
      <c r="R278" s="33">
        <v>3</v>
      </c>
      <c r="S278" s="33">
        <v>3.3170000000000002</v>
      </c>
      <c r="T278" s="33">
        <v>4.2962499999999997</v>
      </c>
      <c r="U278" s="33">
        <v>2</v>
      </c>
      <c r="V278" s="89" t="str">
        <f t="shared" si="8"/>
        <v>MIN</v>
      </c>
      <c r="W278" s="90">
        <f t="shared" si="9"/>
        <v>8</v>
      </c>
      <c r="X278" s="91">
        <v>2025</v>
      </c>
    </row>
    <row r="279" spans="1:24" x14ac:dyDescent="0.25">
      <c r="A279" s="74" t="s">
        <v>95</v>
      </c>
      <c r="B279" s="33">
        <v>2025</v>
      </c>
      <c r="C279" s="33">
        <v>1400.56</v>
      </c>
      <c r="D279" s="33">
        <v>-30.120799999999999</v>
      </c>
      <c r="E279" s="33">
        <v>-3.10283</v>
      </c>
      <c r="F279" s="33">
        <v>0.65676299999999999</v>
      </c>
      <c r="G279" s="33">
        <v>1.63737</v>
      </c>
      <c r="H279" s="33">
        <v>2.29E-2</v>
      </c>
      <c r="I279" s="33">
        <v>-6.6100000000000006E-2</v>
      </c>
      <c r="J279" s="33">
        <v>-1.55449E-2</v>
      </c>
      <c r="K279" s="33">
        <v>0.1003</v>
      </c>
      <c r="L279" s="33">
        <v>3.8800000000000001E-2</v>
      </c>
      <c r="M279" s="33">
        <v>0.15935099999999999</v>
      </c>
      <c r="N279" s="169">
        <v>-7.7299999999999994E-2</v>
      </c>
      <c r="O279" s="33">
        <v>21.625</v>
      </c>
      <c r="P279" s="33">
        <v>26.875</v>
      </c>
      <c r="Q279" s="33">
        <v>-5.25</v>
      </c>
      <c r="R279" s="33">
        <v>2</v>
      </c>
      <c r="S279" s="33">
        <v>2.992</v>
      </c>
      <c r="T279" s="33">
        <v>2.4048699999999998</v>
      </c>
      <c r="U279" s="33">
        <v>3</v>
      </c>
      <c r="V279" s="89" t="str">
        <f t="shared" si="8"/>
        <v>NYG</v>
      </c>
      <c r="W279" s="90">
        <f t="shared" si="9"/>
        <v>8</v>
      </c>
      <c r="X279" s="91">
        <v>2025</v>
      </c>
    </row>
    <row r="280" spans="1:24" x14ac:dyDescent="0.25">
      <c r="A280" s="74" t="s">
        <v>47</v>
      </c>
      <c r="B280" s="33">
        <v>2025</v>
      </c>
      <c r="C280" s="33">
        <v>1462.77</v>
      </c>
      <c r="D280" s="33">
        <v>-99.390799999999999</v>
      </c>
      <c r="E280" s="33">
        <v>-0.61445300000000003</v>
      </c>
      <c r="F280" s="33">
        <v>2.3231600000000001</v>
      </c>
      <c r="G280" s="33">
        <v>-7.0934900000000001</v>
      </c>
      <c r="H280" s="33">
        <v>5.1400000000000001E-2</v>
      </c>
      <c r="I280" s="33">
        <v>-1.89E-2</v>
      </c>
      <c r="J280" s="33">
        <v>2.2964600000000002E-2</v>
      </c>
      <c r="K280" s="33">
        <v>0.14080000000000001</v>
      </c>
      <c r="L280" s="33">
        <v>0.16500000000000001</v>
      </c>
      <c r="M280" s="33">
        <v>7.3737499999999997E-2</v>
      </c>
      <c r="N280" s="169">
        <v>-8.9399999999999993E-2</v>
      </c>
      <c r="O280" s="33">
        <v>24.857099999999999</v>
      </c>
      <c r="P280" s="33">
        <v>30</v>
      </c>
      <c r="Q280" s="33">
        <v>-5.1429</v>
      </c>
      <c r="R280" s="33">
        <v>2</v>
      </c>
      <c r="S280" s="33">
        <v>2.7326999999999999</v>
      </c>
      <c r="T280" s="33">
        <v>4.3363199999999997</v>
      </c>
      <c r="U280" s="33">
        <v>3</v>
      </c>
      <c r="V280" s="89" t="str">
        <f t="shared" si="8"/>
        <v>BAL</v>
      </c>
      <c r="W280" s="90">
        <f t="shared" si="9"/>
        <v>8</v>
      </c>
      <c r="X280" s="91">
        <v>2025</v>
      </c>
    </row>
    <row r="281" spans="1:24" x14ac:dyDescent="0.25">
      <c r="A281" s="74" t="s">
        <v>69</v>
      </c>
      <c r="B281" s="33">
        <v>2025</v>
      </c>
      <c r="C281" s="33">
        <v>1450.83</v>
      </c>
      <c r="D281" s="33">
        <v>-4.7705000000000002</v>
      </c>
      <c r="E281" s="33">
        <v>-1.09202</v>
      </c>
      <c r="F281" s="33">
        <v>-3.0405099999999998</v>
      </c>
      <c r="G281" s="33">
        <v>-1.2846700000000001E-2</v>
      </c>
      <c r="H281" s="33">
        <v>-6.2600000000000003E-2</v>
      </c>
      <c r="I281" s="33">
        <v>-7.0599999999999996E-2</v>
      </c>
      <c r="J281" s="33">
        <v>-4.8993000000000002E-2</v>
      </c>
      <c r="K281" s="33">
        <v>2.76E-2</v>
      </c>
      <c r="L281" s="33">
        <v>-7.4499999999999997E-2</v>
      </c>
      <c r="M281" s="33">
        <v>3.39922E-2</v>
      </c>
      <c r="N281" s="169">
        <v>-9.0200000000000002E-2</v>
      </c>
      <c r="O281" s="33">
        <v>17.142900000000001</v>
      </c>
      <c r="P281" s="33">
        <v>22</v>
      </c>
      <c r="Q281" s="33">
        <v>-4.8571</v>
      </c>
      <c r="R281" s="33">
        <v>3</v>
      </c>
      <c r="S281" s="33">
        <v>2.4944999999999999</v>
      </c>
      <c r="T281" s="33">
        <v>3.5115799999999999</v>
      </c>
      <c r="U281" s="33">
        <v>4</v>
      </c>
      <c r="V281" s="89" t="str">
        <f t="shared" si="8"/>
        <v>ATL</v>
      </c>
      <c r="W281" s="90">
        <f t="shared" si="9"/>
        <v>8</v>
      </c>
      <c r="X281" s="91">
        <v>2025</v>
      </c>
    </row>
    <row r="282" spans="1:24" x14ac:dyDescent="0.25">
      <c r="A282" s="74" t="s">
        <v>67</v>
      </c>
      <c r="B282" s="33">
        <v>2025</v>
      </c>
      <c r="C282" s="33">
        <v>1397.59</v>
      </c>
      <c r="D282" s="33">
        <v>9.0015999999999998</v>
      </c>
      <c r="E282" s="33">
        <v>-3.2217199999999999</v>
      </c>
      <c r="F282" s="33">
        <v>0.74122500000000002</v>
      </c>
      <c r="G282" s="33">
        <v>2.3795999999999999</v>
      </c>
      <c r="H282" s="33">
        <v>-3.39E-2</v>
      </c>
      <c r="I282" s="33">
        <v>-0.1082</v>
      </c>
      <c r="J282" s="33">
        <v>1.9008499999999999E-3</v>
      </c>
      <c r="K282" s="33">
        <v>6.1699999999999998E-2</v>
      </c>
      <c r="L282" s="33">
        <v>0.11550000000000001</v>
      </c>
      <c r="M282" s="33">
        <v>3.1952199999999999E-3</v>
      </c>
      <c r="N282" s="169">
        <v>-9.5600000000000004E-2</v>
      </c>
      <c r="O282" s="33">
        <v>19.25</v>
      </c>
      <c r="P282" s="33">
        <v>24</v>
      </c>
      <c r="Q282" s="33">
        <v>-4.75</v>
      </c>
      <c r="R282" s="33">
        <v>4</v>
      </c>
      <c r="S282" s="33">
        <v>2.9777999999999998</v>
      </c>
      <c r="T282" s="33">
        <v>3.3457499999999998</v>
      </c>
      <c r="U282" s="33">
        <v>4</v>
      </c>
      <c r="V282" s="89" t="str">
        <f t="shared" si="8"/>
        <v>CAR</v>
      </c>
      <c r="W282" s="90">
        <f t="shared" si="9"/>
        <v>8</v>
      </c>
      <c r="X282" s="91">
        <v>2025</v>
      </c>
    </row>
    <row r="283" spans="1:24" x14ac:dyDescent="0.25">
      <c r="A283" s="74" t="s">
        <v>2</v>
      </c>
      <c r="B283" s="33">
        <v>2025</v>
      </c>
      <c r="C283" s="33">
        <v>1412.38</v>
      </c>
      <c r="D283" s="33">
        <v>-11.703799999999999</v>
      </c>
      <c r="E283" s="33">
        <v>-2.6298499999999998</v>
      </c>
      <c r="F283" s="33">
        <v>3.2138800000000001</v>
      </c>
      <c r="G283" s="33">
        <v>-2.3932000000000002</v>
      </c>
      <c r="H283" s="33">
        <v>2.53E-2</v>
      </c>
      <c r="I283" s="33">
        <v>-2.0500000000000001E-2</v>
      </c>
      <c r="J283" s="33">
        <v>-4.95551E-4</v>
      </c>
      <c r="K283" s="33">
        <v>0.127</v>
      </c>
      <c r="L283" s="33">
        <v>0.20030000000000001</v>
      </c>
      <c r="M283" s="33">
        <v>4.5525200000000002E-2</v>
      </c>
      <c r="N283" s="169">
        <v>-0.1017</v>
      </c>
      <c r="O283" s="33">
        <v>21.75</v>
      </c>
      <c r="P283" s="33">
        <v>26.875</v>
      </c>
      <c r="Q283" s="33">
        <v>-5.125</v>
      </c>
      <c r="R283" s="33">
        <v>2</v>
      </c>
      <c r="S283" s="33">
        <v>3.0175999999999998</v>
      </c>
      <c r="T283" s="33">
        <v>4.0707100000000001</v>
      </c>
      <c r="U283" s="33">
        <v>4</v>
      </c>
      <c r="V283" s="89" t="str">
        <f t="shared" si="8"/>
        <v>MIA</v>
      </c>
      <c r="W283" s="90">
        <f t="shared" si="9"/>
        <v>8</v>
      </c>
      <c r="X283" s="91">
        <v>2025</v>
      </c>
    </row>
    <row r="284" spans="1:24" x14ac:dyDescent="0.25">
      <c r="A284" s="74" t="s">
        <v>91</v>
      </c>
      <c r="B284" s="33">
        <v>2025</v>
      </c>
      <c r="C284" s="33">
        <v>1400.44</v>
      </c>
      <c r="D284" s="33">
        <v>-42.188600000000001</v>
      </c>
      <c r="E284" s="33">
        <v>-3.1075200000000001</v>
      </c>
      <c r="F284" s="33">
        <v>0.99833000000000005</v>
      </c>
      <c r="G284" s="33">
        <v>1.47065</v>
      </c>
      <c r="H284" s="33">
        <v>-0.19939999999999999</v>
      </c>
      <c r="I284" s="33">
        <v>-0.29759999999999998</v>
      </c>
      <c r="J284" s="33">
        <v>-1.6165300000000001E-2</v>
      </c>
      <c r="K284" s="33">
        <v>-6.8699999999999997E-2</v>
      </c>
      <c r="L284" s="33">
        <v>3.7900000000000003E-2</v>
      </c>
      <c r="M284" s="33">
        <v>-0.19554299999999999</v>
      </c>
      <c r="N284" s="169">
        <v>-0.13070000000000001</v>
      </c>
      <c r="O284" s="33">
        <v>15.75</v>
      </c>
      <c r="P284" s="33">
        <v>23</v>
      </c>
      <c r="Q284" s="33">
        <v>-7.25</v>
      </c>
      <c r="R284" s="33">
        <v>2</v>
      </c>
      <c r="S284" s="33">
        <v>2.3167</v>
      </c>
      <c r="T284" s="33">
        <v>2.2387899999999998</v>
      </c>
      <c r="U284" s="33">
        <v>3</v>
      </c>
      <c r="V284" s="89" t="str">
        <f t="shared" si="8"/>
        <v>CLE</v>
      </c>
      <c r="W284" s="90">
        <f t="shared" si="9"/>
        <v>8</v>
      </c>
      <c r="X284" s="91">
        <v>2025</v>
      </c>
    </row>
    <row r="285" spans="1:24" x14ac:dyDescent="0.25">
      <c r="A285" s="74" t="s">
        <v>79</v>
      </c>
      <c r="B285" s="33">
        <v>2025</v>
      </c>
      <c r="C285" s="33">
        <v>1384.24</v>
      </c>
      <c r="D285" s="33">
        <v>-17.417200000000001</v>
      </c>
      <c r="E285" s="33">
        <v>-3.7553999999999998</v>
      </c>
      <c r="F285" s="33">
        <v>0.99833000000000005</v>
      </c>
      <c r="G285" s="33">
        <v>-0.59317900000000001</v>
      </c>
      <c r="H285" s="33">
        <v>2.0999999999999999E-3</v>
      </c>
      <c r="I285" s="33">
        <v>-4.3200000000000002E-2</v>
      </c>
      <c r="J285" s="33">
        <v>-4.12048E-2</v>
      </c>
      <c r="K285" s="33">
        <v>0.13650000000000001</v>
      </c>
      <c r="L285" s="33">
        <v>0.1772</v>
      </c>
      <c r="M285" s="33">
        <v>1.9047000000000001E-2</v>
      </c>
      <c r="N285" s="169">
        <v>-0.1343</v>
      </c>
      <c r="O285" s="33">
        <v>21</v>
      </c>
      <c r="P285" s="33">
        <v>27.625</v>
      </c>
      <c r="Q285" s="33">
        <v>-6.625</v>
      </c>
      <c r="R285" s="33">
        <v>1</v>
      </c>
      <c r="S285" s="33">
        <v>2.7442000000000002</v>
      </c>
      <c r="T285" s="33">
        <v>3.2054499999999999</v>
      </c>
      <c r="U285" s="33">
        <v>2</v>
      </c>
      <c r="V285" s="89" t="str">
        <f t="shared" si="8"/>
        <v>NYJ</v>
      </c>
      <c r="W285" s="90">
        <f t="shared" si="9"/>
        <v>8</v>
      </c>
      <c r="X285" s="91">
        <v>2025</v>
      </c>
    </row>
    <row r="286" spans="1:24" x14ac:dyDescent="0.25">
      <c r="A286" s="74" t="s">
        <v>77</v>
      </c>
      <c r="B286" s="33">
        <v>2025</v>
      </c>
      <c r="C286" s="33">
        <v>1422.71</v>
      </c>
      <c r="D286" s="33">
        <v>-58.968000000000004</v>
      </c>
      <c r="E286" s="33">
        <v>-2.2168800000000002</v>
      </c>
      <c r="F286" s="33">
        <v>1.17012</v>
      </c>
      <c r="G286" s="33">
        <v>-3.8892799999999998</v>
      </c>
      <c r="H286" s="33">
        <v>-1.5E-3</v>
      </c>
      <c r="I286" s="33">
        <v>-0.1055</v>
      </c>
      <c r="J286" s="33">
        <v>4.8016900000000001E-2</v>
      </c>
      <c r="K286" s="33">
        <v>0.1729</v>
      </c>
      <c r="L286" s="33">
        <v>0.2656</v>
      </c>
      <c r="M286" s="33">
        <v>7.4307399999999996E-2</v>
      </c>
      <c r="N286" s="169">
        <v>-0.1744</v>
      </c>
      <c r="O286" s="33">
        <v>21.75</v>
      </c>
      <c r="P286" s="33">
        <v>31.625</v>
      </c>
      <c r="Q286" s="33">
        <v>-9.875</v>
      </c>
      <c r="R286" s="33">
        <v>3</v>
      </c>
      <c r="S286" s="33">
        <v>2.3336000000000001</v>
      </c>
      <c r="T286" s="33">
        <v>4.5941200000000002</v>
      </c>
      <c r="U286" s="33">
        <v>2</v>
      </c>
      <c r="V286" s="89" t="str">
        <f t="shared" si="8"/>
        <v>CIN</v>
      </c>
      <c r="W286" s="90">
        <f t="shared" si="9"/>
        <v>8</v>
      </c>
      <c r="X286" s="91">
        <v>2025</v>
      </c>
    </row>
    <row r="287" spans="1:24" x14ac:dyDescent="0.25">
      <c r="A287" s="74" t="s">
        <v>403</v>
      </c>
      <c r="B287" s="33">
        <v>2025</v>
      </c>
      <c r="C287" s="33">
        <v>1327.46</v>
      </c>
      <c r="D287" s="33">
        <v>-9.7468000000000004</v>
      </c>
      <c r="E287" s="33">
        <v>-6.0268899999999999</v>
      </c>
      <c r="F287" s="33">
        <v>0.29799799999999999</v>
      </c>
      <c r="G287" s="33">
        <v>8.4447899999999998E-4</v>
      </c>
      <c r="H287" s="33">
        <v>-0.18579999999999999</v>
      </c>
      <c r="I287" s="33">
        <v>-0.1895</v>
      </c>
      <c r="J287" s="33">
        <v>-7.9983600000000002E-2</v>
      </c>
      <c r="K287" s="33">
        <v>1.43E-2</v>
      </c>
      <c r="L287" s="33">
        <v>0.10780000000000001</v>
      </c>
      <c r="M287" s="33">
        <v>-0.101503</v>
      </c>
      <c r="N287" s="169">
        <v>-0.2001</v>
      </c>
      <c r="O287" s="33">
        <v>16</v>
      </c>
      <c r="P287" s="33">
        <v>26.125</v>
      </c>
      <c r="Q287" s="33">
        <v>-10.125</v>
      </c>
      <c r="R287" s="33">
        <v>1</v>
      </c>
      <c r="S287" s="33">
        <v>1.9064000000000001</v>
      </c>
      <c r="T287" s="33">
        <v>2.9127100000000001</v>
      </c>
      <c r="U287" s="33">
        <v>1</v>
      </c>
      <c r="V287" s="89" t="str">
        <f t="shared" si="8"/>
        <v>NO</v>
      </c>
      <c r="W287" s="90">
        <f t="shared" si="9"/>
        <v>8</v>
      </c>
      <c r="X287" s="91">
        <v>2025</v>
      </c>
    </row>
    <row r="288" spans="1:24" x14ac:dyDescent="0.25">
      <c r="A288" s="74" t="s">
        <v>401</v>
      </c>
      <c r="B288" s="33">
        <v>2025</v>
      </c>
      <c r="C288" s="33">
        <v>1361.96</v>
      </c>
      <c r="D288" s="33">
        <v>-19.235299999999999</v>
      </c>
      <c r="E288" s="33">
        <v>-4.6466099999999999</v>
      </c>
      <c r="F288" s="33">
        <v>0.99833000000000005</v>
      </c>
      <c r="G288" s="33">
        <v>-2.20926</v>
      </c>
      <c r="H288" s="33">
        <v>-0.16869999999999999</v>
      </c>
      <c r="I288" s="33">
        <v>-0.1283</v>
      </c>
      <c r="J288" s="33">
        <v>-0.25938299999999997</v>
      </c>
      <c r="K288" s="33">
        <v>4.5600000000000002E-2</v>
      </c>
      <c r="L288" s="33">
        <v>0.1452</v>
      </c>
      <c r="M288" s="33">
        <v>-0.119993</v>
      </c>
      <c r="N288" s="173">
        <v>-0.21429999999999999</v>
      </c>
      <c r="O288" s="33">
        <v>14.7143</v>
      </c>
      <c r="P288" s="33">
        <v>25.714300000000001</v>
      </c>
      <c r="Q288" s="33">
        <v>-11</v>
      </c>
      <c r="R288" s="33">
        <v>2</v>
      </c>
      <c r="S288" s="33">
        <v>1.4722</v>
      </c>
      <c r="T288" s="33">
        <v>3.1280600000000001</v>
      </c>
      <c r="U288" s="33">
        <v>3</v>
      </c>
      <c r="V288" s="89" t="str">
        <f t="shared" si="8"/>
        <v>LV</v>
      </c>
      <c r="W288" s="90">
        <f t="shared" si="9"/>
        <v>8</v>
      </c>
      <c r="X288" s="91">
        <v>2025</v>
      </c>
    </row>
    <row r="289" spans="1:24" ht="15.75" thickBot="1" x14ac:dyDescent="0.3">
      <c r="A289" s="75" t="s">
        <v>89</v>
      </c>
      <c r="B289" s="76">
        <v>2025</v>
      </c>
      <c r="C289" s="76">
        <v>1261.1199999999999</v>
      </c>
      <c r="D289" s="76">
        <v>-23.862300000000001</v>
      </c>
      <c r="E289" s="76">
        <v>-8.6804600000000001</v>
      </c>
      <c r="F289" s="76">
        <v>-0.25820799999999999</v>
      </c>
      <c r="G289" s="76">
        <v>-3.8473899999999999</v>
      </c>
      <c r="H289" s="76">
        <v>-0.18340000000000001</v>
      </c>
      <c r="I289" s="76">
        <v>-0.29920000000000002</v>
      </c>
      <c r="J289" s="76">
        <v>-0.108902</v>
      </c>
      <c r="K289" s="76">
        <v>0.108</v>
      </c>
      <c r="L289" s="76">
        <v>0.1948</v>
      </c>
      <c r="M289" s="76">
        <v>6.4703699999999996E-3</v>
      </c>
      <c r="N289" s="170">
        <v>-0.29149999999999998</v>
      </c>
      <c r="O289" s="76">
        <v>13.75</v>
      </c>
      <c r="P289" s="76">
        <v>28.75</v>
      </c>
      <c r="Q289" s="76">
        <v>-15</v>
      </c>
      <c r="R289" s="76">
        <v>1</v>
      </c>
      <c r="S289" s="76">
        <v>1.1862999999999999</v>
      </c>
      <c r="T289" s="76">
        <v>2.4101300000000001</v>
      </c>
      <c r="U289" s="76">
        <v>1</v>
      </c>
      <c r="V289" s="92" t="str">
        <f t="shared" si="8"/>
        <v>TEN</v>
      </c>
      <c r="W289" s="93">
        <f t="shared" si="9"/>
        <v>8</v>
      </c>
      <c r="X289" s="94">
        <v>2025</v>
      </c>
    </row>
    <row r="290" spans="1:24" x14ac:dyDescent="0.25">
      <c r="A290" s="74" t="s">
        <v>57</v>
      </c>
      <c r="B290" s="33">
        <v>2025</v>
      </c>
      <c r="C290" s="33">
        <v>1559.59</v>
      </c>
      <c r="D290" s="33">
        <v>21.014800000000001</v>
      </c>
      <c r="E290" s="33">
        <v>2.2061600000000001</v>
      </c>
      <c r="F290" s="33">
        <v>-0.70256799999999997</v>
      </c>
      <c r="G290" s="33">
        <v>5.2785200000000003</v>
      </c>
      <c r="H290" s="33">
        <v>0.223</v>
      </c>
      <c r="I290" s="33">
        <v>0.1822</v>
      </c>
      <c r="J290" s="33">
        <v>0.18029500000000001</v>
      </c>
      <c r="K290" s="33">
        <v>-1.21E-2</v>
      </c>
      <c r="L290" s="33">
        <v>-4.7600000000000003E-2</v>
      </c>
      <c r="M290" s="33">
        <v>-3.5900799999999997E-2</v>
      </c>
      <c r="N290" s="173">
        <v>0.2351</v>
      </c>
      <c r="O290" s="33">
        <v>32.222200000000001</v>
      </c>
      <c r="P290" s="33">
        <v>20.1111</v>
      </c>
      <c r="Q290" s="33">
        <v>12.1111</v>
      </c>
      <c r="R290" s="33">
        <v>7</v>
      </c>
      <c r="S290" s="33">
        <v>6.7812000000000001</v>
      </c>
      <c r="T290" s="33">
        <v>5.6327999999999996</v>
      </c>
      <c r="U290" s="33">
        <v>7</v>
      </c>
      <c r="V290" s="89" t="str">
        <f t="shared" si="8"/>
        <v>IND</v>
      </c>
      <c r="W290" s="90">
        <f t="shared" si="9"/>
        <v>9</v>
      </c>
      <c r="X290" s="91">
        <v>2025</v>
      </c>
    </row>
    <row r="291" spans="1:24" x14ac:dyDescent="0.25">
      <c r="A291" s="74" t="s">
        <v>55</v>
      </c>
      <c r="B291" s="33">
        <v>2025</v>
      </c>
      <c r="C291" s="33">
        <v>1612.69</v>
      </c>
      <c r="D291" s="33">
        <v>18.3645</v>
      </c>
      <c r="E291" s="33">
        <v>4.3301400000000001</v>
      </c>
      <c r="F291" s="33">
        <v>0.89887700000000004</v>
      </c>
      <c r="G291" s="33">
        <v>4.4023500000000002</v>
      </c>
      <c r="H291" s="33">
        <v>8.9300000000000004E-2</v>
      </c>
      <c r="I291" s="33">
        <v>0.27350000000000002</v>
      </c>
      <c r="J291" s="33">
        <v>-0.14527399999999999</v>
      </c>
      <c r="K291" s="33">
        <v>-0.1033</v>
      </c>
      <c r="L291" s="33">
        <v>4.2000000000000003E-2</v>
      </c>
      <c r="M291" s="33">
        <v>-0.16037000000000001</v>
      </c>
      <c r="N291" s="173">
        <v>0.19270000000000001</v>
      </c>
      <c r="O291" s="33">
        <v>28.875</v>
      </c>
      <c r="P291" s="33">
        <v>18.75</v>
      </c>
      <c r="Q291" s="33">
        <v>10.125</v>
      </c>
      <c r="R291" s="33">
        <v>6</v>
      </c>
      <c r="S291" s="33">
        <v>5.8849999999999998</v>
      </c>
      <c r="T291" s="33">
        <v>5.4145599999999998</v>
      </c>
      <c r="U291" s="33">
        <v>7</v>
      </c>
      <c r="V291" s="89" t="str">
        <f t="shared" si="8"/>
        <v>SEA</v>
      </c>
      <c r="W291" s="90">
        <f t="shared" si="9"/>
        <v>9</v>
      </c>
      <c r="X291" s="91">
        <v>2025</v>
      </c>
    </row>
    <row r="292" spans="1:24" x14ac:dyDescent="0.25">
      <c r="A292" s="74" t="s">
        <v>21</v>
      </c>
      <c r="B292" s="33">
        <v>2025</v>
      </c>
      <c r="C292" s="33">
        <v>1646.4</v>
      </c>
      <c r="D292" s="33">
        <v>23.539000000000001</v>
      </c>
      <c r="E292" s="33">
        <v>5.6787000000000001</v>
      </c>
      <c r="F292" s="33">
        <v>0.54380899999999999</v>
      </c>
      <c r="G292" s="33">
        <v>4.5732499999999998</v>
      </c>
      <c r="H292" s="33">
        <v>7.8899999999999998E-2</v>
      </c>
      <c r="I292" s="33">
        <v>0.2198</v>
      </c>
      <c r="J292" s="33">
        <v>-0.104999</v>
      </c>
      <c r="K292" s="33">
        <v>-0.104</v>
      </c>
      <c r="L292" s="33">
        <v>-0.13650000000000001</v>
      </c>
      <c r="M292" s="33">
        <v>-9.8047899999999993E-2</v>
      </c>
      <c r="N292" s="169">
        <v>0.18279999999999999</v>
      </c>
      <c r="O292" s="33">
        <v>26.125</v>
      </c>
      <c r="P292" s="33">
        <v>15.875</v>
      </c>
      <c r="Q292" s="33">
        <v>10.25</v>
      </c>
      <c r="R292" s="33">
        <v>6</v>
      </c>
      <c r="S292" s="33">
        <v>6.1204999999999998</v>
      </c>
      <c r="T292" s="33">
        <v>5.6740199999999996</v>
      </c>
      <c r="U292" s="33">
        <v>7</v>
      </c>
      <c r="V292" s="89" t="str">
        <f t="shared" si="8"/>
        <v>LAR</v>
      </c>
      <c r="W292" s="90">
        <f t="shared" si="9"/>
        <v>9</v>
      </c>
      <c r="X292" s="91">
        <v>2025</v>
      </c>
    </row>
    <row r="293" spans="1:24" x14ac:dyDescent="0.25">
      <c r="A293" s="74" t="s">
        <v>25</v>
      </c>
      <c r="B293" s="33">
        <v>2025</v>
      </c>
      <c r="C293" s="33">
        <v>1622.85</v>
      </c>
      <c r="D293" s="33">
        <v>2.5758000000000001</v>
      </c>
      <c r="E293" s="33">
        <v>4.7364199999999999</v>
      </c>
      <c r="F293" s="33">
        <v>0.554199</v>
      </c>
      <c r="G293" s="33">
        <v>0.3327</v>
      </c>
      <c r="H293" s="33">
        <v>0.184</v>
      </c>
      <c r="I293" s="33">
        <v>0.20380000000000001</v>
      </c>
      <c r="J293" s="33">
        <v>0.13453000000000001</v>
      </c>
      <c r="K293" s="33">
        <v>3.1600000000000003E-2</v>
      </c>
      <c r="L293" s="33">
        <v>-7.9399999999999998E-2</v>
      </c>
      <c r="M293" s="33">
        <v>4.5636599999999999E-2</v>
      </c>
      <c r="N293" s="169">
        <v>0.15240000000000001</v>
      </c>
      <c r="O293" s="33">
        <v>29.375</v>
      </c>
      <c r="P293" s="33">
        <v>20.875</v>
      </c>
      <c r="Q293" s="33">
        <v>8.5</v>
      </c>
      <c r="R293" s="33">
        <v>6</v>
      </c>
      <c r="S293" s="33">
        <v>5.5361000000000002</v>
      </c>
      <c r="T293" s="33">
        <v>6.46434</v>
      </c>
      <c r="U293" s="33">
        <v>4</v>
      </c>
      <c r="V293" s="89" t="str">
        <f t="shared" si="8"/>
        <v>BUF</v>
      </c>
      <c r="W293" s="90">
        <f t="shared" si="9"/>
        <v>9</v>
      </c>
      <c r="X293" s="91">
        <v>2025</v>
      </c>
    </row>
    <row r="294" spans="1:24" x14ac:dyDescent="0.25">
      <c r="A294" s="74" t="s">
        <v>31</v>
      </c>
      <c r="B294" s="33">
        <v>2025</v>
      </c>
      <c r="C294" s="33">
        <v>1526.3</v>
      </c>
      <c r="D294" s="33">
        <v>-22.828600000000002</v>
      </c>
      <c r="E294" s="33">
        <v>0.87467799999999996</v>
      </c>
      <c r="F294" s="33">
        <v>-2.1141299999999998</v>
      </c>
      <c r="G294" s="33">
        <v>1.0701700000000001</v>
      </c>
      <c r="H294" s="33">
        <v>-3.1600000000000003E-2</v>
      </c>
      <c r="I294" s="33">
        <v>3.0499999999999999E-2</v>
      </c>
      <c r="J294" s="33">
        <v>-6.6492800000000005E-2</v>
      </c>
      <c r="K294" s="33">
        <v>-0.18290000000000001</v>
      </c>
      <c r="L294" s="33">
        <v>-0.2099</v>
      </c>
      <c r="M294" s="33">
        <v>-1.9467499999999999E-2</v>
      </c>
      <c r="N294" s="169">
        <v>0.15129999999999999</v>
      </c>
      <c r="O294" s="33">
        <v>21</v>
      </c>
      <c r="P294" s="33">
        <v>15.125</v>
      </c>
      <c r="Q294" s="33">
        <v>5.875</v>
      </c>
      <c r="R294" s="33">
        <v>3</v>
      </c>
      <c r="S294" s="33">
        <v>5.4816000000000003</v>
      </c>
      <c r="T294" s="33">
        <v>4.73278</v>
      </c>
      <c r="U294" s="33">
        <v>4</v>
      </c>
      <c r="V294" s="89" t="str">
        <f t="shared" si="8"/>
        <v>HOU</v>
      </c>
      <c r="W294" s="90">
        <f t="shared" si="9"/>
        <v>9</v>
      </c>
      <c r="X294" s="91">
        <v>2025</v>
      </c>
    </row>
    <row r="295" spans="1:24" x14ac:dyDescent="0.25">
      <c r="A295" s="74" t="s">
        <v>10</v>
      </c>
      <c r="B295" s="33">
        <v>2025</v>
      </c>
      <c r="C295" s="33">
        <v>1626.11</v>
      </c>
      <c r="D295" s="33">
        <v>2.2499999999999999E-2</v>
      </c>
      <c r="E295" s="33">
        <v>4.8669200000000004</v>
      </c>
      <c r="F295" s="33">
        <v>-0.52710999999999997</v>
      </c>
      <c r="G295" s="33">
        <v>0.19342799999999999</v>
      </c>
      <c r="H295" s="33">
        <v>8.9800000000000005E-2</v>
      </c>
      <c r="I295" s="33">
        <v>0.2238</v>
      </c>
      <c r="J295" s="33">
        <v>-4.58188E-2</v>
      </c>
      <c r="K295" s="33">
        <v>-0.06</v>
      </c>
      <c r="L295" s="33">
        <v>-0.115</v>
      </c>
      <c r="M295" s="33">
        <v>-7.5771699999999997E-2</v>
      </c>
      <c r="N295" s="169">
        <v>0.14979999999999999</v>
      </c>
      <c r="O295" s="33">
        <v>29.875</v>
      </c>
      <c r="P295" s="33">
        <v>22.25</v>
      </c>
      <c r="Q295" s="33">
        <v>7.625</v>
      </c>
      <c r="R295" s="33">
        <v>5</v>
      </c>
      <c r="S295" s="33">
        <v>5.3426</v>
      </c>
      <c r="T295" s="33">
        <v>5.7594900000000004</v>
      </c>
      <c r="U295" s="33">
        <v>5</v>
      </c>
      <c r="V295" s="89" t="str">
        <f t="shared" si="8"/>
        <v>DET</v>
      </c>
      <c r="W295" s="90">
        <f t="shared" si="9"/>
        <v>9</v>
      </c>
      <c r="X295" s="91">
        <v>2025</v>
      </c>
    </row>
    <row r="296" spans="1:24" x14ac:dyDescent="0.25">
      <c r="A296" s="74" t="s">
        <v>399</v>
      </c>
      <c r="B296" s="33">
        <v>2025</v>
      </c>
      <c r="C296" s="33">
        <v>1669.36</v>
      </c>
      <c r="D296" s="33">
        <v>26.180299999999999</v>
      </c>
      <c r="E296" s="33">
        <v>6.5969699999999998</v>
      </c>
      <c r="F296" s="33">
        <v>-3.6006000000000003E-2</v>
      </c>
      <c r="G296" s="33">
        <v>3.26105</v>
      </c>
      <c r="H296" s="33">
        <v>0.16930000000000001</v>
      </c>
      <c r="I296" s="33">
        <v>0.22120000000000001</v>
      </c>
      <c r="J296" s="33">
        <v>7.9336400000000001E-2</v>
      </c>
      <c r="K296" s="33">
        <v>2.5999999999999999E-2</v>
      </c>
      <c r="L296" s="33">
        <v>-6.2100000000000002E-2</v>
      </c>
      <c r="M296" s="33">
        <v>2.0246799999999999E-2</v>
      </c>
      <c r="N296" s="169">
        <v>0.14319999999999999</v>
      </c>
      <c r="O296" s="33">
        <v>26.1111</v>
      </c>
      <c r="P296" s="33">
        <v>17.666699999999999</v>
      </c>
      <c r="Q296" s="33">
        <v>8.4443999999999999</v>
      </c>
      <c r="R296" s="33">
        <v>5</v>
      </c>
      <c r="S296" s="33">
        <v>6.4462000000000002</v>
      </c>
      <c r="T296" s="33">
        <v>5.5008600000000003</v>
      </c>
      <c r="U296" s="33">
        <v>5</v>
      </c>
      <c r="V296" s="89" t="str">
        <f t="shared" si="8"/>
        <v>KC</v>
      </c>
      <c r="W296" s="90">
        <f t="shared" si="9"/>
        <v>9</v>
      </c>
      <c r="X296" s="91">
        <v>2025</v>
      </c>
    </row>
    <row r="297" spans="1:24" x14ac:dyDescent="0.25">
      <c r="A297" s="74" t="s">
        <v>404</v>
      </c>
      <c r="B297" s="33">
        <v>2025</v>
      </c>
      <c r="C297" s="33">
        <v>1508.13</v>
      </c>
      <c r="D297" s="33">
        <v>17.4773</v>
      </c>
      <c r="E297" s="33">
        <v>0.147676</v>
      </c>
      <c r="F297" s="33">
        <v>-0.55181199999999997</v>
      </c>
      <c r="G297" s="33">
        <v>3.19767</v>
      </c>
      <c r="H297" s="33">
        <v>8.3500000000000005E-2</v>
      </c>
      <c r="I297" s="33">
        <v>0.29049999999999998</v>
      </c>
      <c r="J297" s="33">
        <v>-0.104889</v>
      </c>
      <c r="K297" s="33">
        <v>-5.4600000000000003E-2</v>
      </c>
      <c r="L297" s="33">
        <v>1.0800000000000001E-2</v>
      </c>
      <c r="M297" s="33">
        <v>-0.10385900000000001</v>
      </c>
      <c r="N297" s="169">
        <v>0.13819999999999999</v>
      </c>
      <c r="O297" s="33">
        <v>26.333300000000001</v>
      </c>
      <c r="P297" s="33">
        <v>18.777799999999999</v>
      </c>
      <c r="Q297" s="33">
        <v>7.5556000000000001</v>
      </c>
      <c r="R297" s="33">
        <v>7</v>
      </c>
      <c r="S297" s="33">
        <v>6.2125000000000004</v>
      </c>
      <c r="T297" s="33">
        <v>4.9708800000000002</v>
      </c>
      <c r="U297" s="33">
        <v>5</v>
      </c>
      <c r="V297" s="89" t="str">
        <f t="shared" si="8"/>
        <v>NE</v>
      </c>
      <c r="W297" s="90">
        <f t="shared" si="9"/>
        <v>9</v>
      </c>
      <c r="X297" s="91">
        <v>2025</v>
      </c>
    </row>
    <row r="298" spans="1:24" x14ac:dyDescent="0.25">
      <c r="A298" s="74" t="s">
        <v>400</v>
      </c>
      <c r="B298" s="33">
        <v>2025</v>
      </c>
      <c r="C298" s="33">
        <v>1602.38</v>
      </c>
      <c r="D298" s="33">
        <v>15.558199999999999</v>
      </c>
      <c r="E298" s="33">
        <v>3.9178600000000001</v>
      </c>
      <c r="F298" s="33">
        <v>-0.57695799999999997</v>
      </c>
      <c r="G298" s="33">
        <v>1.74759</v>
      </c>
      <c r="H298" s="33">
        <v>0.14729999999999999</v>
      </c>
      <c r="I298" s="33">
        <v>0.31440000000000001</v>
      </c>
      <c r="J298" s="33">
        <v>-6.28934E-3</v>
      </c>
      <c r="K298" s="33">
        <v>4.0300000000000002E-2</v>
      </c>
      <c r="L298" s="33">
        <v>7.7999999999999996E-3</v>
      </c>
      <c r="M298" s="33">
        <v>-2.2632900000000001E-2</v>
      </c>
      <c r="N298" s="169">
        <v>0.107</v>
      </c>
      <c r="O298" s="33">
        <v>25.75</v>
      </c>
      <c r="P298" s="33">
        <v>20.75</v>
      </c>
      <c r="Q298" s="33">
        <v>5</v>
      </c>
      <c r="R298" s="33">
        <v>5</v>
      </c>
      <c r="S298" s="33">
        <v>5.0015999999999998</v>
      </c>
      <c r="T298" s="33">
        <v>5.75427</v>
      </c>
      <c r="U298" s="33">
        <v>5</v>
      </c>
      <c r="V298" s="89" t="str">
        <f t="shared" si="8"/>
        <v>GB</v>
      </c>
      <c r="W298" s="90">
        <f t="shared" si="9"/>
        <v>9</v>
      </c>
      <c r="X298" s="91">
        <v>2025</v>
      </c>
    </row>
    <row r="299" spans="1:24" x14ac:dyDescent="0.25">
      <c r="A299" s="74" t="s">
        <v>63</v>
      </c>
      <c r="B299" s="33">
        <v>2025</v>
      </c>
      <c r="C299" s="33">
        <v>1574.06</v>
      </c>
      <c r="D299" s="33">
        <v>14.2544</v>
      </c>
      <c r="E299" s="33">
        <v>2.7851599999999999</v>
      </c>
      <c r="F299" s="33">
        <v>0.44721699999999998</v>
      </c>
      <c r="G299" s="33">
        <v>1.17408</v>
      </c>
      <c r="H299" s="33">
        <v>5.8099999999999999E-2</v>
      </c>
      <c r="I299" s="33">
        <v>0.08</v>
      </c>
      <c r="J299" s="33">
        <v>3.2539100000000001E-2</v>
      </c>
      <c r="K299" s="33">
        <v>-4.6600000000000003E-2</v>
      </c>
      <c r="L299" s="33">
        <v>-9.4899999999999998E-2</v>
      </c>
      <c r="M299" s="33">
        <v>-8.8241100000000003E-2</v>
      </c>
      <c r="N299" s="169">
        <v>0.1047</v>
      </c>
      <c r="O299" s="33">
        <v>25</v>
      </c>
      <c r="P299" s="33">
        <v>18.444400000000002</v>
      </c>
      <c r="Q299" s="33">
        <v>6.5556000000000001</v>
      </c>
      <c r="R299" s="33">
        <v>7</v>
      </c>
      <c r="S299" s="33">
        <v>6.0548999999999999</v>
      </c>
      <c r="T299" s="33">
        <v>6.2797299999999998</v>
      </c>
      <c r="U299" s="33">
        <v>5</v>
      </c>
      <c r="V299" s="89" t="str">
        <f t="shared" si="8"/>
        <v>DEN</v>
      </c>
      <c r="W299" s="90">
        <f t="shared" si="9"/>
        <v>9</v>
      </c>
      <c r="X299" s="91">
        <v>2025</v>
      </c>
    </row>
    <row r="300" spans="1:24" x14ac:dyDescent="0.25">
      <c r="A300" s="74" t="s">
        <v>402</v>
      </c>
      <c r="B300" s="33">
        <v>2025</v>
      </c>
      <c r="C300" s="33">
        <v>1524.4</v>
      </c>
      <c r="D300" s="33">
        <v>-1.2705</v>
      </c>
      <c r="E300" s="33">
        <v>0.79842299999999999</v>
      </c>
      <c r="F300" s="33">
        <v>-3.60059E-2</v>
      </c>
      <c r="G300" s="33">
        <v>0.56507300000000005</v>
      </c>
      <c r="H300" s="33">
        <v>-1.1599999999999999E-2</v>
      </c>
      <c r="I300" s="33">
        <v>5.5100000000000003E-2</v>
      </c>
      <c r="J300" s="33">
        <v>-3.6384800000000002E-2</v>
      </c>
      <c r="K300" s="33">
        <v>-6.0900000000000003E-2</v>
      </c>
      <c r="L300" s="33">
        <v>-7.3200000000000001E-2</v>
      </c>
      <c r="M300" s="33">
        <v>-0.100007</v>
      </c>
      <c r="N300" s="169">
        <v>4.9299999999999997E-2</v>
      </c>
      <c r="O300" s="33">
        <v>24.625</v>
      </c>
      <c r="P300" s="33">
        <v>22.25</v>
      </c>
      <c r="Q300" s="33">
        <v>2.375</v>
      </c>
      <c r="R300" s="33">
        <v>6</v>
      </c>
      <c r="S300" s="33">
        <v>4.4783999999999997</v>
      </c>
      <c r="T300" s="33">
        <v>4.7577299999999996</v>
      </c>
      <c r="U300" s="33">
        <v>3</v>
      </c>
      <c r="V300" s="89" t="str">
        <f t="shared" si="8"/>
        <v>TB</v>
      </c>
      <c r="W300" s="90">
        <f t="shared" si="9"/>
        <v>9</v>
      </c>
      <c r="X300" s="91">
        <v>2025</v>
      </c>
    </row>
    <row r="301" spans="1:24" x14ac:dyDescent="0.25">
      <c r="A301" s="74" t="s">
        <v>38</v>
      </c>
      <c r="B301" s="33">
        <v>2025</v>
      </c>
      <c r="C301" s="33">
        <v>1612.52</v>
      </c>
      <c r="D301" s="33">
        <v>3.2450999999999999</v>
      </c>
      <c r="E301" s="33">
        <v>4.3234300000000001</v>
      </c>
      <c r="F301" s="33">
        <v>-3.6006000000000003E-2</v>
      </c>
      <c r="G301" s="33">
        <v>-0.48405300000000001</v>
      </c>
      <c r="H301" s="33">
        <v>7.3099999999999998E-2</v>
      </c>
      <c r="I301" s="33">
        <v>9.11E-2</v>
      </c>
      <c r="J301" s="33">
        <v>4.4888200000000003E-2</v>
      </c>
      <c r="K301" s="33">
        <v>2.4E-2</v>
      </c>
      <c r="L301" s="33">
        <v>-8.6E-3</v>
      </c>
      <c r="M301" s="33">
        <v>5.6231400000000004E-3</v>
      </c>
      <c r="N301" s="169">
        <v>4.9099999999999998E-2</v>
      </c>
      <c r="O301" s="33">
        <v>26</v>
      </c>
      <c r="P301" s="33">
        <v>23.125</v>
      </c>
      <c r="Q301" s="33">
        <v>2.875</v>
      </c>
      <c r="R301" s="33">
        <v>6</v>
      </c>
      <c r="S301" s="33">
        <v>4.5518999999999998</v>
      </c>
      <c r="T301" s="33">
        <v>6.2665100000000002</v>
      </c>
      <c r="U301" s="33">
        <v>6</v>
      </c>
      <c r="V301" s="89" t="str">
        <f t="shared" si="8"/>
        <v>PHI</v>
      </c>
      <c r="W301" s="90">
        <f t="shared" si="9"/>
        <v>9</v>
      </c>
      <c r="X301" s="91">
        <v>2025</v>
      </c>
    </row>
    <row r="302" spans="1:24" x14ac:dyDescent="0.25">
      <c r="A302" s="74" t="s">
        <v>60</v>
      </c>
      <c r="B302" s="33">
        <v>2025</v>
      </c>
      <c r="C302" s="33">
        <v>1536.94</v>
      </c>
      <c r="D302" s="33">
        <v>12.8202</v>
      </c>
      <c r="E302" s="33">
        <v>1.3001499999999999</v>
      </c>
      <c r="F302" s="33">
        <v>-0.25146000000000002</v>
      </c>
      <c r="G302" s="33">
        <v>0.53332000000000002</v>
      </c>
      <c r="H302" s="33">
        <v>4.48E-2</v>
      </c>
      <c r="I302" s="33">
        <v>5.16E-2</v>
      </c>
      <c r="J302" s="33">
        <v>1.8092799999999999E-2</v>
      </c>
      <c r="K302" s="33">
        <v>-5.9999999999999995E-4</v>
      </c>
      <c r="L302" s="33">
        <v>-5.11E-2</v>
      </c>
      <c r="M302" s="33">
        <v>9.6999200000000008E-3</v>
      </c>
      <c r="N302" s="169">
        <v>4.5400000000000003E-2</v>
      </c>
      <c r="O302" s="33">
        <v>23.8889</v>
      </c>
      <c r="P302" s="33">
        <v>21.444400000000002</v>
      </c>
      <c r="Q302" s="33">
        <v>2.4443999999999999</v>
      </c>
      <c r="R302" s="33">
        <v>6</v>
      </c>
      <c r="S302" s="33">
        <v>5.0724999999999998</v>
      </c>
      <c r="T302" s="33">
        <v>6.0606999999999998</v>
      </c>
      <c r="U302" s="33">
        <v>4</v>
      </c>
      <c r="V302" s="89" t="str">
        <f t="shared" si="8"/>
        <v>LAC</v>
      </c>
      <c r="W302" s="90">
        <f t="shared" si="9"/>
        <v>9</v>
      </c>
      <c r="X302" s="91">
        <v>2025</v>
      </c>
    </row>
    <row r="303" spans="1:24" x14ac:dyDescent="0.25">
      <c r="A303" s="74" t="s">
        <v>85</v>
      </c>
      <c r="B303" s="33">
        <v>2025</v>
      </c>
      <c r="C303" s="33">
        <v>1504.42</v>
      </c>
      <c r="D303" s="33">
        <v>5.8276000000000003</v>
      </c>
      <c r="E303" s="33">
        <v>-4.7851600000000001E-4</v>
      </c>
      <c r="F303" s="33">
        <v>3.60107E-2</v>
      </c>
      <c r="G303" s="33">
        <v>-7.2690400000000002E-2</v>
      </c>
      <c r="H303" s="33">
        <v>0.1017</v>
      </c>
      <c r="I303" s="33">
        <v>7.1199999999999999E-2</v>
      </c>
      <c r="J303" s="33">
        <v>-3.0508E-2</v>
      </c>
      <c r="K303" s="33">
        <v>6.5600000000000006E-2</v>
      </c>
      <c r="L303" s="33">
        <v>7.5999999999999998E-2</v>
      </c>
      <c r="M303" s="33">
        <v>1.06027E-2</v>
      </c>
      <c r="N303" s="173">
        <v>3.61E-2</v>
      </c>
      <c r="O303" s="33">
        <v>25.25</v>
      </c>
      <c r="P303" s="33">
        <v>24.375</v>
      </c>
      <c r="Q303" s="33">
        <v>0.875</v>
      </c>
      <c r="R303" s="33">
        <v>5</v>
      </c>
      <c r="S303" s="33">
        <v>4.1670999999999996</v>
      </c>
      <c r="T303" s="33">
        <v>4.9243699999999997</v>
      </c>
      <c r="U303" s="33">
        <v>3</v>
      </c>
      <c r="V303" s="89" t="str">
        <f t="shared" si="8"/>
        <v>PIT</v>
      </c>
      <c r="W303" s="90">
        <f t="shared" si="9"/>
        <v>9</v>
      </c>
      <c r="X303" s="91">
        <v>2025</v>
      </c>
    </row>
    <row r="304" spans="1:24" x14ac:dyDescent="0.25">
      <c r="A304" s="74" t="s">
        <v>93</v>
      </c>
      <c r="B304" s="33">
        <v>2025</v>
      </c>
      <c r="C304" s="33">
        <v>1478.47</v>
      </c>
      <c r="D304" s="33">
        <v>-5.2350000000000003</v>
      </c>
      <c r="E304" s="33">
        <v>-1.0384599999999999</v>
      </c>
      <c r="F304" s="33">
        <v>2.6533600000000002</v>
      </c>
      <c r="G304" s="33">
        <v>-1.2290300000000001</v>
      </c>
      <c r="H304" s="33">
        <v>3.2199999999999999E-2</v>
      </c>
      <c r="I304" s="33">
        <v>7.0499999999999993E-2</v>
      </c>
      <c r="J304" s="33">
        <v>-5.6276E-2</v>
      </c>
      <c r="K304" s="33">
        <v>7.0000000000000001E-3</v>
      </c>
      <c r="L304" s="33">
        <v>3.7600000000000001E-2</v>
      </c>
      <c r="M304" s="33">
        <v>-6.5536200000000003E-2</v>
      </c>
      <c r="N304" s="169">
        <v>2.52E-2</v>
      </c>
      <c r="O304" s="33">
        <v>22.5</v>
      </c>
      <c r="P304" s="33">
        <v>21.375</v>
      </c>
      <c r="Q304" s="33">
        <v>1.125</v>
      </c>
      <c r="R304" s="33">
        <v>3</v>
      </c>
      <c r="S304" s="33">
        <v>4.2427999999999999</v>
      </c>
      <c r="T304" s="33">
        <v>4.3616000000000001</v>
      </c>
      <c r="U304" s="33">
        <v>2</v>
      </c>
      <c r="V304" s="89" t="str">
        <f t="shared" si="8"/>
        <v>ARI</v>
      </c>
      <c r="W304" s="90">
        <f t="shared" si="9"/>
        <v>9</v>
      </c>
      <c r="X304" s="91">
        <v>2025</v>
      </c>
    </row>
    <row r="305" spans="1:24" x14ac:dyDescent="0.25">
      <c r="A305" s="74" t="s">
        <v>405</v>
      </c>
      <c r="B305" s="33">
        <v>2025</v>
      </c>
      <c r="C305" s="33">
        <v>1512.63</v>
      </c>
      <c r="D305" s="33">
        <v>-38.064399999999999</v>
      </c>
      <c r="E305" s="33">
        <v>0.32781700000000003</v>
      </c>
      <c r="F305" s="33">
        <v>1.22407</v>
      </c>
      <c r="G305" s="33">
        <v>-0.43714399999999998</v>
      </c>
      <c r="H305" s="33">
        <v>5.9799999999999999E-2</v>
      </c>
      <c r="I305" s="33">
        <v>0.1168</v>
      </c>
      <c r="J305" s="33">
        <v>-6.8833800000000001E-2</v>
      </c>
      <c r="K305" s="33">
        <v>3.9100000000000003E-2</v>
      </c>
      <c r="L305" s="33">
        <v>9.4100000000000003E-2</v>
      </c>
      <c r="M305" s="33">
        <v>-2.9377799999999999E-2</v>
      </c>
      <c r="N305" s="169">
        <v>2.07E-2</v>
      </c>
      <c r="O305" s="33">
        <v>21.555599999999998</v>
      </c>
      <c r="P305" s="33">
        <v>20.8889</v>
      </c>
      <c r="Q305" s="33">
        <v>0.66669999999999996</v>
      </c>
      <c r="R305" s="33">
        <v>6</v>
      </c>
      <c r="S305" s="33">
        <v>4.6673999999999998</v>
      </c>
      <c r="T305" s="33">
        <v>4.9663599999999999</v>
      </c>
      <c r="U305" s="33">
        <v>3</v>
      </c>
      <c r="V305" s="89" t="str">
        <f t="shared" si="8"/>
        <v>SF</v>
      </c>
      <c r="W305" s="90">
        <f t="shared" si="9"/>
        <v>9</v>
      </c>
      <c r="X305" s="91">
        <v>2025</v>
      </c>
    </row>
    <row r="306" spans="1:24" x14ac:dyDescent="0.25">
      <c r="A306" s="74" t="s">
        <v>72</v>
      </c>
      <c r="B306" s="33">
        <v>2025</v>
      </c>
      <c r="C306" s="33">
        <v>1502.23</v>
      </c>
      <c r="D306" s="33">
        <v>12.371600000000001</v>
      </c>
      <c r="E306" s="33">
        <v>-8.8056599999999999E-2</v>
      </c>
      <c r="F306" s="33">
        <v>1.6418699999999999</v>
      </c>
      <c r="G306" s="33">
        <v>1.2273400000000001</v>
      </c>
      <c r="H306" s="33">
        <v>5.62E-2</v>
      </c>
      <c r="I306" s="33">
        <v>0.13200000000000001</v>
      </c>
      <c r="J306" s="33">
        <v>2.9567599999999999E-2</v>
      </c>
      <c r="K306" s="33">
        <v>7.1599999999999997E-2</v>
      </c>
      <c r="L306" s="33">
        <v>7.4700000000000003E-2</v>
      </c>
      <c r="M306" s="33">
        <v>-3.9244099999999997E-2</v>
      </c>
      <c r="N306" s="173">
        <v>-1.5299999999999999E-2</v>
      </c>
      <c r="O306" s="33">
        <v>26.875</v>
      </c>
      <c r="P306" s="33">
        <v>28.375</v>
      </c>
      <c r="Q306" s="33">
        <v>-1.5</v>
      </c>
      <c r="R306" s="33">
        <v>5</v>
      </c>
      <c r="S306" s="33">
        <v>3.7429000000000001</v>
      </c>
      <c r="T306" s="33">
        <v>4.0787800000000001</v>
      </c>
      <c r="U306" s="33">
        <v>4</v>
      </c>
      <c r="V306" s="89" t="str">
        <f t="shared" si="8"/>
        <v>CHI</v>
      </c>
      <c r="W306" s="90">
        <f t="shared" si="9"/>
        <v>9</v>
      </c>
      <c r="X306" s="91">
        <v>2025</v>
      </c>
    </row>
    <row r="307" spans="1:24" x14ac:dyDescent="0.25">
      <c r="A307" s="74" t="s">
        <v>44</v>
      </c>
      <c r="B307" s="33">
        <v>2025</v>
      </c>
      <c r="C307" s="33">
        <v>1443.9</v>
      </c>
      <c r="D307" s="33">
        <v>-5.3369999999999997</v>
      </c>
      <c r="E307" s="33">
        <v>-2.4215599999999999</v>
      </c>
      <c r="F307" s="33">
        <v>-0.15673400000000001</v>
      </c>
      <c r="G307" s="33">
        <v>-0.47393999999999997</v>
      </c>
      <c r="H307" s="33">
        <v>2.0400000000000001E-2</v>
      </c>
      <c r="I307" s="33">
        <v>-4.5999999999999999E-2</v>
      </c>
      <c r="J307" s="33">
        <v>9.3265100000000004E-2</v>
      </c>
      <c r="K307" s="33">
        <v>4.0500000000000001E-2</v>
      </c>
      <c r="L307" s="33">
        <v>1.9E-2</v>
      </c>
      <c r="M307" s="33">
        <v>-7.3161400000000001E-2</v>
      </c>
      <c r="N307" s="169">
        <v>-2.0199999999999999E-2</v>
      </c>
      <c r="O307" s="33">
        <v>22</v>
      </c>
      <c r="P307" s="33">
        <v>23</v>
      </c>
      <c r="Q307" s="33">
        <v>-1</v>
      </c>
      <c r="R307" s="33">
        <v>5</v>
      </c>
      <c r="S307" s="33">
        <v>3.7894999999999999</v>
      </c>
      <c r="T307" s="33">
        <v>3.7898800000000001</v>
      </c>
      <c r="U307" s="33">
        <v>4</v>
      </c>
      <c r="V307" s="89" t="str">
        <f t="shared" si="8"/>
        <v>JAX</v>
      </c>
      <c r="W307" s="90">
        <f t="shared" si="9"/>
        <v>9</v>
      </c>
      <c r="X307" s="91">
        <v>2025</v>
      </c>
    </row>
    <row r="308" spans="1:24" x14ac:dyDescent="0.25">
      <c r="A308" s="74" t="s">
        <v>14</v>
      </c>
      <c r="B308" s="33">
        <v>2025</v>
      </c>
      <c r="C308" s="33">
        <v>1504.45</v>
      </c>
      <c r="D308" s="33">
        <v>21.326899999999998</v>
      </c>
      <c r="E308" s="33">
        <v>4.7851600000000001E-4</v>
      </c>
      <c r="F308" s="33">
        <v>-3.60059E-2</v>
      </c>
      <c r="G308" s="33">
        <v>0.98308099999999998</v>
      </c>
      <c r="H308" s="33">
        <v>0.15939999999999999</v>
      </c>
      <c r="I308" s="33">
        <v>0.1769</v>
      </c>
      <c r="J308" s="33">
        <v>2.7581700000000001E-2</v>
      </c>
      <c r="K308" s="33">
        <v>0.18029999999999999</v>
      </c>
      <c r="L308" s="33">
        <v>0.21709999999999999</v>
      </c>
      <c r="M308" s="33">
        <v>8.4540299999999999E-2</v>
      </c>
      <c r="N308" s="169">
        <v>-2.0799999999999999E-2</v>
      </c>
      <c r="O308" s="33">
        <v>29.222200000000001</v>
      </c>
      <c r="P308" s="33">
        <v>30.777799999999999</v>
      </c>
      <c r="Q308" s="33">
        <v>-1.5556000000000001</v>
      </c>
      <c r="R308" s="33">
        <v>3</v>
      </c>
      <c r="S308" s="33">
        <v>4.2237999999999998</v>
      </c>
      <c r="T308" s="33">
        <v>3.94265</v>
      </c>
      <c r="U308" s="33">
        <v>3</v>
      </c>
      <c r="V308" s="89" t="str">
        <f t="shared" si="8"/>
        <v>DAL</v>
      </c>
      <c r="W308" s="90">
        <f t="shared" si="9"/>
        <v>9</v>
      </c>
      <c r="X308" s="91">
        <v>2025</v>
      </c>
    </row>
    <row r="309" spans="1:24" x14ac:dyDescent="0.25">
      <c r="A309" s="74" t="s">
        <v>75</v>
      </c>
      <c r="B309" s="33">
        <v>2025</v>
      </c>
      <c r="C309" s="33">
        <v>1479.85</v>
      </c>
      <c r="D309" s="33">
        <v>-20.1907</v>
      </c>
      <c r="E309" s="33">
        <v>-0.983433</v>
      </c>
      <c r="F309" s="33">
        <v>0.21051800000000001</v>
      </c>
      <c r="G309" s="33">
        <v>-1.7118800000000001</v>
      </c>
      <c r="H309" s="33">
        <v>-7.3800000000000004E-2</v>
      </c>
      <c r="I309" s="33">
        <v>-0.1193</v>
      </c>
      <c r="J309" s="33">
        <v>-8.2489800000000002E-2</v>
      </c>
      <c r="K309" s="33">
        <v>-5.11E-2</v>
      </c>
      <c r="L309" s="33">
        <v>-6.3600000000000004E-2</v>
      </c>
      <c r="M309" s="33">
        <v>-5.0143000000000002E-3</v>
      </c>
      <c r="N309" s="169">
        <v>-2.2700000000000001E-2</v>
      </c>
      <c r="O309" s="33">
        <v>22.75</v>
      </c>
      <c r="P309" s="33">
        <v>23.25</v>
      </c>
      <c r="Q309" s="33">
        <v>-0.5</v>
      </c>
      <c r="R309" s="33">
        <v>4</v>
      </c>
      <c r="S309" s="33">
        <v>3.8969999999999998</v>
      </c>
      <c r="T309" s="33">
        <v>4.7640500000000001</v>
      </c>
      <c r="U309" s="33">
        <v>2</v>
      </c>
      <c r="V309" s="89" t="str">
        <f t="shared" si="8"/>
        <v>MIN</v>
      </c>
      <c r="W309" s="90">
        <f t="shared" si="9"/>
        <v>9</v>
      </c>
      <c r="X309" s="91">
        <v>2025</v>
      </c>
    </row>
    <row r="310" spans="1:24" x14ac:dyDescent="0.25">
      <c r="A310" s="74" t="s">
        <v>47</v>
      </c>
      <c r="B310" s="33">
        <v>2025</v>
      </c>
      <c r="C310" s="33">
        <v>1609.69</v>
      </c>
      <c r="D310" s="33">
        <v>17.522300000000001</v>
      </c>
      <c r="E310" s="33">
        <v>4.2101199999999999</v>
      </c>
      <c r="F310" s="33">
        <v>1.1836500000000001</v>
      </c>
      <c r="G310" s="33">
        <v>-2.26891</v>
      </c>
      <c r="H310" s="33">
        <v>6.6900000000000001E-2</v>
      </c>
      <c r="I310" s="33">
        <v>3.3000000000000002E-2</v>
      </c>
      <c r="J310" s="33">
        <v>1.50008E-2</v>
      </c>
      <c r="K310" s="33">
        <v>9.5600000000000004E-2</v>
      </c>
      <c r="L310" s="33">
        <v>0.13389999999999999</v>
      </c>
      <c r="M310" s="33">
        <v>2.3983600000000001E-2</v>
      </c>
      <c r="N310" s="169">
        <v>-2.87E-2</v>
      </c>
      <c r="O310" s="33">
        <v>25.25</v>
      </c>
      <c r="P310" s="33">
        <v>27</v>
      </c>
      <c r="Q310" s="33">
        <v>-1.75</v>
      </c>
      <c r="R310" s="33">
        <v>3</v>
      </c>
      <c r="S310" s="33">
        <v>3.6829999999999998</v>
      </c>
      <c r="T310" s="33">
        <v>4.9191500000000001</v>
      </c>
      <c r="U310" s="33">
        <v>3</v>
      </c>
      <c r="V310" s="89" t="str">
        <f t="shared" si="8"/>
        <v>BAL</v>
      </c>
      <c r="W310" s="90">
        <f t="shared" si="9"/>
        <v>9</v>
      </c>
      <c r="X310" s="91">
        <v>2025</v>
      </c>
    </row>
    <row r="311" spans="1:24" x14ac:dyDescent="0.25">
      <c r="A311" s="74" t="s">
        <v>67</v>
      </c>
      <c r="B311" s="33">
        <v>2025</v>
      </c>
      <c r="C311" s="33">
        <v>1401.18</v>
      </c>
      <c r="D311" s="33">
        <v>2.0196999999999998</v>
      </c>
      <c r="E311" s="33">
        <v>-4.1302199999999996</v>
      </c>
      <c r="F311" s="33">
        <v>0.107769</v>
      </c>
      <c r="G311" s="33">
        <v>1.4711000000000001</v>
      </c>
      <c r="H311" s="33">
        <v>-2.24E-2</v>
      </c>
      <c r="I311" s="33">
        <v>-0.1123</v>
      </c>
      <c r="J311" s="33">
        <v>3.2724000000000003E-2</v>
      </c>
      <c r="K311" s="33">
        <v>5.4100000000000002E-2</v>
      </c>
      <c r="L311" s="33">
        <v>0.12130000000000001</v>
      </c>
      <c r="M311" s="33">
        <v>-1.1876599999999999E-2</v>
      </c>
      <c r="N311" s="169">
        <v>-7.6499999999999999E-2</v>
      </c>
      <c r="O311" s="33">
        <v>18.8889</v>
      </c>
      <c r="P311" s="33">
        <v>22.777799999999999</v>
      </c>
      <c r="Q311" s="33">
        <v>-3.8889</v>
      </c>
      <c r="R311" s="33">
        <v>5</v>
      </c>
      <c r="S311" s="33">
        <v>3.5177999999999998</v>
      </c>
      <c r="T311" s="33">
        <v>4.0358499999999999</v>
      </c>
      <c r="U311" s="33">
        <v>4</v>
      </c>
      <c r="V311" s="89" t="str">
        <f t="shared" si="8"/>
        <v>CAR</v>
      </c>
      <c r="W311" s="90">
        <f t="shared" si="9"/>
        <v>9</v>
      </c>
      <c r="X311" s="91">
        <v>2025</v>
      </c>
    </row>
    <row r="312" spans="1:24" x14ac:dyDescent="0.25">
      <c r="A312" s="74" t="s">
        <v>41</v>
      </c>
      <c r="B312" s="33">
        <v>2025</v>
      </c>
      <c r="C312" s="33">
        <v>1449.5</v>
      </c>
      <c r="D312" s="33">
        <v>-43.200400000000002</v>
      </c>
      <c r="E312" s="33">
        <v>-2.19747</v>
      </c>
      <c r="F312" s="33">
        <v>-2.55023</v>
      </c>
      <c r="G312" s="33">
        <v>-4.0461099999999997</v>
      </c>
      <c r="H312" s="33">
        <v>4.07E-2</v>
      </c>
      <c r="I312" s="33">
        <v>-2.06E-2</v>
      </c>
      <c r="J312" s="33">
        <v>3.0971800000000001E-2</v>
      </c>
      <c r="K312" s="33">
        <v>0.1182</v>
      </c>
      <c r="L312" s="33">
        <v>0.2145</v>
      </c>
      <c r="M312" s="33">
        <v>-1.6932599999999999E-2</v>
      </c>
      <c r="N312" s="169">
        <v>-7.7499999999999999E-2</v>
      </c>
      <c r="O312" s="33">
        <v>22.333300000000001</v>
      </c>
      <c r="P312" s="33">
        <v>26.222200000000001</v>
      </c>
      <c r="Q312" s="33">
        <v>-3.8889</v>
      </c>
      <c r="R312" s="33">
        <v>3</v>
      </c>
      <c r="S312" s="33">
        <v>3.6541999999999999</v>
      </c>
      <c r="T312" s="33">
        <v>5.3915800000000003</v>
      </c>
      <c r="U312" s="33">
        <v>3</v>
      </c>
      <c r="V312" s="89" t="str">
        <f t="shared" si="8"/>
        <v>WAS</v>
      </c>
      <c r="W312" s="90">
        <f t="shared" si="9"/>
        <v>9</v>
      </c>
      <c r="X312" s="91">
        <v>2025</v>
      </c>
    </row>
    <row r="313" spans="1:24" x14ac:dyDescent="0.25">
      <c r="A313" s="74" t="s">
        <v>69</v>
      </c>
      <c r="B313" s="33">
        <v>2025</v>
      </c>
      <c r="C313" s="33">
        <v>1462.92</v>
      </c>
      <c r="D313" s="33">
        <v>2.2448000000000001</v>
      </c>
      <c r="E313" s="33">
        <v>-1.6607099999999999</v>
      </c>
      <c r="F313" s="33">
        <v>0.44757799999999998</v>
      </c>
      <c r="G313" s="33">
        <v>-0.581538</v>
      </c>
      <c r="H313" s="33">
        <v>-5.3400000000000003E-2</v>
      </c>
      <c r="I313" s="33">
        <v>-4.7100000000000003E-2</v>
      </c>
      <c r="J313" s="33">
        <v>-4.5189199999999999E-2</v>
      </c>
      <c r="K313" s="33">
        <v>2.7400000000000001E-2</v>
      </c>
      <c r="L313" s="33">
        <v>-6.2399999999999997E-2</v>
      </c>
      <c r="M313" s="33">
        <v>3.1026499999999999E-2</v>
      </c>
      <c r="N313" s="169">
        <v>-8.0799999999999997E-2</v>
      </c>
      <c r="O313" s="33">
        <v>17.875</v>
      </c>
      <c r="P313" s="33">
        <v>22.25</v>
      </c>
      <c r="Q313" s="33">
        <v>-4.375</v>
      </c>
      <c r="R313" s="33">
        <v>3</v>
      </c>
      <c r="S313" s="33">
        <v>2.9849000000000001</v>
      </c>
      <c r="T313" s="33">
        <v>3.8041800000000001</v>
      </c>
      <c r="U313" s="33">
        <v>4</v>
      </c>
      <c r="V313" s="89" t="str">
        <f t="shared" si="8"/>
        <v>ATL</v>
      </c>
      <c r="W313" s="90">
        <f t="shared" si="9"/>
        <v>9</v>
      </c>
      <c r="X313" s="91">
        <v>2025</v>
      </c>
    </row>
    <row r="314" spans="1:24" x14ac:dyDescent="0.25">
      <c r="A314" s="74" t="s">
        <v>95</v>
      </c>
      <c r="B314" s="33">
        <v>2025</v>
      </c>
      <c r="C314" s="33">
        <v>1386.35</v>
      </c>
      <c r="D314" s="33">
        <v>-19.229500000000002</v>
      </c>
      <c r="E314" s="33">
        <v>-4.7232799999999999</v>
      </c>
      <c r="F314" s="33">
        <v>-0.60417900000000002</v>
      </c>
      <c r="G314" s="33">
        <v>1.6919099999999999E-2</v>
      </c>
      <c r="H314" s="33">
        <v>3.5400000000000001E-2</v>
      </c>
      <c r="I314" s="33">
        <v>-5.2600000000000001E-2</v>
      </c>
      <c r="J314" s="33">
        <v>1.62693E-2</v>
      </c>
      <c r="K314" s="33">
        <v>0.1285</v>
      </c>
      <c r="L314" s="33">
        <v>7.7899999999999997E-2</v>
      </c>
      <c r="M314" s="33">
        <v>0.15434200000000001</v>
      </c>
      <c r="N314" s="169">
        <v>-9.3100000000000002E-2</v>
      </c>
      <c r="O314" s="33">
        <v>21.8889</v>
      </c>
      <c r="P314" s="33">
        <v>27.666699999999999</v>
      </c>
      <c r="Q314" s="33">
        <v>-5.7778</v>
      </c>
      <c r="R314" s="33">
        <v>2</v>
      </c>
      <c r="S314" s="33">
        <v>3.282</v>
      </c>
      <c r="T314" s="33">
        <v>2.6107300000000002</v>
      </c>
      <c r="U314" s="33">
        <v>3</v>
      </c>
      <c r="V314" s="89" t="str">
        <f t="shared" si="8"/>
        <v>NYG</v>
      </c>
      <c r="W314" s="90">
        <f t="shared" si="9"/>
        <v>9</v>
      </c>
      <c r="X314" s="91">
        <v>2025</v>
      </c>
    </row>
    <row r="315" spans="1:24" x14ac:dyDescent="0.25">
      <c r="A315" s="74" t="s">
        <v>91</v>
      </c>
      <c r="B315" s="33">
        <v>2025</v>
      </c>
      <c r="C315" s="33">
        <v>1391.97</v>
      </c>
      <c r="D315" s="33">
        <v>-40.296900000000001</v>
      </c>
      <c r="E315" s="33">
        <v>-4.4985600000000003</v>
      </c>
      <c r="F315" s="33">
        <v>-3.6006000000000003E-2</v>
      </c>
      <c r="G315" s="33">
        <v>7.9609399999999997E-2</v>
      </c>
      <c r="H315" s="33">
        <v>-0.19939999999999999</v>
      </c>
      <c r="I315" s="33">
        <v>-0.29759999999999998</v>
      </c>
      <c r="J315" s="33">
        <v>-1.6165300000000001E-2</v>
      </c>
      <c r="K315" s="33">
        <v>-6.8699999999999997E-2</v>
      </c>
      <c r="L315" s="33">
        <v>3.7900000000000003E-2</v>
      </c>
      <c r="M315" s="33">
        <v>-0.19554299999999999</v>
      </c>
      <c r="N315" s="169">
        <v>-0.13070000000000001</v>
      </c>
      <c r="O315" s="33">
        <v>15.75</v>
      </c>
      <c r="P315" s="33">
        <v>23</v>
      </c>
      <c r="Q315" s="33">
        <v>-7.25</v>
      </c>
      <c r="R315" s="33">
        <v>2</v>
      </c>
      <c r="S315" s="33">
        <v>2.3167</v>
      </c>
      <c r="T315" s="33">
        <v>2.7161900000000001</v>
      </c>
      <c r="U315" s="33">
        <v>3</v>
      </c>
      <c r="V315" s="89" t="str">
        <f t="shared" si="8"/>
        <v>CLE</v>
      </c>
      <c r="W315" s="90">
        <f t="shared" si="9"/>
        <v>9</v>
      </c>
      <c r="X315" s="91">
        <v>2025</v>
      </c>
    </row>
    <row r="316" spans="1:24" x14ac:dyDescent="0.25">
      <c r="A316" s="74" t="s">
        <v>79</v>
      </c>
      <c r="B316" s="33">
        <v>2025</v>
      </c>
      <c r="C316" s="33">
        <v>1396.96</v>
      </c>
      <c r="D316" s="33">
        <v>-11.905099999999999</v>
      </c>
      <c r="E316" s="33">
        <v>-4.2989899999999999</v>
      </c>
      <c r="F316" s="33">
        <v>-3.6006000000000003E-2</v>
      </c>
      <c r="G316" s="33">
        <v>-1.1367700000000001</v>
      </c>
      <c r="H316" s="33">
        <v>2.2000000000000001E-3</v>
      </c>
      <c r="I316" s="33">
        <v>-4.3200000000000002E-2</v>
      </c>
      <c r="J316" s="33">
        <v>-4.1169200000000003E-2</v>
      </c>
      <c r="K316" s="33">
        <v>0.13650000000000001</v>
      </c>
      <c r="L316" s="33">
        <v>0.1772</v>
      </c>
      <c r="M316" s="33">
        <v>1.9047000000000001E-2</v>
      </c>
      <c r="N316" s="169">
        <v>-0.1343</v>
      </c>
      <c r="O316" s="33">
        <v>21</v>
      </c>
      <c r="P316" s="33">
        <v>27.625</v>
      </c>
      <c r="Q316" s="33">
        <v>-6.625</v>
      </c>
      <c r="R316" s="33">
        <v>1</v>
      </c>
      <c r="S316" s="33">
        <v>2.7442000000000002</v>
      </c>
      <c r="T316" s="33">
        <v>3.7280500000000001</v>
      </c>
      <c r="U316" s="33">
        <v>2</v>
      </c>
      <c r="V316" s="89" t="str">
        <f t="shared" si="8"/>
        <v>NYJ</v>
      </c>
      <c r="W316" s="90">
        <f t="shared" si="9"/>
        <v>9</v>
      </c>
      <c r="X316" s="91">
        <v>2025</v>
      </c>
    </row>
    <row r="317" spans="1:24" x14ac:dyDescent="0.25">
      <c r="A317" s="74" t="s">
        <v>2</v>
      </c>
      <c r="B317" s="33">
        <v>2025</v>
      </c>
      <c r="C317" s="33">
        <v>1378.01</v>
      </c>
      <c r="D317" s="33">
        <v>-15.8322</v>
      </c>
      <c r="E317" s="33">
        <v>-5.05687</v>
      </c>
      <c r="F317" s="33">
        <v>-1.4107499999999999</v>
      </c>
      <c r="G317" s="33">
        <v>-4.8202199999999999</v>
      </c>
      <c r="H317" s="33">
        <v>-7.7999999999999996E-3</v>
      </c>
      <c r="I317" s="33">
        <v>-2.6700000000000002E-2</v>
      </c>
      <c r="J317" s="33">
        <v>-4.9027000000000001E-2</v>
      </c>
      <c r="K317" s="33">
        <v>0.13200000000000001</v>
      </c>
      <c r="L317" s="33">
        <v>0.22370000000000001</v>
      </c>
      <c r="M317" s="33">
        <v>3.6601599999999998E-2</v>
      </c>
      <c r="N317" s="169">
        <v>-0.13980000000000001</v>
      </c>
      <c r="O317" s="33">
        <v>20</v>
      </c>
      <c r="P317" s="33">
        <v>27</v>
      </c>
      <c r="Q317" s="33">
        <v>-7</v>
      </c>
      <c r="R317" s="33">
        <v>2</v>
      </c>
      <c r="S317" s="33">
        <v>2.9639000000000002</v>
      </c>
      <c r="T317" s="33">
        <v>4.3097200000000004</v>
      </c>
      <c r="U317" s="33">
        <v>4</v>
      </c>
      <c r="V317" s="89" t="str">
        <f t="shared" si="8"/>
        <v>MIA</v>
      </c>
      <c r="W317" s="90">
        <f t="shared" si="9"/>
        <v>9</v>
      </c>
      <c r="X317" s="91">
        <v>2025</v>
      </c>
    </row>
    <row r="318" spans="1:24" x14ac:dyDescent="0.25">
      <c r="A318" s="74" t="s">
        <v>77</v>
      </c>
      <c r="B318" s="33">
        <v>2025</v>
      </c>
      <c r="C318" s="33">
        <v>1422.71</v>
      </c>
      <c r="D318" s="33">
        <v>-58.968000000000004</v>
      </c>
      <c r="E318" s="33">
        <v>-3.2691499999999998</v>
      </c>
      <c r="F318" s="33">
        <v>-3.6006000000000003E-2</v>
      </c>
      <c r="G318" s="33">
        <v>-4.94156</v>
      </c>
      <c r="H318" s="33">
        <v>4.0099999999999997E-2</v>
      </c>
      <c r="I318" s="33">
        <v>-4.0399999999999998E-2</v>
      </c>
      <c r="J318" s="33">
        <v>3.35465E-2</v>
      </c>
      <c r="K318" s="33">
        <v>0.20269999999999999</v>
      </c>
      <c r="L318" s="33">
        <v>0.29389999999999999</v>
      </c>
      <c r="M318" s="33">
        <v>0.121752</v>
      </c>
      <c r="N318" s="169">
        <v>-0.16259999999999999</v>
      </c>
      <c r="O318" s="33">
        <v>24</v>
      </c>
      <c r="P318" s="33">
        <v>33.333300000000001</v>
      </c>
      <c r="Q318" s="33">
        <v>-9.3332999999999995</v>
      </c>
      <c r="R318" s="33">
        <v>3</v>
      </c>
      <c r="S318" s="33">
        <v>2.8317000000000001</v>
      </c>
      <c r="T318" s="33">
        <v>4.54298</v>
      </c>
      <c r="U318" s="33">
        <v>2</v>
      </c>
      <c r="V318" s="89" t="str">
        <f t="shared" si="8"/>
        <v>CIN</v>
      </c>
      <c r="W318" s="90">
        <f t="shared" si="9"/>
        <v>9</v>
      </c>
      <c r="X318" s="91">
        <v>2025</v>
      </c>
    </row>
    <row r="319" spans="1:24" x14ac:dyDescent="0.25">
      <c r="A319" s="74" t="s">
        <v>401</v>
      </c>
      <c r="B319" s="33">
        <v>2025</v>
      </c>
      <c r="C319" s="33">
        <v>1380.54</v>
      </c>
      <c r="D319" s="33">
        <v>-9.8668999999999993</v>
      </c>
      <c r="E319" s="33">
        <v>-4.9557399999999996</v>
      </c>
      <c r="F319" s="33">
        <v>0.70713899999999996</v>
      </c>
      <c r="G319" s="33">
        <v>-2.5183900000000001</v>
      </c>
      <c r="H319" s="33">
        <v>-0.1176</v>
      </c>
      <c r="I319" s="33">
        <v>-6.08E-2</v>
      </c>
      <c r="J319" s="33">
        <v>-0.248831</v>
      </c>
      <c r="K319" s="33">
        <v>6.8099999999999994E-2</v>
      </c>
      <c r="L319" s="33">
        <v>0.1244</v>
      </c>
      <c r="M319" s="33">
        <v>-4.0879600000000002E-2</v>
      </c>
      <c r="N319" s="169">
        <v>-0.1857</v>
      </c>
      <c r="O319" s="33">
        <v>16.5</v>
      </c>
      <c r="P319" s="33">
        <v>26.25</v>
      </c>
      <c r="Q319" s="33">
        <v>-9.75</v>
      </c>
      <c r="R319" s="33">
        <v>2</v>
      </c>
      <c r="S319" s="33">
        <v>1.9973000000000001</v>
      </c>
      <c r="T319" s="33">
        <v>3.2265600000000001</v>
      </c>
      <c r="U319" s="33">
        <v>3</v>
      </c>
      <c r="V319" s="89" t="str">
        <f t="shared" si="8"/>
        <v>LV</v>
      </c>
      <c r="W319" s="90">
        <f t="shared" si="9"/>
        <v>9</v>
      </c>
      <c r="X319" s="91">
        <v>2025</v>
      </c>
    </row>
    <row r="320" spans="1:24" x14ac:dyDescent="0.25">
      <c r="A320" s="74" t="s">
        <v>403</v>
      </c>
      <c r="B320" s="33">
        <v>2025</v>
      </c>
      <c r="C320" s="33">
        <v>1286.24</v>
      </c>
      <c r="D320" s="33">
        <v>-42.023400000000002</v>
      </c>
      <c r="E320" s="33">
        <v>-8.7279499999999999</v>
      </c>
      <c r="F320" s="33">
        <v>-1.5949599999999999</v>
      </c>
      <c r="G320" s="33">
        <v>-2.7002199999999998</v>
      </c>
      <c r="H320" s="33">
        <v>-0.193</v>
      </c>
      <c r="I320" s="33">
        <v>-0.17710000000000001</v>
      </c>
      <c r="J320" s="33">
        <v>-0.13042500000000001</v>
      </c>
      <c r="K320" s="33">
        <v>4.1300000000000003E-2</v>
      </c>
      <c r="L320" s="33">
        <v>0.14019999999999999</v>
      </c>
      <c r="M320" s="33">
        <v>-7.1255899999999997E-2</v>
      </c>
      <c r="N320" s="169">
        <v>-0.2344</v>
      </c>
      <c r="O320" s="33">
        <v>15.333299999999999</v>
      </c>
      <c r="P320" s="33">
        <v>27</v>
      </c>
      <c r="Q320" s="33">
        <v>-11.666700000000001</v>
      </c>
      <c r="R320" s="33">
        <v>1</v>
      </c>
      <c r="S320" s="33">
        <v>1.8662000000000001</v>
      </c>
      <c r="T320" s="33">
        <v>3.2061799999999998</v>
      </c>
      <c r="U320" s="33">
        <v>1</v>
      </c>
      <c r="V320" s="89" t="str">
        <f t="shared" si="8"/>
        <v>NO</v>
      </c>
      <c r="W320" s="90">
        <f t="shared" si="9"/>
        <v>9</v>
      </c>
      <c r="X320" s="91">
        <v>2025</v>
      </c>
    </row>
    <row r="321" spans="1:24" ht="15.75" thickBot="1" x14ac:dyDescent="0.3">
      <c r="A321" s="74" t="s">
        <v>89</v>
      </c>
      <c r="B321" s="33">
        <v>2025</v>
      </c>
      <c r="C321" s="33">
        <v>1261.1199999999999</v>
      </c>
      <c r="D321" s="33">
        <v>-23.862300000000001</v>
      </c>
      <c r="E321" s="33">
        <v>-9.7327399999999997</v>
      </c>
      <c r="F321" s="33">
        <v>-3.6006000000000003E-2</v>
      </c>
      <c r="G321" s="33">
        <v>-4.8996700000000004</v>
      </c>
      <c r="H321" s="33">
        <v>-0.18640000000000001</v>
      </c>
      <c r="I321" s="33">
        <v>-0.28360000000000002</v>
      </c>
      <c r="J321" s="33">
        <v>-0.13095999999999999</v>
      </c>
      <c r="K321" s="33">
        <v>9.5000000000000001E-2</v>
      </c>
      <c r="L321" s="33">
        <v>0.18049999999999999</v>
      </c>
      <c r="M321" s="33">
        <v>1.2172799999999999E-2</v>
      </c>
      <c r="N321" s="169">
        <v>-0.28149999999999997</v>
      </c>
      <c r="O321" s="33">
        <v>14.4444</v>
      </c>
      <c r="P321" s="33">
        <v>28.555599999999998</v>
      </c>
      <c r="Q321" s="33">
        <v>-14.1111</v>
      </c>
      <c r="R321" s="33">
        <v>1</v>
      </c>
      <c r="S321" s="33">
        <v>1.4926999999999999</v>
      </c>
      <c r="T321" s="33">
        <v>2.4124699999999999</v>
      </c>
      <c r="U321" s="33">
        <v>1</v>
      </c>
      <c r="V321" s="89" t="str">
        <f t="shared" si="8"/>
        <v>TEN</v>
      </c>
      <c r="W321" s="90">
        <f t="shared" si="9"/>
        <v>9</v>
      </c>
      <c r="X321" s="91">
        <v>2025</v>
      </c>
    </row>
    <row r="322" spans="1:24" x14ac:dyDescent="0.25">
      <c r="A322" s="125" t="s">
        <v>57</v>
      </c>
      <c r="B322" s="126">
        <v>2025</v>
      </c>
      <c r="C322" s="126">
        <v>1560.87</v>
      </c>
      <c r="D322" s="126">
        <v>21.014800000000001</v>
      </c>
      <c r="E322" s="126">
        <v>2.7749700000000002</v>
      </c>
      <c r="F322" s="126">
        <v>0.52577200000000002</v>
      </c>
      <c r="G322" s="126">
        <v>5.8473300000000004</v>
      </c>
      <c r="H322" s="126">
        <v>0.2114</v>
      </c>
      <c r="I322" s="126">
        <v>0.16059999999999999</v>
      </c>
      <c r="J322" s="126">
        <v>0.20255999999999999</v>
      </c>
      <c r="K322" s="126">
        <v>-9.7000000000000003E-3</v>
      </c>
      <c r="L322" s="126">
        <v>-6.5299999999999997E-2</v>
      </c>
      <c r="M322" s="126">
        <v>-1.3495500000000001E-2</v>
      </c>
      <c r="N322" s="171">
        <v>0.22109999999999999</v>
      </c>
      <c r="O322" s="126">
        <v>32.1</v>
      </c>
      <c r="P322" s="126">
        <v>20.6</v>
      </c>
      <c r="Q322" s="126">
        <v>11.5</v>
      </c>
      <c r="R322" s="126">
        <v>8</v>
      </c>
      <c r="S322" s="126">
        <v>7.4100999999999999</v>
      </c>
      <c r="T322" s="126">
        <v>5.6538599999999999</v>
      </c>
      <c r="U322" s="126">
        <v>9</v>
      </c>
      <c r="V322" s="129" t="str">
        <f t="shared" ref="V322:V385" si="10">IF(A322&lt;&gt;"",IF(A322="OAK","LV",A322),"")</f>
        <v>IND</v>
      </c>
      <c r="W322" s="127">
        <f t="shared" si="9"/>
        <v>10</v>
      </c>
      <c r="X322" s="128">
        <v>2025</v>
      </c>
    </row>
    <row r="323" spans="1:24" x14ac:dyDescent="0.25">
      <c r="A323" s="74" t="s">
        <v>55</v>
      </c>
      <c r="B323" s="33">
        <v>2025</v>
      </c>
      <c r="C323" s="33">
        <v>1616.91</v>
      </c>
      <c r="D323" s="33">
        <v>12.3302</v>
      </c>
      <c r="E323" s="33">
        <v>5.0165499999999996</v>
      </c>
      <c r="F323" s="33">
        <v>0.70082500000000003</v>
      </c>
      <c r="G323" s="33">
        <v>5.0887599999999997</v>
      </c>
      <c r="H323" s="33">
        <v>9.6000000000000002E-2</v>
      </c>
      <c r="I323" s="33">
        <v>0.27700000000000002</v>
      </c>
      <c r="J323" s="33">
        <v>-0.121129</v>
      </c>
      <c r="K323" s="33">
        <v>-0.1205</v>
      </c>
      <c r="L323" s="33">
        <v>4.0000000000000002E-4</v>
      </c>
      <c r="M323" s="33">
        <v>-0.157773</v>
      </c>
      <c r="N323" s="169">
        <v>0.2165</v>
      </c>
      <c r="O323" s="33">
        <v>30.555599999999998</v>
      </c>
      <c r="P323" s="33">
        <v>19.1111</v>
      </c>
      <c r="Q323" s="33">
        <v>11.4444</v>
      </c>
      <c r="R323" s="33">
        <v>7</v>
      </c>
      <c r="S323" s="33">
        <v>6.7728000000000002</v>
      </c>
      <c r="T323" s="33">
        <v>5.7944599999999999</v>
      </c>
      <c r="U323" s="33">
        <v>9</v>
      </c>
      <c r="V323" s="89" t="str">
        <f t="shared" si="10"/>
        <v>SEA</v>
      </c>
      <c r="W323" s="90">
        <f t="shared" ref="W323:W386" si="11">W291+1</f>
        <v>10</v>
      </c>
      <c r="X323" s="91">
        <v>2025</v>
      </c>
    </row>
    <row r="324" spans="1:24" x14ac:dyDescent="0.25">
      <c r="A324" s="74" t="s">
        <v>21</v>
      </c>
      <c r="B324" s="33">
        <v>2025</v>
      </c>
      <c r="C324" s="33">
        <v>1674.78</v>
      </c>
      <c r="D324" s="33">
        <v>27.4697</v>
      </c>
      <c r="E324" s="33">
        <v>7.3312400000000002</v>
      </c>
      <c r="F324" s="33">
        <v>1.67778</v>
      </c>
      <c r="G324" s="33">
        <v>6.2257999999999996</v>
      </c>
      <c r="H324" s="33">
        <v>0.1188</v>
      </c>
      <c r="I324" s="33">
        <v>0.26729999999999998</v>
      </c>
      <c r="J324" s="33">
        <v>-9.0378899999999998E-2</v>
      </c>
      <c r="K324" s="33">
        <v>-7.8200000000000006E-2</v>
      </c>
      <c r="L324" s="33">
        <v>-8.2799999999999999E-2</v>
      </c>
      <c r="M324" s="33">
        <v>-0.107043</v>
      </c>
      <c r="N324" s="173">
        <v>0.19689999999999999</v>
      </c>
      <c r="O324" s="33">
        <v>27.8889</v>
      </c>
      <c r="P324" s="33">
        <v>17</v>
      </c>
      <c r="Q324" s="33">
        <v>10.8889</v>
      </c>
      <c r="R324" s="33">
        <v>7</v>
      </c>
      <c r="S324" s="33">
        <v>6.8734999999999999</v>
      </c>
      <c r="T324" s="33">
        <v>6.2370000000000001</v>
      </c>
      <c r="U324" s="33">
        <v>9</v>
      </c>
      <c r="V324" s="89" t="str">
        <f t="shared" si="10"/>
        <v>LAR</v>
      </c>
      <c r="W324" s="90">
        <f t="shared" si="11"/>
        <v>10</v>
      </c>
      <c r="X324" s="91">
        <v>2025</v>
      </c>
    </row>
    <row r="325" spans="1:24" x14ac:dyDescent="0.25">
      <c r="A325" s="74" t="s">
        <v>10</v>
      </c>
      <c r="B325" s="33">
        <v>2025</v>
      </c>
      <c r="C325" s="33">
        <v>1674.34</v>
      </c>
      <c r="D325" s="33">
        <v>9.1517999999999997</v>
      </c>
      <c r="E325" s="33">
        <v>7.3137699999999999</v>
      </c>
      <c r="F325" s="33">
        <v>2.46035</v>
      </c>
      <c r="G325" s="33">
        <v>2.6402700000000001</v>
      </c>
      <c r="H325" s="33">
        <v>0.14599999999999999</v>
      </c>
      <c r="I325" s="33">
        <v>0.2823</v>
      </c>
      <c r="J325" s="33">
        <v>-3.9525999999999997E-3</v>
      </c>
      <c r="K325" s="33">
        <v>-3.2800000000000003E-2</v>
      </c>
      <c r="L325" s="33">
        <v>-6.7799999999999999E-2</v>
      </c>
      <c r="M325" s="33">
        <v>-7.4814699999999998E-2</v>
      </c>
      <c r="N325" s="169">
        <v>0.17879999999999999</v>
      </c>
      <c r="O325" s="33">
        <v>31.444400000000002</v>
      </c>
      <c r="P325" s="33">
        <v>22.222200000000001</v>
      </c>
      <c r="Q325" s="33">
        <v>9.2222000000000008</v>
      </c>
      <c r="R325" s="33">
        <v>6</v>
      </c>
      <c r="S325" s="33">
        <v>6.2533000000000003</v>
      </c>
      <c r="T325" s="33">
        <v>6.1985900000000003</v>
      </c>
      <c r="U325" s="33">
        <v>6</v>
      </c>
      <c r="V325" s="89" t="str">
        <f t="shared" si="10"/>
        <v>DET</v>
      </c>
      <c r="W325" s="90">
        <f t="shared" si="11"/>
        <v>10</v>
      </c>
      <c r="X325" s="91">
        <v>2025</v>
      </c>
    </row>
    <row r="326" spans="1:24" x14ac:dyDescent="0.25">
      <c r="A326" s="74" t="s">
        <v>31</v>
      </c>
      <c r="B326" s="33">
        <v>2025</v>
      </c>
      <c r="C326" s="33">
        <v>1536.32</v>
      </c>
      <c r="D326" s="33">
        <v>-16.666799999999999</v>
      </c>
      <c r="E326" s="33">
        <v>1.79297</v>
      </c>
      <c r="F326" s="33">
        <v>0.94017099999999998</v>
      </c>
      <c r="G326" s="33">
        <v>1.9884599999999999</v>
      </c>
      <c r="H326" s="33">
        <v>-3.1899999999999998E-2</v>
      </c>
      <c r="I326" s="33">
        <v>2.8400000000000002E-2</v>
      </c>
      <c r="J326" s="33">
        <v>-4.0930599999999998E-2</v>
      </c>
      <c r="K326" s="33">
        <v>-0.17599999999999999</v>
      </c>
      <c r="L326" s="33">
        <v>-0.21790000000000001</v>
      </c>
      <c r="M326" s="33">
        <v>-4.5181499999999999E-2</v>
      </c>
      <c r="N326" s="169">
        <v>0.14410000000000001</v>
      </c>
      <c r="O326" s="33">
        <v>22.666699999999999</v>
      </c>
      <c r="P326" s="33">
        <v>16.666699999999999</v>
      </c>
      <c r="Q326" s="33">
        <v>6</v>
      </c>
      <c r="R326" s="33">
        <v>4</v>
      </c>
      <c r="S326" s="33">
        <v>6.0708000000000002</v>
      </c>
      <c r="T326" s="33">
        <v>5.4648399999999997</v>
      </c>
      <c r="U326" s="33">
        <v>5</v>
      </c>
      <c r="V326" s="89" t="str">
        <f t="shared" si="10"/>
        <v>HOU</v>
      </c>
      <c r="W326" s="90">
        <f t="shared" si="11"/>
        <v>10</v>
      </c>
      <c r="X326" s="91">
        <v>2025</v>
      </c>
    </row>
    <row r="327" spans="1:24" x14ac:dyDescent="0.25">
      <c r="A327" s="74" t="s">
        <v>399</v>
      </c>
      <c r="B327" s="33">
        <v>2025</v>
      </c>
      <c r="C327" s="33">
        <v>1646.34</v>
      </c>
      <c r="D327" s="33">
        <v>11.719799999999999</v>
      </c>
      <c r="E327" s="33">
        <v>6.1936600000000004</v>
      </c>
      <c r="F327" s="33">
        <v>0.52577200000000002</v>
      </c>
      <c r="G327" s="33">
        <v>2.8577499999999998</v>
      </c>
      <c r="H327" s="33">
        <v>0.16930000000000001</v>
      </c>
      <c r="I327" s="33">
        <v>0.22120000000000001</v>
      </c>
      <c r="J327" s="33">
        <v>7.9336400000000001E-2</v>
      </c>
      <c r="K327" s="33">
        <v>2.5999999999999999E-2</v>
      </c>
      <c r="L327" s="33">
        <v>-6.2100000000000002E-2</v>
      </c>
      <c r="M327" s="33">
        <v>2.0246799999999999E-2</v>
      </c>
      <c r="N327" s="169">
        <v>0.14319999999999999</v>
      </c>
      <c r="O327" s="33">
        <v>26.1111</v>
      </c>
      <c r="P327" s="33">
        <v>17.666699999999999</v>
      </c>
      <c r="Q327" s="33">
        <v>8.4443999999999999</v>
      </c>
      <c r="R327" s="33">
        <v>5</v>
      </c>
      <c r="S327" s="33">
        <v>6.4462000000000002</v>
      </c>
      <c r="T327" s="33">
        <v>5.92483</v>
      </c>
      <c r="U327" s="33">
        <v>6</v>
      </c>
      <c r="V327" s="89" t="str">
        <f t="shared" si="10"/>
        <v>KC</v>
      </c>
      <c r="W327" s="90">
        <f t="shared" si="11"/>
        <v>10</v>
      </c>
      <c r="X327" s="91">
        <v>2025</v>
      </c>
    </row>
    <row r="328" spans="1:24" x14ac:dyDescent="0.25">
      <c r="A328" s="74" t="s">
        <v>404</v>
      </c>
      <c r="B328" s="33">
        <v>2025</v>
      </c>
      <c r="C328" s="33">
        <v>1516.81</v>
      </c>
      <c r="D328" s="33">
        <v>14.156700000000001</v>
      </c>
      <c r="E328" s="33">
        <v>1.0126599999999999</v>
      </c>
      <c r="F328" s="33">
        <v>0.89801299999999995</v>
      </c>
      <c r="G328" s="33">
        <v>4.0626499999999997</v>
      </c>
      <c r="H328" s="33">
        <v>9.3700000000000006E-2</v>
      </c>
      <c r="I328" s="33">
        <v>0.28100000000000003</v>
      </c>
      <c r="J328" s="33">
        <v>-8.4393399999999993E-2</v>
      </c>
      <c r="K328" s="33">
        <v>-3.8699999999999998E-2</v>
      </c>
      <c r="L328" s="33">
        <v>1.23E-2</v>
      </c>
      <c r="M328" s="33">
        <v>-8.3540299999999998E-2</v>
      </c>
      <c r="N328" s="169">
        <v>0.13250000000000001</v>
      </c>
      <c r="O328" s="33">
        <v>26.5</v>
      </c>
      <c r="P328" s="33">
        <v>19.2</v>
      </c>
      <c r="Q328" s="33">
        <v>7.3</v>
      </c>
      <c r="R328" s="33">
        <v>8</v>
      </c>
      <c r="S328" s="33">
        <v>6.8216000000000001</v>
      </c>
      <c r="T328" s="33">
        <v>5.7208899999999998</v>
      </c>
      <c r="U328" s="33">
        <v>6</v>
      </c>
      <c r="V328" s="89" t="str">
        <f t="shared" si="10"/>
        <v>NE</v>
      </c>
      <c r="W328" s="90">
        <f t="shared" si="11"/>
        <v>10</v>
      </c>
      <c r="X328" s="91">
        <v>2025</v>
      </c>
    </row>
    <row r="329" spans="1:24" x14ac:dyDescent="0.25">
      <c r="A329" s="74" t="s">
        <v>63</v>
      </c>
      <c r="B329" s="33">
        <v>2025</v>
      </c>
      <c r="C329" s="33">
        <v>1555.48</v>
      </c>
      <c r="D329" s="33">
        <v>1.845</v>
      </c>
      <c r="E329" s="33">
        <v>2.5594100000000002</v>
      </c>
      <c r="F329" s="33">
        <v>-0.23083999999999999</v>
      </c>
      <c r="G329" s="33">
        <v>0.94833500000000004</v>
      </c>
      <c r="H329" s="33">
        <v>1.12E-2</v>
      </c>
      <c r="I329" s="33">
        <v>4.3900000000000002E-2</v>
      </c>
      <c r="J329" s="33">
        <v>3.9212800000000001E-3</v>
      </c>
      <c r="K329" s="33">
        <v>-8.8599999999999998E-2</v>
      </c>
      <c r="L329" s="33">
        <v>-0.14019999999999999</v>
      </c>
      <c r="M329" s="33">
        <v>-0.10056</v>
      </c>
      <c r="N329" s="169">
        <v>9.98E-2</v>
      </c>
      <c r="O329" s="33">
        <v>23.5</v>
      </c>
      <c r="P329" s="33">
        <v>17.3</v>
      </c>
      <c r="Q329" s="33">
        <v>6.2</v>
      </c>
      <c r="R329" s="33">
        <v>8</v>
      </c>
      <c r="S329" s="33">
        <v>6.7390999999999996</v>
      </c>
      <c r="T329" s="33">
        <v>6.85379</v>
      </c>
      <c r="U329" s="33">
        <v>7</v>
      </c>
      <c r="V329" s="89" t="str">
        <f t="shared" si="10"/>
        <v>DEN</v>
      </c>
      <c r="W329" s="90">
        <f t="shared" si="11"/>
        <v>10</v>
      </c>
      <c r="X329" s="91">
        <v>2025</v>
      </c>
    </row>
    <row r="330" spans="1:24" x14ac:dyDescent="0.25">
      <c r="A330" s="74" t="s">
        <v>25</v>
      </c>
      <c r="B330" s="33">
        <v>2025</v>
      </c>
      <c r="C330" s="33">
        <v>1608.4</v>
      </c>
      <c r="D330" s="33">
        <v>1.0061</v>
      </c>
      <c r="E330" s="33">
        <v>4.6762600000000001</v>
      </c>
      <c r="F330" s="33">
        <v>-4.1698899999999997E-2</v>
      </c>
      <c r="G330" s="33">
        <v>0.27254899999999999</v>
      </c>
      <c r="H330" s="33">
        <v>0.15970000000000001</v>
      </c>
      <c r="I330" s="33">
        <v>0.18859999999999999</v>
      </c>
      <c r="J330" s="33">
        <v>9.1342499999999993E-2</v>
      </c>
      <c r="K330" s="33">
        <v>6.3399999999999998E-2</v>
      </c>
      <c r="L330" s="33">
        <v>-3.5799999999999998E-2</v>
      </c>
      <c r="M330" s="33">
        <v>6.80148E-2</v>
      </c>
      <c r="N330" s="169">
        <v>9.6299999999999997E-2</v>
      </c>
      <c r="O330" s="33">
        <v>27.555599999999998</v>
      </c>
      <c r="P330" s="33">
        <v>21.8889</v>
      </c>
      <c r="Q330" s="33">
        <v>5.6666999999999996</v>
      </c>
      <c r="R330" s="33">
        <v>6</v>
      </c>
      <c r="S330" s="33">
        <v>5.6981000000000002</v>
      </c>
      <c r="T330" s="33">
        <v>7.0990399999999996</v>
      </c>
      <c r="U330" s="33">
        <v>5</v>
      </c>
      <c r="V330" s="89" t="str">
        <f t="shared" si="10"/>
        <v>BUF</v>
      </c>
      <c r="W330" s="90">
        <f t="shared" si="11"/>
        <v>10</v>
      </c>
      <c r="X330" s="91">
        <v>2025</v>
      </c>
    </row>
    <row r="331" spans="1:24" x14ac:dyDescent="0.25">
      <c r="A331" s="74" t="s">
        <v>400</v>
      </c>
      <c r="B331" s="33">
        <v>2025</v>
      </c>
      <c r="C331" s="33">
        <v>1588.76</v>
      </c>
      <c r="D331" s="33">
        <v>7.9271000000000003</v>
      </c>
      <c r="E331" s="33">
        <v>3.8906900000000002</v>
      </c>
      <c r="F331" s="33">
        <v>-3.3657300000000001E-2</v>
      </c>
      <c r="G331" s="33">
        <v>1.7204200000000001</v>
      </c>
      <c r="H331" s="33">
        <v>0.10680000000000001</v>
      </c>
      <c r="I331" s="33">
        <v>0.24660000000000001</v>
      </c>
      <c r="J331" s="33">
        <v>-1.8129300000000001E-2</v>
      </c>
      <c r="K331" s="33">
        <v>2.2800000000000001E-2</v>
      </c>
      <c r="L331" s="33">
        <v>3.3500000000000002E-2</v>
      </c>
      <c r="M331" s="33">
        <v>-8.0387600000000003E-2</v>
      </c>
      <c r="N331" s="169">
        <v>8.4000000000000005E-2</v>
      </c>
      <c r="O331" s="33">
        <v>23.666699999999999</v>
      </c>
      <c r="P331" s="33">
        <v>19.555599999999998</v>
      </c>
      <c r="Q331" s="33">
        <v>4.1111000000000004</v>
      </c>
      <c r="R331" s="33">
        <v>5</v>
      </c>
      <c r="S331" s="33">
        <v>5.5004999999999997</v>
      </c>
      <c r="T331" s="33">
        <v>6.5301400000000003</v>
      </c>
      <c r="U331" s="33">
        <v>6</v>
      </c>
      <c r="V331" s="89" t="str">
        <f t="shared" si="10"/>
        <v>GB</v>
      </c>
      <c r="W331" s="90">
        <f t="shared" si="11"/>
        <v>10</v>
      </c>
      <c r="X331" s="91">
        <v>2025</v>
      </c>
    </row>
    <row r="332" spans="1:24" x14ac:dyDescent="0.25">
      <c r="A332" s="74" t="s">
        <v>60</v>
      </c>
      <c r="B332" s="33">
        <v>2025</v>
      </c>
      <c r="C332" s="33">
        <v>1535.49</v>
      </c>
      <c r="D332" s="33">
        <v>5.8331999999999997</v>
      </c>
      <c r="E332" s="33">
        <v>1.7597400000000001</v>
      </c>
      <c r="F332" s="33">
        <v>0.46412599999999998</v>
      </c>
      <c r="G332" s="33">
        <v>0.99291499999999999</v>
      </c>
      <c r="H332" s="33">
        <v>3.2899999999999999E-2</v>
      </c>
      <c r="I332" s="33">
        <v>2.8500000000000001E-2</v>
      </c>
      <c r="J332" s="33">
        <v>1.21166E-2</v>
      </c>
      <c r="K332" s="33">
        <v>-3.6799999999999999E-2</v>
      </c>
      <c r="L332" s="33">
        <v>-0.105</v>
      </c>
      <c r="M332" s="33">
        <v>5.5924700000000004E-3</v>
      </c>
      <c r="N332" s="169">
        <v>6.9699999999999998E-2</v>
      </c>
      <c r="O332" s="33">
        <v>24</v>
      </c>
      <c r="P332" s="33">
        <v>20.3</v>
      </c>
      <c r="Q332" s="33">
        <v>3.7</v>
      </c>
      <c r="R332" s="33">
        <v>7</v>
      </c>
      <c r="S332" s="33">
        <v>5.9791999999999996</v>
      </c>
      <c r="T332" s="33">
        <v>6.69773</v>
      </c>
      <c r="U332" s="33">
        <v>5</v>
      </c>
      <c r="V332" s="89" t="str">
        <f t="shared" si="10"/>
        <v>LAC</v>
      </c>
      <c r="W332" s="90">
        <f t="shared" si="11"/>
        <v>10</v>
      </c>
      <c r="X332" s="91">
        <v>2025</v>
      </c>
    </row>
    <row r="333" spans="1:24" x14ac:dyDescent="0.25">
      <c r="A333" s="74" t="s">
        <v>38</v>
      </c>
      <c r="B333" s="33">
        <v>2025</v>
      </c>
      <c r="C333" s="33">
        <v>1616.8</v>
      </c>
      <c r="D333" s="33">
        <v>1.8485</v>
      </c>
      <c r="E333" s="33">
        <v>5.0121500000000001</v>
      </c>
      <c r="F333" s="33">
        <v>0.696909</v>
      </c>
      <c r="G333" s="33">
        <v>0.20467299999999999</v>
      </c>
      <c r="H333" s="33">
        <v>5.0500000000000003E-2</v>
      </c>
      <c r="I333" s="33">
        <v>0.1164</v>
      </c>
      <c r="J333" s="33">
        <v>-1.34967E-2</v>
      </c>
      <c r="K333" s="33">
        <v>-1.4E-3</v>
      </c>
      <c r="L333" s="33">
        <v>-3.44E-2</v>
      </c>
      <c r="M333" s="33">
        <v>-8.0683500000000002E-3</v>
      </c>
      <c r="N333" s="169">
        <v>5.1900000000000002E-2</v>
      </c>
      <c r="O333" s="33">
        <v>24.222200000000001</v>
      </c>
      <c r="P333" s="33">
        <v>21.333300000000001</v>
      </c>
      <c r="Q333" s="33">
        <v>2.8889</v>
      </c>
      <c r="R333" s="33">
        <v>7</v>
      </c>
      <c r="S333" s="33">
        <v>5.1722000000000001</v>
      </c>
      <c r="T333" s="33">
        <v>6.8438499999999998</v>
      </c>
      <c r="U333" s="33">
        <v>6</v>
      </c>
      <c r="V333" s="89" t="str">
        <f t="shared" si="10"/>
        <v>PHI</v>
      </c>
      <c r="W333" s="90">
        <f t="shared" si="11"/>
        <v>10</v>
      </c>
      <c r="X333" s="91">
        <v>2025</v>
      </c>
    </row>
    <row r="334" spans="1:24" x14ac:dyDescent="0.25">
      <c r="A334" s="74" t="s">
        <v>402</v>
      </c>
      <c r="B334" s="33">
        <v>2025</v>
      </c>
      <c r="C334" s="33">
        <v>1516.36</v>
      </c>
      <c r="D334" s="33">
        <v>2.992</v>
      </c>
      <c r="E334" s="33">
        <v>0.99440899999999999</v>
      </c>
      <c r="F334" s="33">
        <v>0.20416999999999999</v>
      </c>
      <c r="G334" s="33">
        <v>0.76105999999999996</v>
      </c>
      <c r="H334" s="33">
        <v>-8.0000000000000004E-4</v>
      </c>
      <c r="I334" s="33">
        <v>5.0599999999999999E-2</v>
      </c>
      <c r="J334" s="33">
        <v>-2.40374E-2</v>
      </c>
      <c r="K334" s="33">
        <v>-3.4200000000000001E-2</v>
      </c>
      <c r="L334" s="33">
        <v>-4.58E-2</v>
      </c>
      <c r="M334" s="33">
        <v>-7.3253299999999993E-2</v>
      </c>
      <c r="N334" s="169">
        <v>3.3500000000000002E-2</v>
      </c>
      <c r="O334" s="33">
        <v>24.444400000000002</v>
      </c>
      <c r="P334" s="33">
        <v>22.8889</v>
      </c>
      <c r="Q334" s="33">
        <v>1.5556000000000001</v>
      </c>
      <c r="R334" s="33">
        <v>6</v>
      </c>
      <c r="S334" s="33">
        <v>4.8498999999999999</v>
      </c>
      <c r="T334" s="33">
        <v>5.1582499999999998</v>
      </c>
      <c r="U334" s="33">
        <v>4</v>
      </c>
      <c r="V334" s="89" t="str">
        <f t="shared" si="10"/>
        <v>TB</v>
      </c>
      <c r="W334" s="90">
        <f t="shared" si="11"/>
        <v>10</v>
      </c>
      <c r="X334" s="91">
        <v>2025</v>
      </c>
    </row>
    <row r="335" spans="1:24" x14ac:dyDescent="0.25">
      <c r="A335" s="74" t="s">
        <v>85</v>
      </c>
      <c r="B335" s="33">
        <v>2025</v>
      </c>
      <c r="C335" s="33">
        <v>1484.8</v>
      </c>
      <c r="D335" s="33">
        <v>-6.2037000000000004</v>
      </c>
      <c r="E335" s="33">
        <v>-0.26766600000000002</v>
      </c>
      <c r="F335" s="33">
        <v>-0.20866699999999999</v>
      </c>
      <c r="G335" s="33">
        <v>-0.33987800000000001</v>
      </c>
      <c r="H335" s="33">
        <v>5.11E-2</v>
      </c>
      <c r="I335" s="33">
        <v>-1.8E-3</v>
      </c>
      <c r="J335" s="33">
        <v>-3.1762199999999997E-2</v>
      </c>
      <c r="K335" s="33">
        <v>5.0700000000000002E-2</v>
      </c>
      <c r="L335" s="33">
        <v>5.0500000000000003E-2</v>
      </c>
      <c r="M335" s="33">
        <v>4.8270600000000002E-3</v>
      </c>
      <c r="N335" s="169">
        <v>4.0000000000000002E-4</v>
      </c>
      <c r="O335" s="33">
        <v>23.555599999999998</v>
      </c>
      <c r="P335" s="33">
        <v>24.444400000000002</v>
      </c>
      <c r="Q335" s="33">
        <v>-0.88890000000000002</v>
      </c>
      <c r="R335" s="33">
        <v>5</v>
      </c>
      <c r="S335" s="33">
        <v>4.3026</v>
      </c>
      <c r="T335" s="33">
        <v>5.5369200000000003</v>
      </c>
      <c r="U335" s="33">
        <v>4</v>
      </c>
      <c r="V335" s="89" t="str">
        <f t="shared" si="10"/>
        <v>PIT</v>
      </c>
      <c r="W335" s="90">
        <f t="shared" si="11"/>
        <v>10</v>
      </c>
      <c r="X335" s="91">
        <v>2025</v>
      </c>
    </row>
    <row r="336" spans="1:24" x14ac:dyDescent="0.25">
      <c r="A336" s="74" t="s">
        <v>72</v>
      </c>
      <c r="B336" s="33">
        <v>2025</v>
      </c>
      <c r="C336" s="33">
        <v>1498.19</v>
      </c>
      <c r="D336" s="33">
        <v>19.365400000000001</v>
      </c>
      <c r="E336" s="33">
        <v>0.26766600000000002</v>
      </c>
      <c r="F336" s="33">
        <v>0.20866699999999999</v>
      </c>
      <c r="G336" s="33">
        <v>1.58307</v>
      </c>
      <c r="H336" s="33">
        <v>5.4600000000000003E-2</v>
      </c>
      <c r="I336" s="33">
        <v>9.6199999999999994E-2</v>
      </c>
      <c r="J336" s="33">
        <v>4.79201E-2</v>
      </c>
      <c r="K336" s="33">
        <v>6.2100000000000002E-2</v>
      </c>
      <c r="L336" s="33">
        <v>6.8099999999999994E-2</v>
      </c>
      <c r="M336" s="33">
        <v>-3.6379099999999998E-2</v>
      </c>
      <c r="N336" s="169">
        <v>-7.6E-3</v>
      </c>
      <c r="O336" s="33">
        <v>26.555599999999998</v>
      </c>
      <c r="P336" s="33">
        <v>27.444400000000002</v>
      </c>
      <c r="Q336" s="33">
        <v>-0.88890000000000002</v>
      </c>
      <c r="R336" s="33">
        <v>6</v>
      </c>
      <c r="S336" s="33">
        <v>4.3244999999999996</v>
      </c>
      <c r="T336" s="33">
        <v>4.4478499999999999</v>
      </c>
      <c r="U336" s="33">
        <v>6</v>
      </c>
      <c r="V336" s="89" t="str">
        <f t="shared" si="10"/>
        <v>CHI</v>
      </c>
      <c r="W336" s="90">
        <f t="shared" si="11"/>
        <v>10</v>
      </c>
      <c r="X336" s="91">
        <v>2025</v>
      </c>
    </row>
    <row r="337" spans="1:24" x14ac:dyDescent="0.25">
      <c r="A337" s="74" t="s">
        <v>47</v>
      </c>
      <c r="B337" s="33">
        <v>2025</v>
      </c>
      <c r="C337" s="33">
        <v>1616.12</v>
      </c>
      <c r="D337" s="33">
        <v>12.1182</v>
      </c>
      <c r="E337" s="33">
        <v>4.9849300000000003</v>
      </c>
      <c r="F337" s="33">
        <v>0.82796899999999996</v>
      </c>
      <c r="G337" s="33">
        <v>-1.49411</v>
      </c>
      <c r="H337" s="33">
        <v>5.3499999999999999E-2</v>
      </c>
      <c r="I337" s="33">
        <v>2.3E-2</v>
      </c>
      <c r="J337" s="33">
        <v>1.15041E-2</v>
      </c>
      <c r="K337" s="33">
        <v>6.2300000000000001E-2</v>
      </c>
      <c r="L337" s="33">
        <v>8.7900000000000006E-2</v>
      </c>
      <c r="M337" s="33">
        <v>2.1919399999999999E-2</v>
      </c>
      <c r="N337" s="169">
        <v>-8.8000000000000005E-3</v>
      </c>
      <c r="O337" s="33">
        <v>25.444400000000002</v>
      </c>
      <c r="P337" s="33">
        <v>26.1111</v>
      </c>
      <c r="Q337" s="33">
        <v>-0.66669999999999996</v>
      </c>
      <c r="R337" s="33">
        <v>4</v>
      </c>
      <c r="S337" s="33">
        <v>4.3620999999999999</v>
      </c>
      <c r="T337" s="33">
        <v>5.65916</v>
      </c>
      <c r="U337" s="33">
        <v>5</v>
      </c>
      <c r="V337" s="89" t="str">
        <f t="shared" si="10"/>
        <v>BAL</v>
      </c>
      <c r="W337" s="90">
        <f t="shared" si="11"/>
        <v>10</v>
      </c>
      <c r="X337" s="91">
        <v>2025</v>
      </c>
    </row>
    <row r="338" spans="1:24" x14ac:dyDescent="0.25">
      <c r="A338" s="74" t="s">
        <v>405</v>
      </c>
      <c r="B338" s="33">
        <v>2025</v>
      </c>
      <c r="C338" s="33">
        <v>1503.03</v>
      </c>
      <c r="D338" s="33">
        <v>-23.7196</v>
      </c>
      <c r="E338" s="33">
        <v>0.46134799999999998</v>
      </c>
      <c r="F338" s="33">
        <v>0.14732400000000001</v>
      </c>
      <c r="G338" s="33">
        <v>-0.30361300000000002</v>
      </c>
      <c r="H338" s="33">
        <v>6.7199999999999996E-2</v>
      </c>
      <c r="I338" s="33">
        <v>0.1363</v>
      </c>
      <c r="J338" s="33">
        <v>-7.8602099999999994E-2</v>
      </c>
      <c r="K338" s="33">
        <v>8.0299999999999996E-2</v>
      </c>
      <c r="L338" s="33">
        <v>0.1507</v>
      </c>
      <c r="M338" s="33">
        <v>-2.4275999999999999E-2</v>
      </c>
      <c r="N338" s="169">
        <v>-1.3100000000000001E-2</v>
      </c>
      <c r="O338" s="33">
        <v>22</v>
      </c>
      <c r="P338" s="33">
        <v>23</v>
      </c>
      <c r="Q338" s="33">
        <v>-1</v>
      </c>
      <c r="R338" s="33">
        <v>6</v>
      </c>
      <c r="S338" s="33">
        <v>4.7369000000000003</v>
      </c>
      <c r="T338" s="33">
        <v>5.4620600000000001</v>
      </c>
      <c r="U338" s="33">
        <v>4</v>
      </c>
      <c r="V338" s="89" t="str">
        <f t="shared" si="10"/>
        <v>SF</v>
      </c>
      <c r="W338" s="90">
        <f t="shared" si="11"/>
        <v>10</v>
      </c>
      <c r="X338" s="91">
        <v>2025</v>
      </c>
    </row>
    <row r="339" spans="1:24" x14ac:dyDescent="0.25">
      <c r="A339" s="74" t="s">
        <v>14</v>
      </c>
      <c r="B339" s="33">
        <v>2025</v>
      </c>
      <c r="C339" s="33">
        <v>1481.34</v>
      </c>
      <c r="D339" s="33">
        <v>12.417999999999999</v>
      </c>
      <c r="E339" s="33">
        <v>-0.40602500000000002</v>
      </c>
      <c r="F339" s="33">
        <v>0.52577099999999999</v>
      </c>
      <c r="G339" s="33">
        <v>0.57657700000000001</v>
      </c>
      <c r="H339" s="33">
        <v>0.15939999999999999</v>
      </c>
      <c r="I339" s="33">
        <v>0.1769</v>
      </c>
      <c r="J339" s="33">
        <v>2.7581700000000001E-2</v>
      </c>
      <c r="K339" s="33">
        <v>0.18029999999999999</v>
      </c>
      <c r="L339" s="33">
        <v>0.21709999999999999</v>
      </c>
      <c r="M339" s="33">
        <v>8.4540299999999999E-2</v>
      </c>
      <c r="N339" s="169">
        <v>-2.0799999999999999E-2</v>
      </c>
      <c r="O339" s="33">
        <v>29.222200000000001</v>
      </c>
      <c r="P339" s="33">
        <v>30.777799999999999</v>
      </c>
      <c r="Q339" s="33">
        <v>-1.5556000000000001</v>
      </c>
      <c r="R339" s="33">
        <v>3</v>
      </c>
      <c r="S339" s="33">
        <v>4.2237999999999998</v>
      </c>
      <c r="T339" s="33">
        <v>4.5012800000000004</v>
      </c>
      <c r="U339" s="33">
        <v>3</v>
      </c>
      <c r="V339" s="89" t="str">
        <f t="shared" si="10"/>
        <v>DAL</v>
      </c>
      <c r="W339" s="90">
        <f t="shared" si="11"/>
        <v>10</v>
      </c>
      <c r="X339" s="91">
        <v>2025</v>
      </c>
    </row>
    <row r="340" spans="1:24" x14ac:dyDescent="0.25">
      <c r="A340" s="74" t="s">
        <v>44</v>
      </c>
      <c r="B340" s="33">
        <v>2025</v>
      </c>
      <c r="C340" s="33">
        <v>1434.99</v>
      </c>
      <c r="D340" s="33">
        <v>-10.683999999999999</v>
      </c>
      <c r="E340" s="33">
        <v>-2.26037</v>
      </c>
      <c r="F340" s="33">
        <v>9.9643499999999996E-2</v>
      </c>
      <c r="G340" s="33">
        <v>-0.312749</v>
      </c>
      <c r="H340" s="33">
        <v>7.1000000000000004E-3</v>
      </c>
      <c r="I340" s="33">
        <v>-6.54E-2</v>
      </c>
      <c r="J340" s="33">
        <v>5.9457900000000001E-2</v>
      </c>
      <c r="K340" s="33">
        <v>3.1E-2</v>
      </c>
      <c r="L340" s="33">
        <v>1.8599999999999998E-2</v>
      </c>
      <c r="M340" s="33">
        <v>-4.2632000000000003E-2</v>
      </c>
      <c r="N340" s="169">
        <v>-2.3900000000000001E-2</v>
      </c>
      <c r="O340" s="33">
        <v>22.777799999999999</v>
      </c>
      <c r="P340" s="33">
        <v>24.444400000000002</v>
      </c>
      <c r="Q340" s="33">
        <v>-1.6667000000000001</v>
      </c>
      <c r="R340" s="33">
        <v>5</v>
      </c>
      <c r="S340" s="33">
        <v>4.1242999999999999</v>
      </c>
      <c r="T340" s="33">
        <v>4.2057500000000001</v>
      </c>
      <c r="U340" s="33">
        <v>5</v>
      </c>
      <c r="V340" s="89" t="str">
        <f t="shared" si="10"/>
        <v>JAX</v>
      </c>
      <c r="W340" s="90">
        <f t="shared" si="11"/>
        <v>10</v>
      </c>
      <c r="X340" s="91">
        <v>2025</v>
      </c>
    </row>
    <row r="341" spans="1:24" x14ac:dyDescent="0.25">
      <c r="A341" s="74" t="s">
        <v>93</v>
      </c>
      <c r="B341" s="33">
        <v>2025</v>
      </c>
      <c r="C341" s="33">
        <v>1420.12</v>
      </c>
      <c r="D341" s="33">
        <v>-56.576799999999999</v>
      </c>
      <c r="E341" s="33">
        <v>-2.85521</v>
      </c>
      <c r="F341" s="33">
        <v>0.16416</v>
      </c>
      <c r="G341" s="33">
        <v>-3.0457800000000002</v>
      </c>
      <c r="H341" s="33">
        <v>-2.8999999999999998E-3</v>
      </c>
      <c r="I341" s="33">
        <v>2.12E-2</v>
      </c>
      <c r="J341" s="33">
        <v>-6.4294799999999999E-2</v>
      </c>
      <c r="K341" s="33">
        <v>2.1399999999999999E-2</v>
      </c>
      <c r="L341" s="33">
        <v>4.9099999999999998E-2</v>
      </c>
      <c r="M341" s="33">
        <v>-5.3404199999999999E-2</v>
      </c>
      <c r="N341" s="169">
        <v>-2.4299999999999999E-2</v>
      </c>
      <c r="O341" s="33">
        <v>22.444400000000002</v>
      </c>
      <c r="P341" s="33">
        <v>23.8889</v>
      </c>
      <c r="Q341" s="33">
        <v>-1.4443999999999999</v>
      </c>
      <c r="R341" s="33">
        <v>3</v>
      </c>
      <c r="S341" s="33">
        <v>4.1680000000000001</v>
      </c>
      <c r="T341" s="33">
        <v>4.9230200000000002</v>
      </c>
      <c r="U341" s="33">
        <v>3</v>
      </c>
      <c r="V341" s="89" t="str">
        <f t="shared" si="10"/>
        <v>ARI</v>
      </c>
      <c r="W341" s="90">
        <f t="shared" si="11"/>
        <v>10</v>
      </c>
      <c r="X341" s="91">
        <v>2025</v>
      </c>
    </row>
    <row r="342" spans="1:24" x14ac:dyDescent="0.25">
      <c r="A342" s="74" t="s">
        <v>75</v>
      </c>
      <c r="B342" s="33">
        <v>2025</v>
      </c>
      <c r="C342" s="33">
        <v>1466.19</v>
      </c>
      <c r="D342" s="33">
        <v>-19.746300000000002</v>
      </c>
      <c r="E342" s="33">
        <v>-1.01231</v>
      </c>
      <c r="F342" s="33">
        <v>-2.65185E-2</v>
      </c>
      <c r="G342" s="33">
        <v>-1.7407600000000001</v>
      </c>
      <c r="H342" s="33">
        <v>-9.1300000000000006E-2</v>
      </c>
      <c r="I342" s="33">
        <v>-0.13569999999999999</v>
      </c>
      <c r="J342" s="33">
        <v>-7.5384199999999998E-2</v>
      </c>
      <c r="K342" s="33">
        <v>-4.9099999999999998E-2</v>
      </c>
      <c r="L342" s="33">
        <v>-6.1499999999999999E-2</v>
      </c>
      <c r="M342" s="33">
        <v>-5.5073800000000001E-3</v>
      </c>
      <c r="N342" s="169">
        <v>-4.2299999999999997E-2</v>
      </c>
      <c r="O342" s="33">
        <v>22.333300000000001</v>
      </c>
      <c r="P342" s="33">
        <v>23.666699999999999</v>
      </c>
      <c r="Q342" s="33">
        <v>-1.3332999999999999</v>
      </c>
      <c r="R342" s="33">
        <v>4</v>
      </c>
      <c r="S342" s="33">
        <v>4.1913</v>
      </c>
      <c r="T342" s="33">
        <v>5.3868400000000003</v>
      </c>
      <c r="U342" s="33">
        <v>3</v>
      </c>
      <c r="V342" s="89" t="str">
        <f t="shared" si="10"/>
        <v>MIN</v>
      </c>
      <c r="W342" s="90">
        <f t="shared" si="11"/>
        <v>10</v>
      </c>
      <c r="X342" s="91">
        <v>2025</v>
      </c>
    </row>
    <row r="343" spans="1:24" x14ac:dyDescent="0.25">
      <c r="A343" s="74" t="s">
        <v>69</v>
      </c>
      <c r="B343" s="33">
        <v>2025</v>
      </c>
      <c r="C343" s="33">
        <v>1445.81</v>
      </c>
      <c r="D343" s="33">
        <v>-5.0556000000000001</v>
      </c>
      <c r="E343" s="33">
        <v>-1.82728</v>
      </c>
      <c r="F343" s="33">
        <v>-0.18327599999999999</v>
      </c>
      <c r="G343" s="33">
        <v>-0.74811000000000005</v>
      </c>
      <c r="H343" s="33">
        <v>-4.6100000000000002E-2</v>
      </c>
      <c r="I343" s="33">
        <v>-6.9500000000000006E-2</v>
      </c>
      <c r="J343" s="33">
        <v>-2.29678E-2</v>
      </c>
      <c r="K343" s="33">
        <v>4.1300000000000003E-2</v>
      </c>
      <c r="L343" s="33">
        <v>-6.4500000000000002E-2</v>
      </c>
      <c r="M343" s="33">
        <v>7.6708899999999997E-2</v>
      </c>
      <c r="N343" s="169">
        <v>-8.7400000000000005E-2</v>
      </c>
      <c r="O343" s="33">
        <v>18.666699999999999</v>
      </c>
      <c r="P343" s="33">
        <v>23.222200000000001</v>
      </c>
      <c r="Q343" s="33">
        <v>-4.5556000000000001</v>
      </c>
      <c r="R343" s="33">
        <v>3</v>
      </c>
      <c r="S343" s="33">
        <v>3.3609</v>
      </c>
      <c r="T343" s="33">
        <v>4.3634899999999996</v>
      </c>
      <c r="U343" s="33">
        <v>5</v>
      </c>
      <c r="V343" s="89" t="str">
        <f t="shared" si="10"/>
        <v>ATL</v>
      </c>
      <c r="W343" s="90">
        <f t="shared" si="11"/>
        <v>10</v>
      </c>
      <c r="X343" s="91">
        <v>2025</v>
      </c>
    </row>
    <row r="344" spans="1:24" x14ac:dyDescent="0.25">
      <c r="A344" s="74" t="s">
        <v>95</v>
      </c>
      <c r="B344" s="33">
        <v>2025</v>
      </c>
      <c r="C344" s="33">
        <v>1412.56</v>
      </c>
      <c r="D344" s="33">
        <v>-8.7654999999999994</v>
      </c>
      <c r="E344" s="33">
        <v>-3.1574200000000001</v>
      </c>
      <c r="F344" s="33">
        <v>1.5662100000000001</v>
      </c>
      <c r="G344" s="33">
        <v>1.5827800000000001</v>
      </c>
      <c r="H344" s="33">
        <v>3.15E-2</v>
      </c>
      <c r="I344" s="33">
        <v>-4.41E-2</v>
      </c>
      <c r="J344" s="33">
        <v>1.28004E-2</v>
      </c>
      <c r="K344" s="33">
        <v>0.12</v>
      </c>
      <c r="L344" s="33">
        <v>5.2999999999999999E-2</v>
      </c>
      <c r="M344" s="33">
        <v>0.15917100000000001</v>
      </c>
      <c r="N344" s="169">
        <v>-8.8499999999999995E-2</v>
      </c>
      <c r="O344" s="33">
        <v>21.7</v>
      </c>
      <c r="P344" s="33">
        <v>27.3</v>
      </c>
      <c r="Q344" s="33">
        <v>-5.6</v>
      </c>
      <c r="R344" s="33">
        <v>2</v>
      </c>
      <c r="S344" s="33">
        <v>3.6724000000000001</v>
      </c>
      <c r="T344" s="33">
        <v>2.87717</v>
      </c>
      <c r="U344" s="33">
        <v>3</v>
      </c>
      <c r="V344" s="89" t="str">
        <f t="shared" si="10"/>
        <v>NYG</v>
      </c>
      <c r="W344" s="90">
        <f t="shared" si="11"/>
        <v>10</v>
      </c>
      <c r="X344" s="91">
        <v>2025</v>
      </c>
    </row>
    <row r="345" spans="1:24" x14ac:dyDescent="0.25">
      <c r="A345" s="74" t="s">
        <v>2</v>
      </c>
      <c r="B345" s="33">
        <v>2025</v>
      </c>
      <c r="C345" s="33">
        <v>1391.26</v>
      </c>
      <c r="D345" s="33">
        <v>-16.474499999999999</v>
      </c>
      <c r="E345" s="33">
        <v>-4.0094099999999999</v>
      </c>
      <c r="F345" s="33">
        <v>1.00844</v>
      </c>
      <c r="G345" s="33">
        <v>-3.7727599999999999</v>
      </c>
      <c r="H345" s="33">
        <v>2.5100000000000001E-2</v>
      </c>
      <c r="I345" s="33">
        <v>4.0000000000000001E-3</v>
      </c>
      <c r="J345" s="33">
        <v>-1.1954899999999999E-2</v>
      </c>
      <c r="K345" s="33">
        <v>0.1144</v>
      </c>
      <c r="L345" s="33">
        <v>0.2064</v>
      </c>
      <c r="M345" s="33">
        <v>2.15525E-3</v>
      </c>
      <c r="N345" s="169">
        <v>-8.9300000000000004E-2</v>
      </c>
      <c r="O345" s="33">
        <v>21</v>
      </c>
      <c r="P345" s="33">
        <v>25.6</v>
      </c>
      <c r="Q345" s="33">
        <v>-4.5999999999999996</v>
      </c>
      <c r="R345" s="33">
        <v>3</v>
      </c>
      <c r="S345" s="33">
        <v>3.8475000000000001</v>
      </c>
      <c r="T345" s="33">
        <v>4.7846200000000003</v>
      </c>
      <c r="U345" s="33">
        <v>5</v>
      </c>
      <c r="V345" s="89" t="str">
        <f t="shared" si="10"/>
        <v>MIA</v>
      </c>
      <c r="W345" s="90">
        <f t="shared" si="11"/>
        <v>10</v>
      </c>
      <c r="X345" s="91">
        <v>2025</v>
      </c>
    </row>
    <row r="346" spans="1:24" x14ac:dyDescent="0.25">
      <c r="A346" s="74" t="s">
        <v>67</v>
      </c>
      <c r="B346" s="33">
        <v>2025</v>
      </c>
      <c r="C346" s="33">
        <v>1384.61</v>
      </c>
      <c r="D346" s="33">
        <v>-3.0350000000000001</v>
      </c>
      <c r="E346" s="33">
        <v>-4.2755400000000003</v>
      </c>
      <c r="F346" s="33">
        <v>-0.124126</v>
      </c>
      <c r="G346" s="33">
        <v>1.32579</v>
      </c>
      <c r="H346" s="33">
        <v>-3.5900000000000001E-2</v>
      </c>
      <c r="I346" s="33">
        <v>-0.14069999999999999</v>
      </c>
      <c r="J346" s="33">
        <v>-2.0581599999999999E-3</v>
      </c>
      <c r="K346" s="33">
        <v>5.5E-2</v>
      </c>
      <c r="L346" s="33">
        <v>0.14649999999999999</v>
      </c>
      <c r="M346" s="33">
        <v>-3.3054199999999999E-2</v>
      </c>
      <c r="N346" s="169">
        <v>-9.0999999999999998E-2</v>
      </c>
      <c r="O346" s="33">
        <v>17.7</v>
      </c>
      <c r="P346" s="33">
        <v>22.2</v>
      </c>
      <c r="Q346" s="33">
        <v>-4.5</v>
      </c>
      <c r="R346" s="33">
        <v>5</v>
      </c>
      <c r="S346" s="33">
        <v>3.6892</v>
      </c>
      <c r="T346" s="33">
        <v>4.4269699999999998</v>
      </c>
      <c r="U346" s="33">
        <v>4</v>
      </c>
      <c r="V346" s="89" t="str">
        <f t="shared" si="10"/>
        <v>CAR</v>
      </c>
      <c r="W346" s="90">
        <f t="shared" si="11"/>
        <v>10</v>
      </c>
      <c r="X346" s="91">
        <v>2025</v>
      </c>
    </row>
    <row r="347" spans="1:24" x14ac:dyDescent="0.25">
      <c r="A347" s="74" t="s">
        <v>79</v>
      </c>
      <c r="B347" s="33">
        <v>2025</v>
      </c>
      <c r="C347" s="33">
        <v>1392.29</v>
      </c>
      <c r="D347" s="33">
        <v>-19.035900000000002</v>
      </c>
      <c r="E347" s="33">
        <v>-3.9680499999999999</v>
      </c>
      <c r="F347" s="33">
        <v>0.33912599999999998</v>
      </c>
      <c r="G347" s="33">
        <v>-0.80583000000000005</v>
      </c>
      <c r="H347" s="33">
        <v>-3.2000000000000002E-3</v>
      </c>
      <c r="I347" s="33">
        <v>-8.1699999999999995E-2</v>
      </c>
      <c r="J347" s="33">
        <v>-5.36605E-2</v>
      </c>
      <c r="K347" s="33">
        <v>0.1019</v>
      </c>
      <c r="L347" s="33">
        <v>0.1285</v>
      </c>
      <c r="M347" s="33">
        <v>2.2742100000000001E-2</v>
      </c>
      <c r="N347" s="169">
        <v>-0.1051</v>
      </c>
      <c r="O347" s="33">
        <v>21.666699999999999</v>
      </c>
      <c r="P347" s="33">
        <v>26.777799999999999</v>
      </c>
      <c r="Q347" s="33">
        <v>-5.1111000000000004</v>
      </c>
      <c r="R347" s="33">
        <v>2</v>
      </c>
      <c r="S347" s="33">
        <v>3.3936999999999999</v>
      </c>
      <c r="T347" s="33">
        <v>3.8642799999999999</v>
      </c>
      <c r="U347" s="33">
        <v>2</v>
      </c>
      <c r="V347" s="89" t="str">
        <f t="shared" si="10"/>
        <v>NYJ</v>
      </c>
      <c r="W347" s="90">
        <f t="shared" si="11"/>
        <v>10</v>
      </c>
      <c r="X347" s="91">
        <v>2025</v>
      </c>
    </row>
    <row r="348" spans="1:24" x14ac:dyDescent="0.25">
      <c r="A348" s="74" t="s">
        <v>41</v>
      </c>
      <c r="B348" s="33">
        <v>2025</v>
      </c>
      <c r="C348" s="33">
        <v>1418.36</v>
      </c>
      <c r="D348" s="33">
        <v>-36.924300000000002</v>
      </c>
      <c r="E348" s="33">
        <v>-2.9253300000000002</v>
      </c>
      <c r="F348" s="33">
        <v>-0.73788100000000001</v>
      </c>
      <c r="G348" s="33">
        <v>-4.7739799999999999</v>
      </c>
      <c r="H348" s="33">
        <v>5.62E-2</v>
      </c>
      <c r="I348" s="33">
        <v>2.01E-2</v>
      </c>
      <c r="J348" s="33">
        <v>2.09144E-2</v>
      </c>
      <c r="K348" s="33">
        <v>0.1651</v>
      </c>
      <c r="L348" s="33">
        <v>0.26769999999999999</v>
      </c>
      <c r="M348" s="33">
        <v>1.7125399999999999E-2</v>
      </c>
      <c r="N348" s="169">
        <v>-0.10879999999999999</v>
      </c>
      <c r="O348" s="33">
        <v>22.3</v>
      </c>
      <c r="P348" s="33">
        <v>28</v>
      </c>
      <c r="Q348" s="33">
        <v>-5.7</v>
      </c>
      <c r="R348" s="33">
        <v>3</v>
      </c>
      <c r="S348" s="33">
        <v>3.6831</v>
      </c>
      <c r="T348" s="33">
        <v>5.86998</v>
      </c>
      <c r="U348" s="33">
        <v>3</v>
      </c>
      <c r="V348" s="89" t="str">
        <f t="shared" si="10"/>
        <v>WAS</v>
      </c>
      <c r="W348" s="90">
        <f t="shared" si="11"/>
        <v>10</v>
      </c>
      <c r="X348" s="91">
        <v>2025</v>
      </c>
    </row>
    <row r="349" spans="1:24" x14ac:dyDescent="0.25">
      <c r="A349" s="74" t="s">
        <v>91</v>
      </c>
      <c r="B349" s="33">
        <v>2025</v>
      </c>
      <c r="C349" s="33">
        <v>1391.84</v>
      </c>
      <c r="D349" s="33">
        <v>-37.4679</v>
      </c>
      <c r="E349" s="33">
        <v>-3.98631</v>
      </c>
      <c r="F349" s="33">
        <v>0.52205100000000004</v>
      </c>
      <c r="G349" s="33">
        <v>0.59186000000000005</v>
      </c>
      <c r="H349" s="33">
        <v>-0.1923</v>
      </c>
      <c r="I349" s="33">
        <v>-0.2913</v>
      </c>
      <c r="J349" s="33">
        <v>-6.5290399999999998E-3</v>
      </c>
      <c r="K349" s="33">
        <v>-6.7900000000000002E-2</v>
      </c>
      <c r="L349" s="33">
        <v>-7.1000000000000004E-3</v>
      </c>
      <c r="M349" s="33">
        <v>-0.18785299999999999</v>
      </c>
      <c r="N349" s="169">
        <v>-0.1244</v>
      </c>
      <c r="O349" s="33">
        <v>16.222200000000001</v>
      </c>
      <c r="P349" s="33">
        <v>23.444400000000002</v>
      </c>
      <c r="Q349" s="33">
        <v>-7.2222</v>
      </c>
      <c r="R349" s="33">
        <v>2</v>
      </c>
      <c r="S349" s="33">
        <v>2.6520999999999999</v>
      </c>
      <c r="T349" s="33">
        <v>3.0508199999999999</v>
      </c>
      <c r="U349" s="33">
        <v>4</v>
      </c>
      <c r="V349" s="89" t="str">
        <f t="shared" si="10"/>
        <v>CLE</v>
      </c>
      <c r="W349" s="90">
        <f t="shared" si="11"/>
        <v>10</v>
      </c>
      <c r="X349" s="91">
        <v>2025</v>
      </c>
    </row>
    <row r="350" spans="1:24" x14ac:dyDescent="0.25">
      <c r="A350" s="74" t="s">
        <v>77</v>
      </c>
      <c r="B350" s="33">
        <v>2025</v>
      </c>
      <c r="C350" s="33">
        <v>1402.89</v>
      </c>
      <c r="D350" s="33">
        <v>-48.072800000000001</v>
      </c>
      <c r="E350" s="33">
        <v>-3.5441699999999998</v>
      </c>
      <c r="F350" s="33">
        <v>0.52577099999999999</v>
      </c>
      <c r="G350" s="33">
        <v>-5.2165800000000004</v>
      </c>
      <c r="H350" s="33">
        <v>4.0099999999999997E-2</v>
      </c>
      <c r="I350" s="33">
        <v>-4.0399999999999998E-2</v>
      </c>
      <c r="J350" s="33">
        <v>3.35465E-2</v>
      </c>
      <c r="K350" s="33">
        <v>0.20269999999999999</v>
      </c>
      <c r="L350" s="33">
        <v>0.29389999999999999</v>
      </c>
      <c r="M350" s="33">
        <v>0.121752</v>
      </c>
      <c r="N350" s="169">
        <v>-0.16259999999999999</v>
      </c>
      <c r="O350" s="33">
        <v>24</v>
      </c>
      <c r="P350" s="33">
        <v>33.333300000000001</v>
      </c>
      <c r="Q350" s="33">
        <v>-9.3332999999999995</v>
      </c>
      <c r="R350" s="33">
        <v>3</v>
      </c>
      <c r="S350" s="33">
        <v>2.8317000000000001</v>
      </c>
      <c r="T350" s="33">
        <v>4.90754</v>
      </c>
      <c r="U350" s="33">
        <v>2</v>
      </c>
      <c r="V350" s="89" t="str">
        <f t="shared" si="10"/>
        <v>CIN</v>
      </c>
      <c r="W350" s="90">
        <f t="shared" si="11"/>
        <v>10</v>
      </c>
      <c r="X350" s="91">
        <v>2025</v>
      </c>
    </row>
    <row r="351" spans="1:24" x14ac:dyDescent="0.25">
      <c r="A351" s="74" t="s">
        <v>401</v>
      </c>
      <c r="B351" s="33">
        <v>2025</v>
      </c>
      <c r="C351" s="33">
        <v>1374.22</v>
      </c>
      <c r="D351" s="33">
        <v>-19.210699999999999</v>
      </c>
      <c r="E351" s="33">
        <v>-4.6908899999999996</v>
      </c>
      <c r="F351" s="33">
        <v>0.34204099999999998</v>
      </c>
      <c r="G351" s="33">
        <v>-2.2535400000000001</v>
      </c>
      <c r="H351" s="33">
        <v>-0.16059999999999999</v>
      </c>
      <c r="I351" s="33">
        <v>-0.11840000000000001</v>
      </c>
      <c r="J351" s="33">
        <v>-0.24463499999999999</v>
      </c>
      <c r="K351" s="33">
        <v>1.4999999999999999E-2</v>
      </c>
      <c r="L351" s="33">
        <v>7.7899999999999997E-2</v>
      </c>
      <c r="M351" s="33">
        <v>-6.3585100000000006E-2</v>
      </c>
      <c r="N351" s="169">
        <v>-0.17560000000000001</v>
      </c>
      <c r="O351" s="33">
        <v>15.4444</v>
      </c>
      <c r="P351" s="33">
        <v>24.444400000000002</v>
      </c>
      <c r="Q351" s="33">
        <v>-9</v>
      </c>
      <c r="R351" s="33">
        <v>2</v>
      </c>
      <c r="S351" s="33">
        <v>2.2675999999999998</v>
      </c>
      <c r="T351" s="33">
        <v>3.6699000000000002</v>
      </c>
      <c r="U351" s="33">
        <v>3</v>
      </c>
      <c r="V351" s="89" t="str">
        <f t="shared" si="10"/>
        <v>LV</v>
      </c>
      <c r="W351" s="90">
        <f t="shared" si="11"/>
        <v>10</v>
      </c>
      <c r="X351" s="91">
        <v>2025</v>
      </c>
    </row>
    <row r="352" spans="1:24" x14ac:dyDescent="0.25">
      <c r="A352" s="74" t="s">
        <v>403</v>
      </c>
      <c r="B352" s="33">
        <v>2025</v>
      </c>
      <c r="C352" s="33">
        <v>1316.71</v>
      </c>
      <c r="D352" s="33">
        <v>-11.9945</v>
      </c>
      <c r="E352" s="33">
        <v>-6.9914800000000001</v>
      </c>
      <c r="F352" s="33">
        <v>0.52577200000000002</v>
      </c>
      <c r="G352" s="33">
        <v>-0.96375</v>
      </c>
      <c r="H352" s="33">
        <v>-0.16520000000000001</v>
      </c>
      <c r="I352" s="33">
        <v>-0.13</v>
      </c>
      <c r="J352" s="33">
        <v>-0.13456499999999999</v>
      </c>
      <c r="K352" s="33">
        <v>2.2599999999999999E-2</v>
      </c>
      <c r="L352" s="33">
        <v>8.7300000000000003E-2</v>
      </c>
      <c r="M352" s="33">
        <v>-9.6206200000000006E-2</v>
      </c>
      <c r="N352" s="169">
        <v>-0.18790000000000001</v>
      </c>
      <c r="O352" s="33">
        <v>15.5</v>
      </c>
      <c r="P352" s="33">
        <v>25</v>
      </c>
      <c r="Q352" s="33">
        <v>-9.5</v>
      </c>
      <c r="R352" s="33">
        <v>2</v>
      </c>
      <c r="S352" s="33">
        <v>2.4361999999999999</v>
      </c>
      <c r="T352" s="33">
        <v>3.23468</v>
      </c>
      <c r="U352" s="33">
        <v>2</v>
      </c>
      <c r="V352" s="89" t="str">
        <f t="shared" si="10"/>
        <v>NO</v>
      </c>
      <c r="W352" s="90">
        <f t="shared" si="11"/>
        <v>10</v>
      </c>
      <c r="X352" s="91">
        <v>2025</v>
      </c>
    </row>
    <row r="353" spans="1:24" ht="15.75" thickBot="1" x14ac:dyDescent="0.3">
      <c r="A353" s="74" t="s">
        <v>89</v>
      </c>
      <c r="B353" s="33">
        <v>2025</v>
      </c>
      <c r="C353" s="33">
        <v>1259.98</v>
      </c>
      <c r="D353" s="33">
        <v>-26.614799999999999</v>
      </c>
      <c r="E353" s="33">
        <v>-9.2605500000000003</v>
      </c>
      <c r="F353" s="33">
        <v>0.52577200000000002</v>
      </c>
      <c r="G353" s="33">
        <v>-4.4274800000000001</v>
      </c>
      <c r="H353" s="33">
        <v>-0.18640000000000001</v>
      </c>
      <c r="I353" s="33">
        <v>-0.28360000000000002</v>
      </c>
      <c r="J353" s="33">
        <v>-0.13095999999999999</v>
      </c>
      <c r="K353" s="33">
        <v>9.5000000000000001E-2</v>
      </c>
      <c r="L353" s="33">
        <v>0.18049999999999999</v>
      </c>
      <c r="M353" s="33">
        <v>1.2172799999999999E-2</v>
      </c>
      <c r="N353" s="173">
        <v>-0.28149999999999997</v>
      </c>
      <c r="O353" s="33">
        <v>14.4444</v>
      </c>
      <c r="P353" s="33">
        <v>28.555599999999998</v>
      </c>
      <c r="Q353" s="33">
        <v>-14.1111</v>
      </c>
      <c r="R353" s="33">
        <v>1</v>
      </c>
      <c r="S353" s="33">
        <v>1.4926999999999999</v>
      </c>
      <c r="T353" s="33">
        <v>2.6503899999999998</v>
      </c>
      <c r="U353" s="33">
        <v>1</v>
      </c>
      <c r="V353" s="89" t="str">
        <f t="shared" si="10"/>
        <v>TEN</v>
      </c>
      <c r="W353" s="90">
        <f t="shared" si="11"/>
        <v>10</v>
      </c>
      <c r="X353" s="91">
        <v>2025</v>
      </c>
    </row>
    <row r="354" spans="1:24" x14ac:dyDescent="0.25">
      <c r="A354" s="125" t="s">
        <v>57</v>
      </c>
      <c r="B354" s="126">
        <v>2025</v>
      </c>
      <c r="C354" s="126">
        <v>1566.84</v>
      </c>
      <c r="D354" s="126">
        <v>15.681900000000001</v>
      </c>
      <c r="E354" s="126">
        <v>2.5605199999999999</v>
      </c>
      <c r="F354" s="126">
        <v>-0.45336900000000002</v>
      </c>
      <c r="G354" s="126">
        <v>5.6328899999999997</v>
      </c>
      <c r="H354" s="126">
        <v>0.2114</v>
      </c>
      <c r="I354" s="126">
        <v>0.1608</v>
      </c>
      <c r="J354" s="126">
        <v>0.20227800000000001</v>
      </c>
      <c r="K354" s="126">
        <v>-9.7000000000000003E-3</v>
      </c>
      <c r="L354" s="126">
        <v>-6.5299999999999997E-2</v>
      </c>
      <c r="M354" s="126">
        <v>-1.3495500000000001E-2</v>
      </c>
      <c r="N354" s="171">
        <v>0.22109999999999999</v>
      </c>
      <c r="O354" s="126">
        <v>32.1</v>
      </c>
      <c r="P354" s="126">
        <v>20.6</v>
      </c>
      <c r="Q354" s="126">
        <v>11.5</v>
      </c>
      <c r="R354" s="126">
        <v>8</v>
      </c>
      <c r="S354" s="126">
        <v>7.4100999999999999</v>
      </c>
      <c r="T354" s="126">
        <v>6.0318699999999996</v>
      </c>
      <c r="U354" s="126">
        <v>9</v>
      </c>
      <c r="V354" s="129" t="str">
        <f t="shared" si="10"/>
        <v>IND</v>
      </c>
      <c r="W354" s="127">
        <f t="shared" si="11"/>
        <v>11</v>
      </c>
      <c r="X354" s="128">
        <v>2025</v>
      </c>
    </row>
    <row r="355" spans="1:24" x14ac:dyDescent="0.25">
      <c r="A355" s="74" t="s">
        <v>55</v>
      </c>
      <c r="B355" s="33">
        <v>2025</v>
      </c>
      <c r="C355" s="33">
        <v>1612.39</v>
      </c>
      <c r="D355" s="33">
        <v>4.7015000000000002</v>
      </c>
      <c r="E355" s="33">
        <v>4.3824699999999996</v>
      </c>
      <c r="F355" s="33">
        <v>-0.634077</v>
      </c>
      <c r="G355" s="33">
        <v>4.4546799999999998</v>
      </c>
      <c r="H355" s="33">
        <v>6.0199999999999997E-2</v>
      </c>
      <c r="I355" s="33">
        <v>0.18529999999999999</v>
      </c>
      <c r="J355" s="33">
        <v>-0.115907</v>
      </c>
      <c r="K355" s="33">
        <v>-0.13239999999999999</v>
      </c>
      <c r="L355" s="33">
        <v>-2.4899999999999999E-2</v>
      </c>
      <c r="M355" s="33">
        <v>-0.14032800000000001</v>
      </c>
      <c r="N355" s="169">
        <v>0.19259999999999999</v>
      </c>
      <c r="O355" s="33">
        <v>29.4</v>
      </c>
      <c r="P355" s="33">
        <v>19.3</v>
      </c>
      <c r="Q355" s="33">
        <v>10.1</v>
      </c>
      <c r="R355" s="33">
        <v>7</v>
      </c>
      <c r="S355" s="33">
        <v>7.3056999999999999</v>
      </c>
      <c r="T355" s="33">
        <v>6.6101700000000001</v>
      </c>
      <c r="U355" s="33">
        <v>9</v>
      </c>
      <c r="V355" s="89" t="str">
        <f t="shared" si="10"/>
        <v>SEA</v>
      </c>
      <c r="W355" s="90">
        <f t="shared" si="11"/>
        <v>11</v>
      </c>
      <c r="X355" s="91">
        <v>2025</v>
      </c>
    </row>
    <row r="356" spans="1:24" x14ac:dyDescent="0.25">
      <c r="A356" s="74" t="s">
        <v>21</v>
      </c>
      <c r="B356" s="33">
        <v>2025</v>
      </c>
      <c r="C356" s="33">
        <v>1667.18</v>
      </c>
      <c r="D356" s="33">
        <v>22.979900000000001</v>
      </c>
      <c r="E356" s="33">
        <v>6.5740499999999997</v>
      </c>
      <c r="F356" s="33">
        <v>-0.75719700000000001</v>
      </c>
      <c r="G356" s="33">
        <v>5.4686000000000003</v>
      </c>
      <c r="H356" s="33">
        <v>8.7099999999999997E-2</v>
      </c>
      <c r="I356" s="33">
        <v>0.21709999999999999</v>
      </c>
      <c r="J356" s="33">
        <v>-8.0170000000000005E-2</v>
      </c>
      <c r="K356" s="33">
        <v>-8.9700000000000002E-2</v>
      </c>
      <c r="L356" s="33">
        <v>-0.10879999999999999</v>
      </c>
      <c r="M356" s="33">
        <v>-0.102773</v>
      </c>
      <c r="N356" s="173">
        <v>0.1767</v>
      </c>
      <c r="O356" s="33">
        <v>27.2</v>
      </c>
      <c r="P356" s="33">
        <v>17.2</v>
      </c>
      <c r="Q356" s="33">
        <v>10</v>
      </c>
      <c r="R356" s="33">
        <v>8</v>
      </c>
      <c r="S356" s="33">
        <v>7.4766000000000004</v>
      </c>
      <c r="T356" s="33">
        <v>6.9987199999999996</v>
      </c>
      <c r="U356" s="33">
        <v>10</v>
      </c>
      <c r="V356" s="89" t="str">
        <f t="shared" si="10"/>
        <v>LAR</v>
      </c>
      <c r="W356" s="90">
        <f t="shared" si="11"/>
        <v>11</v>
      </c>
      <c r="X356" s="91">
        <v>2025</v>
      </c>
    </row>
    <row r="357" spans="1:24" x14ac:dyDescent="0.25">
      <c r="A357" s="74" t="s">
        <v>10</v>
      </c>
      <c r="B357" s="33">
        <v>2025</v>
      </c>
      <c r="C357" s="33">
        <v>1643.35</v>
      </c>
      <c r="D357" s="33">
        <v>-0.51719999999999999</v>
      </c>
      <c r="E357" s="33">
        <v>5.6207599999999998</v>
      </c>
      <c r="F357" s="33">
        <v>-1.6930099999999999</v>
      </c>
      <c r="G357" s="33">
        <v>0.94726600000000005</v>
      </c>
      <c r="H357" s="33">
        <v>9.7100000000000006E-2</v>
      </c>
      <c r="I357" s="33">
        <v>0.2034</v>
      </c>
      <c r="J357" s="33">
        <v>-3.6927300000000003E-2</v>
      </c>
      <c r="K357" s="33">
        <v>-5.1799999999999999E-2</v>
      </c>
      <c r="L357" s="33">
        <v>-8.8400000000000006E-2</v>
      </c>
      <c r="M357" s="33">
        <v>-9.5198199999999997E-2</v>
      </c>
      <c r="N357" s="173">
        <v>0.1489</v>
      </c>
      <c r="O357" s="33">
        <v>29.2</v>
      </c>
      <c r="P357" s="33">
        <v>21.6</v>
      </c>
      <c r="Q357" s="33">
        <v>7.6</v>
      </c>
      <c r="R357" s="33">
        <v>6</v>
      </c>
      <c r="S357" s="33">
        <v>6.7138999999999998</v>
      </c>
      <c r="T357" s="33">
        <v>7.0496999999999996</v>
      </c>
      <c r="U357" s="33">
        <v>6</v>
      </c>
      <c r="V357" s="89" t="str">
        <f t="shared" si="10"/>
        <v>DET</v>
      </c>
      <c r="W357" s="90">
        <f t="shared" si="11"/>
        <v>11</v>
      </c>
      <c r="X357" s="91">
        <v>2025</v>
      </c>
    </row>
    <row r="358" spans="1:24" x14ac:dyDescent="0.25">
      <c r="A358" s="74" t="s">
        <v>404</v>
      </c>
      <c r="B358" s="33">
        <v>2025</v>
      </c>
      <c r="C358" s="33">
        <v>1564.3</v>
      </c>
      <c r="D358" s="33">
        <v>17.107900000000001</v>
      </c>
      <c r="E358" s="33">
        <v>2.4587300000000001</v>
      </c>
      <c r="F358" s="33">
        <v>1.44607</v>
      </c>
      <c r="G358" s="33">
        <v>5.5087200000000003</v>
      </c>
      <c r="H358" s="33">
        <v>9.98E-2</v>
      </c>
      <c r="I358" s="33">
        <v>0.2893</v>
      </c>
      <c r="J358" s="33">
        <v>-8.4254800000000005E-2</v>
      </c>
      <c r="K358" s="33">
        <v>-4.1000000000000002E-2</v>
      </c>
      <c r="L358" s="33">
        <v>-1.1599999999999999E-2</v>
      </c>
      <c r="M358" s="33">
        <v>-5.9600899999999998E-2</v>
      </c>
      <c r="N358" s="169">
        <v>0.1409</v>
      </c>
      <c r="O358" s="33">
        <v>26.545500000000001</v>
      </c>
      <c r="P358" s="33">
        <v>18.7273</v>
      </c>
      <c r="Q358" s="33">
        <v>7.8182</v>
      </c>
      <c r="R358" s="33">
        <v>9</v>
      </c>
      <c r="S358" s="33">
        <v>7.6524999999999999</v>
      </c>
      <c r="T358" s="33">
        <v>6.3901300000000001</v>
      </c>
      <c r="U358" s="33">
        <v>7</v>
      </c>
      <c r="V358" s="89" t="str">
        <f t="shared" si="10"/>
        <v>NE</v>
      </c>
      <c r="W358" s="90">
        <f t="shared" si="11"/>
        <v>11</v>
      </c>
      <c r="X358" s="91">
        <v>2025</v>
      </c>
    </row>
    <row r="359" spans="1:24" x14ac:dyDescent="0.25">
      <c r="A359" s="74" t="s">
        <v>31</v>
      </c>
      <c r="B359" s="33">
        <v>2025</v>
      </c>
      <c r="C359" s="33">
        <v>1512.17</v>
      </c>
      <c r="D359" s="33">
        <v>-15.6587</v>
      </c>
      <c r="E359" s="33">
        <v>0.37374000000000002</v>
      </c>
      <c r="F359" s="33">
        <v>-1.4195800000000001</v>
      </c>
      <c r="G359" s="33">
        <v>0.56922899999999998</v>
      </c>
      <c r="H359" s="33">
        <v>-2.7E-2</v>
      </c>
      <c r="I359" s="33">
        <v>2.4799999999999999E-2</v>
      </c>
      <c r="J359" s="33">
        <v>-5.4082100000000001E-2</v>
      </c>
      <c r="K359" s="33">
        <v>-0.16569999999999999</v>
      </c>
      <c r="L359" s="33">
        <v>-0.2011</v>
      </c>
      <c r="M359" s="33">
        <v>-5.9962799999999997E-2</v>
      </c>
      <c r="N359" s="169">
        <v>0.13869999999999999</v>
      </c>
      <c r="O359" s="33">
        <v>22</v>
      </c>
      <c r="P359" s="33">
        <v>16.3</v>
      </c>
      <c r="Q359" s="33">
        <v>5.7</v>
      </c>
      <c r="R359" s="33">
        <v>5</v>
      </c>
      <c r="S359" s="33">
        <v>6.7055999999999996</v>
      </c>
      <c r="T359" s="33">
        <v>5.96258</v>
      </c>
      <c r="U359" s="33">
        <v>6</v>
      </c>
      <c r="V359" s="89" t="str">
        <f t="shared" si="10"/>
        <v>HOU</v>
      </c>
      <c r="W359" s="90">
        <f t="shared" si="11"/>
        <v>11</v>
      </c>
      <c r="X359" s="91">
        <v>2025</v>
      </c>
    </row>
    <row r="360" spans="1:24" x14ac:dyDescent="0.25">
      <c r="A360" s="74" t="s">
        <v>399</v>
      </c>
      <c r="B360" s="33">
        <v>2025</v>
      </c>
      <c r="C360" s="33">
        <v>1634.27</v>
      </c>
      <c r="D360" s="33">
        <v>7.7777000000000003</v>
      </c>
      <c r="E360" s="33">
        <v>5.2574800000000002</v>
      </c>
      <c r="F360" s="33">
        <v>-0.93618199999999996</v>
      </c>
      <c r="G360" s="33">
        <v>1.92157</v>
      </c>
      <c r="H360" s="33">
        <v>0.15890000000000001</v>
      </c>
      <c r="I360" s="33">
        <v>0.19689999999999999</v>
      </c>
      <c r="J360" s="33">
        <v>8.1460599999999994E-2</v>
      </c>
      <c r="K360" s="33">
        <v>3.3599999999999998E-2</v>
      </c>
      <c r="L360" s="33">
        <v>-3.7900000000000003E-2</v>
      </c>
      <c r="M360" s="33">
        <v>5.26451E-3</v>
      </c>
      <c r="N360" s="169">
        <v>0.12529999999999999</v>
      </c>
      <c r="O360" s="33">
        <v>25.4</v>
      </c>
      <c r="P360" s="33">
        <v>18.100000000000001</v>
      </c>
      <c r="Q360" s="33">
        <v>7.3</v>
      </c>
      <c r="R360" s="33">
        <v>5</v>
      </c>
      <c r="S360" s="33">
        <v>6.9062999999999999</v>
      </c>
      <c r="T360" s="33">
        <v>6.5237299999999996</v>
      </c>
      <c r="U360" s="33">
        <v>6</v>
      </c>
      <c r="V360" s="89" t="str">
        <f t="shared" si="10"/>
        <v>KC</v>
      </c>
      <c r="W360" s="90">
        <f t="shared" si="11"/>
        <v>11</v>
      </c>
      <c r="X360" s="91">
        <v>2025</v>
      </c>
    </row>
    <row r="361" spans="1:24" x14ac:dyDescent="0.25">
      <c r="A361" s="74" t="s">
        <v>25</v>
      </c>
      <c r="B361" s="33">
        <v>2025</v>
      </c>
      <c r="C361" s="33">
        <v>1626.52</v>
      </c>
      <c r="D361" s="33">
        <v>11.636900000000001</v>
      </c>
      <c r="E361" s="33">
        <v>4.9476800000000001</v>
      </c>
      <c r="F361" s="33">
        <v>0.27224100000000001</v>
      </c>
      <c r="G361" s="33">
        <v>0.54396500000000003</v>
      </c>
      <c r="H361" s="33">
        <v>0.18279999999999999</v>
      </c>
      <c r="I361" s="33">
        <v>0.21029999999999999</v>
      </c>
      <c r="J361" s="33">
        <v>8.6704600000000007E-2</v>
      </c>
      <c r="K361" s="33">
        <v>7.8399999999999997E-2</v>
      </c>
      <c r="L361" s="33">
        <v>-6.4500000000000002E-2</v>
      </c>
      <c r="M361" s="33">
        <v>0.10344100000000001</v>
      </c>
      <c r="N361" s="169">
        <v>0.10440000000000001</v>
      </c>
      <c r="O361" s="33">
        <v>29.2</v>
      </c>
      <c r="P361" s="33">
        <v>22.9</v>
      </c>
      <c r="Q361" s="33">
        <v>6.3</v>
      </c>
      <c r="R361" s="33">
        <v>7</v>
      </c>
      <c r="S361" s="33">
        <v>6.4013999999999998</v>
      </c>
      <c r="T361" s="33">
        <v>7.6469399999999998</v>
      </c>
      <c r="U361" s="33">
        <v>6</v>
      </c>
      <c r="V361" s="89" t="str">
        <f t="shared" si="10"/>
        <v>BUF</v>
      </c>
      <c r="W361" s="90">
        <f t="shared" si="11"/>
        <v>11</v>
      </c>
      <c r="X361" s="91">
        <v>2025</v>
      </c>
    </row>
    <row r="362" spans="1:24" x14ac:dyDescent="0.25">
      <c r="A362" s="74" t="s">
        <v>400</v>
      </c>
      <c r="B362" s="33">
        <v>2025</v>
      </c>
      <c r="C362" s="33">
        <v>1595.83</v>
      </c>
      <c r="D362" s="33">
        <v>4.3449</v>
      </c>
      <c r="E362" s="33">
        <v>3.72</v>
      </c>
      <c r="F362" s="33">
        <v>-0.16381299999999999</v>
      </c>
      <c r="G362" s="33">
        <v>1.5497300000000001</v>
      </c>
      <c r="H362" s="33">
        <v>0.1305</v>
      </c>
      <c r="I362" s="33">
        <v>0.2651</v>
      </c>
      <c r="J362" s="33">
        <v>3.8714999999999999E-3</v>
      </c>
      <c r="K362" s="33">
        <v>3.6900000000000002E-2</v>
      </c>
      <c r="L362" s="33">
        <v>4.9000000000000002E-2</v>
      </c>
      <c r="M362" s="33">
        <v>-5.2793300000000001E-2</v>
      </c>
      <c r="N362" s="173">
        <v>9.35E-2</v>
      </c>
      <c r="O362" s="33">
        <v>24</v>
      </c>
      <c r="P362" s="33">
        <v>19.600000000000001</v>
      </c>
      <c r="Q362" s="33">
        <v>4.4000000000000004</v>
      </c>
      <c r="R362" s="33">
        <v>6</v>
      </c>
      <c r="S362" s="33">
        <v>6.1773999999999996</v>
      </c>
      <c r="T362" s="33">
        <v>7.2719899999999997</v>
      </c>
      <c r="U362" s="33">
        <v>7</v>
      </c>
      <c r="V362" s="89" t="str">
        <f t="shared" si="10"/>
        <v>GB</v>
      </c>
      <c r="W362" s="90">
        <f t="shared" si="11"/>
        <v>11</v>
      </c>
      <c r="X362" s="91">
        <v>2025</v>
      </c>
    </row>
    <row r="363" spans="1:24" x14ac:dyDescent="0.25">
      <c r="A363" s="74" t="s">
        <v>63</v>
      </c>
      <c r="B363" s="33">
        <v>2025</v>
      </c>
      <c r="C363" s="33">
        <v>1555.48</v>
      </c>
      <c r="D363" s="33">
        <v>1.845</v>
      </c>
      <c r="E363" s="33">
        <v>2.1060500000000002</v>
      </c>
      <c r="F363" s="33">
        <v>-0.45336900000000002</v>
      </c>
      <c r="G363" s="33">
        <v>0.49496600000000002</v>
      </c>
      <c r="H363" s="33">
        <v>1.84E-2</v>
      </c>
      <c r="I363" s="33">
        <v>5.1299999999999998E-2</v>
      </c>
      <c r="J363" s="33">
        <v>-7.2056500000000001E-3</v>
      </c>
      <c r="K363" s="33">
        <v>-7.51E-2</v>
      </c>
      <c r="L363" s="33">
        <v>-0.1201</v>
      </c>
      <c r="M363" s="33">
        <v>-8.9109300000000002E-2</v>
      </c>
      <c r="N363" s="169">
        <v>9.35E-2</v>
      </c>
      <c r="O363" s="33">
        <v>23.363600000000002</v>
      </c>
      <c r="P363" s="33">
        <v>17.454499999999999</v>
      </c>
      <c r="Q363" s="33">
        <v>5.9090999999999996</v>
      </c>
      <c r="R363" s="33">
        <v>9</v>
      </c>
      <c r="S363" s="33">
        <v>7.3281999999999998</v>
      </c>
      <c r="T363" s="33">
        <v>6.8768799999999999</v>
      </c>
      <c r="U363" s="33">
        <v>8</v>
      </c>
      <c r="V363" s="89" t="str">
        <f t="shared" si="10"/>
        <v>DEN</v>
      </c>
      <c r="W363" s="90">
        <f t="shared" si="11"/>
        <v>11</v>
      </c>
      <c r="X363" s="91">
        <v>2025</v>
      </c>
    </row>
    <row r="364" spans="1:24" x14ac:dyDescent="0.25">
      <c r="A364" s="74" t="s">
        <v>38</v>
      </c>
      <c r="B364" s="33">
        <v>2025</v>
      </c>
      <c r="C364" s="33">
        <v>1634.73</v>
      </c>
      <c r="D364" s="33">
        <v>-2.1717</v>
      </c>
      <c r="E364" s="33">
        <v>5.2760999999999996</v>
      </c>
      <c r="F364" s="33">
        <v>0.23280300000000001</v>
      </c>
      <c r="G364" s="33">
        <v>0.46861799999999998</v>
      </c>
      <c r="H364" s="33">
        <v>2.1299999999999999E-2</v>
      </c>
      <c r="I364" s="33">
        <v>7.3200000000000001E-2</v>
      </c>
      <c r="J364" s="33">
        <v>-3.9487700000000001E-2</v>
      </c>
      <c r="K364" s="33">
        <v>-3.5200000000000002E-2</v>
      </c>
      <c r="L364" s="33">
        <v>-7.2499999999999995E-2</v>
      </c>
      <c r="M364" s="33">
        <v>-4.2832299999999997E-2</v>
      </c>
      <c r="N364" s="169">
        <v>5.6500000000000002E-2</v>
      </c>
      <c r="O364" s="33">
        <v>23.4</v>
      </c>
      <c r="P364" s="33">
        <v>20.100000000000001</v>
      </c>
      <c r="Q364" s="33">
        <v>3.3</v>
      </c>
      <c r="R364" s="33">
        <v>8</v>
      </c>
      <c r="S364" s="33">
        <v>5.8910999999999998</v>
      </c>
      <c r="T364" s="33">
        <v>7.5743600000000004</v>
      </c>
      <c r="U364" s="33">
        <v>8</v>
      </c>
      <c r="V364" s="89" t="str">
        <f t="shared" si="10"/>
        <v>PHI</v>
      </c>
      <c r="W364" s="90">
        <f t="shared" si="11"/>
        <v>11</v>
      </c>
      <c r="X364" s="91">
        <v>2025</v>
      </c>
    </row>
    <row r="365" spans="1:24" x14ac:dyDescent="0.25">
      <c r="A365" s="74" t="s">
        <v>85</v>
      </c>
      <c r="B365" s="33">
        <v>2025</v>
      </c>
      <c r="C365" s="33">
        <v>1507.95</v>
      </c>
      <c r="D365" s="33">
        <v>-9.9312000000000005</v>
      </c>
      <c r="E365" s="33">
        <v>0.20468800000000001</v>
      </c>
      <c r="F365" s="33">
        <v>0.472354</v>
      </c>
      <c r="G365" s="33">
        <v>0.13247600000000001</v>
      </c>
      <c r="H365" s="33">
        <v>6.7100000000000007E-2</v>
      </c>
      <c r="I365" s="33">
        <v>3.7100000000000001E-2</v>
      </c>
      <c r="J365" s="33">
        <v>-2.8765800000000001E-2</v>
      </c>
      <c r="K365" s="33">
        <v>3.0800000000000001E-2</v>
      </c>
      <c r="L365" s="33">
        <v>2.2000000000000001E-3</v>
      </c>
      <c r="M365" s="33">
        <v>1.38151E-2</v>
      </c>
      <c r="N365" s="169">
        <v>3.6299999999999999E-2</v>
      </c>
      <c r="O365" s="33">
        <v>24.6</v>
      </c>
      <c r="P365" s="33">
        <v>23.2</v>
      </c>
      <c r="Q365" s="33">
        <v>1.4</v>
      </c>
      <c r="R365" s="33">
        <v>6</v>
      </c>
      <c r="S365" s="33">
        <v>5.3465999999999996</v>
      </c>
      <c r="T365" s="33">
        <v>5.9419899999999997</v>
      </c>
      <c r="U365" s="33">
        <v>5</v>
      </c>
      <c r="V365" s="89" t="str">
        <f t="shared" si="10"/>
        <v>PIT</v>
      </c>
      <c r="W365" s="90">
        <f t="shared" si="11"/>
        <v>11</v>
      </c>
      <c r="X365" s="91">
        <v>2025</v>
      </c>
    </row>
    <row r="366" spans="1:24" x14ac:dyDescent="0.25">
      <c r="A366" s="74" t="s">
        <v>44</v>
      </c>
      <c r="B366" s="33">
        <v>2025</v>
      </c>
      <c r="C366" s="33">
        <v>1451.23</v>
      </c>
      <c r="D366" s="33">
        <v>-7.9706000000000001</v>
      </c>
      <c r="E366" s="33">
        <v>-2.0639699999999999</v>
      </c>
      <c r="F366" s="33">
        <v>0.19680700000000001</v>
      </c>
      <c r="G366" s="33">
        <v>-0.116357</v>
      </c>
      <c r="H366" s="33">
        <v>2.3699999999999999E-2</v>
      </c>
      <c r="I366" s="33">
        <v>-5.4199999999999998E-2</v>
      </c>
      <c r="J366" s="33">
        <v>6.0504200000000001E-2</v>
      </c>
      <c r="K366" s="33">
        <v>-3.5000000000000001E-3</v>
      </c>
      <c r="L366" s="33">
        <v>-4.1200000000000001E-2</v>
      </c>
      <c r="M366" s="33">
        <v>-4.55121E-2</v>
      </c>
      <c r="N366" s="169">
        <v>2.7199999999999998E-2</v>
      </c>
      <c r="O366" s="33">
        <v>24</v>
      </c>
      <c r="P366" s="33">
        <v>22.6</v>
      </c>
      <c r="Q366" s="33">
        <v>1.4</v>
      </c>
      <c r="R366" s="33">
        <v>6</v>
      </c>
      <c r="S366" s="33">
        <v>5.3555000000000001</v>
      </c>
      <c r="T366" s="33">
        <v>4.7355999999999998</v>
      </c>
      <c r="U366" s="33">
        <v>6</v>
      </c>
      <c r="V366" s="89" t="str">
        <f t="shared" si="10"/>
        <v>JAX</v>
      </c>
      <c r="W366" s="90">
        <f t="shared" si="11"/>
        <v>11</v>
      </c>
      <c r="X366" s="91">
        <v>2025</v>
      </c>
    </row>
    <row r="367" spans="1:24" x14ac:dyDescent="0.25">
      <c r="A367" s="74" t="s">
        <v>405</v>
      </c>
      <c r="B367" s="33">
        <v>2025</v>
      </c>
      <c r="C367" s="33">
        <v>1541.1</v>
      </c>
      <c r="D367" s="33">
        <v>1.9137</v>
      </c>
      <c r="E367" s="33">
        <v>1.5309900000000001</v>
      </c>
      <c r="F367" s="33">
        <v>0.142847</v>
      </c>
      <c r="G367" s="33">
        <v>0.76602499999999996</v>
      </c>
      <c r="H367" s="33">
        <v>8.7999999999999995E-2</v>
      </c>
      <c r="I367" s="33">
        <v>0.14899999999999999</v>
      </c>
      <c r="J367" s="33">
        <v>-8.0132400000000006E-2</v>
      </c>
      <c r="K367" s="33">
        <v>6.2399999999999997E-2</v>
      </c>
      <c r="L367" s="33">
        <v>0.1449</v>
      </c>
      <c r="M367" s="33">
        <v>-2.9852699999999999E-2</v>
      </c>
      <c r="N367" s="169">
        <v>2.5600000000000001E-2</v>
      </c>
      <c r="O367" s="33">
        <v>23.7273</v>
      </c>
      <c r="P367" s="33">
        <v>22.909099999999999</v>
      </c>
      <c r="Q367" s="33">
        <v>0.81820000000000004</v>
      </c>
      <c r="R367" s="33">
        <v>7</v>
      </c>
      <c r="S367" s="33">
        <v>5.7286000000000001</v>
      </c>
      <c r="T367" s="33">
        <v>6.2185899999999998</v>
      </c>
      <c r="U367" s="33">
        <v>5</v>
      </c>
      <c r="V367" s="89" t="str">
        <f t="shared" si="10"/>
        <v>SF</v>
      </c>
      <c r="W367" s="90">
        <f t="shared" si="11"/>
        <v>11</v>
      </c>
      <c r="X367" s="91">
        <v>2025</v>
      </c>
    </row>
    <row r="368" spans="1:24" x14ac:dyDescent="0.25">
      <c r="A368" s="74" t="s">
        <v>60</v>
      </c>
      <c r="B368" s="33">
        <v>2025</v>
      </c>
      <c r="C368" s="33">
        <v>1535.49</v>
      </c>
      <c r="D368" s="33">
        <v>5.8331999999999997</v>
      </c>
      <c r="E368" s="33">
        <v>1.30637</v>
      </c>
      <c r="F368" s="33">
        <v>-0.45336900000000002</v>
      </c>
      <c r="G368" s="33">
        <v>0.53954599999999997</v>
      </c>
      <c r="H368" s="33">
        <v>3.2000000000000002E-3</v>
      </c>
      <c r="I368" s="33">
        <v>-2.9399999999999999E-2</v>
      </c>
      <c r="J368" s="33">
        <v>6.74429E-3</v>
      </c>
      <c r="K368" s="33">
        <v>-1.43E-2</v>
      </c>
      <c r="L368" s="33">
        <v>-9.0700000000000003E-2</v>
      </c>
      <c r="M368" s="33">
        <v>1.63143E-2</v>
      </c>
      <c r="N368" s="169">
        <v>1.7500000000000002E-2</v>
      </c>
      <c r="O368" s="33">
        <v>22.363600000000002</v>
      </c>
      <c r="P368" s="33">
        <v>21.636399999999998</v>
      </c>
      <c r="Q368" s="33">
        <v>0.72729999999999995</v>
      </c>
      <c r="R368" s="33">
        <v>7</v>
      </c>
      <c r="S368" s="33">
        <v>5.7153999999999998</v>
      </c>
      <c r="T368" s="33">
        <v>6.6975199999999999</v>
      </c>
      <c r="U368" s="33">
        <v>5</v>
      </c>
      <c r="V368" s="89" t="str">
        <f t="shared" si="10"/>
        <v>LAC</v>
      </c>
      <c r="W368" s="90">
        <f t="shared" si="11"/>
        <v>11</v>
      </c>
      <c r="X368" s="91">
        <v>2025</v>
      </c>
    </row>
    <row r="369" spans="1:24" x14ac:dyDescent="0.25">
      <c r="A369" s="74" t="s">
        <v>402</v>
      </c>
      <c r="B369" s="33">
        <v>2025</v>
      </c>
      <c r="C369" s="33">
        <v>1510.44</v>
      </c>
      <c r="D369" s="33">
        <v>4.5487000000000002</v>
      </c>
      <c r="E369" s="33">
        <v>0.30438999999999999</v>
      </c>
      <c r="F369" s="33">
        <v>-0.69001999999999997</v>
      </c>
      <c r="G369" s="33">
        <v>7.1040000000000006E-2</v>
      </c>
      <c r="H369" s="33">
        <v>2.0199999999999999E-2</v>
      </c>
      <c r="I369" s="33">
        <v>2.0299999999999999E-2</v>
      </c>
      <c r="J369" s="33">
        <v>2.7149300000000001E-2</v>
      </c>
      <c r="K369" s="33">
        <v>6.6E-3</v>
      </c>
      <c r="L369" s="33">
        <v>-5.3E-3</v>
      </c>
      <c r="M369" s="33">
        <v>-6.3337500000000005E-2</v>
      </c>
      <c r="N369" s="169">
        <v>1.3599999999999999E-2</v>
      </c>
      <c r="O369" s="33">
        <v>25.2</v>
      </c>
      <c r="P369" s="33">
        <v>25</v>
      </c>
      <c r="Q369" s="33">
        <v>0.2</v>
      </c>
      <c r="R369" s="33">
        <v>6</v>
      </c>
      <c r="S369" s="33">
        <v>5.0472000000000001</v>
      </c>
      <c r="T369" s="33">
        <v>5.4392300000000002</v>
      </c>
      <c r="U369" s="33">
        <v>4</v>
      </c>
      <c r="V369" s="89" t="str">
        <f t="shared" si="10"/>
        <v>TB</v>
      </c>
      <c r="W369" s="90">
        <f t="shared" si="11"/>
        <v>11</v>
      </c>
      <c r="X369" s="91">
        <v>2025</v>
      </c>
    </row>
    <row r="370" spans="1:24" x14ac:dyDescent="0.25">
      <c r="A370" s="74" t="s">
        <v>14</v>
      </c>
      <c r="B370" s="33">
        <v>2025</v>
      </c>
      <c r="C370" s="33">
        <v>1497.71</v>
      </c>
      <c r="D370" s="33">
        <v>18.200299999999999</v>
      </c>
      <c r="E370" s="33">
        <v>-0.20469200000000001</v>
      </c>
      <c r="F370" s="33">
        <v>0.20133300000000001</v>
      </c>
      <c r="G370" s="33">
        <v>0.77790999999999999</v>
      </c>
      <c r="H370" s="33">
        <v>0.1585</v>
      </c>
      <c r="I370" s="33">
        <v>0.1842</v>
      </c>
      <c r="J370" s="33">
        <v>-7.4813899999999999E-4</v>
      </c>
      <c r="K370" s="33">
        <v>0.14749999999999999</v>
      </c>
      <c r="L370" s="33">
        <v>0.14899999999999999</v>
      </c>
      <c r="M370" s="33">
        <v>8.7453299999999998E-2</v>
      </c>
      <c r="N370" s="169">
        <v>1.0999999999999999E-2</v>
      </c>
      <c r="O370" s="33">
        <v>29.6</v>
      </c>
      <c r="P370" s="33">
        <v>29.3</v>
      </c>
      <c r="Q370" s="33">
        <v>0.3</v>
      </c>
      <c r="R370" s="33">
        <v>4</v>
      </c>
      <c r="S370" s="33">
        <v>5.0603999999999996</v>
      </c>
      <c r="T370" s="33">
        <v>4.7853599999999998</v>
      </c>
      <c r="U370" s="33">
        <v>3</v>
      </c>
      <c r="V370" s="89" t="str">
        <f t="shared" si="10"/>
        <v>DAL</v>
      </c>
      <c r="W370" s="90">
        <f t="shared" si="11"/>
        <v>11</v>
      </c>
      <c r="X370" s="91">
        <v>2025</v>
      </c>
    </row>
    <row r="371" spans="1:24" x14ac:dyDescent="0.25">
      <c r="A371" s="74" t="s">
        <v>47</v>
      </c>
      <c r="B371" s="33">
        <v>2025</v>
      </c>
      <c r="C371" s="33">
        <v>1598.53</v>
      </c>
      <c r="D371" s="33">
        <v>-3.448</v>
      </c>
      <c r="E371" s="33">
        <v>3.8280099999999999</v>
      </c>
      <c r="F371" s="33">
        <v>-1.1553199999999999</v>
      </c>
      <c r="G371" s="33">
        <v>-2.65103</v>
      </c>
      <c r="H371" s="33">
        <v>4.0099999999999997E-2</v>
      </c>
      <c r="I371" s="33">
        <v>-2.7799999999999998E-2</v>
      </c>
      <c r="J371" s="33">
        <v>3.8437800000000001E-2</v>
      </c>
      <c r="K371" s="33">
        <v>3.6200000000000003E-2</v>
      </c>
      <c r="L371" s="33">
        <v>3.5200000000000002E-2</v>
      </c>
      <c r="M371" s="33">
        <v>6.10208E-4</v>
      </c>
      <c r="N371" s="169">
        <v>3.8E-3</v>
      </c>
      <c r="O371" s="33">
        <v>25.2</v>
      </c>
      <c r="P371" s="33">
        <v>25.1</v>
      </c>
      <c r="Q371" s="33">
        <v>0.1</v>
      </c>
      <c r="R371" s="33">
        <v>5</v>
      </c>
      <c r="S371" s="33">
        <v>5.0236000000000001</v>
      </c>
      <c r="T371" s="33">
        <v>6.4894999999999996</v>
      </c>
      <c r="U371" s="33">
        <v>6</v>
      </c>
      <c r="V371" s="89" t="str">
        <f t="shared" si="10"/>
        <v>BAL</v>
      </c>
      <c r="W371" s="90">
        <f t="shared" si="11"/>
        <v>11</v>
      </c>
      <c r="X371" s="91">
        <v>2025</v>
      </c>
    </row>
    <row r="372" spans="1:24" x14ac:dyDescent="0.25">
      <c r="A372" s="74" t="s">
        <v>72</v>
      </c>
      <c r="B372" s="33">
        <v>2025</v>
      </c>
      <c r="C372" s="33">
        <v>1497.46</v>
      </c>
      <c r="D372" s="33">
        <v>13.719799999999999</v>
      </c>
      <c r="E372" s="33">
        <v>-0.21490699999999999</v>
      </c>
      <c r="F372" s="33">
        <v>-0.48257299999999997</v>
      </c>
      <c r="G372" s="33">
        <v>1.10049</v>
      </c>
      <c r="H372" s="33">
        <v>3.6299999999999999E-2</v>
      </c>
      <c r="I372" s="33">
        <v>8.4099999999999994E-2</v>
      </c>
      <c r="J372" s="33">
        <v>3.33701E-2</v>
      </c>
      <c r="K372" s="33">
        <v>3.4700000000000002E-2</v>
      </c>
      <c r="L372" s="33">
        <v>1.9400000000000001E-2</v>
      </c>
      <c r="M372" s="33">
        <v>-2.2894299999999999E-2</v>
      </c>
      <c r="N372" s="169">
        <v>1.6000000000000001E-3</v>
      </c>
      <c r="O372" s="33">
        <v>25.8</v>
      </c>
      <c r="P372" s="33">
        <v>26.4</v>
      </c>
      <c r="Q372" s="33">
        <v>-0.6</v>
      </c>
      <c r="R372" s="33">
        <v>7</v>
      </c>
      <c r="S372" s="33">
        <v>4.8638000000000003</v>
      </c>
      <c r="T372" s="33">
        <v>4.9341900000000001</v>
      </c>
      <c r="U372" s="33">
        <v>7</v>
      </c>
      <c r="V372" s="89" t="str">
        <f t="shared" si="10"/>
        <v>CHI</v>
      </c>
      <c r="W372" s="90">
        <f t="shared" si="11"/>
        <v>11</v>
      </c>
      <c r="X372" s="91">
        <v>2025</v>
      </c>
    </row>
    <row r="373" spans="1:24" x14ac:dyDescent="0.25">
      <c r="A373" s="74" t="s">
        <v>75</v>
      </c>
      <c r="B373" s="33">
        <v>2025</v>
      </c>
      <c r="C373" s="33">
        <v>1456.36</v>
      </c>
      <c r="D373" s="33">
        <v>-24.898199999999999</v>
      </c>
      <c r="E373" s="33">
        <v>-1.85897</v>
      </c>
      <c r="F373" s="33">
        <v>-0.84883799999999998</v>
      </c>
      <c r="G373" s="33">
        <v>-2.5874199999999998</v>
      </c>
      <c r="H373" s="33">
        <v>-0.1051</v>
      </c>
      <c r="I373" s="33">
        <v>-0.1628</v>
      </c>
      <c r="J373" s="33">
        <v>-5.5907999999999999E-2</v>
      </c>
      <c r="K373" s="33">
        <v>-5.6099999999999997E-2</v>
      </c>
      <c r="L373" s="33">
        <v>-5.79E-2</v>
      </c>
      <c r="M373" s="33">
        <v>-1.30087E-2</v>
      </c>
      <c r="N373" s="169">
        <v>-4.9000000000000002E-2</v>
      </c>
      <c r="O373" s="33">
        <v>21.8</v>
      </c>
      <c r="P373" s="33">
        <v>23.2</v>
      </c>
      <c r="Q373" s="33">
        <v>-1.4</v>
      </c>
      <c r="R373" s="33">
        <v>4</v>
      </c>
      <c r="S373" s="33">
        <v>4.6318999999999999</v>
      </c>
      <c r="T373" s="33">
        <v>5.6746699999999999</v>
      </c>
      <c r="U373" s="33">
        <v>3</v>
      </c>
      <c r="V373" s="89" t="str">
        <f t="shared" si="10"/>
        <v>MIN</v>
      </c>
      <c r="W373" s="90">
        <f t="shared" si="11"/>
        <v>11</v>
      </c>
      <c r="X373" s="91">
        <v>2025</v>
      </c>
    </row>
    <row r="374" spans="1:24" x14ac:dyDescent="0.25">
      <c r="A374" s="74" t="s">
        <v>93</v>
      </c>
      <c r="B374" s="33">
        <v>2025</v>
      </c>
      <c r="C374" s="33">
        <v>1423.39</v>
      </c>
      <c r="D374" s="33">
        <v>-40.797800000000002</v>
      </c>
      <c r="E374" s="33">
        <v>-3.1777600000000001</v>
      </c>
      <c r="F374" s="33">
        <v>-0.32254899999999997</v>
      </c>
      <c r="G374" s="33">
        <v>-3.3683200000000002</v>
      </c>
      <c r="H374" s="33">
        <v>-1.26E-2</v>
      </c>
      <c r="I374" s="33">
        <v>3.49E-2</v>
      </c>
      <c r="J374" s="33">
        <v>-6.8289699999999995E-2</v>
      </c>
      <c r="K374" s="33">
        <v>4.87E-2</v>
      </c>
      <c r="L374" s="33">
        <v>7.0400000000000004E-2</v>
      </c>
      <c r="M374" s="33">
        <v>-5.7500299999999997E-2</v>
      </c>
      <c r="N374" s="169">
        <v>-6.13E-2</v>
      </c>
      <c r="O374" s="33">
        <v>22.4</v>
      </c>
      <c r="P374" s="33">
        <v>25.6</v>
      </c>
      <c r="Q374" s="33">
        <v>-3.2</v>
      </c>
      <c r="R374" s="33">
        <v>3</v>
      </c>
      <c r="S374" s="33">
        <v>4.2153999999999998</v>
      </c>
      <c r="T374" s="33">
        <v>5.3257500000000002</v>
      </c>
      <c r="U374" s="33">
        <v>3</v>
      </c>
      <c r="V374" s="89" t="str">
        <f t="shared" si="10"/>
        <v>ARI</v>
      </c>
      <c r="W374" s="90">
        <f t="shared" si="11"/>
        <v>11</v>
      </c>
      <c r="X374" s="91">
        <v>2025</v>
      </c>
    </row>
    <row r="375" spans="1:24" x14ac:dyDescent="0.25">
      <c r="A375" s="74" t="s">
        <v>2</v>
      </c>
      <c r="B375" s="33">
        <v>2025</v>
      </c>
      <c r="C375" s="33">
        <v>1391.26</v>
      </c>
      <c r="D375" s="33">
        <v>-16.474499999999999</v>
      </c>
      <c r="E375" s="33">
        <v>-4.4627800000000004</v>
      </c>
      <c r="F375" s="33">
        <v>-0.45336900000000002</v>
      </c>
      <c r="G375" s="33">
        <v>-4.2261300000000004</v>
      </c>
      <c r="H375" s="33">
        <v>3.3099999999999997E-2</v>
      </c>
      <c r="I375" s="33">
        <v>9.7000000000000003E-3</v>
      </c>
      <c r="J375" s="33">
        <v>-2.2196299999999999E-2</v>
      </c>
      <c r="K375" s="33">
        <v>0.1046</v>
      </c>
      <c r="L375" s="33">
        <v>0.19969999999999999</v>
      </c>
      <c r="M375" s="33">
        <v>3.3945799999999999E-3</v>
      </c>
      <c r="N375" s="169">
        <v>-7.1400000000000005E-2</v>
      </c>
      <c r="O375" s="33">
        <v>20.545500000000001</v>
      </c>
      <c r="P375" s="33">
        <v>24.454499999999999</v>
      </c>
      <c r="Q375" s="33">
        <v>-3.9091</v>
      </c>
      <c r="R375" s="33">
        <v>4</v>
      </c>
      <c r="S375" s="33">
        <v>4.3807</v>
      </c>
      <c r="T375" s="33">
        <v>4.7002600000000001</v>
      </c>
      <c r="U375" s="33">
        <v>6</v>
      </c>
      <c r="V375" s="89" t="str">
        <f t="shared" si="10"/>
        <v>MIA</v>
      </c>
      <c r="W375" s="90">
        <f t="shared" si="11"/>
        <v>11</v>
      </c>
      <c r="X375" s="91">
        <v>2025</v>
      </c>
    </row>
    <row r="376" spans="1:24" x14ac:dyDescent="0.25">
      <c r="A376" s="74" t="s">
        <v>67</v>
      </c>
      <c r="B376" s="33">
        <v>2025</v>
      </c>
      <c r="C376" s="33">
        <v>1402.98</v>
      </c>
      <c r="D376" s="33">
        <v>7.7236000000000002</v>
      </c>
      <c r="E376" s="33">
        <v>-3.9940199999999999</v>
      </c>
      <c r="F376" s="33">
        <v>0.28151399999999999</v>
      </c>
      <c r="G376" s="33">
        <v>1.6073</v>
      </c>
      <c r="H376" s="33">
        <v>-1.7999999999999999E-2</v>
      </c>
      <c r="I376" s="33">
        <v>-8.1600000000000006E-2</v>
      </c>
      <c r="J376" s="33">
        <v>-1.6168999999999999E-2</v>
      </c>
      <c r="K376" s="33">
        <v>5.5899999999999998E-2</v>
      </c>
      <c r="L376" s="33">
        <v>0.15409999999999999</v>
      </c>
      <c r="M376" s="33">
        <v>-2.8353799999999998E-2</v>
      </c>
      <c r="N376" s="169">
        <v>-7.3899999999999993E-2</v>
      </c>
      <c r="O376" s="33">
        <v>18.818200000000001</v>
      </c>
      <c r="P376" s="33">
        <v>22.636399999999998</v>
      </c>
      <c r="Q376" s="33">
        <v>-3.8182</v>
      </c>
      <c r="R376" s="33">
        <v>6</v>
      </c>
      <c r="S376" s="33">
        <v>4.3148999999999997</v>
      </c>
      <c r="T376" s="33">
        <v>4.7485799999999996</v>
      </c>
      <c r="U376" s="33">
        <v>4</v>
      </c>
      <c r="V376" s="89" t="str">
        <f t="shared" si="10"/>
        <v>CAR</v>
      </c>
      <c r="W376" s="90">
        <f t="shared" si="11"/>
        <v>11</v>
      </c>
      <c r="X376" s="91">
        <v>2025</v>
      </c>
    </row>
    <row r="377" spans="1:24" x14ac:dyDescent="0.25">
      <c r="A377" s="74" t="s">
        <v>69</v>
      </c>
      <c r="B377" s="33">
        <v>2025</v>
      </c>
      <c r="C377" s="33">
        <v>1485.8</v>
      </c>
      <c r="D377" s="33">
        <v>42.488799999999998</v>
      </c>
      <c r="E377" s="33">
        <v>-0.68132800000000004</v>
      </c>
      <c r="F377" s="33">
        <v>1.1450899999999999</v>
      </c>
      <c r="G377" s="33">
        <v>0.39784199999999997</v>
      </c>
      <c r="H377" s="33">
        <v>-3.56E-2</v>
      </c>
      <c r="I377" s="33">
        <v>-4.2000000000000003E-2</v>
      </c>
      <c r="J377" s="33">
        <v>-1.9055200000000001E-2</v>
      </c>
      <c r="K377" s="33">
        <v>5.1999999999999998E-2</v>
      </c>
      <c r="L377" s="33">
        <v>-4.0000000000000001E-3</v>
      </c>
      <c r="M377" s="33">
        <v>5.4360800000000001E-2</v>
      </c>
      <c r="N377" s="173">
        <v>-8.7599999999999997E-2</v>
      </c>
      <c r="O377" s="33">
        <v>19.5</v>
      </c>
      <c r="P377" s="33">
        <v>23.9</v>
      </c>
      <c r="Q377" s="33">
        <v>-4.4000000000000004</v>
      </c>
      <c r="R377" s="33">
        <v>3</v>
      </c>
      <c r="S377" s="33">
        <v>3.8172999999999999</v>
      </c>
      <c r="T377" s="33">
        <v>4.7967700000000004</v>
      </c>
      <c r="U377" s="33">
        <v>6</v>
      </c>
      <c r="V377" s="89" t="str">
        <f t="shared" si="10"/>
        <v>ATL</v>
      </c>
      <c r="W377" s="90">
        <f t="shared" si="11"/>
        <v>11</v>
      </c>
      <c r="X377" s="91">
        <v>2025</v>
      </c>
    </row>
    <row r="378" spans="1:24" x14ac:dyDescent="0.25">
      <c r="A378" s="74" t="s">
        <v>95</v>
      </c>
      <c r="B378" s="33">
        <v>2025</v>
      </c>
      <c r="C378" s="33">
        <v>1383.86</v>
      </c>
      <c r="D378" s="33">
        <v>-26.413</v>
      </c>
      <c r="E378" s="33">
        <v>-4.75861</v>
      </c>
      <c r="F378" s="33">
        <v>-0.88245099999999999</v>
      </c>
      <c r="G378" s="33">
        <v>-1.8417800000000002E-2</v>
      </c>
      <c r="H378" s="33">
        <v>4.3099999999999999E-2</v>
      </c>
      <c r="I378" s="33">
        <v>-2.24E-2</v>
      </c>
      <c r="J378" s="33">
        <v>2.3418399999999999E-2</v>
      </c>
      <c r="K378" s="33">
        <v>0.1394</v>
      </c>
      <c r="L378" s="33">
        <v>8.1799999999999998E-2</v>
      </c>
      <c r="M378" s="33">
        <v>0.165989</v>
      </c>
      <c r="N378" s="169">
        <v>-9.6299999999999997E-2</v>
      </c>
      <c r="O378" s="33">
        <v>21.545500000000001</v>
      </c>
      <c r="P378" s="33">
        <v>27.2727</v>
      </c>
      <c r="Q378" s="33">
        <v>-5.7272999999999996</v>
      </c>
      <c r="R378" s="33">
        <v>2</v>
      </c>
      <c r="S378" s="33">
        <v>4.0023999999999997</v>
      </c>
      <c r="T378" s="33">
        <v>2.99342</v>
      </c>
      <c r="U378" s="33">
        <v>3</v>
      </c>
      <c r="V378" s="89" t="str">
        <f t="shared" si="10"/>
        <v>NYG</v>
      </c>
      <c r="W378" s="90">
        <f t="shared" si="11"/>
        <v>11</v>
      </c>
      <c r="X378" s="91">
        <v>2025</v>
      </c>
    </row>
    <row r="379" spans="1:24" x14ac:dyDescent="0.25">
      <c r="A379" s="74" t="s">
        <v>41</v>
      </c>
      <c r="B379" s="33">
        <v>2025</v>
      </c>
      <c r="C379" s="33">
        <v>1418.36</v>
      </c>
      <c r="D379" s="33">
        <v>-36.924300000000002</v>
      </c>
      <c r="E379" s="33">
        <v>-3.3786999999999998</v>
      </c>
      <c r="F379" s="33">
        <v>-0.45336900000000002</v>
      </c>
      <c r="G379" s="33">
        <v>-5.2273500000000004</v>
      </c>
      <c r="H379" s="33">
        <v>5.1999999999999998E-2</v>
      </c>
      <c r="I379" s="33">
        <v>3.1199999999999999E-2</v>
      </c>
      <c r="J379" s="33">
        <v>2.0192700000000001E-2</v>
      </c>
      <c r="K379" s="33">
        <v>0.16120000000000001</v>
      </c>
      <c r="L379" s="33">
        <v>0.25740000000000002</v>
      </c>
      <c r="M379" s="33">
        <v>6.0905500000000001E-3</v>
      </c>
      <c r="N379" s="169">
        <v>-0.10920000000000001</v>
      </c>
      <c r="O379" s="33">
        <v>21.454499999999999</v>
      </c>
      <c r="P379" s="33">
        <v>26.909099999999999</v>
      </c>
      <c r="Q379" s="33">
        <v>-5.4545000000000003</v>
      </c>
      <c r="R379" s="33">
        <v>3</v>
      </c>
      <c r="S379" s="33">
        <v>4.0580999999999996</v>
      </c>
      <c r="T379" s="33">
        <v>5.9543499999999998</v>
      </c>
      <c r="U379" s="33">
        <v>3</v>
      </c>
      <c r="V379" s="89" t="str">
        <f t="shared" si="10"/>
        <v>WAS</v>
      </c>
      <c r="W379" s="90">
        <f t="shared" si="11"/>
        <v>11</v>
      </c>
      <c r="X379" s="91">
        <v>2025</v>
      </c>
    </row>
    <row r="380" spans="1:24" x14ac:dyDescent="0.25">
      <c r="A380" s="74" t="s">
        <v>79</v>
      </c>
      <c r="B380" s="33">
        <v>2025</v>
      </c>
      <c r="C380" s="33">
        <v>1351.77</v>
      </c>
      <c r="D380" s="33">
        <v>-15.076700000000001</v>
      </c>
      <c r="E380" s="33">
        <v>-6.0423799999999996</v>
      </c>
      <c r="F380" s="33">
        <v>-2.0743299999999998</v>
      </c>
      <c r="G380" s="33">
        <v>-2.8801600000000001</v>
      </c>
      <c r="H380" s="33">
        <v>-8.9999999999999993E-3</v>
      </c>
      <c r="I380" s="33">
        <v>-0.1033</v>
      </c>
      <c r="J380" s="33">
        <v>-3.64523E-2</v>
      </c>
      <c r="K380" s="33">
        <v>0.1077</v>
      </c>
      <c r="L380" s="33">
        <v>0.15459999999999999</v>
      </c>
      <c r="M380" s="33">
        <v>1.3278399999999999E-2</v>
      </c>
      <c r="N380" s="169">
        <v>-0.1167</v>
      </c>
      <c r="O380" s="33">
        <v>20.9</v>
      </c>
      <c r="P380" s="33">
        <v>26.8</v>
      </c>
      <c r="Q380" s="33">
        <v>-5.9</v>
      </c>
      <c r="R380" s="33">
        <v>2</v>
      </c>
      <c r="S380" s="33">
        <v>3.5678999999999998</v>
      </c>
      <c r="T380" s="33">
        <v>4.0601200000000004</v>
      </c>
      <c r="U380" s="33">
        <v>2</v>
      </c>
      <c r="V380" s="89" t="str">
        <f t="shared" si="10"/>
        <v>NYJ</v>
      </c>
      <c r="W380" s="90">
        <f t="shared" si="11"/>
        <v>11</v>
      </c>
      <c r="X380" s="91">
        <v>2025</v>
      </c>
    </row>
    <row r="381" spans="1:24" x14ac:dyDescent="0.25">
      <c r="A381" s="74" t="s">
        <v>91</v>
      </c>
      <c r="B381" s="33">
        <v>2025</v>
      </c>
      <c r="C381" s="33">
        <v>1383.47</v>
      </c>
      <c r="D381" s="33">
        <v>-47.8386</v>
      </c>
      <c r="E381" s="33">
        <v>-4.7742699999999996</v>
      </c>
      <c r="F381" s="33">
        <v>-0.78795899999999996</v>
      </c>
      <c r="G381" s="33">
        <v>-0.196099</v>
      </c>
      <c r="H381" s="33">
        <v>-0.1971</v>
      </c>
      <c r="I381" s="33">
        <v>-0.31740000000000002</v>
      </c>
      <c r="J381" s="33">
        <v>-2.6511799999999999E-2</v>
      </c>
      <c r="K381" s="33">
        <v>-6.8500000000000005E-2</v>
      </c>
      <c r="L381" s="33">
        <v>-5.5899999999999998E-2</v>
      </c>
      <c r="M381" s="33">
        <v>-0.13919899999999999</v>
      </c>
      <c r="N381" s="169">
        <v>-0.12859999999999999</v>
      </c>
      <c r="O381" s="33">
        <v>16.2</v>
      </c>
      <c r="P381" s="33">
        <v>23.4</v>
      </c>
      <c r="Q381" s="33">
        <v>-7.2</v>
      </c>
      <c r="R381" s="33">
        <v>2</v>
      </c>
      <c r="S381" s="33">
        <v>2.9493999999999998</v>
      </c>
      <c r="T381" s="33">
        <v>3.48326</v>
      </c>
      <c r="U381" s="33">
        <v>4</v>
      </c>
      <c r="V381" s="89" t="str">
        <f t="shared" si="10"/>
        <v>CLE</v>
      </c>
      <c r="W381" s="90">
        <f t="shared" si="11"/>
        <v>11</v>
      </c>
      <c r="X381" s="91">
        <v>2025</v>
      </c>
    </row>
    <row r="382" spans="1:24" x14ac:dyDescent="0.25">
      <c r="A382" s="74" t="s">
        <v>77</v>
      </c>
      <c r="B382" s="33">
        <v>2025</v>
      </c>
      <c r="C382" s="33">
        <v>1374.67</v>
      </c>
      <c r="D382" s="33">
        <v>-49.4876</v>
      </c>
      <c r="E382" s="33">
        <v>-5.1263300000000003</v>
      </c>
      <c r="F382" s="33">
        <v>-1.5821499999999999</v>
      </c>
      <c r="G382" s="33">
        <v>-6.7987399999999996</v>
      </c>
      <c r="H382" s="33">
        <v>1.7899999999999999E-2</v>
      </c>
      <c r="I382" s="33">
        <v>-8.2299999999999998E-2</v>
      </c>
      <c r="J382" s="33">
        <v>4.2136899999999998E-2</v>
      </c>
      <c r="K382" s="33">
        <v>0.2024</v>
      </c>
      <c r="L382" s="33">
        <v>0.30230000000000001</v>
      </c>
      <c r="M382" s="33">
        <v>0.11006199999999999</v>
      </c>
      <c r="N382" s="169">
        <v>-0.1845</v>
      </c>
      <c r="O382" s="33">
        <v>22.8</v>
      </c>
      <c r="P382" s="33">
        <v>33.4</v>
      </c>
      <c r="Q382" s="33">
        <v>-10.6</v>
      </c>
      <c r="R382" s="33">
        <v>3</v>
      </c>
      <c r="S382" s="33">
        <v>2.8805000000000001</v>
      </c>
      <c r="T382" s="33">
        <v>5.3160400000000001</v>
      </c>
      <c r="U382" s="33">
        <v>2</v>
      </c>
      <c r="V382" s="89" t="str">
        <f t="shared" si="10"/>
        <v>CIN</v>
      </c>
      <c r="W382" s="90">
        <f t="shared" si="11"/>
        <v>11</v>
      </c>
      <c r="X382" s="91">
        <v>2025</v>
      </c>
    </row>
    <row r="383" spans="1:24" x14ac:dyDescent="0.25">
      <c r="A383" s="74" t="s">
        <v>403</v>
      </c>
      <c r="B383" s="33">
        <v>2025</v>
      </c>
      <c r="C383" s="33">
        <v>1334.97</v>
      </c>
      <c r="D383" s="33">
        <v>-4.8394000000000004</v>
      </c>
      <c r="E383" s="33">
        <v>-6.7142600000000003</v>
      </c>
      <c r="F383" s="33">
        <v>-0.45336900000000002</v>
      </c>
      <c r="G383" s="33">
        <v>-0.68652299999999999</v>
      </c>
      <c r="H383" s="33">
        <v>-0.16520000000000001</v>
      </c>
      <c r="I383" s="33">
        <v>-0.13</v>
      </c>
      <c r="J383" s="33">
        <v>-0.13456499999999999</v>
      </c>
      <c r="K383" s="33">
        <v>2.2599999999999999E-2</v>
      </c>
      <c r="L383" s="33">
        <v>8.7300000000000003E-2</v>
      </c>
      <c r="M383" s="33">
        <v>-9.6206200000000006E-2</v>
      </c>
      <c r="N383" s="169">
        <v>-0.18790000000000001</v>
      </c>
      <c r="O383" s="33">
        <v>15.5</v>
      </c>
      <c r="P383" s="33">
        <v>25</v>
      </c>
      <c r="Q383" s="33">
        <v>-9.5</v>
      </c>
      <c r="R383" s="33">
        <v>2</v>
      </c>
      <c r="S383" s="33">
        <v>2.4361999999999999</v>
      </c>
      <c r="T383" s="33">
        <v>3.7908900000000001</v>
      </c>
      <c r="U383" s="33">
        <v>2</v>
      </c>
      <c r="V383" s="89" t="str">
        <f t="shared" si="10"/>
        <v>NO</v>
      </c>
      <c r="W383" s="90">
        <f t="shared" si="11"/>
        <v>11</v>
      </c>
      <c r="X383" s="91">
        <v>2025</v>
      </c>
    </row>
    <row r="384" spans="1:24" x14ac:dyDescent="0.25">
      <c r="A384" s="74" t="s">
        <v>401</v>
      </c>
      <c r="B384" s="33">
        <v>2025</v>
      </c>
      <c r="C384" s="33">
        <v>1360.95</v>
      </c>
      <c r="D384" s="33">
        <v>-21.901800000000001</v>
      </c>
      <c r="E384" s="33">
        <v>-5.6753099999999996</v>
      </c>
      <c r="F384" s="33">
        <v>-0.98441900000000004</v>
      </c>
      <c r="G384" s="33">
        <v>-3.2379600000000002</v>
      </c>
      <c r="H384" s="33">
        <v>-0.16320000000000001</v>
      </c>
      <c r="I384" s="33">
        <v>-0.1479</v>
      </c>
      <c r="J384" s="33">
        <v>-0.22362799999999999</v>
      </c>
      <c r="K384" s="33">
        <v>2.87E-2</v>
      </c>
      <c r="L384" s="33">
        <v>9.5699999999999993E-2</v>
      </c>
      <c r="M384" s="33">
        <v>-7.9370099999999999E-2</v>
      </c>
      <c r="N384" s="169">
        <v>-0.19189999999999999</v>
      </c>
      <c r="O384" s="33">
        <v>15.5</v>
      </c>
      <c r="P384" s="33">
        <v>25.3</v>
      </c>
      <c r="Q384" s="33">
        <v>-9.8000000000000007</v>
      </c>
      <c r="R384" s="33">
        <v>2</v>
      </c>
      <c r="S384" s="33">
        <v>2.3845000000000001</v>
      </c>
      <c r="T384" s="33">
        <v>4.2305299999999999</v>
      </c>
      <c r="U384" s="33">
        <v>3</v>
      </c>
      <c r="V384" s="89" t="str">
        <f t="shared" si="10"/>
        <v>LV</v>
      </c>
      <c r="W384" s="90">
        <f t="shared" si="11"/>
        <v>11</v>
      </c>
      <c r="X384" s="91">
        <v>2025</v>
      </c>
    </row>
    <row r="385" spans="1:24" ht="15.75" thickBot="1" x14ac:dyDescent="0.3">
      <c r="A385" s="74" t="s">
        <v>89</v>
      </c>
      <c r="B385" s="33">
        <v>2025</v>
      </c>
      <c r="C385" s="33">
        <v>1293.3800000000001</v>
      </c>
      <c r="D385" s="33">
        <v>-18.399799999999999</v>
      </c>
      <c r="E385" s="33">
        <v>-8.3778400000000008</v>
      </c>
      <c r="F385" s="33">
        <v>0.882714</v>
      </c>
      <c r="G385" s="33">
        <v>-3.5447700000000002</v>
      </c>
      <c r="H385" s="33">
        <v>-0.17519999999999999</v>
      </c>
      <c r="I385" s="33">
        <v>-0.26019999999999999</v>
      </c>
      <c r="J385" s="33">
        <v>-0.140372</v>
      </c>
      <c r="K385" s="33">
        <v>8.6199999999999999E-2</v>
      </c>
      <c r="L385" s="33">
        <v>0.15590000000000001</v>
      </c>
      <c r="M385" s="33">
        <v>-4.0536299999999999E-3</v>
      </c>
      <c r="N385" s="173">
        <v>-0.26140000000000002</v>
      </c>
      <c r="O385" s="33">
        <v>14.3</v>
      </c>
      <c r="P385" s="33">
        <v>27.3</v>
      </c>
      <c r="Q385" s="33">
        <v>-13</v>
      </c>
      <c r="R385" s="33">
        <v>1</v>
      </c>
      <c r="S385" s="33">
        <v>1.7763</v>
      </c>
      <c r="T385" s="33">
        <v>2.74634</v>
      </c>
      <c r="U385" s="33">
        <v>1</v>
      </c>
      <c r="V385" s="89" t="str">
        <f t="shared" si="10"/>
        <v>TEN</v>
      </c>
      <c r="W385" s="90">
        <f t="shared" si="11"/>
        <v>11</v>
      </c>
      <c r="X385" s="91">
        <v>2025</v>
      </c>
    </row>
    <row r="386" spans="1:24" x14ac:dyDescent="0.25">
      <c r="A386" s="125" t="s">
        <v>21</v>
      </c>
      <c r="B386" s="126">
        <v>2025</v>
      </c>
      <c r="C386" s="126">
        <v>1680.07</v>
      </c>
      <c r="D386" s="126">
        <v>26.1494</v>
      </c>
      <c r="E386" s="126">
        <v>7.4253</v>
      </c>
      <c r="F386" s="126">
        <v>0.756714</v>
      </c>
      <c r="G386" s="126">
        <v>6.3198499999999997</v>
      </c>
      <c r="H386" s="126">
        <v>8.7300000000000003E-2</v>
      </c>
      <c r="I386" s="126">
        <v>0.21879999999999999</v>
      </c>
      <c r="J386" s="126">
        <v>-8.5144300000000006E-2</v>
      </c>
      <c r="K386" s="126">
        <v>-0.1205</v>
      </c>
      <c r="L386" s="126">
        <v>-0.1764</v>
      </c>
      <c r="M386" s="126">
        <v>-8.5780099999999998E-2</v>
      </c>
      <c r="N386" s="171">
        <v>0.20780000000000001</v>
      </c>
      <c r="O386" s="126">
        <v>27.818200000000001</v>
      </c>
      <c r="P386" s="126">
        <v>16.2727</v>
      </c>
      <c r="Q386" s="126">
        <v>11.545500000000001</v>
      </c>
      <c r="R386" s="126">
        <v>9</v>
      </c>
      <c r="S386" s="126">
        <v>8.5897000000000006</v>
      </c>
      <c r="T386" s="126">
        <v>7.80349</v>
      </c>
      <c r="U386" s="126">
        <v>11</v>
      </c>
      <c r="V386" s="129" t="str">
        <f t="shared" ref="V386:V449" si="12">IF(A386&lt;&gt;"",IF(A386="OAK","LV",A386),"")</f>
        <v>LAR</v>
      </c>
      <c r="W386" s="127">
        <f t="shared" si="11"/>
        <v>12</v>
      </c>
      <c r="X386" s="128">
        <v>2025</v>
      </c>
    </row>
    <row r="387" spans="1:24" x14ac:dyDescent="0.25">
      <c r="A387" s="74" t="s">
        <v>57</v>
      </c>
      <c r="B387" s="33">
        <v>2025</v>
      </c>
      <c r="C387" s="33">
        <v>1569.3</v>
      </c>
      <c r="D387" s="33">
        <v>17.8017</v>
      </c>
      <c r="E387" s="33">
        <v>2.9948399999999999</v>
      </c>
      <c r="F387" s="33">
        <v>0.28095199999999998</v>
      </c>
      <c r="G387" s="33">
        <v>6.0672100000000002</v>
      </c>
      <c r="H387" s="33">
        <v>0.1971</v>
      </c>
      <c r="I387" s="33">
        <v>0.15090000000000001</v>
      </c>
      <c r="J387" s="33">
        <v>0.18363399999999999</v>
      </c>
      <c r="K387" s="33">
        <v>-6.1000000000000004E-3</v>
      </c>
      <c r="L387" s="33">
        <v>-3.7999999999999999E-2</v>
      </c>
      <c r="M387" s="33">
        <v>-3.8356599999999998E-2</v>
      </c>
      <c r="N387" s="169">
        <v>0.20330000000000001</v>
      </c>
      <c r="O387" s="33">
        <v>31</v>
      </c>
      <c r="P387" s="33">
        <v>20.818200000000001</v>
      </c>
      <c r="Q387" s="33">
        <v>10.181800000000001</v>
      </c>
      <c r="R387" s="33">
        <v>8</v>
      </c>
      <c r="S387" s="33">
        <v>7.9181999999999997</v>
      </c>
      <c r="T387" s="33">
        <v>6.5267200000000001</v>
      </c>
      <c r="U387" s="33">
        <v>9</v>
      </c>
      <c r="V387" s="89" t="str">
        <f t="shared" si="12"/>
        <v>IND</v>
      </c>
      <c r="W387" s="90">
        <f t="shared" ref="W387:W450" si="13">W355+1</f>
        <v>12</v>
      </c>
      <c r="X387" s="91">
        <v>2025</v>
      </c>
    </row>
    <row r="388" spans="1:24" x14ac:dyDescent="0.25">
      <c r="A388" s="74" t="s">
        <v>55</v>
      </c>
      <c r="B388" s="33">
        <v>2025</v>
      </c>
      <c r="C388" s="33">
        <v>1609.67</v>
      </c>
      <c r="D388" s="33">
        <v>5.6749000000000001</v>
      </c>
      <c r="E388" s="33">
        <v>4.6093299999999999</v>
      </c>
      <c r="F388" s="33">
        <v>4.8203500000000003E-2</v>
      </c>
      <c r="G388" s="33">
        <v>4.68154</v>
      </c>
      <c r="H388" s="33">
        <v>6.6600000000000006E-2</v>
      </c>
      <c r="I388" s="33">
        <v>0.20050000000000001</v>
      </c>
      <c r="J388" s="33">
        <v>-0.10158300000000001</v>
      </c>
      <c r="K388" s="33">
        <v>-0.1244</v>
      </c>
      <c r="L388" s="33">
        <v>-1.7299999999999999E-2</v>
      </c>
      <c r="M388" s="33">
        <v>-0.13803399999999999</v>
      </c>
      <c r="N388" s="169">
        <v>0.19089999999999999</v>
      </c>
      <c r="O388" s="33">
        <v>29.454499999999999</v>
      </c>
      <c r="P388" s="33">
        <v>19.7273</v>
      </c>
      <c r="Q388" s="33">
        <v>9.7272999999999996</v>
      </c>
      <c r="R388" s="33">
        <v>8</v>
      </c>
      <c r="S388" s="33">
        <v>7.9322999999999997</v>
      </c>
      <c r="T388" s="33">
        <v>7.3870899999999997</v>
      </c>
      <c r="U388" s="33">
        <v>10</v>
      </c>
      <c r="V388" s="89" t="str">
        <f t="shared" si="12"/>
        <v>SEA</v>
      </c>
      <c r="W388" s="90">
        <f t="shared" si="13"/>
        <v>12</v>
      </c>
      <c r="X388" s="91">
        <v>2025</v>
      </c>
    </row>
    <row r="389" spans="1:24" x14ac:dyDescent="0.25">
      <c r="A389" s="74" t="s">
        <v>404</v>
      </c>
      <c r="B389" s="33">
        <v>2025</v>
      </c>
      <c r="C389" s="33">
        <v>1559.95</v>
      </c>
      <c r="D389" s="33">
        <v>15.857699999999999</v>
      </c>
      <c r="E389" s="33">
        <v>2.6206399999999999</v>
      </c>
      <c r="F389" s="33">
        <v>0.13034200000000001</v>
      </c>
      <c r="G389" s="33">
        <v>5.6706399999999997</v>
      </c>
      <c r="H389" s="33">
        <v>9.8799999999999999E-2</v>
      </c>
      <c r="I389" s="33">
        <v>0.27989999999999998</v>
      </c>
      <c r="J389" s="33">
        <v>-9.5506800000000003E-2</v>
      </c>
      <c r="K389" s="33">
        <v>-4.3799999999999999E-2</v>
      </c>
      <c r="L389" s="33">
        <v>-4.48E-2</v>
      </c>
      <c r="M389" s="33">
        <v>-4.8073299999999999E-2</v>
      </c>
      <c r="N389" s="169">
        <v>0.1426</v>
      </c>
      <c r="O389" s="33">
        <v>26.5</v>
      </c>
      <c r="P389" s="33">
        <v>18.833300000000001</v>
      </c>
      <c r="Q389" s="33">
        <v>7.6666999999999996</v>
      </c>
      <c r="R389" s="33">
        <v>10</v>
      </c>
      <c r="S389" s="33">
        <v>8.3038000000000007</v>
      </c>
      <c r="T389" s="33">
        <v>7.2306699999999999</v>
      </c>
      <c r="U389" s="33">
        <v>7</v>
      </c>
      <c r="V389" s="89" t="str">
        <f t="shared" si="12"/>
        <v>NE</v>
      </c>
      <c r="W389" s="90">
        <f t="shared" si="13"/>
        <v>12</v>
      </c>
      <c r="X389" s="91">
        <v>2025</v>
      </c>
    </row>
    <row r="390" spans="1:24" x14ac:dyDescent="0.25">
      <c r="A390" s="74" t="s">
        <v>10</v>
      </c>
      <c r="B390" s="33">
        <v>2025</v>
      </c>
      <c r="C390" s="33">
        <v>1633.18</v>
      </c>
      <c r="D390" s="33">
        <v>-3.3031999999999999</v>
      </c>
      <c r="E390" s="33">
        <v>5.5500100000000003</v>
      </c>
      <c r="F390" s="33">
        <v>-0.202544</v>
      </c>
      <c r="G390" s="33">
        <v>0.87651299999999999</v>
      </c>
      <c r="H390" s="33">
        <v>0.1082</v>
      </c>
      <c r="I390" s="33">
        <v>0.15989999999999999</v>
      </c>
      <c r="J390" s="33">
        <v>1.7017299999999999E-2</v>
      </c>
      <c r="K390" s="33">
        <v>-2.98E-2</v>
      </c>
      <c r="L390" s="33">
        <v>-4.02E-2</v>
      </c>
      <c r="M390" s="33">
        <v>-9.91953E-2</v>
      </c>
      <c r="N390" s="169">
        <v>0.13800000000000001</v>
      </c>
      <c r="O390" s="33">
        <v>29.636399999999998</v>
      </c>
      <c r="P390" s="33">
        <v>22.090900000000001</v>
      </c>
      <c r="Q390" s="33">
        <v>7.5454999999999997</v>
      </c>
      <c r="R390" s="33">
        <v>7</v>
      </c>
      <c r="S390" s="33">
        <v>7.3413000000000004</v>
      </c>
      <c r="T390" s="33">
        <v>7.60459</v>
      </c>
      <c r="U390" s="33">
        <v>7</v>
      </c>
      <c r="V390" s="89" t="str">
        <f t="shared" si="12"/>
        <v>DET</v>
      </c>
      <c r="W390" s="90">
        <f t="shared" si="13"/>
        <v>12</v>
      </c>
      <c r="X390" s="91">
        <v>2025</v>
      </c>
    </row>
    <row r="391" spans="1:24" x14ac:dyDescent="0.25">
      <c r="A391" s="74" t="s">
        <v>31</v>
      </c>
      <c r="B391" s="33">
        <v>2025</v>
      </c>
      <c r="C391" s="33">
        <v>1522.62</v>
      </c>
      <c r="D391" s="33">
        <v>-12.757099999999999</v>
      </c>
      <c r="E391" s="33">
        <v>1.1274599999999999</v>
      </c>
      <c r="F391" s="33">
        <v>0.60311000000000003</v>
      </c>
      <c r="G391" s="33">
        <v>1.3229500000000001</v>
      </c>
      <c r="H391" s="33">
        <v>-2.9499999999999998E-2</v>
      </c>
      <c r="I391" s="33">
        <v>6.8999999999999999E-3</v>
      </c>
      <c r="J391" s="33">
        <v>-3.9313000000000001E-2</v>
      </c>
      <c r="K391" s="33">
        <v>-0.15720000000000001</v>
      </c>
      <c r="L391" s="33">
        <v>-0.21940000000000001</v>
      </c>
      <c r="M391" s="33">
        <v>-4.3765199999999997E-2</v>
      </c>
      <c r="N391" s="169">
        <v>0.12770000000000001</v>
      </c>
      <c r="O391" s="33">
        <v>22.090900000000001</v>
      </c>
      <c r="P391" s="33">
        <v>16.545500000000001</v>
      </c>
      <c r="Q391" s="33">
        <v>5.5454999999999997</v>
      </c>
      <c r="R391" s="33">
        <v>6</v>
      </c>
      <c r="S391" s="33">
        <v>7.3135000000000003</v>
      </c>
      <c r="T391" s="33">
        <v>6.4394999999999998</v>
      </c>
      <c r="U391" s="33">
        <v>7</v>
      </c>
      <c r="V391" s="89" t="str">
        <f t="shared" si="12"/>
        <v>HOU</v>
      </c>
      <c r="W391" s="90">
        <f t="shared" si="13"/>
        <v>12</v>
      </c>
      <c r="X391" s="91">
        <v>2025</v>
      </c>
    </row>
    <row r="392" spans="1:24" x14ac:dyDescent="0.25">
      <c r="A392" s="74" t="s">
        <v>400</v>
      </c>
      <c r="B392" s="33">
        <v>2025</v>
      </c>
      <c r="C392" s="33">
        <v>1600.47</v>
      </c>
      <c r="D392" s="33">
        <v>0.38200000000000001</v>
      </c>
      <c r="E392" s="33">
        <v>4.2416400000000003</v>
      </c>
      <c r="F392" s="33">
        <v>0.30436999999999997</v>
      </c>
      <c r="G392" s="33">
        <v>2.0713699999999999</v>
      </c>
      <c r="H392" s="33">
        <v>0.12970000000000001</v>
      </c>
      <c r="I392" s="33">
        <v>0.26519999999999999</v>
      </c>
      <c r="J392" s="33">
        <v>-1.8063099999999999E-2</v>
      </c>
      <c r="K392" s="33">
        <v>1.67E-2</v>
      </c>
      <c r="L392" s="33">
        <v>2E-3</v>
      </c>
      <c r="M392" s="33">
        <v>-5.7826500000000003E-2</v>
      </c>
      <c r="N392" s="169">
        <v>0.113</v>
      </c>
      <c r="O392" s="33">
        <v>23.909099999999999</v>
      </c>
      <c r="P392" s="33">
        <v>18.363600000000002</v>
      </c>
      <c r="Q392" s="33">
        <v>5.5454999999999997</v>
      </c>
      <c r="R392" s="33">
        <v>7</v>
      </c>
      <c r="S392" s="33">
        <v>7.1658999999999997</v>
      </c>
      <c r="T392" s="33">
        <v>7.6578799999999996</v>
      </c>
      <c r="U392" s="33">
        <v>8</v>
      </c>
      <c r="V392" s="89" t="str">
        <f t="shared" si="12"/>
        <v>GB</v>
      </c>
      <c r="W392" s="90">
        <f t="shared" si="13"/>
        <v>12</v>
      </c>
      <c r="X392" s="91">
        <v>2025</v>
      </c>
    </row>
    <row r="393" spans="1:24" x14ac:dyDescent="0.25">
      <c r="A393" s="74" t="s">
        <v>399</v>
      </c>
      <c r="B393" s="33">
        <v>2025</v>
      </c>
      <c r="C393" s="33">
        <v>1628.79</v>
      </c>
      <c r="D393" s="33">
        <v>2.5196000000000001</v>
      </c>
      <c r="E393" s="33">
        <v>5.3742099999999997</v>
      </c>
      <c r="F393" s="33">
        <v>-5.2016699999999999E-2</v>
      </c>
      <c r="G393" s="33">
        <v>2.0383</v>
      </c>
      <c r="H393" s="33">
        <v>0.14130000000000001</v>
      </c>
      <c r="I393" s="33">
        <v>0.1951</v>
      </c>
      <c r="J393" s="33">
        <v>4.6274000000000003E-2</v>
      </c>
      <c r="K393" s="33">
        <v>3.2300000000000002E-2</v>
      </c>
      <c r="L393" s="33">
        <v>-2.9700000000000001E-2</v>
      </c>
      <c r="M393" s="33">
        <v>-1.4721700000000001E-3</v>
      </c>
      <c r="N393" s="169">
        <v>0.109</v>
      </c>
      <c r="O393" s="33">
        <v>25.181799999999999</v>
      </c>
      <c r="P393" s="33">
        <v>18.2727</v>
      </c>
      <c r="Q393" s="33">
        <v>6.9090999999999996</v>
      </c>
      <c r="R393" s="33">
        <v>6</v>
      </c>
      <c r="S393" s="33">
        <v>7.4950999999999999</v>
      </c>
      <c r="T393" s="33">
        <v>7.1810900000000002</v>
      </c>
      <c r="U393" s="33">
        <v>7</v>
      </c>
      <c r="V393" s="89" t="str">
        <f t="shared" si="12"/>
        <v>KC</v>
      </c>
      <c r="W393" s="90">
        <f t="shared" si="13"/>
        <v>12</v>
      </c>
      <c r="X393" s="91">
        <v>2025</v>
      </c>
    </row>
    <row r="394" spans="1:24" x14ac:dyDescent="0.25">
      <c r="A394" s="74" t="s">
        <v>63</v>
      </c>
      <c r="B394" s="33">
        <v>2025</v>
      </c>
      <c r="C394" s="33">
        <v>1562.53</v>
      </c>
      <c r="D394" s="33">
        <v>0.89080000000000004</v>
      </c>
      <c r="E394" s="33">
        <v>2.7239900000000001</v>
      </c>
      <c r="F394" s="33">
        <v>0.176895</v>
      </c>
      <c r="G394" s="33">
        <v>1.1129199999999999</v>
      </c>
      <c r="H394" s="33">
        <v>1.84E-2</v>
      </c>
      <c r="I394" s="33">
        <v>5.1299999999999998E-2</v>
      </c>
      <c r="J394" s="33">
        <v>-7.2056500000000001E-3</v>
      </c>
      <c r="K394" s="33">
        <v>-7.51E-2</v>
      </c>
      <c r="L394" s="33">
        <v>-0.1201</v>
      </c>
      <c r="M394" s="33">
        <v>-8.9109300000000002E-2</v>
      </c>
      <c r="N394" s="173">
        <v>9.35E-2</v>
      </c>
      <c r="O394" s="33">
        <v>23.363600000000002</v>
      </c>
      <c r="P394" s="33">
        <v>17.454499999999999</v>
      </c>
      <c r="Q394" s="33">
        <v>5.9090999999999996</v>
      </c>
      <c r="R394" s="33">
        <v>9</v>
      </c>
      <c r="S394" s="33">
        <v>7.3281999999999998</v>
      </c>
      <c r="T394" s="33">
        <v>7.6084899999999998</v>
      </c>
      <c r="U394" s="33">
        <v>8</v>
      </c>
      <c r="V394" s="89" t="str">
        <f t="shared" si="12"/>
        <v>DEN</v>
      </c>
      <c r="W394" s="90">
        <f t="shared" si="13"/>
        <v>12</v>
      </c>
      <c r="X394" s="91">
        <v>2025</v>
      </c>
    </row>
    <row r="395" spans="1:24" x14ac:dyDescent="0.25">
      <c r="A395" s="74" t="s">
        <v>25</v>
      </c>
      <c r="B395" s="33">
        <v>2025</v>
      </c>
      <c r="C395" s="33">
        <v>1602.59</v>
      </c>
      <c r="D395" s="33">
        <v>-3.9914000000000001</v>
      </c>
      <c r="E395" s="33">
        <v>4.3263499999999997</v>
      </c>
      <c r="F395" s="33">
        <v>-0.78149400000000002</v>
      </c>
      <c r="G395" s="33">
        <v>-7.7363000000000001E-2</v>
      </c>
      <c r="H395" s="33">
        <v>0.1573</v>
      </c>
      <c r="I395" s="33">
        <v>0.14979999999999999</v>
      </c>
      <c r="J395" s="33">
        <v>8.8333499999999995E-2</v>
      </c>
      <c r="K395" s="33">
        <v>6.6500000000000004E-2</v>
      </c>
      <c r="L395" s="33">
        <v>-7.8899999999999998E-2</v>
      </c>
      <c r="M395" s="33">
        <v>0.103856</v>
      </c>
      <c r="N395" s="169">
        <v>9.0899999999999995E-2</v>
      </c>
      <c r="O395" s="33">
        <v>28.2727</v>
      </c>
      <c r="P395" s="33">
        <v>22.909099999999999</v>
      </c>
      <c r="Q395" s="33">
        <v>5.3635999999999999</v>
      </c>
      <c r="R395" s="33">
        <v>7</v>
      </c>
      <c r="S395" s="33">
        <v>6.8433000000000002</v>
      </c>
      <c r="T395" s="33">
        <v>8.2357300000000002</v>
      </c>
      <c r="U395" s="33">
        <v>6</v>
      </c>
      <c r="V395" s="89" t="str">
        <f t="shared" si="12"/>
        <v>BUF</v>
      </c>
      <c r="W395" s="90">
        <f t="shared" si="13"/>
        <v>12</v>
      </c>
      <c r="X395" s="91">
        <v>2025</v>
      </c>
    </row>
    <row r="396" spans="1:24" x14ac:dyDescent="0.25">
      <c r="A396" s="74" t="s">
        <v>38</v>
      </c>
      <c r="B396" s="33">
        <v>2025</v>
      </c>
      <c r="C396" s="33">
        <v>1629.51</v>
      </c>
      <c r="D396" s="33">
        <v>6.5838999999999999</v>
      </c>
      <c r="E396" s="33">
        <v>5.4029999999999996</v>
      </c>
      <c r="F396" s="33">
        <v>9.71384E-2</v>
      </c>
      <c r="G396" s="33">
        <v>0.59551799999999999</v>
      </c>
      <c r="H396" s="33">
        <v>2.1600000000000001E-2</v>
      </c>
      <c r="I396" s="33">
        <v>7.8200000000000006E-2</v>
      </c>
      <c r="J396" s="33">
        <v>-3.9777800000000002E-2</v>
      </c>
      <c r="K396" s="33">
        <v>-2.93E-2</v>
      </c>
      <c r="L396" s="33">
        <v>-5.3400000000000003E-2</v>
      </c>
      <c r="M396" s="33">
        <v>-6.2479100000000003E-2</v>
      </c>
      <c r="N396" s="169">
        <v>5.0900000000000001E-2</v>
      </c>
      <c r="O396" s="33">
        <v>23.181799999999999</v>
      </c>
      <c r="P396" s="33">
        <v>20.454499999999999</v>
      </c>
      <c r="Q396" s="33">
        <v>2.7273000000000001</v>
      </c>
      <c r="R396" s="33">
        <v>8</v>
      </c>
      <c r="S396" s="33">
        <v>6.3098000000000001</v>
      </c>
      <c r="T396" s="33">
        <v>8.33596</v>
      </c>
      <c r="U396" s="33">
        <v>8</v>
      </c>
      <c r="V396" s="89" t="str">
        <f t="shared" si="12"/>
        <v>PHI</v>
      </c>
      <c r="W396" s="90">
        <f t="shared" si="13"/>
        <v>12</v>
      </c>
      <c r="X396" s="91">
        <v>2025</v>
      </c>
    </row>
    <row r="397" spans="1:24" x14ac:dyDescent="0.25">
      <c r="A397" s="74" t="s">
        <v>405</v>
      </c>
      <c r="B397" s="33">
        <v>2025</v>
      </c>
      <c r="C397" s="33">
        <v>1538.44</v>
      </c>
      <c r="D397" s="33">
        <v>-4.5715000000000003</v>
      </c>
      <c r="E397" s="33">
        <v>1.7603500000000001</v>
      </c>
      <c r="F397" s="33">
        <v>5.5732400000000001E-2</v>
      </c>
      <c r="G397" s="33">
        <v>0.99538599999999999</v>
      </c>
      <c r="H397" s="33">
        <v>8.0100000000000005E-2</v>
      </c>
      <c r="I397" s="33">
        <v>0.1303</v>
      </c>
      <c r="J397" s="33">
        <v>-6.62354E-2</v>
      </c>
      <c r="K397" s="33">
        <v>4.2700000000000002E-2</v>
      </c>
      <c r="L397" s="33">
        <v>0.1114</v>
      </c>
      <c r="M397" s="33">
        <v>-2.45731E-2</v>
      </c>
      <c r="N397" s="169">
        <v>3.7400000000000003E-2</v>
      </c>
      <c r="O397" s="33">
        <v>23.416699999999999</v>
      </c>
      <c r="P397" s="33">
        <v>21.75</v>
      </c>
      <c r="Q397" s="33">
        <v>1.6667000000000001</v>
      </c>
      <c r="R397" s="33">
        <v>8</v>
      </c>
      <c r="S397" s="33">
        <v>6.5236000000000001</v>
      </c>
      <c r="T397" s="33">
        <v>6.8672800000000001</v>
      </c>
      <c r="U397" s="33">
        <v>5</v>
      </c>
      <c r="V397" s="89" t="str">
        <f t="shared" si="12"/>
        <v>SF</v>
      </c>
      <c r="W397" s="90">
        <f t="shared" si="13"/>
        <v>12</v>
      </c>
      <c r="X397" s="91">
        <v>2025</v>
      </c>
    </row>
    <row r="398" spans="1:24" x14ac:dyDescent="0.25">
      <c r="A398" s="74" t="s">
        <v>44</v>
      </c>
      <c r="B398" s="33">
        <v>2025</v>
      </c>
      <c r="C398" s="33">
        <v>1479.78</v>
      </c>
      <c r="D398" s="33">
        <v>-10.430999999999999</v>
      </c>
      <c r="E398" s="33">
        <v>-0.58627399999999996</v>
      </c>
      <c r="F398" s="33">
        <v>1.3209</v>
      </c>
      <c r="G398" s="33">
        <v>1.36134</v>
      </c>
      <c r="H398" s="33">
        <v>1.5699999999999999E-2</v>
      </c>
      <c r="I398" s="33">
        <v>-7.4099999999999999E-2</v>
      </c>
      <c r="J398" s="33">
        <v>4.8240100000000001E-2</v>
      </c>
      <c r="K398" s="33">
        <v>-1.78E-2</v>
      </c>
      <c r="L398" s="33">
        <v>-6.0199999999999997E-2</v>
      </c>
      <c r="M398" s="33">
        <v>-4.6385700000000002E-2</v>
      </c>
      <c r="N398" s="169">
        <v>3.3500000000000002E-2</v>
      </c>
      <c r="O398" s="33">
        <v>24.2727</v>
      </c>
      <c r="P398" s="33">
        <v>22.7273</v>
      </c>
      <c r="Q398" s="33">
        <v>1.5455000000000001</v>
      </c>
      <c r="R398" s="33">
        <v>7</v>
      </c>
      <c r="S398" s="33">
        <v>5.9279000000000002</v>
      </c>
      <c r="T398" s="33">
        <v>5.5314199999999998</v>
      </c>
      <c r="U398" s="33">
        <v>7</v>
      </c>
      <c r="V398" s="89" t="str">
        <f t="shared" si="12"/>
        <v>JAX</v>
      </c>
      <c r="W398" s="90">
        <f t="shared" si="13"/>
        <v>12</v>
      </c>
      <c r="X398" s="91">
        <v>2025</v>
      </c>
    </row>
    <row r="399" spans="1:24" x14ac:dyDescent="0.25">
      <c r="A399" s="74" t="s">
        <v>85</v>
      </c>
      <c r="B399" s="33">
        <v>2025</v>
      </c>
      <c r="C399" s="33">
        <v>1479.29</v>
      </c>
      <c r="D399" s="33">
        <v>-39.272599999999997</v>
      </c>
      <c r="E399" s="33">
        <v>-0.60589800000000005</v>
      </c>
      <c r="F399" s="33">
        <v>0.22333500000000001</v>
      </c>
      <c r="G399" s="33">
        <v>-0.67810999999999999</v>
      </c>
      <c r="H399" s="33">
        <v>5.9200000000000003E-2</v>
      </c>
      <c r="I399" s="33">
        <v>1.66E-2</v>
      </c>
      <c r="J399" s="33">
        <v>-2.6324400000000002E-3</v>
      </c>
      <c r="K399" s="33">
        <v>2.92E-2</v>
      </c>
      <c r="L399" s="33">
        <v>3.2000000000000002E-3</v>
      </c>
      <c r="M399" s="33">
        <v>1.35145E-2</v>
      </c>
      <c r="N399" s="169">
        <v>0.03</v>
      </c>
      <c r="O399" s="33">
        <v>24.909099999999999</v>
      </c>
      <c r="P399" s="33">
        <v>23.909099999999999</v>
      </c>
      <c r="Q399" s="33">
        <v>1</v>
      </c>
      <c r="R399" s="33">
        <v>6</v>
      </c>
      <c r="S399" s="33">
        <v>5.7667999999999999</v>
      </c>
      <c r="T399" s="33">
        <v>6.3939700000000004</v>
      </c>
      <c r="U399" s="33">
        <v>6</v>
      </c>
      <c r="V399" s="89" t="str">
        <f t="shared" si="12"/>
        <v>PIT</v>
      </c>
      <c r="W399" s="90">
        <f t="shared" si="13"/>
        <v>12</v>
      </c>
      <c r="X399" s="91">
        <v>2025</v>
      </c>
    </row>
    <row r="400" spans="1:24" x14ac:dyDescent="0.25">
      <c r="A400" s="74" t="s">
        <v>47</v>
      </c>
      <c r="B400" s="33">
        <v>2025</v>
      </c>
      <c r="C400" s="33">
        <v>1588.34</v>
      </c>
      <c r="D400" s="33">
        <v>-11.6143</v>
      </c>
      <c r="E400" s="33">
        <v>3.75637</v>
      </c>
      <c r="F400" s="33">
        <v>-0.22689500000000001</v>
      </c>
      <c r="G400" s="33">
        <v>-2.7226699999999999</v>
      </c>
      <c r="H400" s="33">
        <v>4.7E-2</v>
      </c>
      <c r="I400" s="33">
        <v>-2.58E-2</v>
      </c>
      <c r="J400" s="33">
        <v>2.5418199999999998E-2</v>
      </c>
      <c r="K400" s="33">
        <v>2.1999999999999999E-2</v>
      </c>
      <c r="L400" s="33">
        <v>3.4700000000000002E-2</v>
      </c>
      <c r="M400" s="33">
        <v>-3.54188E-2</v>
      </c>
      <c r="N400" s="169">
        <v>2.4899999999999999E-2</v>
      </c>
      <c r="O400" s="33">
        <v>25</v>
      </c>
      <c r="P400" s="33">
        <v>23.7273</v>
      </c>
      <c r="Q400" s="33">
        <v>1.2726999999999999</v>
      </c>
      <c r="R400" s="33">
        <v>6</v>
      </c>
      <c r="S400" s="33">
        <v>5.8400999999999996</v>
      </c>
      <c r="T400" s="33">
        <v>7.2896700000000001</v>
      </c>
      <c r="U400" s="33">
        <v>6</v>
      </c>
      <c r="V400" s="89" t="str">
        <f t="shared" si="12"/>
        <v>BAL</v>
      </c>
      <c r="W400" s="90">
        <f t="shared" si="13"/>
        <v>12</v>
      </c>
      <c r="X400" s="91">
        <v>2025</v>
      </c>
    </row>
    <row r="401" spans="1:24" x14ac:dyDescent="0.25">
      <c r="A401" s="74" t="s">
        <v>60</v>
      </c>
      <c r="B401" s="33">
        <v>2025</v>
      </c>
      <c r="C401" s="33">
        <v>1509.91</v>
      </c>
      <c r="D401" s="33">
        <v>-6.1904000000000003</v>
      </c>
      <c r="E401" s="33">
        <v>0.61897999999999997</v>
      </c>
      <c r="F401" s="33">
        <v>0.176895</v>
      </c>
      <c r="G401" s="33">
        <v>-0.14784700000000001</v>
      </c>
      <c r="H401" s="33">
        <v>3.2000000000000002E-3</v>
      </c>
      <c r="I401" s="33">
        <v>-2.9399999999999999E-2</v>
      </c>
      <c r="J401" s="33">
        <v>6.74429E-3</v>
      </c>
      <c r="K401" s="33">
        <v>-1.43E-2</v>
      </c>
      <c r="L401" s="33">
        <v>-9.0700000000000003E-2</v>
      </c>
      <c r="M401" s="33">
        <v>1.63143E-2</v>
      </c>
      <c r="N401" s="169">
        <v>1.7500000000000002E-2</v>
      </c>
      <c r="O401" s="33">
        <v>22.363600000000002</v>
      </c>
      <c r="P401" s="33">
        <v>21.636399999999998</v>
      </c>
      <c r="Q401" s="33">
        <v>0.72729999999999995</v>
      </c>
      <c r="R401" s="33">
        <v>7</v>
      </c>
      <c r="S401" s="33">
        <v>5.7153999999999998</v>
      </c>
      <c r="T401" s="33">
        <v>7.5221400000000003</v>
      </c>
      <c r="U401" s="33">
        <v>5</v>
      </c>
      <c r="V401" s="89" t="str">
        <f t="shared" si="12"/>
        <v>LAC</v>
      </c>
      <c r="W401" s="90">
        <f t="shared" si="13"/>
        <v>12</v>
      </c>
      <c r="X401" s="91">
        <v>2025</v>
      </c>
    </row>
    <row r="402" spans="1:24" x14ac:dyDescent="0.25">
      <c r="A402" s="74" t="s">
        <v>14</v>
      </c>
      <c r="B402" s="33">
        <v>2025</v>
      </c>
      <c r="C402" s="33">
        <v>1517.32</v>
      </c>
      <c r="D402" s="33">
        <v>23.045300000000001</v>
      </c>
      <c r="E402" s="33">
        <v>0.91534700000000002</v>
      </c>
      <c r="F402" s="33">
        <v>0.79957500000000004</v>
      </c>
      <c r="G402" s="33">
        <v>1.89795</v>
      </c>
      <c r="H402" s="33">
        <v>0.1457</v>
      </c>
      <c r="I402" s="33">
        <v>0.17910000000000001</v>
      </c>
      <c r="J402" s="33">
        <v>-2.5385000000000001E-2</v>
      </c>
      <c r="K402" s="33">
        <v>0.13730000000000001</v>
      </c>
      <c r="L402" s="33">
        <v>0.14530000000000001</v>
      </c>
      <c r="M402" s="33">
        <v>7.9510600000000001E-2</v>
      </c>
      <c r="N402" s="169">
        <v>8.3999999999999995E-3</v>
      </c>
      <c r="O402" s="33">
        <v>29.090900000000001</v>
      </c>
      <c r="P402" s="33">
        <v>28.545500000000001</v>
      </c>
      <c r="Q402" s="33">
        <v>0.54549999999999998</v>
      </c>
      <c r="R402" s="33">
        <v>5</v>
      </c>
      <c r="S402" s="33">
        <v>5.6233000000000004</v>
      </c>
      <c r="T402" s="33">
        <v>5.17408</v>
      </c>
      <c r="U402" s="33">
        <v>5</v>
      </c>
      <c r="V402" s="89" t="str">
        <f t="shared" si="12"/>
        <v>DAL</v>
      </c>
      <c r="W402" s="90">
        <f t="shared" si="13"/>
        <v>12</v>
      </c>
      <c r="X402" s="91">
        <v>2025</v>
      </c>
    </row>
    <row r="403" spans="1:24" x14ac:dyDescent="0.25">
      <c r="A403" s="74" t="s">
        <v>72</v>
      </c>
      <c r="B403" s="33">
        <v>2025</v>
      </c>
      <c r="C403" s="33">
        <v>1498.69</v>
      </c>
      <c r="D403" s="33">
        <v>17.778600000000001</v>
      </c>
      <c r="E403" s="33">
        <v>0.170405</v>
      </c>
      <c r="F403" s="33">
        <v>0.28617700000000001</v>
      </c>
      <c r="G403" s="33">
        <v>1.4858100000000001</v>
      </c>
      <c r="H403" s="33">
        <v>3.4099999999999998E-2</v>
      </c>
      <c r="I403" s="33">
        <v>7.7600000000000002E-2</v>
      </c>
      <c r="J403" s="33">
        <v>3.1615900000000002E-2</v>
      </c>
      <c r="K403" s="33">
        <v>3.0599999999999999E-2</v>
      </c>
      <c r="L403" s="33">
        <v>6.9999999999999999E-4</v>
      </c>
      <c r="M403" s="33">
        <v>2.0316799999999998E-5</v>
      </c>
      <c r="N403" s="169">
        <v>3.5999999999999999E-3</v>
      </c>
      <c r="O403" s="33">
        <v>26.2727</v>
      </c>
      <c r="P403" s="33">
        <v>26.545500000000001</v>
      </c>
      <c r="Q403" s="33">
        <v>-0.2727</v>
      </c>
      <c r="R403" s="33">
        <v>8</v>
      </c>
      <c r="S403" s="33">
        <v>5.4326999999999996</v>
      </c>
      <c r="T403" s="33">
        <v>5.11395</v>
      </c>
      <c r="U403" s="33">
        <v>7</v>
      </c>
      <c r="V403" s="89" t="str">
        <f t="shared" si="12"/>
        <v>CHI</v>
      </c>
      <c r="W403" s="90">
        <f t="shared" si="13"/>
        <v>12</v>
      </c>
      <c r="X403" s="91">
        <v>2025</v>
      </c>
    </row>
    <row r="404" spans="1:24" x14ac:dyDescent="0.25">
      <c r="A404" s="74" t="s">
        <v>402</v>
      </c>
      <c r="B404" s="33">
        <v>2025</v>
      </c>
      <c r="C404" s="33">
        <v>1486.2</v>
      </c>
      <c r="D404" s="33">
        <v>-9.6671999999999993</v>
      </c>
      <c r="E404" s="33">
        <v>-0.32924799999999999</v>
      </c>
      <c r="F404" s="33">
        <v>-0.85521999999999998</v>
      </c>
      <c r="G404" s="33">
        <v>-0.56259800000000004</v>
      </c>
      <c r="H404" s="33">
        <v>-2.2100000000000002E-2</v>
      </c>
      <c r="I404" s="33">
        <v>-6.2700000000000006E-2</v>
      </c>
      <c r="J404" s="33">
        <v>3.1024400000000001E-2</v>
      </c>
      <c r="K404" s="33">
        <v>1.35E-2</v>
      </c>
      <c r="L404" s="33">
        <v>1.7000000000000001E-2</v>
      </c>
      <c r="M404" s="33">
        <v>-7.0096800000000001E-2</v>
      </c>
      <c r="N404" s="169">
        <v>-3.5700000000000003E-2</v>
      </c>
      <c r="O404" s="33">
        <v>23.545500000000001</v>
      </c>
      <c r="P404" s="33">
        <v>25.818200000000001</v>
      </c>
      <c r="Q404" s="33">
        <v>-2.2726999999999999</v>
      </c>
      <c r="R404" s="33">
        <v>6</v>
      </c>
      <c r="S404" s="33">
        <v>4.9017999999999997</v>
      </c>
      <c r="T404" s="33">
        <v>6.1337099999999998</v>
      </c>
      <c r="U404" s="33">
        <v>4</v>
      </c>
      <c r="V404" s="89" t="str">
        <f t="shared" si="12"/>
        <v>TB</v>
      </c>
      <c r="W404" s="90">
        <f t="shared" si="13"/>
        <v>12</v>
      </c>
      <c r="X404" s="91">
        <v>2025</v>
      </c>
    </row>
    <row r="405" spans="1:24" x14ac:dyDescent="0.25">
      <c r="A405" s="74" t="s">
        <v>69</v>
      </c>
      <c r="B405" s="33">
        <v>2025</v>
      </c>
      <c r="C405" s="33">
        <v>1490.17</v>
      </c>
      <c r="D405" s="33">
        <v>37.4497</v>
      </c>
      <c r="E405" s="33">
        <v>-0.170405</v>
      </c>
      <c r="F405" s="33">
        <v>0.35242200000000001</v>
      </c>
      <c r="G405" s="33">
        <v>0.90876500000000004</v>
      </c>
      <c r="H405" s="33">
        <v>-3.9899999999999998E-2</v>
      </c>
      <c r="I405" s="33">
        <v>-4.9000000000000002E-2</v>
      </c>
      <c r="J405" s="33">
        <v>-2.4147499999999999E-2</v>
      </c>
      <c r="K405" s="33">
        <v>1.23E-2</v>
      </c>
      <c r="L405" s="33">
        <v>-5.7299999999999997E-2</v>
      </c>
      <c r="M405" s="33">
        <v>3.8540199999999997E-2</v>
      </c>
      <c r="N405" s="169">
        <v>-5.2200000000000003E-2</v>
      </c>
      <c r="O405" s="33">
        <v>19.909099999999999</v>
      </c>
      <c r="P405" s="33">
        <v>22.636399999999998</v>
      </c>
      <c r="Q405" s="33">
        <v>-2.7273000000000001</v>
      </c>
      <c r="R405" s="33">
        <v>4</v>
      </c>
      <c r="S405" s="33">
        <v>4.6696999999999997</v>
      </c>
      <c r="T405" s="33">
        <v>5.2727399999999998</v>
      </c>
      <c r="U405" s="33">
        <v>7</v>
      </c>
      <c r="V405" s="89" t="str">
        <f t="shared" si="12"/>
        <v>ATL</v>
      </c>
      <c r="W405" s="90">
        <f t="shared" si="13"/>
        <v>12</v>
      </c>
      <c r="X405" s="91">
        <v>2025</v>
      </c>
    </row>
    <row r="406" spans="1:24" x14ac:dyDescent="0.25">
      <c r="A406" s="74" t="s">
        <v>93</v>
      </c>
      <c r="B406" s="33">
        <v>2025</v>
      </c>
      <c r="C406" s="33">
        <v>1391.41</v>
      </c>
      <c r="D406" s="33">
        <v>-40.331200000000003</v>
      </c>
      <c r="E406" s="33">
        <v>-4.1211500000000001</v>
      </c>
      <c r="F406" s="33">
        <v>-1.0951</v>
      </c>
      <c r="G406" s="33">
        <v>-4.3117099999999997</v>
      </c>
      <c r="H406" s="33">
        <v>-2.5100000000000001E-2</v>
      </c>
      <c r="I406" s="33">
        <v>7.3000000000000001E-3</v>
      </c>
      <c r="J406" s="33">
        <v>-6.7351099999999997E-2</v>
      </c>
      <c r="K406" s="33">
        <v>3.7999999999999999E-2</v>
      </c>
      <c r="L406" s="33">
        <v>4.07E-2</v>
      </c>
      <c r="M406" s="33">
        <v>-5.97928E-2</v>
      </c>
      <c r="N406" s="169">
        <v>-6.3100000000000003E-2</v>
      </c>
      <c r="O406" s="33">
        <v>22.545500000000001</v>
      </c>
      <c r="P406" s="33">
        <v>25.7273</v>
      </c>
      <c r="Q406" s="33">
        <v>-3.1818</v>
      </c>
      <c r="R406" s="33">
        <v>3</v>
      </c>
      <c r="S406" s="33">
        <v>4.6464999999999996</v>
      </c>
      <c r="T406" s="33">
        <v>5.5510400000000004</v>
      </c>
      <c r="U406" s="33">
        <v>3</v>
      </c>
      <c r="V406" s="89" t="str">
        <f t="shared" si="12"/>
        <v>ARI</v>
      </c>
      <c r="W406" s="90">
        <f t="shared" si="13"/>
        <v>12</v>
      </c>
      <c r="X406" s="91">
        <v>2025</v>
      </c>
    </row>
    <row r="407" spans="1:24" x14ac:dyDescent="0.25">
      <c r="A407" s="74" t="s">
        <v>2</v>
      </c>
      <c r="B407" s="33">
        <v>2025</v>
      </c>
      <c r="C407" s="33">
        <v>1410.58</v>
      </c>
      <c r="D407" s="33">
        <v>-22.1328</v>
      </c>
      <c r="E407" s="33">
        <v>-3.3542900000000002</v>
      </c>
      <c r="F407" s="33">
        <v>0.176895</v>
      </c>
      <c r="G407" s="33">
        <v>-3.1176400000000002</v>
      </c>
      <c r="H407" s="33">
        <v>3.3099999999999997E-2</v>
      </c>
      <c r="I407" s="33">
        <v>9.7000000000000003E-3</v>
      </c>
      <c r="J407" s="33">
        <v>-2.2196299999999999E-2</v>
      </c>
      <c r="K407" s="33">
        <v>0.1046</v>
      </c>
      <c r="L407" s="33">
        <v>0.19969999999999999</v>
      </c>
      <c r="M407" s="33">
        <v>3.3945799999999999E-3</v>
      </c>
      <c r="N407" s="169">
        <v>-7.1400000000000005E-2</v>
      </c>
      <c r="O407" s="33">
        <v>20.545500000000001</v>
      </c>
      <c r="P407" s="33">
        <v>24.454499999999999</v>
      </c>
      <c r="Q407" s="33">
        <v>-3.9091</v>
      </c>
      <c r="R407" s="33">
        <v>4</v>
      </c>
      <c r="S407" s="33">
        <v>4.3807</v>
      </c>
      <c r="T407" s="33">
        <v>5.4586399999999999</v>
      </c>
      <c r="U407" s="33">
        <v>6</v>
      </c>
      <c r="V407" s="89" t="str">
        <f t="shared" si="12"/>
        <v>MIA</v>
      </c>
      <c r="W407" s="90">
        <f t="shared" si="13"/>
        <v>12</v>
      </c>
      <c r="X407" s="91">
        <v>2025</v>
      </c>
    </row>
    <row r="408" spans="1:24" x14ac:dyDescent="0.25">
      <c r="A408" s="74" t="s">
        <v>75</v>
      </c>
      <c r="B408" s="33">
        <v>2025</v>
      </c>
      <c r="C408" s="33">
        <v>1437.49</v>
      </c>
      <c r="D408" s="33">
        <v>-35.924599999999998</v>
      </c>
      <c r="E408" s="33">
        <v>-2.2776800000000001</v>
      </c>
      <c r="F408" s="33">
        <v>-0.56095200000000001</v>
      </c>
      <c r="G408" s="33">
        <v>-3.0061300000000002</v>
      </c>
      <c r="H408" s="33">
        <v>-0.1169</v>
      </c>
      <c r="I408" s="33">
        <v>-0.20200000000000001</v>
      </c>
      <c r="J408" s="33">
        <v>-6.1324200000000002E-2</v>
      </c>
      <c r="K408" s="33">
        <v>-3.9100000000000003E-2</v>
      </c>
      <c r="L408" s="33">
        <v>-3.4700000000000002E-2</v>
      </c>
      <c r="M408" s="33">
        <v>-3.1037599999999999E-2</v>
      </c>
      <c r="N408" s="169">
        <v>-7.7799999999999994E-2</v>
      </c>
      <c r="O408" s="33">
        <v>20.363600000000002</v>
      </c>
      <c r="P408" s="33">
        <v>23.181799999999999</v>
      </c>
      <c r="Q408" s="33">
        <v>-2.8182</v>
      </c>
      <c r="R408" s="33">
        <v>4</v>
      </c>
      <c r="S408" s="33">
        <v>4.6618000000000004</v>
      </c>
      <c r="T408" s="33">
        <v>5.9370099999999999</v>
      </c>
      <c r="U408" s="33">
        <v>3</v>
      </c>
      <c r="V408" s="89" t="str">
        <f t="shared" si="12"/>
        <v>MIN</v>
      </c>
      <c r="W408" s="90">
        <f t="shared" si="13"/>
        <v>12</v>
      </c>
      <c r="X408" s="91">
        <v>2025</v>
      </c>
    </row>
    <row r="409" spans="1:24" x14ac:dyDescent="0.25">
      <c r="A409" s="74" t="s">
        <v>67</v>
      </c>
      <c r="B409" s="33">
        <v>2025</v>
      </c>
      <c r="C409" s="33">
        <v>1391.94</v>
      </c>
      <c r="D409" s="33">
        <v>1.7868999999999999</v>
      </c>
      <c r="E409" s="33">
        <v>-4.0998700000000001</v>
      </c>
      <c r="F409" s="33">
        <v>-0.27124500000000001</v>
      </c>
      <c r="G409" s="33">
        <v>1.50145</v>
      </c>
      <c r="H409" s="33">
        <v>-3.27E-2</v>
      </c>
      <c r="I409" s="33">
        <v>-0.1013</v>
      </c>
      <c r="J409" s="33">
        <v>-1.20295E-2</v>
      </c>
      <c r="K409" s="33">
        <v>5.04E-2</v>
      </c>
      <c r="L409" s="33">
        <v>0.13220000000000001</v>
      </c>
      <c r="M409" s="33">
        <v>-2.0092599999999999E-2</v>
      </c>
      <c r="N409" s="169">
        <v>-8.3099999999999993E-2</v>
      </c>
      <c r="O409" s="33">
        <v>18</v>
      </c>
      <c r="P409" s="33">
        <v>22.416699999999999</v>
      </c>
      <c r="Q409" s="33">
        <v>-4.4166999999999996</v>
      </c>
      <c r="R409" s="33">
        <v>6</v>
      </c>
      <c r="S409" s="33">
        <v>4.4741</v>
      </c>
      <c r="T409" s="33">
        <v>4.9550700000000001</v>
      </c>
      <c r="U409" s="33">
        <v>4</v>
      </c>
      <c r="V409" s="89" t="str">
        <f t="shared" si="12"/>
        <v>CAR</v>
      </c>
      <c r="W409" s="90">
        <f t="shared" si="13"/>
        <v>12</v>
      </c>
      <c r="X409" s="91">
        <v>2025</v>
      </c>
    </row>
    <row r="410" spans="1:24" x14ac:dyDescent="0.25">
      <c r="A410" s="74" t="s">
        <v>91</v>
      </c>
      <c r="B410" s="33">
        <v>2025</v>
      </c>
      <c r="C410" s="33">
        <v>1394.2</v>
      </c>
      <c r="D410" s="33">
        <v>-46.384399999999999</v>
      </c>
      <c r="E410" s="33">
        <v>-4.0094000000000003</v>
      </c>
      <c r="F410" s="33">
        <v>0.39734399999999997</v>
      </c>
      <c r="G410" s="33">
        <v>0.56876899999999997</v>
      </c>
      <c r="H410" s="33">
        <v>-0.2054</v>
      </c>
      <c r="I410" s="33">
        <v>-0.30759999999999998</v>
      </c>
      <c r="J410" s="33">
        <v>-5.1769099999999998E-2</v>
      </c>
      <c r="K410" s="33">
        <v>-0.1139</v>
      </c>
      <c r="L410" s="33">
        <v>-0.1144</v>
      </c>
      <c r="M410" s="33">
        <v>-0.15746299999999999</v>
      </c>
      <c r="N410" s="169">
        <v>-9.1399999999999995E-2</v>
      </c>
      <c r="O410" s="33">
        <v>16.909099999999999</v>
      </c>
      <c r="P410" s="33">
        <v>22.181799999999999</v>
      </c>
      <c r="Q410" s="33">
        <v>-5.2727000000000004</v>
      </c>
      <c r="R410" s="33">
        <v>3</v>
      </c>
      <c r="S410" s="33">
        <v>3.7896000000000001</v>
      </c>
      <c r="T410" s="33">
        <v>3.9499599999999999</v>
      </c>
      <c r="U410" s="33">
        <v>5</v>
      </c>
      <c r="V410" s="89" t="str">
        <f t="shared" si="12"/>
        <v>CLE</v>
      </c>
      <c r="W410" s="90">
        <f t="shared" si="13"/>
        <v>12</v>
      </c>
      <c r="X410" s="91">
        <v>2025</v>
      </c>
    </row>
    <row r="411" spans="1:24" x14ac:dyDescent="0.25">
      <c r="A411" s="74" t="s">
        <v>95</v>
      </c>
      <c r="B411" s="33">
        <v>2025</v>
      </c>
      <c r="C411" s="33">
        <v>1397.82</v>
      </c>
      <c r="D411" s="33">
        <v>-21.757200000000001</v>
      </c>
      <c r="E411" s="33">
        <v>-3.8646099999999999</v>
      </c>
      <c r="F411" s="33">
        <v>0.642378</v>
      </c>
      <c r="G411" s="33">
        <v>0.87558100000000005</v>
      </c>
      <c r="H411" s="33">
        <v>5.28E-2</v>
      </c>
      <c r="I411" s="33">
        <v>1.4999999999999999E-2</v>
      </c>
      <c r="J411" s="33">
        <v>7.4673200000000004E-3</v>
      </c>
      <c r="K411" s="33">
        <v>0.1457</v>
      </c>
      <c r="L411" s="33">
        <v>5.7599999999999998E-2</v>
      </c>
      <c r="M411" s="33">
        <v>0.20433599999999999</v>
      </c>
      <c r="N411" s="169">
        <v>-9.2899999999999996E-2</v>
      </c>
      <c r="O411" s="33">
        <v>22</v>
      </c>
      <c r="P411" s="33">
        <v>27.833300000000001</v>
      </c>
      <c r="Q411" s="33">
        <v>-5.8333000000000004</v>
      </c>
      <c r="R411" s="33">
        <v>2</v>
      </c>
      <c r="S411" s="33">
        <v>4.3697999999999997</v>
      </c>
      <c r="T411" s="33">
        <v>3.1922600000000001</v>
      </c>
      <c r="U411" s="33">
        <v>3</v>
      </c>
      <c r="V411" s="89" t="str">
        <f t="shared" si="12"/>
        <v>NYG</v>
      </c>
      <c r="W411" s="90">
        <f t="shared" si="13"/>
        <v>12</v>
      </c>
      <c r="X411" s="91">
        <v>2025</v>
      </c>
    </row>
    <row r="412" spans="1:24" x14ac:dyDescent="0.25">
      <c r="A412" s="74" t="s">
        <v>41</v>
      </c>
      <c r="B412" s="33">
        <v>2025</v>
      </c>
      <c r="C412" s="33">
        <v>1399.31</v>
      </c>
      <c r="D412" s="33">
        <v>-33.237099999999998</v>
      </c>
      <c r="E412" s="33">
        <v>-3.8048099999999998</v>
      </c>
      <c r="F412" s="33">
        <v>0.176895</v>
      </c>
      <c r="G412" s="33">
        <v>-5.6534599999999999</v>
      </c>
      <c r="H412" s="33">
        <v>5.1999999999999998E-2</v>
      </c>
      <c r="I412" s="33">
        <v>3.1199999999999999E-2</v>
      </c>
      <c r="J412" s="33">
        <v>2.0192700000000001E-2</v>
      </c>
      <c r="K412" s="33">
        <v>0.16120000000000001</v>
      </c>
      <c r="L412" s="33">
        <v>0.25740000000000002</v>
      </c>
      <c r="M412" s="33">
        <v>6.0905500000000001E-3</v>
      </c>
      <c r="N412" s="169">
        <v>-0.10920000000000001</v>
      </c>
      <c r="O412" s="33">
        <v>21.454499999999999</v>
      </c>
      <c r="P412" s="33">
        <v>26.909099999999999</v>
      </c>
      <c r="Q412" s="33">
        <v>-5.4545000000000003</v>
      </c>
      <c r="R412" s="33">
        <v>3</v>
      </c>
      <c r="S412" s="33">
        <v>4.0580999999999996</v>
      </c>
      <c r="T412" s="33">
        <v>6.2227399999999999</v>
      </c>
      <c r="U412" s="33">
        <v>3</v>
      </c>
      <c r="V412" s="89" t="str">
        <f t="shared" si="12"/>
        <v>WAS</v>
      </c>
      <c r="W412" s="90">
        <f t="shared" si="13"/>
        <v>12</v>
      </c>
      <c r="X412" s="91">
        <v>2025</v>
      </c>
    </row>
    <row r="413" spans="1:24" x14ac:dyDescent="0.25">
      <c r="A413" s="74" t="s">
        <v>79</v>
      </c>
      <c r="B413" s="33">
        <v>2025</v>
      </c>
      <c r="C413" s="33">
        <v>1361.14</v>
      </c>
      <c r="D413" s="33">
        <v>-12.6182</v>
      </c>
      <c r="E413" s="33">
        <v>-5.3317399999999999</v>
      </c>
      <c r="F413" s="33">
        <v>0.64065899999999998</v>
      </c>
      <c r="G413" s="33">
        <v>-2.1695199999999999</v>
      </c>
      <c r="H413" s="33">
        <v>-2.0299999999999999E-2</v>
      </c>
      <c r="I413" s="33">
        <v>-9.1399999999999995E-2</v>
      </c>
      <c r="J413" s="33">
        <v>-6.7065899999999998E-2</v>
      </c>
      <c r="K413" s="33">
        <v>0.10829999999999999</v>
      </c>
      <c r="L413" s="33">
        <v>0.1434</v>
      </c>
      <c r="M413" s="33">
        <v>3.8616200000000001E-3</v>
      </c>
      <c r="N413" s="169">
        <v>-0.12859999999999999</v>
      </c>
      <c r="O413" s="33">
        <v>19.909099999999999</v>
      </c>
      <c r="P413" s="33">
        <v>26.454499999999999</v>
      </c>
      <c r="Q413" s="33">
        <v>-6.5454999999999997</v>
      </c>
      <c r="R413" s="33">
        <v>2</v>
      </c>
      <c r="S413" s="33">
        <v>3.7143999999999999</v>
      </c>
      <c r="T413" s="33">
        <v>4.53857</v>
      </c>
      <c r="U413" s="33">
        <v>3</v>
      </c>
      <c r="V413" s="89" t="str">
        <f t="shared" si="12"/>
        <v>NYJ</v>
      </c>
      <c r="W413" s="90">
        <f t="shared" si="13"/>
        <v>12</v>
      </c>
      <c r="X413" s="91">
        <v>2025</v>
      </c>
    </row>
    <row r="414" spans="1:24" x14ac:dyDescent="0.25">
      <c r="A414" s="74" t="s">
        <v>77</v>
      </c>
      <c r="B414" s="33">
        <v>2025</v>
      </c>
      <c r="C414" s="33">
        <v>1369.94</v>
      </c>
      <c r="D414" s="33">
        <v>-53.756</v>
      </c>
      <c r="E414" s="33">
        <v>-4.9797200000000004</v>
      </c>
      <c r="F414" s="33">
        <v>-2.85645E-2</v>
      </c>
      <c r="G414" s="33">
        <v>-6.6521299999999997</v>
      </c>
      <c r="H414" s="33">
        <v>9.4000000000000004E-3</v>
      </c>
      <c r="I414" s="33">
        <v>-0.10780000000000001</v>
      </c>
      <c r="J414" s="33">
        <v>4.5301000000000001E-2</v>
      </c>
      <c r="K414" s="33">
        <v>0.19189999999999999</v>
      </c>
      <c r="L414" s="33">
        <v>0.29210000000000003</v>
      </c>
      <c r="M414" s="33">
        <v>8.0794900000000003E-2</v>
      </c>
      <c r="N414" s="169">
        <v>-0.1825</v>
      </c>
      <c r="O414" s="33">
        <v>22.545500000000001</v>
      </c>
      <c r="P414" s="33">
        <v>32.7273</v>
      </c>
      <c r="Q414" s="33">
        <v>-10.181800000000001</v>
      </c>
      <c r="R414" s="33">
        <v>3</v>
      </c>
      <c r="S414" s="33">
        <v>3.2176</v>
      </c>
      <c r="T414" s="33">
        <v>5.4743599999999999</v>
      </c>
      <c r="U414" s="33">
        <v>3</v>
      </c>
      <c r="V414" s="89" t="str">
        <f t="shared" si="12"/>
        <v>CIN</v>
      </c>
      <c r="W414" s="90">
        <f t="shared" si="13"/>
        <v>12</v>
      </c>
      <c r="X414" s="91">
        <v>2025</v>
      </c>
    </row>
    <row r="415" spans="1:24" x14ac:dyDescent="0.25">
      <c r="A415" s="74" t="s">
        <v>403</v>
      </c>
      <c r="B415" s="33">
        <v>2025</v>
      </c>
      <c r="C415" s="33">
        <v>1321.62</v>
      </c>
      <c r="D415" s="33">
        <v>-8.3313000000000006</v>
      </c>
      <c r="E415" s="33">
        <v>-6.9124299999999996</v>
      </c>
      <c r="F415" s="33">
        <v>-0.35784199999999999</v>
      </c>
      <c r="G415" s="33">
        <v>-0.88469299999999995</v>
      </c>
      <c r="H415" s="33">
        <v>-0.18049999999999999</v>
      </c>
      <c r="I415" s="33">
        <v>-0.161</v>
      </c>
      <c r="J415" s="33">
        <v>-0.13380400000000001</v>
      </c>
      <c r="K415" s="33">
        <v>1.35E-2</v>
      </c>
      <c r="L415" s="33">
        <v>6.9699999999999998E-2</v>
      </c>
      <c r="M415" s="33">
        <v>-9.3904100000000004E-2</v>
      </c>
      <c r="N415" s="169">
        <v>-0.19400000000000001</v>
      </c>
      <c r="O415" s="33">
        <v>15</v>
      </c>
      <c r="P415" s="33">
        <v>24.909099999999999</v>
      </c>
      <c r="Q415" s="33">
        <v>-9.9091000000000005</v>
      </c>
      <c r="R415" s="33">
        <v>2</v>
      </c>
      <c r="S415" s="33">
        <v>2.5423</v>
      </c>
      <c r="T415" s="33">
        <v>4.1046300000000002</v>
      </c>
      <c r="U415" s="33">
        <v>2</v>
      </c>
      <c r="V415" s="89" t="str">
        <f t="shared" si="12"/>
        <v>NO</v>
      </c>
      <c r="W415" s="90">
        <f t="shared" si="13"/>
        <v>12</v>
      </c>
      <c r="X415" s="91">
        <v>2025</v>
      </c>
    </row>
    <row r="416" spans="1:24" x14ac:dyDescent="0.25">
      <c r="A416" s="74" t="s">
        <v>401</v>
      </c>
      <c r="B416" s="33">
        <v>2025</v>
      </c>
      <c r="C416" s="33">
        <v>1343.23</v>
      </c>
      <c r="D416" s="33">
        <v>-24.239599999999999</v>
      </c>
      <c r="E416" s="33">
        <v>-6.0482899999999997</v>
      </c>
      <c r="F416" s="33">
        <v>-0.36777300000000002</v>
      </c>
      <c r="G416" s="33">
        <v>-3.6109399999999998</v>
      </c>
      <c r="H416" s="33">
        <v>-0.1973</v>
      </c>
      <c r="I416" s="33">
        <v>-0.18629999999999999</v>
      </c>
      <c r="J416" s="33">
        <v>-0.23827799999999999</v>
      </c>
      <c r="K416" s="33">
        <v>4.7000000000000002E-3</v>
      </c>
      <c r="L416" s="33">
        <v>8.3000000000000004E-2</v>
      </c>
      <c r="M416" s="33">
        <v>-9.7033599999999998E-2</v>
      </c>
      <c r="N416" s="169">
        <v>-0.20200000000000001</v>
      </c>
      <c r="O416" s="33">
        <v>15</v>
      </c>
      <c r="P416" s="33">
        <v>25.181799999999999</v>
      </c>
      <c r="Q416" s="33">
        <v>-10.181800000000001</v>
      </c>
      <c r="R416" s="33">
        <v>2</v>
      </c>
      <c r="S416" s="33">
        <v>2.4922</v>
      </c>
      <c r="T416" s="33">
        <v>4.3043899999999997</v>
      </c>
      <c r="U416" s="33">
        <v>3</v>
      </c>
      <c r="V416" s="89" t="str">
        <f t="shared" si="12"/>
        <v>LV</v>
      </c>
      <c r="W416" s="90">
        <f t="shared" si="13"/>
        <v>12</v>
      </c>
      <c r="X416" s="91">
        <v>2025</v>
      </c>
    </row>
    <row r="417" spans="1:24" ht="15.75" thickBot="1" x14ac:dyDescent="0.3">
      <c r="A417" s="74" t="s">
        <v>89</v>
      </c>
      <c r="B417" s="33">
        <v>2025</v>
      </c>
      <c r="C417" s="33">
        <v>1307.53</v>
      </c>
      <c r="D417" s="33">
        <v>-8.5442</v>
      </c>
      <c r="E417" s="33">
        <v>-7.4763000000000002</v>
      </c>
      <c r="F417" s="33">
        <v>0.75902800000000004</v>
      </c>
      <c r="G417" s="33">
        <v>-2.64323</v>
      </c>
      <c r="H417" s="33">
        <v>-0.16159999999999999</v>
      </c>
      <c r="I417" s="33">
        <v>-0.2253</v>
      </c>
      <c r="J417" s="33">
        <v>-0.137629</v>
      </c>
      <c r="K417" s="33">
        <v>9.0499999999999997E-2</v>
      </c>
      <c r="L417" s="33">
        <v>0.17199999999999999</v>
      </c>
      <c r="M417" s="33">
        <v>3.9419499999999996E-3</v>
      </c>
      <c r="N417" s="173">
        <v>-0.25219999999999998</v>
      </c>
      <c r="O417" s="33">
        <v>15.181800000000001</v>
      </c>
      <c r="P417" s="33">
        <v>27.545500000000001</v>
      </c>
      <c r="Q417" s="33">
        <v>-12.3636</v>
      </c>
      <c r="R417" s="33">
        <v>1</v>
      </c>
      <c r="S417" s="33">
        <v>2.1553</v>
      </c>
      <c r="T417" s="33">
        <v>3.00115</v>
      </c>
      <c r="U417" s="33">
        <v>1</v>
      </c>
      <c r="V417" s="89" t="str">
        <f t="shared" si="12"/>
        <v>TEN</v>
      </c>
      <c r="W417" s="90">
        <f t="shared" si="13"/>
        <v>12</v>
      </c>
      <c r="X417" s="91">
        <v>2025</v>
      </c>
    </row>
    <row r="418" spans="1:24" x14ac:dyDescent="0.25">
      <c r="A418" s="125" t="s">
        <v>55</v>
      </c>
      <c r="B418" s="126">
        <v>2025</v>
      </c>
      <c r="C418" s="126">
        <v>1635.92</v>
      </c>
      <c r="D418" s="126">
        <v>-4.9264999999999999</v>
      </c>
      <c r="E418" s="126">
        <v>5.5872599999999997</v>
      </c>
      <c r="F418" s="126">
        <v>1.32281</v>
      </c>
      <c r="G418" s="126">
        <v>5.65402</v>
      </c>
      <c r="H418" s="126">
        <v>5.7599999999999998E-2</v>
      </c>
      <c r="I418" s="126">
        <v>0.15870000000000001</v>
      </c>
      <c r="J418" s="126">
        <v>-9.9530999999999994E-2</v>
      </c>
      <c r="K418" s="126">
        <v>-0.15870000000000001</v>
      </c>
      <c r="L418" s="126">
        <v>-8.5800000000000001E-2</v>
      </c>
      <c r="M418" s="126">
        <v>-0.141817</v>
      </c>
      <c r="N418" s="171">
        <v>0.21629999999999999</v>
      </c>
      <c r="O418" s="126">
        <v>29.166699999999999</v>
      </c>
      <c r="P418" s="126">
        <v>18.083300000000001</v>
      </c>
      <c r="Q418" s="126">
        <v>11.083299999999999</v>
      </c>
      <c r="R418" s="126">
        <v>9</v>
      </c>
      <c r="S418" s="126">
        <v>9.0765999999999991</v>
      </c>
      <c r="T418" s="126">
        <v>8.0863899999999997</v>
      </c>
      <c r="U418" s="126">
        <v>11</v>
      </c>
      <c r="V418" s="129" t="str">
        <f t="shared" si="12"/>
        <v>SEA</v>
      </c>
      <c r="W418" s="127">
        <f t="shared" si="13"/>
        <v>13</v>
      </c>
      <c r="X418" s="128">
        <v>2025</v>
      </c>
    </row>
    <row r="419" spans="1:24" x14ac:dyDescent="0.25">
      <c r="A419" s="74" t="s">
        <v>21</v>
      </c>
      <c r="B419" s="33">
        <v>2025</v>
      </c>
      <c r="C419" s="33">
        <v>1666.39</v>
      </c>
      <c r="D419" s="33">
        <v>18.393999999999998</v>
      </c>
      <c r="E419" s="33">
        <v>6.8063399999999996</v>
      </c>
      <c r="F419" s="33">
        <v>-0.23620099999999999</v>
      </c>
      <c r="G419" s="33">
        <v>5.7422000000000004</v>
      </c>
      <c r="H419" s="33">
        <v>9.7600000000000006E-2</v>
      </c>
      <c r="I419" s="33">
        <v>0.1948</v>
      </c>
      <c r="J419" s="33">
        <v>-4.5495599999999997E-2</v>
      </c>
      <c r="K419" s="33">
        <v>-9.3600000000000003E-2</v>
      </c>
      <c r="L419" s="33">
        <v>-0.13400000000000001</v>
      </c>
      <c r="M419" s="33">
        <v>-7.6078599999999996E-2</v>
      </c>
      <c r="N419" s="173">
        <v>0.19120000000000001</v>
      </c>
      <c r="O419" s="33">
        <v>27.833300000000001</v>
      </c>
      <c r="P419" s="33">
        <v>17.5</v>
      </c>
      <c r="Q419" s="33">
        <v>10.333299999999999</v>
      </c>
      <c r="R419" s="33">
        <v>9</v>
      </c>
      <c r="S419" s="33">
        <v>9.0025999999999993</v>
      </c>
      <c r="T419" s="33">
        <v>8.5279600000000002</v>
      </c>
      <c r="U419" s="33">
        <v>12</v>
      </c>
      <c r="V419" s="89" t="str">
        <f t="shared" si="12"/>
        <v>LAR</v>
      </c>
      <c r="W419" s="90">
        <f t="shared" si="13"/>
        <v>13</v>
      </c>
      <c r="X419" s="91">
        <v>2025</v>
      </c>
    </row>
    <row r="420" spans="1:24" x14ac:dyDescent="0.25">
      <c r="A420" s="74" t="s">
        <v>57</v>
      </c>
      <c r="B420" s="33">
        <v>2025</v>
      </c>
      <c r="C420" s="33">
        <v>1562.7</v>
      </c>
      <c r="D420" s="33">
        <v>18.517600000000002</v>
      </c>
      <c r="E420" s="33">
        <v>2.6587700000000001</v>
      </c>
      <c r="F420" s="33">
        <v>-1.5137200000000001E-3</v>
      </c>
      <c r="G420" s="33">
        <v>5.7153799999999997</v>
      </c>
      <c r="H420" s="33">
        <v>0.1784</v>
      </c>
      <c r="I420" s="33">
        <v>0.14199999999999999</v>
      </c>
      <c r="J420" s="33">
        <v>0.14963599999999999</v>
      </c>
      <c r="K420" s="33">
        <v>-1.4E-3</v>
      </c>
      <c r="L420" s="33">
        <v>-1.8599999999999998E-2</v>
      </c>
      <c r="M420" s="33">
        <v>-5.6581399999999997E-2</v>
      </c>
      <c r="N420" s="169">
        <v>0.1799</v>
      </c>
      <c r="O420" s="33">
        <v>29.75</v>
      </c>
      <c r="P420" s="33">
        <v>20.75</v>
      </c>
      <c r="Q420" s="33">
        <v>9</v>
      </c>
      <c r="R420" s="33">
        <v>8</v>
      </c>
      <c r="S420" s="33">
        <v>8.4164999999999992</v>
      </c>
      <c r="T420" s="33">
        <v>7.03233</v>
      </c>
      <c r="U420" s="33">
        <v>9</v>
      </c>
      <c r="V420" s="89" t="str">
        <f t="shared" si="12"/>
        <v>IND</v>
      </c>
      <c r="W420" s="90">
        <f t="shared" si="13"/>
        <v>13</v>
      </c>
      <c r="X420" s="91">
        <v>2025</v>
      </c>
    </row>
    <row r="421" spans="1:24" x14ac:dyDescent="0.25">
      <c r="A421" s="74" t="s">
        <v>404</v>
      </c>
      <c r="B421" s="33">
        <v>2025</v>
      </c>
      <c r="C421" s="33">
        <v>1560.18</v>
      </c>
      <c r="D421" s="33">
        <v>15.857699999999999</v>
      </c>
      <c r="E421" s="33">
        <v>2.55768</v>
      </c>
      <c r="F421" s="33">
        <v>0.31452599999999997</v>
      </c>
      <c r="G421" s="33">
        <v>5.6195899999999996</v>
      </c>
      <c r="H421" s="33">
        <v>9.7799999999999998E-2</v>
      </c>
      <c r="I421" s="33">
        <v>0.2873</v>
      </c>
      <c r="J421" s="33">
        <v>-9.1432100000000002E-2</v>
      </c>
      <c r="K421" s="33">
        <v>-6.0900000000000003E-2</v>
      </c>
      <c r="L421" s="33">
        <v>-5.3600000000000002E-2</v>
      </c>
      <c r="M421" s="33">
        <v>-4.7133300000000003E-2</v>
      </c>
      <c r="N421" s="169">
        <v>0.1588</v>
      </c>
      <c r="O421" s="33">
        <v>27</v>
      </c>
      <c r="P421" s="33">
        <v>18.538499999999999</v>
      </c>
      <c r="Q421" s="33">
        <v>8.4614999999999991</v>
      </c>
      <c r="R421" s="33">
        <v>11</v>
      </c>
      <c r="S421" s="33">
        <v>9.2185000000000006</v>
      </c>
      <c r="T421" s="33">
        <v>7.22689</v>
      </c>
      <c r="U421" s="33">
        <v>7</v>
      </c>
      <c r="V421" s="89" t="str">
        <f t="shared" si="12"/>
        <v>NE</v>
      </c>
      <c r="W421" s="90">
        <f t="shared" si="13"/>
        <v>13</v>
      </c>
      <c r="X421" s="91">
        <v>2025</v>
      </c>
    </row>
    <row r="422" spans="1:24" x14ac:dyDescent="0.25">
      <c r="A422" s="74" t="s">
        <v>31</v>
      </c>
      <c r="B422" s="33">
        <v>2025</v>
      </c>
      <c r="C422" s="33">
        <v>1544.92</v>
      </c>
      <c r="D422" s="33">
        <v>0.16089999999999999</v>
      </c>
      <c r="E422" s="33">
        <v>1.9473499999999999</v>
      </c>
      <c r="F422" s="33">
        <v>0.52882300000000004</v>
      </c>
      <c r="G422" s="33">
        <v>2.1247699999999998</v>
      </c>
      <c r="H422" s="33">
        <v>-2.2599999999999999E-2</v>
      </c>
      <c r="I422" s="33">
        <v>2.3900000000000001E-2</v>
      </c>
      <c r="J422" s="33">
        <v>-5.6411099999999999E-2</v>
      </c>
      <c r="K422" s="33">
        <v>-0.15060000000000001</v>
      </c>
      <c r="L422" s="33">
        <v>-0.20219999999999999</v>
      </c>
      <c r="M422" s="33">
        <v>-6.4084600000000005E-2</v>
      </c>
      <c r="N422" s="169">
        <v>0.12809999999999999</v>
      </c>
      <c r="O422" s="33">
        <v>21.916699999999999</v>
      </c>
      <c r="P422" s="33">
        <v>16.5</v>
      </c>
      <c r="Q422" s="33">
        <v>5.4166999999999996</v>
      </c>
      <c r="R422" s="33">
        <v>7</v>
      </c>
      <c r="S422" s="33">
        <v>7.9455999999999998</v>
      </c>
      <c r="T422" s="33">
        <v>6.7652299999999999</v>
      </c>
      <c r="U422" s="33">
        <v>8</v>
      </c>
      <c r="V422" s="89" t="str">
        <f t="shared" si="12"/>
        <v>HOU</v>
      </c>
      <c r="W422" s="90">
        <f t="shared" si="13"/>
        <v>13</v>
      </c>
      <c r="X422" s="91">
        <v>2025</v>
      </c>
    </row>
    <row r="423" spans="1:24" x14ac:dyDescent="0.25">
      <c r="A423" s="74" t="s">
        <v>400</v>
      </c>
      <c r="B423" s="33">
        <v>2025</v>
      </c>
      <c r="C423" s="33">
        <v>1619.98</v>
      </c>
      <c r="D423" s="33">
        <v>6.5117000000000003</v>
      </c>
      <c r="E423" s="33">
        <v>4.9497900000000001</v>
      </c>
      <c r="F423" s="33">
        <v>1.0588</v>
      </c>
      <c r="G423" s="33">
        <v>2.9274399999999998</v>
      </c>
      <c r="H423" s="33">
        <v>0.14330000000000001</v>
      </c>
      <c r="I423" s="33">
        <v>0.28810000000000002</v>
      </c>
      <c r="J423" s="33">
        <v>-2.38003E-2</v>
      </c>
      <c r="K423" s="33">
        <v>2.3199999999999998E-2</v>
      </c>
      <c r="L423" s="33">
        <v>2.47E-2</v>
      </c>
      <c r="M423" s="33">
        <v>-7.4399900000000005E-2</v>
      </c>
      <c r="N423" s="169">
        <v>0.1201</v>
      </c>
      <c r="O423" s="33">
        <v>24.5</v>
      </c>
      <c r="P423" s="33">
        <v>18.833300000000001</v>
      </c>
      <c r="Q423" s="33">
        <v>5.6666999999999996</v>
      </c>
      <c r="R423" s="33">
        <v>8</v>
      </c>
      <c r="S423" s="33">
        <v>7.8118999999999996</v>
      </c>
      <c r="T423" s="33">
        <v>8.4037500000000005</v>
      </c>
      <c r="U423" s="33">
        <v>9</v>
      </c>
      <c r="V423" s="89" t="str">
        <f t="shared" si="12"/>
        <v>GB</v>
      </c>
      <c r="W423" s="90">
        <f t="shared" si="13"/>
        <v>13</v>
      </c>
      <c r="X423" s="91">
        <v>2025</v>
      </c>
    </row>
    <row r="424" spans="1:24" x14ac:dyDescent="0.25">
      <c r="A424" s="74" t="s">
        <v>25</v>
      </c>
      <c r="B424" s="33">
        <v>2025</v>
      </c>
      <c r="C424" s="33">
        <v>1621.77</v>
      </c>
      <c r="D424" s="33">
        <v>-5.8274999999999997</v>
      </c>
      <c r="E424" s="33">
        <v>5.0213900000000002</v>
      </c>
      <c r="F424" s="33">
        <v>0.98977499999999996</v>
      </c>
      <c r="G424" s="33">
        <v>0.74185500000000004</v>
      </c>
      <c r="H424" s="33">
        <v>0.14929999999999999</v>
      </c>
      <c r="I424" s="33">
        <v>0.1552</v>
      </c>
      <c r="J424" s="33">
        <v>8.1687399999999993E-2</v>
      </c>
      <c r="K424" s="33">
        <v>3.5200000000000002E-2</v>
      </c>
      <c r="L424" s="33">
        <v>-0.10929999999999999</v>
      </c>
      <c r="M424" s="33">
        <v>7.8642799999999999E-2</v>
      </c>
      <c r="N424" s="169">
        <v>0.11409999999999999</v>
      </c>
      <c r="O424" s="33">
        <v>28.083300000000001</v>
      </c>
      <c r="P424" s="33">
        <v>21.583300000000001</v>
      </c>
      <c r="Q424" s="33">
        <v>6.5</v>
      </c>
      <c r="R424" s="33">
        <v>8</v>
      </c>
      <c r="S424" s="33">
        <v>7.8132999999999999</v>
      </c>
      <c r="T424" s="33">
        <v>8.9779499999999999</v>
      </c>
      <c r="U424" s="33">
        <v>7</v>
      </c>
      <c r="V424" s="89" t="str">
        <f t="shared" si="12"/>
        <v>BUF</v>
      </c>
      <c r="W424" s="90">
        <f t="shared" si="13"/>
        <v>13</v>
      </c>
      <c r="X424" s="91">
        <v>2025</v>
      </c>
    </row>
    <row r="425" spans="1:24" x14ac:dyDescent="0.25">
      <c r="A425" s="74" t="s">
        <v>10</v>
      </c>
      <c r="B425" s="33">
        <v>2025</v>
      </c>
      <c r="C425" s="33">
        <v>1624.9</v>
      </c>
      <c r="D425" s="33">
        <v>0.78510000000000002</v>
      </c>
      <c r="E425" s="33">
        <v>5.1466000000000003</v>
      </c>
      <c r="F425" s="33">
        <v>-8.3932899999999994E-3</v>
      </c>
      <c r="G425" s="33">
        <v>0.62211899999999998</v>
      </c>
      <c r="H425" s="33">
        <v>0.1072</v>
      </c>
      <c r="I425" s="33">
        <v>0.1724</v>
      </c>
      <c r="J425" s="33">
        <v>-4.8714500000000003E-3</v>
      </c>
      <c r="K425" s="33">
        <v>-3.2000000000000002E-3</v>
      </c>
      <c r="L425" s="33">
        <v>5.7000000000000002E-3</v>
      </c>
      <c r="M425" s="33">
        <v>-9.7868300000000005E-2</v>
      </c>
      <c r="N425" s="169">
        <v>0.1104</v>
      </c>
      <c r="O425" s="33">
        <v>29.166699999999999</v>
      </c>
      <c r="P425" s="33">
        <v>22.833300000000001</v>
      </c>
      <c r="Q425" s="33">
        <v>6.3333000000000004</v>
      </c>
      <c r="R425" s="33">
        <v>7</v>
      </c>
      <c r="S425" s="33">
        <v>7.6932999999999998</v>
      </c>
      <c r="T425" s="33">
        <v>8.2901799999999994</v>
      </c>
      <c r="U425" s="33">
        <v>7</v>
      </c>
      <c r="V425" s="89" t="str">
        <f t="shared" si="12"/>
        <v>DET</v>
      </c>
      <c r="W425" s="90">
        <f t="shared" si="13"/>
        <v>13</v>
      </c>
      <c r="X425" s="91">
        <v>2025</v>
      </c>
    </row>
    <row r="426" spans="1:24" x14ac:dyDescent="0.25">
      <c r="A426" s="74" t="s">
        <v>399</v>
      </c>
      <c r="B426" s="33">
        <v>2025</v>
      </c>
      <c r="C426" s="33">
        <v>1626.21</v>
      </c>
      <c r="D426" s="33">
        <v>5.9848999999999997</v>
      </c>
      <c r="E426" s="33">
        <v>5.1991100000000001</v>
      </c>
      <c r="F426" s="33">
        <v>0.17149900000000001</v>
      </c>
      <c r="G426" s="33">
        <v>2.0056699999999998</v>
      </c>
      <c r="H426" s="33">
        <v>0.14879999999999999</v>
      </c>
      <c r="I426" s="33">
        <v>0.21199999999999999</v>
      </c>
      <c r="J426" s="33">
        <v>4.5578300000000002E-2</v>
      </c>
      <c r="K426" s="33">
        <v>5.6300000000000003E-2</v>
      </c>
      <c r="L426" s="33">
        <v>1.43E-2</v>
      </c>
      <c r="M426" s="33">
        <v>-1.3863800000000001E-2</v>
      </c>
      <c r="N426" s="169">
        <v>9.2499999999999999E-2</v>
      </c>
      <c r="O426" s="33">
        <v>25.416699999999999</v>
      </c>
      <c r="P426" s="33">
        <v>19.333300000000001</v>
      </c>
      <c r="Q426" s="33">
        <v>6.0833000000000004</v>
      </c>
      <c r="R426" s="33">
        <v>6</v>
      </c>
      <c r="S426" s="33">
        <v>7.8796999999999997</v>
      </c>
      <c r="T426" s="33">
        <v>7.8117900000000002</v>
      </c>
      <c r="U426" s="33">
        <v>7</v>
      </c>
      <c r="V426" s="89" t="str">
        <f t="shared" si="12"/>
        <v>KC</v>
      </c>
      <c r="W426" s="90">
        <f t="shared" si="13"/>
        <v>13</v>
      </c>
      <c r="X426" s="91">
        <v>2025</v>
      </c>
    </row>
    <row r="427" spans="1:24" x14ac:dyDescent="0.25">
      <c r="A427" s="74" t="s">
        <v>63</v>
      </c>
      <c r="B427" s="33">
        <v>2025</v>
      </c>
      <c r="C427" s="33">
        <v>1552.3</v>
      </c>
      <c r="D427" s="33">
        <v>2.8614000000000002</v>
      </c>
      <c r="E427" s="33">
        <v>2.2425899999999999</v>
      </c>
      <c r="F427" s="33">
        <v>3.1816200000000003E-2</v>
      </c>
      <c r="G427" s="33">
        <v>0.73988299999999996</v>
      </c>
      <c r="H427" s="33">
        <v>3.0700000000000002E-2</v>
      </c>
      <c r="I427" s="33">
        <v>6.8599999999999994E-2</v>
      </c>
      <c r="J427" s="33">
        <v>2.0404099999999999E-3</v>
      </c>
      <c r="K427" s="33">
        <v>-5.6399999999999999E-2</v>
      </c>
      <c r="L427" s="33">
        <v>-0.10630000000000001</v>
      </c>
      <c r="M427" s="33">
        <v>-5.7688099999999999E-2</v>
      </c>
      <c r="N427" s="169">
        <v>8.7099999999999997E-2</v>
      </c>
      <c r="O427" s="33">
        <v>23.666699999999999</v>
      </c>
      <c r="P427" s="33">
        <v>18.166699999999999</v>
      </c>
      <c r="Q427" s="33">
        <v>5.5</v>
      </c>
      <c r="R427" s="33">
        <v>10</v>
      </c>
      <c r="S427" s="33">
        <v>7.8212000000000002</v>
      </c>
      <c r="T427" s="33">
        <v>8.4901800000000005</v>
      </c>
      <c r="U427" s="33">
        <v>9</v>
      </c>
      <c r="V427" s="89" t="str">
        <f t="shared" si="12"/>
        <v>DEN</v>
      </c>
      <c r="W427" s="90">
        <f t="shared" si="13"/>
        <v>13</v>
      </c>
      <c r="X427" s="91">
        <v>2025</v>
      </c>
    </row>
    <row r="428" spans="1:24" x14ac:dyDescent="0.25">
      <c r="A428" s="74" t="s">
        <v>44</v>
      </c>
      <c r="B428" s="33">
        <v>2025</v>
      </c>
      <c r="C428" s="33">
        <v>1496.87</v>
      </c>
      <c r="D428" s="33">
        <v>-8.5512999999999995</v>
      </c>
      <c r="E428" s="33">
        <v>2.5249000000000001E-2</v>
      </c>
      <c r="F428" s="33">
        <v>0.81837899999999997</v>
      </c>
      <c r="G428" s="33">
        <v>1.95635</v>
      </c>
      <c r="H428" s="33">
        <v>1.0699999999999999E-2</v>
      </c>
      <c r="I428" s="33">
        <v>-5.6800000000000003E-2</v>
      </c>
      <c r="J428" s="33">
        <v>2.5627E-2</v>
      </c>
      <c r="K428" s="33">
        <v>-5.5800000000000002E-2</v>
      </c>
      <c r="L428" s="33">
        <v>-0.1087</v>
      </c>
      <c r="M428" s="33">
        <v>-3.9003000000000003E-2</v>
      </c>
      <c r="N428" s="173">
        <v>6.6400000000000001E-2</v>
      </c>
      <c r="O428" s="33">
        <v>24.333300000000001</v>
      </c>
      <c r="P428" s="33">
        <v>21.083300000000001</v>
      </c>
      <c r="Q428" s="33">
        <v>3.25</v>
      </c>
      <c r="R428" s="33">
        <v>8</v>
      </c>
      <c r="S428" s="33">
        <v>7.0095999999999998</v>
      </c>
      <c r="T428" s="33">
        <v>6.0639099999999999</v>
      </c>
      <c r="U428" s="33">
        <v>8</v>
      </c>
      <c r="V428" s="89" t="str">
        <f t="shared" si="12"/>
        <v>JAX</v>
      </c>
      <c r="W428" s="90">
        <f t="shared" si="13"/>
        <v>13</v>
      </c>
      <c r="X428" s="91">
        <v>2025</v>
      </c>
    </row>
    <row r="429" spans="1:24" x14ac:dyDescent="0.25">
      <c r="A429" s="74" t="s">
        <v>405</v>
      </c>
      <c r="B429" s="33">
        <v>2025</v>
      </c>
      <c r="C429" s="33">
        <v>1536.78</v>
      </c>
      <c r="D429" s="33">
        <v>-4.5707000000000004</v>
      </c>
      <c r="E429" s="33">
        <v>1.6216999999999999</v>
      </c>
      <c r="F429" s="33">
        <v>0.31452599999999997</v>
      </c>
      <c r="G429" s="33">
        <v>0.80076700000000001</v>
      </c>
      <c r="H429" s="33">
        <v>7.9000000000000001E-2</v>
      </c>
      <c r="I429" s="33">
        <v>0.12720000000000001</v>
      </c>
      <c r="J429" s="33">
        <v>-6.8091799999999994E-2</v>
      </c>
      <c r="K429" s="33">
        <v>1.49E-2</v>
      </c>
      <c r="L429" s="33">
        <v>9.5100000000000004E-2</v>
      </c>
      <c r="M429" s="33">
        <v>-4.4871800000000003E-2</v>
      </c>
      <c r="N429" s="169">
        <v>6.4100000000000004E-2</v>
      </c>
      <c r="O429" s="33">
        <v>23.615400000000001</v>
      </c>
      <c r="P429" s="33">
        <v>20.692299999999999</v>
      </c>
      <c r="Q429" s="33">
        <v>2.9230999999999998</v>
      </c>
      <c r="R429" s="33">
        <v>9</v>
      </c>
      <c r="S429" s="33">
        <v>7.5095000000000001</v>
      </c>
      <c r="T429" s="33">
        <v>6.9082800000000004</v>
      </c>
      <c r="U429" s="33">
        <v>7</v>
      </c>
      <c r="V429" s="89" t="str">
        <f t="shared" si="12"/>
        <v>SF</v>
      </c>
      <c r="W429" s="90">
        <f t="shared" si="13"/>
        <v>13</v>
      </c>
      <c r="X429" s="91">
        <v>2025</v>
      </c>
    </row>
    <row r="430" spans="1:24" x14ac:dyDescent="0.25">
      <c r="A430" s="74" t="s">
        <v>60</v>
      </c>
      <c r="B430" s="33">
        <v>2025</v>
      </c>
      <c r="C430" s="33">
        <v>1495.6</v>
      </c>
      <c r="D430" s="33">
        <v>-31.102900000000002</v>
      </c>
      <c r="E430" s="33">
        <v>-2.5249000000000001E-2</v>
      </c>
      <c r="F430" s="33">
        <v>-0.23642099999999999</v>
      </c>
      <c r="G430" s="33">
        <v>-0.675454</v>
      </c>
      <c r="H430" s="33">
        <v>1.5699999999999999E-2</v>
      </c>
      <c r="I430" s="33">
        <v>-7.7000000000000002E-3</v>
      </c>
      <c r="J430" s="33">
        <v>1.681E-3</v>
      </c>
      <c r="K430" s="33">
        <v>-2.8000000000000001E-2</v>
      </c>
      <c r="L430" s="33">
        <v>-9.0899999999999995E-2</v>
      </c>
      <c r="M430" s="33">
        <v>-2.9902999999999999E-2</v>
      </c>
      <c r="N430" s="169">
        <v>4.36E-2</v>
      </c>
      <c r="O430" s="33">
        <v>23.083300000000001</v>
      </c>
      <c r="P430" s="33">
        <v>21</v>
      </c>
      <c r="Q430" s="33">
        <v>2.0832999999999999</v>
      </c>
      <c r="R430" s="33">
        <v>8</v>
      </c>
      <c r="S430" s="33">
        <v>6.6696999999999997</v>
      </c>
      <c r="T430" s="33">
        <v>7.8657300000000001</v>
      </c>
      <c r="U430" s="33">
        <v>6</v>
      </c>
      <c r="V430" s="89" t="str">
        <f t="shared" si="12"/>
        <v>LAC</v>
      </c>
      <c r="W430" s="90">
        <f t="shared" si="13"/>
        <v>13</v>
      </c>
      <c r="X430" s="91">
        <v>2025</v>
      </c>
    </row>
    <row r="431" spans="1:24" x14ac:dyDescent="0.25">
      <c r="A431" s="74" t="s">
        <v>38</v>
      </c>
      <c r="B431" s="33">
        <v>2025</v>
      </c>
      <c r="C431" s="33">
        <v>1618.93</v>
      </c>
      <c r="D431" s="33">
        <v>6.8049999999999997</v>
      </c>
      <c r="E431" s="33">
        <v>4.9080300000000001</v>
      </c>
      <c r="F431" s="33">
        <v>-0.13015199999999999</v>
      </c>
      <c r="G431" s="33">
        <v>0.28445300000000001</v>
      </c>
      <c r="H431" s="33">
        <v>1.0500000000000001E-2</v>
      </c>
      <c r="I431" s="33">
        <v>7.6700000000000004E-2</v>
      </c>
      <c r="J431" s="33">
        <v>-5.0974199999999997E-2</v>
      </c>
      <c r="K431" s="33">
        <v>-1.9599999999999999E-2</v>
      </c>
      <c r="L431" s="33">
        <v>-6.3399999999999998E-2</v>
      </c>
      <c r="M431" s="33">
        <v>-2.6069700000000001E-2</v>
      </c>
      <c r="N431" s="169">
        <v>3.0099999999999998E-2</v>
      </c>
      <c r="O431" s="33">
        <v>22.5</v>
      </c>
      <c r="P431" s="33">
        <v>20.75</v>
      </c>
      <c r="Q431" s="33">
        <v>1.75</v>
      </c>
      <c r="R431" s="33">
        <v>8</v>
      </c>
      <c r="S431" s="33">
        <v>6.5739000000000001</v>
      </c>
      <c r="T431" s="33">
        <v>8.9872399999999999</v>
      </c>
      <c r="U431" s="33">
        <v>8</v>
      </c>
      <c r="V431" s="89" t="str">
        <f t="shared" si="12"/>
        <v>PHI</v>
      </c>
      <c r="W431" s="90">
        <f t="shared" si="13"/>
        <v>13</v>
      </c>
      <c r="X431" s="91">
        <v>2025</v>
      </c>
    </row>
    <row r="432" spans="1:24" x14ac:dyDescent="0.25">
      <c r="A432" s="74" t="s">
        <v>72</v>
      </c>
      <c r="B432" s="33">
        <v>2025</v>
      </c>
      <c r="C432" s="33">
        <v>1502.25</v>
      </c>
      <c r="D432" s="33">
        <v>9.9135000000000009</v>
      </c>
      <c r="E432" s="33">
        <v>0.24065900000000001</v>
      </c>
      <c r="F432" s="33">
        <v>0.45182600000000001</v>
      </c>
      <c r="G432" s="33">
        <v>1.5997600000000001</v>
      </c>
      <c r="H432" s="33">
        <v>3.6900000000000002E-2</v>
      </c>
      <c r="I432" s="33">
        <v>5.5800000000000002E-2</v>
      </c>
      <c r="J432" s="33">
        <v>5.3182699999999999E-2</v>
      </c>
      <c r="K432" s="33">
        <v>1.9E-2</v>
      </c>
      <c r="L432" s="33">
        <v>6.4999999999999997E-3</v>
      </c>
      <c r="M432" s="33">
        <v>-1.39726E-2</v>
      </c>
      <c r="N432" s="169">
        <v>1.78E-2</v>
      </c>
      <c r="O432" s="33">
        <v>26.083300000000001</v>
      </c>
      <c r="P432" s="33">
        <v>25.583300000000001</v>
      </c>
      <c r="Q432" s="33">
        <v>0.5</v>
      </c>
      <c r="R432" s="33">
        <v>9</v>
      </c>
      <c r="S432" s="33">
        <v>6.1375999999999999</v>
      </c>
      <c r="T432" s="33">
        <v>5.3438400000000001</v>
      </c>
      <c r="U432" s="33">
        <v>8</v>
      </c>
      <c r="V432" s="89" t="str">
        <f t="shared" si="12"/>
        <v>CHI</v>
      </c>
      <c r="W432" s="90">
        <f t="shared" si="13"/>
        <v>13</v>
      </c>
      <c r="X432" s="91">
        <v>2025</v>
      </c>
    </row>
    <row r="433" spans="1:24" x14ac:dyDescent="0.25">
      <c r="A433" s="74" t="s">
        <v>14</v>
      </c>
      <c r="B433" s="33">
        <v>2025</v>
      </c>
      <c r="C433" s="33">
        <v>1526.75</v>
      </c>
      <c r="D433" s="33">
        <v>24.279199999999999</v>
      </c>
      <c r="E433" s="33">
        <v>1.2205699999999999</v>
      </c>
      <c r="F433" s="33">
        <v>0.67340800000000001</v>
      </c>
      <c r="G433" s="33">
        <v>2.26233</v>
      </c>
      <c r="H433" s="33">
        <v>0.15670000000000001</v>
      </c>
      <c r="I433" s="33">
        <v>0.19600000000000001</v>
      </c>
      <c r="J433" s="33">
        <v>-3.45834E-2</v>
      </c>
      <c r="K433" s="33">
        <v>0.1454</v>
      </c>
      <c r="L433" s="33">
        <v>0.16750000000000001</v>
      </c>
      <c r="M433" s="33">
        <v>7.6438699999999998E-2</v>
      </c>
      <c r="N433" s="173">
        <v>1.1299999999999999E-2</v>
      </c>
      <c r="O433" s="33">
        <v>29.25</v>
      </c>
      <c r="P433" s="33">
        <v>28.5</v>
      </c>
      <c r="Q433" s="33">
        <v>0.75</v>
      </c>
      <c r="R433" s="33">
        <v>6</v>
      </c>
      <c r="S433" s="33">
        <v>6.1845999999999997</v>
      </c>
      <c r="T433" s="33">
        <v>5.5124500000000003</v>
      </c>
      <c r="U433" s="33">
        <v>6</v>
      </c>
      <c r="V433" s="89" t="str">
        <f t="shared" si="12"/>
        <v>DAL</v>
      </c>
      <c r="W433" s="90">
        <f t="shared" si="13"/>
        <v>13</v>
      </c>
      <c r="X433" s="91">
        <v>2025</v>
      </c>
    </row>
    <row r="434" spans="1:24" x14ac:dyDescent="0.25">
      <c r="A434" s="74" t="s">
        <v>85</v>
      </c>
      <c r="B434" s="33">
        <v>2025</v>
      </c>
      <c r="C434" s="33">
        <v>1486.2</v>
      </c>
      <c r="D434" s="33">
        <v>-13.074999999999999</v>
      </c>
      <c r="E434" s="33">
        <v>-0.40126499999999998</v>
      </c>
      <c r="F434" s="33">
        <v>-0.65844199999999997</v>
      </c>
      <c r="G434" s="33">
        <v>-0.46802700000000003</v>
      </c>
      <c r="H434" s="33">
        <v>2.7699999999999999E-2</v>
      </c>
      <c r="I434" s="33">
        <v>-1.7100000000000001E-2</v>
      </c>
      <c r="J434" s="33">
        <v>-2.4993100000000001E-2</v>
      </c>
      <c r="K434" s="33">
        <v>3.32E-2</v>
      </c>
      <c r="L434" s="33">
        <v>1.4800000000000001E-2</v>
      </c>
      <c r="M434" s="33">
        <v>1.7468999999999998E-2</v>
      </c>
      <c r="N434" s="169">
        <v>-5.4000000000000003E-3</v>
      </c>
      <c r="O434" s="33">
        <v>23.416699999999999</v>
      </c>
      <c r="P434" s="33">
        <v>24.083300000000001</v>
      </c>
      <c r="Q434" s="33">
        <v>-0.66669999999999996</v>
      </c>
      <c r="R434" s="33">
        <v>6</v>
      </c>
      <c r="S434" s="33">
        <v>5.8005000000000004</v>
      </c>
      <c r="T434" s="33">
        <v>6.7047100000000004</v>
      </c>
      <c r="U434" s="33">
        <v>6</v>
      </c>
      <c r="V434" s="89" t="str">
        <f t="shared" si="12"/>
        <v>PIT</v>
      </c>
      <c r="W434" s="90">
        <f t="shared" si="13"/>
        <v>13</v>
      </c>
      <c r="X434" s="91">
        <v>2025</v>
      </c>
    </row>
    <row r="435" spans="1:24" x14ac:dyDescent="0.25">
      <c r="A435" s="74" t="s">
        <v>47</v>
      </c>
      <c r="B435" s="33">
        <v>2025</v>
      </c>
      <c r="C435" s="33">
        <v>1559.53</v>
      </c>
      <c r="D435" s="33">
        <v>-20.265599999999999</v>
      </c>
      <c r="E435" s="33">
        <v>2.53186</v>
      </c>
      <c r="F435" s="33">
        <v>-0.88777799999999996</v>
      </c>
      <c r="G435" s="33">
        <v>-3.8005399999999998</v>
      </c>
      <c r="H435" s="33">
        <v>1.44E-2</v>
      </c>
      <c r="I435" s="33">
        <v>-9.6699999999999994E-2</v>
      </c>
      <c r="J435" s="33">
        <v>3.7018599999999999E-2</v>
      </c>
      <c r="K435" s="33">
        <v>2.7400000000000001E-2</v>
      </c>
      <c r="L435" s="33">
        <v>4.4999999999999998E-2</v>
      </c>
      <c r="M435" s="33">
        <v>-5.1349699999999998E-2</v>
      </c>
      <c r="N435" s="169">
        <v>-1.3100000000000001E-2</v>
      </c>
      <c r="O435" s="33">
        <v>24.083300000000001</v>
      </c>
      <c r="P435" s="33">
        <v>24.416699999999999</v>
      </c>
      <c r="Q435" s="33">
        <v>-0.33329999999999999</v>
      </c>
      <c r="R435" s="33">
        <v>6</v>
      </c>
      <c r="S435" s="33">
        <v>5.9023000000000003</v>
      </c>
      <c r="T435" s="33">
        <v>7.9560700000000004</v>
      </c>
      <c r="U435" s="33">
        <v>6</v>
      </c>
      <c r="V435" s="89" t="str">
        <f t="shared" si="12"/>
        <v>BAL</v>
      </c>
      <c r="W435" s="90">
        <f t="shared" si="13"/>
        <v>13</v>
      </c>
      <c r="X435" s="91">
        <v>2025</v>
      </c>
    </row>
    <row r="436" spans="1:24" x14ac:dyDescent="0.25">
      <c r="A436" s="74" t="s">
        <v>402</v>
      </c>
      <c r="B436" s="33">
        <v>2025</v>
      </c>
      <c r="C436" s="33">
        <v>1472.55</v>
      </c>
      <c r="D436" s="33">
        <v>-10.4956</v>
      </c>
      <c r="E436" s="33">
        <v>-0.947295</v>
      </c>
      <c r="F436" s="33">
        <v>-0.29885299999999998</v>
      </c>
      <c r="G436" s="33">
        <v>-1.2201599999999999</v>
      </c>
      <c r="H436" s="33">
        <v>-2.0500000000000001E-2</v>
      </c>
      <c r="I436" s="33">
        <v>-5.3999999999999999E-2</v>
      </c>
      <c r="J436" s="33">
        <v>2.07466E-2</v>
      </c>
      <c r="K436" s="33">
        <v>6.6E-3</v>
      </c>
      <c r="L436" s="33">
        <v>2.92E-2</v>
      </c>
      <c r="M436" s="33">
        <v>-9.0463600000000005E-2</v>
      </c>
      <c r="N436" s="169">
        <v>-2.7099999999999999E-2</v>
      </c>
      <c r="O436" s="33">
        <v>23.25</v>
      </c>
      <c r="P436" s="33">
        <v>25.083300000000001</v>
      </c>
      <c r="Q436" s="33">
        <v>-1.8332999999999999</v>
      </c>
      <c r="R436" s="33">
        <v>7</v>
      </c>
      <c r="S436" s="33">
        <v>5.4618000000000002</v>
      </c>
      <c r="T436" s="33">
        <v>6.8654999999999999</v>
      </c>
      <c r="U436" s="33">
        <v>5</v>
      </c>
      <c r="V436" s="89" t="str">
        <f t="shared" si="12"/>
        <v>TB</v>
      </c>
      <c r="W436" s="90">
        <f t="shared" si="13"/>
        <v>13</v>
      </c>
      <c r="X436" s="91">
        <v>2025</v>
      </c>
    </row>
    <row r="437" spans="1:24" x14ac:dyDescent="0.25">
      <c r="A437" s="74" t="s">
        <v>69</v>
      </c>
      <c r="B437" s="33">
        <v>2025</v>
      </c>
      <c r="C437" s="33">
        <v>1481.39</v>
      </c>
      <c r="D437" s="33">
        <v>35.596600000000002</v>
      </c>
      <c r="E437" s="33">
        <v>-0.59386700000000003</v>
      </c>
      <c r="F437" s="33">
        <v>-0.106875</v>
      </c>
      <c r="G437" s="33">
        <v>0.46179700000000001</v>
      </c>
      <c r="H437" s="33">
        <v>-2.3E-2</v>
      </c>
      <c r="I437" s="33">
        <v>-2.9600000000000001E-2</v>
      </c>
      <c r="J437" s="33">
        <v>-4.2319300000000001E-3</v>
      </c>
      <c r="K437" s="33">
        <v>2.69E-2</v>
      </c>
      <c r="L437" s="33">
        <v>-5.4800000000000001E-2</v>
      </c>
      <c r="M437" s="33">
        <v>3.9866899999999997E-2</v>
      </c>
      <c r="N437" s="173">
        <v>-4.99E-2</v>
      </c>
      <c r="O437" s="33">
        <v>20.25</v>
      </c>
      <c r="P437" s="33">
        <v>23</v>
      </c>
      <c r="Q437" s="33">
        <v>-2.75</v>
      </c>
      <c r="R437" s="33">
        <v>4</v>
      </c>
      <c r="S437" s="33">
        <v>5.1013999999999999</v>
      </c>
      <c r="T437" s="33">
        <v>5.4957900000000004</v>
      </c>
      <c r="U437" s="33">
        <v>8</v>
      </c>
      <c r="V437" s="89" t="str">
        <f t="shared" si="12"/>
        <v>ATL</v>
      </c>
      <c r="W437" s="90">
        <f t="shared" si="13"/>
        <v>13</v>
      </c>
      <c r="X437" s="91">
        <v>2025</v>
      </c>
    </row>
    <row r="438" spans="1:24" x14ac:dyDescent="0.25">
      <c r="A438" s="74" t="s">
        <v>2</v>
      </c>
      <c r="B438" s="33">
        <v>2025</v>
      </c>
      <c r="C438" s="33">
        <v>1390</v>
      </c>
      <c r="D438" s="33">
        <v>-32.4696</v>
      </c>
      <c r="E438" s="33">
        <v>-4.2492000000000001</v>
      </c>
      <c r="F438" s="33">
        <v>-0.40225100000000003</v>
      </c>
      <c r="G438" s="33">
        <v>-4.0279800000000003</v>
      </c>
      <c r="H438" s="33">
        <v>2.12E-2</v>
      </c>
      <c r="I438" s="33">
        <v>-1.3599999999999999E-2</v>
      </c>
      <c r="J438" s="33">
        <v>-1.7075E-2</v>
      </c>
      <c r="K438" s="33">
        <v>0.08</v>
      </c>
      <c r="L438" s="33">
        <v>0.14660000000000001</v>
      </c>
      <c r="M438" s="33">
        <v>1.6101399999999999E-3</v>
      </c>
      <c r="N438" s="169">
        <v>-5.8799999999999998E-2</v>
      </c>
      <c r="O438" s="33">
        <v>20.583300000000001</v>
      </c>
      <c r="P438" s="33">
        <v>23.833300000000001</v>
      </c>
      <c r="Q438" s="33">
        <v>-3.25</v>
      </c>
      <c r="R438" s="33">
        <v>5</v>
      </c>
      <c r="S438" s="33">
        <v>4.968</v>
      </c>
      <c r="T438" s="33">
        <v>6.0015499999999999</v>
      </c>
      <c r="U438" s="33">
        <v>7</v>
      </c>
      <c r="V438" s="89" t="str">
        <f t="shared" si="12"/>
        <v>MIA</v>
      </c>
      <c r="W438" s="90">
        <f t="shared" si="13"/>
        <v>13</v>
      </c>
      <c r="X438" s="91">
        <v>2025</v>
      </c>
    </row>
    <row r="439" spans="1:24" x14ac:dyDescent="0.25">
      <c r="A439" s="74" t="s">
        <v>93</v>
      </c>
      <c r="B439" s="33">
        <v>2025</v>
      </c>
      <c r="C439" s="33">
        <v>1411.03</v>
      </c>
      <c r="D439" s="33">
        <v>-34.8322</v>
      </c>
      <c r="E439" s="33">
        <v>-3.4081600000000001</v>
      </c>
      <c r="F439" s="33">
        <v>1.0963099999999999</v>
      </c>
      <c r="G439" s="33">
        <v>-3.6242000000000001</v>
      </c>
      <c r="H439" s="33">
        <v>-2.8500000000000001E-2</v>
      </c>
      <c r="I439" s="33">
        <v>1.9E-2</v>
      </c>
      <c r="J439" s="33">
        <v>-8.7758699999999995E-2</v>
      </c>
      <c r="K439" s="33">
        <v>3.5099999999999999E-2</v>
      </c>
      <c r="L439" s="33">
        <v>4.2200000000000001E-2</v>
      </c>
      <c r="M439" s="33">
        <v>-6.2480599999999997E-2</v>
      </c>
      <c r="N439" s="169">
        <v>-6.3500000000000001E-2</v>
      </c>
      <c r="O439" s="33">
        <v>22.083300000000001</v>
      </c>
      <c r="P439" s="33">
        <v>25.25</v>
      </c>
      <c r="Q439" s="33">
        <v>-3.1667000000000001</v>
      </c>
      <c r="R439" s="33">
        <v>3</v>
      </c>
      <c r="S439" s="33">
        <v>5.0552000000000001</v>
      </c>
      <c r="T439" s="33">
        <v>5.8633300000000004</v>
      </c>
      <c r="U439" s="33">
        <v>3</v>
      </c>
      <c r="V439" s="89" t="str">
        <f t="shared" si="12"/>
        <v>ARI</v>
      </c>
      <c r="W439" s="90">
        <f t="shared" si="13"/>
        <v>13</v>
      </c>
      <c r="X439" s="91">
        <v>2025</v>
      </c>
    </row>
    <row r="440" spans="1:24" x14ac:dyDescent="0.25">
      <c r="A440" s="74" t="s">
        <v>67</v>
      </c>
      <c r="B440" s="33">
        <v>2025</v>
      </c>
      <c r="C440" s="33">
        <v>1393.09</v>
      </c>
      <c r="D440" s="33">
        <v>1.7876000000000001</v>
      </c>
      <c r="E440" s="33">
        <v>-4.12561</v>
      </c>
      <c r="F440" s="33">
        <v>0.314527</v>
      </c>
      <c r="G440" s="33">
        <v>1.3490599999999999</v>
      </c>
      <c r="H440" s="33">
        <v>-1.3299999999999999E-2</v>
      </c>
      <c r="I440" s="33">
        <v>-6.0900000000000003E-2</v>
      </c>
      <c r="J440" s="33">
        <v>-1.13796E-2</v>
      </c>
      <c r="K440" s="33">
        <v>6.2799999999999995E-2</v>
      </c>
      <c r="L440" s="33">
        <v>0.1142</v>
      </c>
      <c r="M440" s="33">
        <v>1.17588E-2</v>
      </c>
      <c r="N440" s="169">
        <v>-7.6100000000000001E-2</v>
      </c>
      <c r="O440" s="33">
        <v>19</v>
      </c>
      <c r="P440" s="33">
        <v>22.8462</v>
      </c>
      <c r="Q440" s="33">
        <v>-3.8462000000000001</v>
      </c>
      <c r="R440" s="33">
        <v>7</v>
      </c>
      <c r="S440" s="33">
        <v>5.1022999999999996</v>
      </c>
      <c r="T440" s="33">
        <v>4.9919799999999999</v>
      </c>
      <c r="U440" s="33">
        <v>4</v>
      </c>
      <c r="V440" s="89" t="str">
        <f t="shared" si="12"/>
        <v>CAR</v>
      </c>
      <c r="W440" s="90">
        <f t="shared" si="13"/>
        <v>13</v>
      </c>
      <c r="X440" s="91">
        <v>2025</v>
      </c>
    </row>
    <row r="441" spans="1:24" x14ac:dyDescent="0.25">
      <c r="A441" s="74" t="s">
        <v>41</v>
      </c>
      <c r="B441" s="33">
        <v>2025</v>
      </c>
      <c r="C441" s="33">
        <v>1411.62</v>
      </c>
      <c r="D441" s="33">
        <v>-25.355399999999999</v>
      </c>
      <c r="E441" s="33">
        <v>-3.3844599999999998</v>
      </c>
      <c r="F441" s="33">
        <v>1.01858</v>
      </c>
      <c r="G441" s="33">
        <v>-5.1528499999999999</v>
      </c>
      <c r="H441" s="33">
        <v>5.67E-2</v>
      </c>
      <c r="I441" s="33">
        <v>2.5899999999999999E-2</v>
      </c>
      <c r="J441" s="33">
        <v>3.7250499999999999E-2</v>
      </c>
      <c r="K441" s="33">
        <v>0.16059999999999999</v>
      </c>
      <c r="L441" s="33">
        <v>0.25290000000000001</v>
      </c>
      <c r="M441" s="33">
        <v>1.35976E-2</v>
      </c>
      <c r="N441" s="169">
        <v>-0.10390000000000001</v>
      </c>
      <c r="O441" s="33">
        <v>21.833300000000001</v>
      </c>
      <c r="P441" s="33">
        <v>26.916699999999999</v>
      </c>
      <c r="Q441" s="33">
        <v>-5.0833000000000004</v>
      </c>
      <c r="R441" s="33">
        <v>3</v>
      </c>
      <c r="S441" s="33">
        <v>4.5415999999999999</v>
      </c>
      <c r="T441" s="33">
        <v>6.6051099999999998</v>
      </c>
      <c r="U441" s="33">
        <v>3</v>
      </c>
      <c r="V441" s="89" t="str">
        <f t="shared" si="12"/>
        <v>WAS</v>
      </c>
      <c r="W441" s="90">
        <f t="shared" si="13"/>
        <v>13</v>
      </c>
      <c r="X441" s="91">
        <v>2025</v>
      </c>
    </row>
    <row r="442" spans="1:24" x14ac:dyDescent="0.25">
      <c r="A442" s="74" t="s">
        <v>95</v>
      </c>
      <c r="B442" s="33">
        <v>2025</v>
      </c>
      <c r="C442" s="33">
        <v>1412.99</v>
      </c>
      <c r="D442" s="33">
        <v>-8.9787999999999997</v>
      </c>
      <c r="E442" s="33">
        <v>-3.32972</v>
      </c>
      <c r="F442" s="33">
        <v>0.314527</v>
      </c>
      <c r="G442" s="33">
        <v>1.32161</v>
      </c>
      <c r="H442" s="33">
        <v>3.15E-2</v>
      </c>
      <c r="I442" s="33">
        <v>2.5000000000000001E-3</v>
      </c>
      <c r="J442" s="33">
        <v>4.3187599999999996E-3</v>
      </c>
      <c r="K442" s="33">
        <v>0.14119999999999999</v>
      </c>
      <c r="L442" s="33">
        <v>7.9000000000000001E-2</v>
      </c>
      <c r="M442" s="33">
        <v>0.18377499999999999</v>
      </c>
      <c r="N442" s="169">
        <v>-0.1096</v>
      </c>
      <c r="O442" s="33">
        <v>21.461500000000001</v>
      </c>
      <c r="P442" s="33">
        <v>28.230799999999999</v>
      </c>
      <c r="Q442" s="33">
        <v>-6.7691999999999997</v>
      </c>
      <c r="R442" s="33">
        <v>2</v>
      </c>
      <c r="S442" s="33">
        <v>4.4596</v>
      </c>
      <c r="T442" s="33">
        <v>3.19604</v>
      </c>
      <c r="U442" s="33">
        <v>3</v>
      </c>
      <c r="V442" s="89" t="str">
        <f t="shared" si="12"/>
        <v>NYG</v>
      </c>
      <c r="W442" s="90">
        <f t="shared" si="13"/>
        <v>13</v>
      </c>
      <c r="X442" s="91">
        <v>2025</v>
      </c>
    </row>
    <row r="443" spans="1:24" x14ac:dyDescent="0.25">
      <c r="A443" s="74" t="s">
        <v>79</v>
      </c>
      <c r="B443" s="33">
        <v>2025</v>
      </c>
      <c r="C443" s="33">
        <v>1369.84</v>
      </c>
      <c r="D443" s="33">
        <v>-19.724699999999999</v>
      </c>
      <c r="E443" s="33">
        <v>-5.05572</v>
      </c>
      <c r="F443" s="33">
        <v>0.89854500000000004</v>
      </c>
      <c r="G443" s="33">
        <v>-2.0735399999999999</v>
      </c>
      <c r="H443" s="33">
        <v>-2.2000000000000001E-3</v>
      </c>
      <c r="I443" s="33">
        <v>-8.5400000000000004E-2</v>
      </c>
      <c r="J443" s="33">
        <v>-5.6977399999999997E-2</v>
      </c>
      <c r="K443" s="33">
        <v>0.1116</v>
      </c>
      <c r="L443" s="33">
        <v>0.14660000000000001</v>
      </c>
      <c r="M443" s="33">
        <v>1.93814E-2</v>
      </c>
      <c r="N443" s="169">
        <v>-0.1137</v>
      </c>
      <c r="O443" s="33">
        <v>20.5</v>
      </c>
      <c r="P443" s="33">
        <v>26.25</v>
      </c>
      <c r="Q443" s="33">
        <v>-5.75</v>
      </c>
      <c r="R443" s="33">
        <v>3</v>
      </c>
      <c r="S443" s="33">
        <v>4.2907000000000002</v>
      </c>
      <c r="T443" s="33">
        <v>5.0073400000000001</v>
      </c>
      <c r="U443" s="33">
        <v>3</v>
      </c>
      <c r="V443" s="89" t="str">
        <f t="shared" si="12"/>
        <v>NYJ</v>
      </c>
      <c r="W443" s="90">
        <f t="shared" si="13"/>
        <v>13</v>
      </c>
      <c r="X443" s="91">
        <v>2025</v>
      </c>
    </row>
    <row r="444" spans="1:24" x14ac:dyDescent="0.25">
      <c r="A444" s="74" t="s">
        <v>91</v>
      </c>
      <c r="B444" s="33">
        <v>2025</v>
      </c>
      <c r="C444" s="33">
        <v>1374.9</v>
      </c>
      <c r="D444" s="33">
        <v>-38.043500000000002</v>
      </c>
      <c r="E444" s="33">
        <v>-4.8534199999999998</v>
      </c>
      <c r="F444" s="33">
        <v>-0.678257</v>
      </c>
      <c r="G444" s="33">
        <v>-0.35417900000000002</v>
      </c>
      <c r="H444" s="33">
        <v>-0.21479999999999999</v>
      </c>
      <c r="I444" s="33">
        <v>-0.29899999999999999</v>
      </c>
      <c r="J444" s="33">
        <v>-7.0550500000000002E-2</v>
      </c>
      <c r="K444" s="33">
        <v>-9.74E-2</v>
      </c>
      <c r="L444" s="33">
        <v>-9.5899999999999999E-2</v>
      </c>
      <c r="M444" s="33">
        <v>-0.15037800000000001</v>
      </c>
      <c r="N444" s="169">
        <v>-0.1174</v>
      </c>
      <c r="O444" s="33">
        <v>16.166699999999999</v>
      </c>
      <c r="P444" s="33">
        <v>22.5</v>
      </c>
      <c r="Q444" s="33">
        <v>-6.3333000000000004</v>
      </c>
      <c r="R444" s="33">
        <v>3</v>
      </c>
      <c r="S444" s="33">
        <v>3.7629999999999999</v>
      </c>
      <c r="T444" s="33">
        <v>4.62582</v>
      </c>
      <c r="U444" s="33">
        <v>5</v>
      </c>
      <c r="V444" s="89" t="str">
        <f t="shared" si="12"/>
        <v>CLE</v>
      </c>
      <c r="W444" s="90">
        <f t="shared" si="13"/>
        <v>13</v>
      </c>
      <c r="X444" s="91">
        <v>2025</v>
      </c>
    </row>
    <row r="445" spans="1:24" x14ac:dyDescent="0.25">
      <c r="A445" s="74" t="s">
        <v>75</v>
      </c>
      <c r="B445" s="33">
        <v>2025</v>
      </c>
      <c r="C445" s="33">
        <v>1419.8</v>
      </c>
      <c r="D445" s="33">
        <v>-17.690200000000001</v>
      </c>
      <c r="E445" s="33">
        <v>-3.0573100000000002</v>
      </c>
      <c r="F445" s="33">
        <v>-0.77380400000000005</v>
      </c>
      <c r="G445" s="33">
        <v>-3.6856599999999999</v>
      </c>
      <c r="H445" s="33">
        <v>-0.15670000000000001</v>
      </c>
      <c r="I445" s="33">
        <v>-0.2697</v>
      </c>
      <c r="J445" s="33">
        <v>-7.0202000000000001E-2</v>
      </c>
      <c r="K445" s="33">
        <v>-3.8800000000000001E-2</v>
      </c>
      <c r="L445" s="33">
        <v>-5.7599999999999998E-2</v>
      </c>
      <c r="M445" s="33">
        <v>-3.5018500000000001E-2</v>
      </c>
      <c r="N445" s="169">
        <v>-0.1179</v>
      </c>
      <c r="O445" s="33">
        <v>18.666699999999999</v>
      </c>
      <c r="P445" s="33">
        <v>23.416699999999999</v>
      </c>
      <c r="Q445" s="33">
        <v>-4.75</v>
      </c>
      <c r="R445" s="33">
        <v>4</v>
      </c>
      <c r="S445" s="33">
        <v>4.4257999999999997</v>
      </c>
      <c r="T445" s="33">
        <v>6.5676699999999997</v>
      </c>
      <c r="U445" s="33">
        <v>3</v>
      </c>
      <c r="V445" s="89" t="str">
        <f t="shared" si="12"/>
        <v>MIN</v>
      </c>
      <c r="W445" s="90">
        <f t="shared" si="13"/>
        <v>13</v>
      </c>
      <c r="X445" s="91">
        <v>2025</v>
      </c>
    </row>
    <row r="446" spans="1:24" x14ac:dyDescent="0.25">
      <c r="A446" s="74" t="s">
        <v>77</v>
      </c>
      <c r="B446" s="33">
        <v>2025</v>
      </c>
      <c r="C446" s="33">
        <v>1443.78</v>
      </c>
      <c r="D446" s="33">
        <v>-0.68279999999999996</v>
      </c>
      <c r="E446" s="33">
        <v>-2.0982699999999999</v>
      </c>
      <c r="F446" s="33">
        <v>1.15754</v>
      </c>
      <c r="G446" s="33">
        <v>-3.7170200000000002</v>
      </c>
      <c r="H446" s="33">
        <v>1.66E-2</v>
      </c>
      <c r="I446" s="33">
        <v>-8.3599999999999994E-2</v>
      </c>
      <c r="J446" s="33">
        <v>1.3747199999999999E-2</v>
      </c>
      <c r="K446" s="33">
        <v>0.15310000000000001</v>
      </c>
      <c r="L446" s="33">
        <v>0.21160000000000001</v>
      </c>
      <c r="M446" s="33">
        <v>8.8004399999999997E-2</v>
      </c>
      <c r="N446" s="169">
        <v>-0.13650000000000001</v>
      </c>
      <c r="O446" s="33">
        <v>23.333300000000001</v>
      </c>
      <c r="P446" s="33">
        <v>31.166699999999999</v>
      </c>
      <c r="Q446" s="33">
        <v>-7.8333000000000004</v>
      </c>
      <c r="R446" s="33">
        <v>4</v>
      </c>
      <c r="S446" s="33">
        <v>4.0190000000000001</v>
      </c>
      <c r="T446" s="33">
        <v>5.7550100000000004</v>
      </c>
      <c r="U446" s="33">
        <v>4</v>
      </c>
      <c r="V446" s="89" t="str">
        <f t="shared" si="12"/>
        <v>CIN</v>
      </c>
      <c r="W446" s="90">
        <f t="shared" si="13"/>
        <v>13</v>
      </c>
      <c r="X446" s="91">
        <v>2025</v>
      </c>
    </row>
    <row r="447" spans="1:24" x14ac:dyDescent="0.25">
      <c r="A447" s="74" t="s">
        <v>403</v>
      </c>
      <c r="B447" s="33">
        <v>2025</v>
      </c>
      <c r="C447" s="33">
        <v>1333.19</v>
      </c>
      <c r="D447" s="33">
        <v>-7.6475999999999997</v>
      </c>
      <c r="E447" s="33">
        <v>-6.5217099999999997</v>
      </c>
      <c r="F447" s="33">
        <v>0.59034699999999996</v>
      </c>
      <c r="G447" s="33">
        <v>-0.70017099999999999</v>
      </c>
      <c r="H447" s="33">
        <v>-0.17749999999999999</v>
      </c>
      <c r="I447" s="33">
        <v>-0.1724</v>
      </c>
      <c r="J447" s="33">
        <v>-0.12327399999999999</v>
      </c>
      <c r="K447" s="33">
        <v>4.1000000000000003E-3</v>
      </c>
      <c r="L447" s="33">
        <v>4.0399999999999998E-2</v>
      </c>
      <c r="M447" s="33">
        <v>-8.3824200000000001E-2</v>
      </c>
      <c r="N447" s="169">
        <v>-0.18149999999999999</v>
      </c>
      <c r="O447" s="33">
        <v>15.166700000000001</v>
      </c>
      <c r="P447" s="33">
        <v>24.583300000000001</v>
      </c>
      <c r="Q447" s="33">
        <v>-9.4167000000000005</v>
      </c>
      <c r="R447" s="33">
        <v>2</v>
      </c>
      <c r="S447" s="33">
        <v>2.8976000000000002</v>
      </c>
      <c r="T447" s="33">
        <v>4.3279699999999997</v>
      </c>
      <c r="U447" s="33">
        <v>2</v>
      </c>
      <c r="V447" s="89" t="str">
        <f t="shared" si="12"/>
        <v>NO</v>
      </c>
      <c r="W447" s="90">
        <f t="shared" si="13"/>
        <v>13</v>
      </c>
      <c r="X447" s="91">
        <v>2025</v>
      </c>
    </row>
    <row r="448" spans="1:24" x14ac:dyDescent="0.25">
      <c r="A448" s="74" t="s">
        <v>401</v>
      </c>
      <c r="B448" s="33">
        <v>2025</v>
      </c>
      <c r="C448" s="33">
        <v>1329.62</v>
      </c>
      <c r="D448" s="33">
        <v>-25.5595</v>
      </c>
      <c r="E448" s="33">
        <v>-6.6646400000000003</v>
      </c>
      <c r="F448" s="33">
        <v>-0.187027</v>
      </c>
      <c r="G448" s="33">
        <v>-4.2447100000000004</v>
      </c>
      <c r="H448" s="33">
        <v>-0.1983</v>
      </c>
      <c r="I448" s="33">
        <v>-0.1807</v>
      </c>
      <c r="J448" s="33">
        <v>-0.27022099999999999</v>
      </c>
      <c r="K448" s="33">
        <v>1.7399999999999999E-2</v>
      </c>
      <c r="L448" s="33">
        <v>0.1002</v>
      </c>
      <c r="M448" s="33">
        <v>-8.9062000000000002E-2</v>
      </c>
      <c r="N448" s="169">
        <v>-0.2157</v>
      </c>
      <c r="O448" s="33">
        <v>14.916700000000001</v>
      </c>
      <c r="P448" s="33">
        <v>25.666699999999999</v>
      </c>
      <c r="Q448" s="33">
        <v>-10.75</v>
      </c>
      <c r="R448" s="33">
        <v>2</v>
      </c>
      <c r="S448" s="33">
        <v>2.5979000000000001</v>
      </c>
      <c r="T448" s="33">
        <v>4.4787400000000002</v>
      </c>
      <c r="U448" s="33">
        <v>3</v>
      </c>
      <c r="V448" s="89" t="str">
        <f t="shared" si="12"/>
        <v>LV</v>
      </c>
      <c r="W448" s="90">
        <f t="shared" si="13"/>
        <v>13</v>
      </c>
      <c r="X448" s="91">
        <v>2025</v>
      </c>
    </row>
    <row r="449" spans="1:24" ht="15.75" thickBot="1" x14ac:dyDescent="0.3">
      <c r="A449" s="74" t="s">
        <v>89</v>
      </c>
      <c r="B449" s="33">
        <v>2025</v>
      </c>
      <c r="C449" s="33">
        <v>1292.3</v>
      </c>
      <c r="D449" s="33">
        <v>-12.2523</v>
      </c>
      <c r="E449" s="33">
        <v>-8.1571800000000003</v>
      </c>
      <c r="F449" s="33">
        <v>-0.27552700000000002</v>
      </c>
      <c r="G449" s="33">
        <v>-3.4135499999999999</v>
      </c>
      <c r="H449" s="33">
        <v>-0.1905</v>
      </c>
      <c r="I449" s="33">
        <v>-0.2641</v>
      </c>
      <c r="J449" s="33">
        <v>-0.12427100000000001</v>
      </c>
      <c r="K449" s="33">
        <v>7.9200000000000007E-2</v>
      </c>
      <c r="L449" s="33">
        <v>0.1726</v>
      </c>
      <c r="M449" s="33">
        <v>-1.6176300000000001E-2</v>
      </c>
      <c r="N449" s="173">
        <v>-0.2697</v>
      </c>
      <c r="O449" s="33">
        <v>14.166700000000001</v>
      </c>
      <c r="P449" s="33">
        <v>27.333300000000001</v>
      </c>
      <c r="Q449" s="33">
        <v>-13.166700000000001</v>
      </c>
      <c r="R449" s="33">
        <v>1</v>
      </c>
      <c r="S449" s="33">
        <v>2.0878999999999999</v>
      </c>
      <c r="T449" s="33">
        <v>3.2632699999999999</v>
      </c>
      <c r="U449" s="33">
        <v>1</v>
      </c>
      <c r="V449" s="89" t="str">
        <f t="shared" si="12"/>
        <v>TEN</v>
      </c>
      <c r="W449" s="90">
        <f t="shared" si="13"/>
        <v>13</v>
      </c>
      <c r="X449" s="91">
        <v>2025</v>
      </c>
    </row>
    <row r="450" spans="1:24" x14ac:dyDescent="0.25">
      <c r="A450" s="125" t="s">
        <v>21</v>
      </c>
      <c r="B450" s="126">
        <v>2025</v>
      </c>
      <c r="C450" s="126">
        <v>1692.33</v>
      </c>
      <c r="D450" s="126">
        <v>24.1768</v>
      </c>
      <c r="E450" s="126">
        <v>7.4512499999999999</v>
      </c>
      <c r="F450" s="126">
        <v>0.77786200000000005</v>
      </c>
      <c r="G450" s="126">
        <v>6.3871099999999998</v>
      </c>
      <c r="H450" s="126">
        <v>0.1246</v>
      </c>
      <c r="I450" s="126">
        <v>0.2165</v>
      </c>
      <c r="J450" s="126">
        <v>-4.1781199999999996E-3</v>
      </c>
      <c r="K450" s="126">
        <v>-9.3899999999999997E-2</v>
      </c>
      <c r="L450" s="126">
        <v>-0.12839999999999999</v>
      </c>
      <c r="M450" s="126">
        <v>-7.4387499999999995E-2</v>
      </c>
      <c r="N450" s="171">
        <v>0.21859999999999999</v>
      </c>
      <c r="O450" s="126">
        <v>29.1538</v>
      </c>
      <c r="P450" s="126">
        <v>17.461500000000001</v>
      </c>
      <c r="Q450" s="126">
        <v>11.692299999999999</v>
      </c>
      <c r="R450" s="126">
        <v>10</v>
      </c>
      <c r="S450" s="126">
        <v>10.025</v>
      </c>
      <c r="T450" s="126">
        <v>9.1006599999999995</v>
      </c>
      <c r="U450" s="126">
        <v>13</v>
      </c>
      <c r="V450" s="129" t="str">
        <f t="shared" ref="V450:V481" si="14">IF(A450&lt;&gt;"",IF(A450="OAK","LV",A450),"")</f>
        <v>LAR</v>
      </c>
      <c r="W450" s="127">
        <f t="shared" si="13"/>
        <v>14</v>
      </c>
      <c r="X450" s="128">
        <v>2025</v>
      </c>
    </row>
    <row r="451" spans="1:24" x14ac:dyDescent="0.25">
      <c r="A451" s="74" t="s">
        <v>55</v>
      </c>
      <c r="B451" s="33">
        <v>2025</v>
      </c>
      <c r="C451" s="33">
        <v>1682.03</v>
      </c>
      <c r="D451" s="33">
        <v>-0.78049999999999997</v>
      </c>
      <c r="E451" s="33">
        <v>7.0390800000000002</v>
      </c>
      <c r="F451" s="33">
        <v>1.5847800000000001</v>
      </c>
      <c r="G451" s="33">
        <v>7.1058500000000002</v>
      </c>
      <c r="H451" s="33">
        <v>7.5300000000000006E-2</v>
      </c>
      <c r="I451" s="33">
        <v>0.1734</v>
      </c>
      <c r="J451" s="33">
        <v>-9.6020300000000003E-2</v>
      </c>
      <c r="K451" s="33">
        <v>-0.16880000000000001</v>
      </c>
      <c r="L451" s="33">
        <v>-0.11260000000000001</v>
      </c>
      <c r="M451" s="33">
        <v>-0.1492</v>
      </c>
      <c r="N451" s="173">
        <v>0.24410000000000001</v>
      </c>
      <c r="O451" s="33">
        <v>29.769200000000001</v>
      </c>
      <c r="P451" s="33">
        <v>17.384599999999999</v>
      </c>
      <c r="Q451" s="33">
        <v>12.384600000000001</v>
      </c>
      <c r="R451" s="33">
        <v>10</v>
      </c>
      <c r="S451" s="33">
        <v>10.160299999999999</v>
      </c>
      <c r="T451" s="33">
        <v>8.8263800000000003</v>
      </c>
      <c r="U451" s="33">
        <v>12</v>
      </c>
      <c r="V451" s="89" t="str">
        <f t="shared" si="14"/>
        <v>SEA</v>
      </c>
      <c r="W451" s="90">
        <f t="shared" ref="W451:W481" si="15">W419+1</f>
        <v>14</v>
      </c>
      <c r="X451" s="91">
        <v>2025</v>
      </c>
    </row>
    <row r="452" spans="1:24" x14ac:dyDescent="0.25">
      <c r="A452" s="74" t="s">
        <v>10</v>
      </c>
      <c r="B452" s="33">
        <v>2025</v>
      </c>
      <c r="C452" s="33">
        <v>1631.48</v>
      </c>
      <c r="D452" s="33">
        <v>2.0566</v>
      </c>
      <c r="E452" s="33">
        <v>5.0171200000000002</v>
      </c>
      <c r="F452" s="33">
        <v>0.13822300000000001</v>
      </c>
      <c r="G452" s="33">
        <v>0.49264200000000002</v>
      </c>
      <c r="H452" s="33">
        <v>0.1226</v>
      </c>
      <c r="I452" s="33">
        <v>0.18759999999999999</v>
      </c>
      <c r="J452" s="33">
        <v>1.27492E-2</v>
      </c>
      <c r="K452" s="33">
        <v>5.1999999999999998E-3</v>
      </c>
      <c r="L452" s="33">
        <v>1.6999999999999999E-3</v>
      </c>
      <c r="M452" s="33">
        <v>-8.9921299999999996E-2</v>
      </c>
      <c r="N452" s="173">
        <v>0.1174</v>
      </c>
      <c r="O452" s="33">
        <v>30.307700000000001</v>
      </c>
      <c r="P452" s="33">
        <v>23.384599999999999</v>
      </c>
      <c r="Q452" s="33">
        <v>6.9230999999999998</v>
      </c>
      <c r="R452" s="33">
        <v>8</v>
      </c>
      <c r="S452" s="33">
        <v>8.4368999999999996</v>
      </c>
      <c r="T452" s="33">
        <v>8.7561199999999992</v>
      </c>
      <c r="U452" s="33">
        <v>8</v>
      </c>
      <c r="V452" s="89" t="str">
        <f t="shared" si="14"/>
        <v>DET</v>
      </c>
      <c r="W452" s="90">
        <f t="shared" si="15"/>
        <v>14</v>
      </c>
      <c r="X452" s="91">
        <v>2025</v>
      </c>
    </row>
    <row r="453" spans="1:24" x14ac:dyDescent="0.25">
      <c r="A453" s="74" t="s">
        <v>400</v>
      </c>
      <c r="B453" s="33">
        <v>2025</v>
      </c>
      <c r="C453" s="33">
        <v>1630.49</v>
      </c>
      <c r="D453" s="33">
        <v>9.2297999999999991</v>
      </c>
      <c r="E453" s="33">
        <v>4.9775099999999997</v>
      </c>
      <c r="F453" s="33">
        <v>2.3218200000000001E-2</v>
      </c>
      <c r="G453" s="33">
        <v>2.9551599999999998</v>
      </c>
      <c r="H453" s="33">
        <v>0.1517</v>
      </c>
      <c r="I453" s="33">
        <v>0.2903</v>
      </c>
      <c r="J453" s="33">
        <v>-1.09718E-2</v>
      </c>
      <c r="K453" s="33">
        <v>3.2599999999999997E-2</v>
      </c>
      <c r="L453" s="33">
        <v>2.23E-2</v>
      </c>
      <c r="M453" s="33">
        <v>-4.4365399999999999E-2</v>
      </c>
      <c r="N453" s="173">
        <v>0.1191</v>
      </c>
      <c r="O453" s="33">
        <v>24.769200000000001</v>
      </c>
      <c r="P453" s="33">
        <v>19</v>
      </c>
      <c r="Q453" s="33">
        <v>5.7691999999999997</v>
      </c>
      <c r="R453" s="33">
        <v>9</v>
      </c>
      <c r="S453" s="33">
        <v>8.4778000000000002</v>
      </c>
      <c r="T453" s="33">
        <v>8.8476599999999994</v>
      </c>
      <c r="U453" s="33">
        <v>10</v>
      </c>
      <c r="V453" s="89" t="str">
        <f t="shared" si="14"/>
        <v>GB</v>
      </c>
      <c r="W453" s="90">
        <f t="shared" si="15"/>
        <v>14</v>
      </c>
      <c r="X453" s="91">
        <v>2025</v>
      </c>
    </row>
    <row r="454" spans="1:24" x14ac:dyDescent="0.25">
      <c r="A454" s="74" t="s">
        <v>25</v>
      </c>
      <c r="B454" s="33">
        <v>2025</v>
      </c>
      <c r="C454" s="33">
        <v>1608.45</v>
      </c>
      <c r="D454" s="33">
        <v>4.3720999999999997</v>
      </c>
      <c r="E454" s="33">
        <v>4.0962199999999998</v>
      </c>
      <c r="F454" s="33">
        <v>-0.79221699999999995</v>
      </c>
      <c r="G454" s="33">
        <v>-0.18331600000000001</v>
      </c>
      <c r="H454" s="33">
        <v>0.15989999999999999</v>
      </c>
      <c r="I454" s="33">
        <v>0.1865</v>
      </c>
      <c r="J454" s="33">
        <v>7.1093400000000001E-2</v>
      </c>
      <c r="K454" s="33">
        <v>5.0599999999999999E-2</v>
      </c>
      <c r="L454" s="33">
        <v>-7.5899999999999995E-2</v>
      </c>
      <c r="M454" s="33">
        <v>7.0280499999999996E-2</v>
      </c>
      <c r="N454" s="173">
        <v>0.10929999999999999</v>
      </c>
      <c r="O454" s="33">
        <v>28.923100000000002</v>
      </c>
      <c r="P454" s="33">
        <v>22.538499999999999</v>
      </c>
      <c r="Q454" s="33">
        <v>6.3845999999999998</v>
      </c>
      <c r="R454" s="33">
        <v>9</v>
      </c>
      <c r="S454" s="33">
        <v>8.3671000000000006</v>
      </c>
      <c r="T454" s="33">
        <v>9.44496</v>
      </c>
      <c r="U454" s="33">
        <v>7</v>
      </c>
      <c r="V454" s="89" t="str">
        <f t="shared" si="14"/>
        <v>BUF</v>
      </c>
      <c r="W454" s="90">
        <f t="shared" si="15"/>
        <v>14</v>
      </c>
      <c r="X454" s="91">
        <v>2025</v>
      </c>
    </row>
    <row r="455" spans="1:24" x14ac:dyDescent="0.25">
      <c r="A455" s="74" t="s">
        <v>38</v>
      </c>
      <c r="B455" s="33">
        <v>2025</v>
      </c>
      <c r="C455" s="33">
        <v>1595.44</v>
      </c>
      <c r="D455" s="33">
        <v>-7.3845999999999998</v>
      </c>
      <c r="E455" s="33">
        <v>3.5757599999999998</v>
      </c>
      <c r="F455" s="33">
        <v>-1.1993100000000001</v>
      </c>
      <c r="G455" s="33">
        <v>-1.0478099999999999</v>
      </c>
      <c r="H455" s="33">
        <v>-6.7999999999999996E-3</v>
      </c>
      <c r="I455" s="33">
        <v>2.64E-2</v>
      </c>
      <c r="J455" s="33">
        <v>-4.9792599999999999E-2</v>
      </c>
      <c r="K455" s="33">
        <v>-3.3099999999999997E-2</v>
      </c>
      <c r="L455" s="33">
        <v>-9.5100000000000004E-2</v>
      </c>
      <c r="M455" s="33">
        <v>-3.3326000000000001E-2</v>
      </c>
      <c r="N455" s="173">
        <v>2.63E-2</v>
      </c>
      <c r="O455" s="33">
        <v>22.230799999999999</v>
      </c>
      <c r="P455" s="33">
        <v>20.8462</v>
      </c>
      <c r="Q455" s="33">
        <v>1.3846000000000001</v>
      </c>
      <c r="R455" s="33">
        <v>8</v>
      </c>
      <c r="S455" s="33">
        <v>6.9943999999999997</v>
      </c>
      <c r="T455" s="33">
        <v>9.8599300000000003</v>
      </c>
      <c r="U455" s="33">
        <v>8</v>
      </c>
      <c r="V455" s="89" t="str">
        <f t="shared" si="14"/>
        <v>PHI</v>
      </c>
      <c r="W455" s="90">
        <f t="shared" si="15"/>
        <v>14</v>
      </c>
      <c r="X455" s="91">
        <v>2025</v>
      </c>
    </row>
    <row r="456" spans="1:24" x14ac:dyDescent="0.25">
      <c r="A456" s="74" t="s">
        <v>399</v>
      </c>
      <c r="B456" s="33">
        <v>2025</v>
      </c>
      <c r="C456" s="33">
        <v>1592.35</v>
      </c>
      <c r="D456" s="33">
        <v>-6.4878999999999998</v>
      </c>
      <c r="E456" s="33">
        <v>3.4522400000000002</v>
      </c>
      <c r="F456" s="33">
        <v>-1.61392</v>
      </c>
      <c r="G456" s="33">
        <v>0.25879400000000002</v>
      </c>
      <c r="H456" s="33">
        <v>0.114</v>
      </c>
      <c r="I456" s="33">
        <v>0.15060000000000001</v>
      </c>
      <c r="J456" s="33">
        <v>5.2798499999999998E-2</v>
      </c>
      <c r="K456" s="33">
        <v>4.1000000000000002E-2</v>
      </c>
      <c r="L456" s="33">
        <v>1.3599999999999999E-2</v>
      </c>
      <c r="M456" s="33">
        <v>-2.8657999999999999E-2</v>
      </c>
      <c r="N456" s="173">
        <v>7.2900000000000006E-2</v>
      </c>
      <c r="O456" s="33">
        <v>24.230799999999999</v>
      </c>
      <c r="P456" s="33">
        <v>19.384599999999999</v>
      </c>
      <c r="Q456" s="33">
        <v>4.8461999999999996</v>
      </c>
      <c r="R456" s="33">
        <v>6</v>
      </c>
      <c r="S456" s="33">
        <v>8.1798000000000002</v>
      </c>
      <c r="T456" s="33">
        <v>8.4520099999999996</v>
      </c>
      <c r="U456" s="33">
        <v>8</v>
      </c>
      <c r="V456" s="89" t="str">
        <f t="shared" si="14"/>
        <v>KC</v>
      </c>
      <c r="W456" s="90">
        <f t="shared" si="15"/>
        <v>14</v>
      </c>
      <c r="X456" s="91">
        <v>2025</v>
      </c>
    </row>
    <row r="457" spans="1:24" x14ac:dyDescent="0.25">
      <c r="A457" s="74" t="s">
        <v>404</v>
      </c>
      <c r="B457" s="33">
        <v>2025</v>
      </c>
      <c r="C457" s="33">
        <v>1571.88</v>
      </c>
      <c r="D457" s="33">
        <v>17.9453</v>
      </c>
      <c r="E457" s="33">
        <v>2.6333799999999998</v>
      </c>
      <c r="F457" s="33">
        <v>-0.25963900000000001</v>
      </c>
      <c r="G457" s="33">
        <v>5.69529</v>
      </c>
      <c r="H457" s="33">
        <v>9.7799999999999998E-2</v>
      </c>
      <c r="I457" s="33">
        <v>0.2873</v>
      </c>
      <c r="J457" s="33">
        <v>-9.1432100000000002E-2</v>
      </c>
      <c r="K457" s="33">
        <v>-6.0900000000000003E-2</v>
      </c>
      <c r="L457" s="33">
        <v>-5.3600000000000002E-2</v>
      </c>
      <c r="M457" s="33">
        <v>-4.7133300000000003E-2</v>
      </c>
      <c r="N457" s="173">
        <v>0.1588</v>
      </c>
      <c r="O457" s="33">
        <v>27</v>
      </c>
      <c r="P457" s="33">
        <v>18.538499999999999</v>
      </c>
      <c r="Q457" s="33">
        <v>8.4614999999999991</v>
      </c>
      <c r="R457" s="33">
        <v>11</v>
      </c>
      <c r="S457" s="33">
        <v>9.2185000000000006</v>
      </c>
      <c r="T457" s="33">
        <v>7.7543699999999998</v>
      </c>
      <c r="U457" s="33">
        <v>8</v>
      </c>
      <c r="V457" s="89" t="str">
        <f t="shared" si="14"/>
        <v>NE</v>
      </c>
      <c r="W457" s="90">
        <f t="shared" si="15"/>
        <v>14</v>
      </c>
      <c r="X457" s="91">
        <v>2025</v>
      </c>
    </row>
    <row r="458" spans="1:24" x14ac:dyDescent="0.25">
      <c r="A458" s="74" t="s">
        <v>405</v>
      </c>
      <c r="B458" s="33">
        <v>2025</v>
      </c>
      <c r="C458" s="33">
        <v>1565.52</v>
      </c>
      <c r="D458" s="33">
        <v>-2.2000000000000002</v>
      </c>
      <c r="E458" s="33">
        <v>2.37893</v>
      </c>
      <c r="F458" s="33">
        <v>-0.25963900000000001</v>
      </c>
      <c r="G458" s="33">
        <v>1.55799</v>
      </c>
      <c r="H458" s="33">
        <v>7.9000000000000001E-2</v>
      </c>
      <c r="I458" s="33">
        <v>0.12720000000000001</v>
      </c>
      <c r="J458" s="33">
        <v>-6.8091799999999994E-2</v>
      </c>
      <c r="K458" s="33">
        <v>1.49E-2</v>
      </c>
      <c r="L458" s="33">
        <v>9.5100000000000004E-2</v>
      </c>
      <c r="M458" s="33">
        <v>-4.4871800000000003E-2</v>
      </c>
      <c r="N458" s="173">
        <v>6.4100000000000004E-2</v>
      </c>
      <c r="O458" s="33">
        <v>23.615400000000001</v>
      </c>
      <c r="P458" s="33">
        <v>20.692299999999999</v>
      </c>
      <c r="Q458" s="33">
        <v>2.9230999999999998</v>
      </c>
      <c r="R458" s="33">
        <v>9</v>
      </c>
      <c r="S458" s="33">
        <v>7.5095000000000001</v>
      </c>
      <c r="T458" s="33">
        <v>7.7893999999999997</v>
      </c>
      <c r="U458" s="33">
        <v>7</v>
      </c>
      <c r="V458" s="89" t="str">
        <f t="shared" si="14"/>
        <v>SF</v>
      </c>
      <c r="W458" s="90">
        <f t="shared" si="15"/>
        <v>14</v>
      </c>
      <c r="X458" s="91">
        <v>2025</v>
      </c>
    </row>
    <row r="459" spans="1:24" x14ac:dyDescent="0.25">
      <c r="A459" s="74" t="s">
        <v>31</v>
      </c>
      <c r="B459" s="33">
        <v>2025</v>
      </c>
      <c r="C459" s="33">
        <v>1561.41</v>
      </c>
      <c r="D459" s="33">
        <v>-4.1959999999999997</v>
      </c>
      <c r="E459" s="33">
        <v>2.2146400000000002</v>
      </c>
      <c r="F459" s="33">
        <v>0.40023900000000001</v>
      </c>
      <c r="G459" s="33">
        <v>2.3920599999999999</v>
      </c>
      <c r="H459" s="33">
        <v>-2.9600000000000001E-2</v>
      </c>
      <c r="I459" s="33">
        <v>2.2700000000000001E-2</v>
      </c>
      <c r="J459" s="33">
        <v>-6.5930199999999994E-2</v>
      </c>
      <c r="K459" s="33">
        <v>-0.16489999999999999</v>
      </c>
      <c r="L459" s="33">
        <v>-0.2402</v>
      </c>
      <c r="M459" s="33">
        <v>-4.5138400000000002E-2</v>
      </c>
      <c r="N459" s="173">
        <v>0.13519999999999999</v>
      </c>
      <c r="O459" s="33">
        <v>21.769200000000001</v>
      </c>
      <c r="P459" s="33">
        <v>16</v>
      </c>
      <c r="Q459" s="33">
        <v>5.7691999999999997</v>
      </c>
      <c r="R459" s="33">
        <v>8</v>
      </c>
      <c r="S459" s="33">
        <v>8.7716999999999992</v>
      </c>
      <c r="T459" s="33">
        <v>7.5967500000000001</v>
      </c>
      <c r="U459" s="33">
        <v>8</v>
      </c>
      <c r="V459" s="89" t="str">
        <f t="shared" si="14"/>
        <v>HOU</v>
      </c>
      <c r="W459" s="90">
        <f t="shared" si="15"/>
        <v>14</v>
      </c>
      <c r="X459" s="91">
        <v>2025</v>
      </c>
    </row>
    <row r="460" spans="1:24" x14ac:dyDescent="0.25">
      <c r="A460" s="74" t="s">
        <v>63</v>
      </c>
      <c r="B460" s="33">
        <v>2025</v>
      </c>
      <c r="C460" s="33">
        <v>1553.93</v>
      </c>
      <c r="D460" s="33">
        <v>4.4283999999999999</v>
      </c>
      <c r="E460" s="33">
        <v>1.9150700000000001</v>
      </c>
      <c r="F460" s="33">
        <v>-0.19456000000000001</v>
      </c>
      <c r="G460" s="33">
        <v>0.41236800000000001</v>
      </c>
      <c r="H460" s="33">
        <v>4.0399999999999998E-2</v>
      </c>
      <c r="I460" s="33">
        <v>7.5499999999999998E-2</v>
      </c>
      <c r="J460" s="33">
        <v>1.7172699999999999E-2</v>
      </c>
      <c r="K460" s="33">
        <v>-5.3400000000000003E-2</v>
      </c>
      <c r="L460" s="33">
        <v>-0.10059999999999999</v>
      </c>
      <c r="M460" s="33">
        <v>-6.1529E-2</v>
      </c>
      <c r="N460" s="173">
        <v>9.3799999999999994E-2</v>
      </c>
      <c r="O460" s="33">
        <v>23.692299999999999</v>
      </c>
      <c r="P460" s="33">
        <v>18.076899999999998</v>
      </c>
      <c r="Q460" s="33">
        <v>5.6154000000000002</v>
      </c>
      <c r="R460" s="33">
        <v>11</v>
      </c>
      <c r="S460" s="33">
        <v>8.5151000000000003</v>
      </c>
      <c r="T460" s="33">
        <v>9.0745799999999992</v>
      </c>
      <c r="U460" s="33">
        <v>10</v>
      </c>
      <c r="V460" s="89" t="str">
        <f t="shared" si="14"/>
        <v>DEN</v>
      </c>
      <c r="W460" s="90">
        <f t="shared" si="15"/>
        <v>14</v>
      </c>
      <c r="X460" s="91">
        <v>2025</v>
      </c>
    </row>
    <row r="461" spans="1:24" x14ac:dyDescent="0.25">
      <c r="A461" s="74" t="s">
        <v>47</v>
      </c>
      <c r="B461" s="33">
        <v>2025</v>
      </c>
      <c r="C461" s="33">
        <v>1550.97</v>
      </c>
      <c r="D461" s="33">
        <v>-20.563500000000001</v>
      </c>
      <c r="E461" s="33">
        <v>1.79705</v>
      </c>
      <c r="F461" s="33">
        <v>-0.60185999999999995</v>
      </c>
      <c r="G461" s="33">
        <v>-4.5353599999999998</v>
      </c>
      <c r="H461" s="33">
        <v>1.9900000000000001E-2</v>
      </c>
      <c r="I461" s="33">
        <v>-0.1016</v>
      </c>
      <c r="J461" s="33">
        <v>4.8644100000000003E-2</v>
      </c>
      <c r="K461" s="33">
        <v>4.3099999999999999E-2</v>
      </c>
      <c r="L461" s="33">
        <v>6.4100000000000004E-2</v>
      </c>
      <c r="M461" s="33">
        <v>-4.0358199999999997E-2</v>
      </c>
      <c r="N461" s="173">
        <v>-2.3300000000000001E-2</v>
      </c>
      <c r="O461" s="33">
        <v>23.923100000000002</v>
      </c>
      <c r="P461" s="33">
        <v>24.615400000000001</v>
      </c>
      <c r="Q461" s="33">
        <v>-0.69230000000000003</v>
      </c>
      <c r="R461" s="33">
        <v>6</v>
      </c>
      <c r="S461" s="33">
        <v>6.2803000000000004</v>
      </c>
      <c r="T461" s="33">
        <v>8.4663900000000005</v>
      </c>
      <c r="U461" s="33">
        <v>7</v>
      </c>
      <c r="V461" s="89" t="str">
        <f t="shared" si="14"/>
        <v>BAL</v>
      </c>
      <c r="W461" s="90">
        <f t="shared" si="15"/>
        <v>14</v>
      </c>
      <c r="X461" s="91">
        <v>2025</v>
      </c>
    </row>
    <row r="462" spans="1:24" x14ac:dyDescent="0.25">
      <c r="A462" s="74" t="s">
        <v>57</v>
      </c>
      <c r="B462" s="33">
        <v>2025</v>
      </c>
      <c r="C462" s="33">
        <v>1540.98</v>
      </c>
      <c r="D462" s="33">
        <v>8.0267999999999997</v>
      </c>
      <c r="E462" s="33">
        <v>1.3972899999999999</v>
      </c>
      <c r="F462" s="33">
        <v>-1.12853</v>
      </c>
      <c r="G462" s="33">
        <v>4.4539</v>
      </c>
      <c r="H462" s="33">
        <v>0.15359999999999999</v>
      </c>
      <c r="I462" s="33">
        <v>0.1167</v>
      </c>
      <c r="J462" s="33">
        <v>0.11963699999999999</v>
      </c>
      <c r="K462" s="33">
        <v>6.7999999999999996E-3</v>
      </c>
      <c r="L462" s="33">
        <v>5.0000000000000001E-3</v>
      </c>
      <c r="M462" s="33">
        <v>-6.7381700000000003E-2</v>
      </c>
      <c r="N462" s="173">
        <v>0.14680000000000001</v>
      </c>
      <c r="O462" s="33">
        <v>28.923100000000002</v>
      </c>
      <c r="P462" s="33">
        <v>21.923100000000002</v>
      </c>
      <c r="Q462" s="33">
        <v>7</v>
      </c>
      <c r="R462" s="33">
        <v>8</v>
      </c>
      <c r="S462" s="33">
        <v>8.5608000000000004</v>
      </c>
      <c r="T462" s="33">
        <v>7.2452100000000002</v>
      </c>
      <c r="U462" s="33">
        <v>9</v>
      </c>
      <c r="V462" s="89" t="str">
        <f t="shared" si="14"/>
        <v>IND</v>
      </c>
      <c r="W462" s="90">
        <f t="shared" si="15"/>
        <v>14</v>
      </c>
      <c r="X462" s="91">
        <v>2025</v>
      </c>
    </row>
    <row r="463" spans="1:24" x14ac:dyDescent="0.25">
      <c r="A463" s="74" t="s">
        <v>44</v>
      </c>
      <c r="B463" s="33">
        <v>2025</v>
      </c>
      <c r="C463" s="33">
        <v>1513.62</v>
      </c>
      <c r="D463" s="33">
        <v>-2.9405999999999999</v>
      </c>
      <c r="E463" s="33">
        <v>0.30291499999999999</v>
      </c>
      <c r="F463" s="33">
        <v>0.41061999999999999</v>
      </c>
      <c r="G463" s="33">
        <v>2.2340100000000001</v>
      </c>
      <c r="H463" s="33">
        <v>1.8200000000000001E-2</v>
      </c>
      <c r="I463" s="33">
        <v>-2.7E-2</v>
      </c>
      <c r="J463" s="33">
        <v>9.3822899999999997E-3</v>
      </c>
      <c r="K463" s="33">
        <v>-6.1499999999999999E-2</v>
      </c>
      <c r="L463" s="33">
        <v>-0.1116</v>
      </c>
      <c r="M463" s="33">
        <v>-5.82354E-2</v>
      </c>
      <c r="N463" s="173">
        <v>7.9699999999999993E-2</v>
      </c>
      <c r="O463" s="33">
        <v>25.230799999999999</v>
      </c>
      <c r="P463" s="33">
        <v>20.923100000000002</v>
      </c>
      <c r="Q463" s="33">
        <v>4.3076999999999996</v>
      </c>
      <c r="R463" s="33">
        <v>9</v>
      </c>
      <c r="S463" s="33">
        <v>7.9188000000000001</v>
      </c>
      <c r="T463" s="33">
        <v>6.8838499999999998</v>
      </c>
      <c r="U463" s="33">
        <v>9</v>
      </c>
      <c r="V463" s="89" t="str">
        <f t="shared" si="14"/>
        <v>JAX</v>
      </c>
      <c r="W463" s="90">
        <f t="shared" si="15"/>
        <v>14</v>
      </c>
      <c r="X463" s="91">
        <v>2025</v>
      </c>
    </row>
    <row r="464" spans="1:24" x14ac:dyDescent="0.25">
      <c r="A464" s="74" t="s">
        <v>14</v>
      </c>
      <c r="B464" s="33">
        <v>2025</v>
      </c>
      <c r="C464" s="33">
        <v>1512.08</v>
      </c>
      <c r="D464" s="33">
        <v>16.900400000000001</v>
      </c>
      <c r="E464" s="33">
        <v>0.24115200000000001</v>
      </c>
      <c r="F464" s="33">
        <v>-0.84646500000000002</v>
      </c>
      <c r="G464" s="33">
        <v>1.28291</v>
      </c>
      <c r="H464" s="33">
        <v>0.15029999999999999</v>
      </c>
      <c r="I464" s="33">
        <v>0.1741</v>
      </c>
      <c r="J464" s="33">
        <v>-3.0976099999999999E-2</v>
      </c>
      <c r="K464" s="33">
        <v>0.15770000000000001</v>
      </c>
      <c r="L464" s="33">
        <v>0.18190000000000001</v>
      </c>
      <c r="M464" s="33">
        <v>8.9371500000000006E-2</v>
      </c>
      <c r="N464" s="173">
        <v>-7.4000000000000003E-3</v>
      </c>
      <c r="O464" s="33">
        <v>29.307700000000001</v>
      </c>
      <c r="P464" s="33">
        <v>29.692299999999999</v>
      </c>
      <c r="Q464" s="33">
        <v>-0.3846</v>
      </c>
      <c r="R464" s="33">
        <v>6</v>
      </c>
      <c r="S464" s="33">
        <v>6.3996000000000004</v>
      </c>
      <c r="T464" s="33">
        <v>6.09802</v>
      </c>
      <c r="U464" s="33">
        <v>6</v>
      </c>
      <c r="V464" s="89" t="str">
        <f t="shared" si="14"/>
        <v>DAL</v>
      </c>
      <c r="W464" s="90">
        <f t="shared" si="15"/>
        <v>14</v>
      </c>
      <c r="X464" s="91">
        <v>2025</v>
      </c>
    </row>
    <row r="465" spans="1:24" x14ac:dyDescent="0.25">
      <c r="A465" s="74" t="s">
        <v>60</v>
      </c>
      <c r="B465" s="33">
        <v>2025</v>
      </c>
      <c r="C465" s="33">
        <v>1509.1</v>
      </c>
      <c r="D465" s="33">
        <v>-24.433700000000002</v>
      </c>
      <c r="E465" s="33">
        <v>0.122026</v>
      </c>
      <c r="F465" s="33">
        <v>-0.54049800000000003</v>
      </c>
      <c r="G465" s="33">
        <v>-0.52817899999999995</v>
      </c>
      <c r="H465" s="33">
        <v>-1E-3</v>
      </c>
      <c r="I465" s="33">
        <v>-4.3099999999999999E-2</v>
      </c>
      <c r="J465" s="33">
        <v>-8.8692500000000004E-3</v>
      </c>
      <c r="K465" s="33">
        <v>-4.2599999999999999E-2</v>
      </c>
      <c r="L465" s="33">
        <v>-0.1231</v>
      </c>
      <c r="M465" s="33">
        <v>-3.0263000000000002E-2</v>
      </c>
      <c r="N465" s="173">
        <v>4.1599999999999998E-2</v>
      </c>
      <c r="O465" s="33">
        <v>23</v>
      </c>
      <c r="P465" s="33">
        <v>20.8462</v>
      </c>
      <c r="Q465" s="33">
        <v>2.1537999999999999</v>
      </c>
      <c r="R465" s="33">
        <v>9</v>
      </c>
      <c r="S465" s="33">
        <v>7.2538999999999998</v>
      </c>
      <c r="T465" s="33">
        <v>8.2416300000000007</v>
      </c>
      <c r="U465" s="33">
        <v>6</v>
      </c>
      <c r="V465" s="89" t="str">
        <f t="shared" si="14"/>
        <v>LAC</v>
      </c>
      <c r="W465" s="90">
        <f t="shared" si="15"/>
        <v>14</v>
      </c>
      <c r="X465" s="91">
        <v>2025</v>
      </c>
    </row>
    <row r="466" spans="1:24" x14ac:dyDescent="0.25">
      <c r="A466" s="74" t="s">
        <v>85</v>
      </c>
      <c r="B466" s="33">
        <v>2025</v>
      </c>
      <c r="C466" s="33">
        <v>1503</v>
      </c>
      <c r="D466" s="33">
        <v>-4.7859999999999996</v>
      </c>
      <c r="E466" s="33">
        <v>-0.122031</v>
      </c>
      <c r="F466" s="33">
        <v>0.41281299999999999</v>
      </c>
      <c r="G466" s="33">
        <v>-0.18879399999999999</v>
      </c>
      <c r="H466" s="33">
        <v>4.5900000000000003E-2</v>
      </c>
      <c r="I466" s="33">
        <v>1.09E-2</v>
      </c>
      <c r="J466" s="33">
        <v>-1.3993E-2</v>
      </c>
      <c r="K466" s="33">
        <v>3.6200000000000003E-2</v>
      </c>
      <c r="L466" s="33">
        <v>3.3999999999999998E-3</v>
      </c>
      <c r="M466" s="33">
        <v>3.1097400000000001E-2</v>
      </c>
      <c r="N466" s="173">
        <v>9.7000000000000003E-3</v>
      </c>
      <c r="O466" s="33">
        <v>23.692299999999999</v>
      </c>
      <c r="P466" s="33">
        <v>23.923100000000002</v>
      </c>
      <c r="Q466" s="33">
        <v>-0.23080000000000001</v>
      </c>
      <c r="R466" s="33">
        <v>7</v>
      </c>
      <c r="S466" s="33">
        <v>6.4253</v>
      </c>
      <c r="T466" s="33">
        <v>7.35656</v>
      </c>
      <c r="U466" s="33">
        <v>6</v>
      </c>
      <c r="V466" s="89" t="str">
        <f t="shared" si="14"/>
        <v>PIT</v>
      </c>
      <c r="W466" s="90">
        <f t="shared" si="15"/>
        <v>14</v>
      </c>
      <c r="X466" s="91">
        <v>2025</v>
      </c>
    </row>
    <row r="467" spans="1:24" x14ac:dyDescent="0.25">
      <c r="A467" s="74" t="s">
        <v>72</v>
      </c>
      <c r="B467" s="33">
        <v>2025</v>
      </c>
      <c r="C467" s="33">
        <v>1499.42</v>
      </c>
      <c r="D467" s="33">
        <v>9.9102999999999994</v>
      </c>
      <c r="E467" s="33">
        <v>-0.26509300000000002</v>
      </c>
      <c r="F467" s="33">
        <v>-0.37279800000000002</v>
      </c>
      <c r="G467" s="33">
        <v>1.0940099999999999</v>
      </c>
      <c r="H467" s="33">
        <v>4.4499999999999998E-2</v>
      </c>
      <c r="I467" s="33">
        <v>5.0999999999999997E-2</v>
      </c>
      <c r="J467" s="33">
        <v>6.7633200000000004E-2</v>
      </c>
      <c r="K467" s="33">
        <v>3.6200000000000003E-2</v>
      </c>
      <c r="L467" s="33">
        <v>2.5899999999999999E-2</v>
      </c>
      <c r="M467" s="33">
        <v>-3.7744599999999998E-4</v>
      </c>
      <c r="N467" s="173">
        <v>8.3000000000000001E-3</v>
      </c>
      <c r="O467" s="33">
        <v>25.692299999999999</v>
      </c>
      <c r="P467" s="33">
        <v>25.769200000000001</v>
      </c>
      <c r="Q467" s="33">
        <v>-7.6899999999999996E-2</v>
      </c>
      <c r="R467" s="33">
        <v>9</v>
      </c>
      <c r="S467" s="33">
        <v>6.4770000000000003</v>
      </c>
      <c r="T467" s="33">
        <v>6.1169700000000002</v>
      </c>
      <c r="U467" s="33">
        <v>8</v>
      </c>
      <c r="V467" s="89" t="str">
        <f t="shared" si="14"/>
        <v>CHI</v>
      </c>
      <c r="W467" s="90">
        <f t="shared" si="15"/>
        <v>14</v>
      </c>
      <c r="X467" s="91">
        <v>2025</v>
      </c>
    </row>
    <row r="468" spans="1:24" x14ac:dyDescent="0.25">
      <c r="A468" s="74" t="s">
        <v>77</v>
      </c>
      <c r="B468" s="33">
        <v>2025</v>
      </c>
      <c r="C468" s="33">
        <v>1474.08</v>
      </c>
      <c r="D468" s="33">
        <v>4.5552999999999999</v>
      </c>
      <c r="E468" s="33">
        <v>-1.27895</v>
      </c>
      <c r="F468" s="33">
        <v>0.95228000000000002</v>
      </c>
      <c r="G468" s="33">
        <v>-2.8976999999999999</v>
      </c>
      <c r="H468" s="33">
        <v>3.2399999999999998E-2</v>
      </c>
      <c r="I468" s="33">
        <v>-6.0900000000000003E-2</v>
      </c>
      <c r="J468" s="33">
        <v>7.5286600000000004E-3</v>
      </c>
      <c r="K468" s="33">
        <v>0.16320000000000001</v>
      </c>
      <c r="L468" s="33">
        <v>0.23580000000000001</v>
      </c>
      <c r="M468" s="33">
        <v>7.6562599999999995E-2</v>
      </c>
      <c r="N468" s="173">
        <v>-0.1308</v>
      </c>
      <c r="O468" s="33">
        <v>24.1538</v>
      </c>
      <c r="P468" s="33">
        <v>31.769200000000001</v>
      </c>
      <c r="Q468" s="33">
        <v>-7.6154000000000002</v>
      </c>
      <c r="R468" s="33">
        <v>4</v>
      </c>
      <c r="S468" s="33">
        <v>4.4603000000000002</v>
      </c>
      <c r="T468" s="33">
        <v>6.2104600000000003</v>
      </c>
      <c r="U468" s="33">
        <v>5</v>
      </c>
      <c r="V468" s="89" t="str">
        <f t="shared" si="14"/>
        <v>CIN</v>
      </c>
      <c r="W468" s="90">
        <f t="shared" si="15"/>
        <v>14</v>
      </c>
      <c r="X468" s="91">
        <v>2025</v>
      </c>
    </row>
    <row r="469" spans="1:24" x14ac:dyDescent="0.25">
      <c r="A469" s="74" t="s">
        <v>402</v>
      </c>
      <c r="B469" s="33">
        <v>2025</v>
      </c>
      <c r="C469" s="33">
        <v>1458.33</v>
      </c>
      <c r="D469" s="33">
        <v>-14.2829</v>
      </c>
      <c r="E469" s="33">
        <v>-1.90893</v>
      </c>
      <c r="F469" s="33">
        <v>-0.828677</v>
      </c>
      <c r="G469" s="33">
        <v>-2.1817899999999999</v>
      </c>
      <c r="H469" s="33">
        <v>-2.9000000000000001E-2</v>
      </c>
      <c r="I469" s="33">
        <v>-7.2800000000000004E-2</v>
      </c>
      <c r="J469" s="33">
        <v>1.16077E-2</v>
      </c>
      <c r="K469" s="33">
        <v>3.2000000000000002E-3</v>
      </c>
      <c r="L469" s="33">
        <v>3.2000000000000001E-2</v>
      </c>
      <c r="M469" s="33">
        <v>-9.0131299999999998E-2</v>
      </c>
      <c r="N469" s="173">
        <v>-3.2199999999999999E-2</v>
      </c>
      <c r="O469" s="33">
        <v>23</v>
      </c>
      <c r="P469" s="33">
        <v>25</v>
      </c>
      <c r="Q469" s="33">
        <v>-2</v>
      </c>
      <c r="R469" s="33">
        <v>7</v>
      </c>
      <c r="S469" s="33">
        <v>5.8597999999999999</v>
      </c>
      <c r="T469" s="33">
        <v>7.5434299999999999</v>
      </c>
      <c r="U469" s="33">
        <v>5</v>
      </c>
      <c r="V469" s="89" t="str">
        <f t="shared" si="14"/>
        <v>TB</v>
      </c>
      <c r="W469" s="90">
        <f t="shared" si="15"/>
        <v>14</v>
      </c>
      <c r="X469" s="91">
        <v>2025</v>
      </c>
    </row>
    <row r="470" spans="1:24" x14ac:dyDescent="0.25">
      <c r="A470" s="74" t="s">
        <v>2</v>
      </c>
      <c r="B470" s="33">
        <v>2025</v>
      </c>
      <c r="C470" s="33">
        <v>1436.33</v>
      </c>
      <c r="D470" s="33">
        <v>-32.817</v>
      </c>
      <c r="E470" s="33">
        <v>-2.7887599999999999</v>
      </c>
      <c r="F470" s="33">
        <v>1.5933900000000001</v>
      </c>
      <c r="G470" s="33">
        <v>-2.5675400000000002</v>
      </c>
      <c r="H470" s="33">
        <v>3.32E-2</v>
      </c>
      <c r="I470" s="33">
        <v>-8.3999999999999995E-3</v>
      </c>
      <c r="J470" s="33">
        <v>1.7906200000000001E-2</v>
      </c>
      <c r="K470" s="33">
        <v>4.65E-2</v>
      </c>
      <c r="L470" s="33">
        <v>7.2099999999999997E-2</v>
      </c>
      <c r="M470" s="33">
        <v>-3.01892E-3</v>
      </c>
      <c r="N470" s="173">
        <v>-1.3299999999999999E-2</v>
      </c>
      <c r="O470" s="33">
        <v>21.615400000000001</v>
      </c>
      <c r="P470" s="33">
        <v>22.769200000000001</v>
      </c>
      <c r="Q470" s="33">
        <v>-1.1537999999999999</v>
      </c>
      <c r="R470" s="33">
        <v>6</v>
      </c>
      <c r="S470" s="33">
        <v>6.0998999999999999</v>
      </c>
      <c r="T470" s="33">
        <v>6.4660200000000003</v>
      </c>
      <c r="U470" s="33">
        <v>8</v>
      </c>
      <c r="V470" s="89" t="str">
        <f t="shared" si="14"/>
        <v>MIA</v>
      </c>
      <c r="W470" s="90">
        <f t="shared" si="15"/>
        <v>14</v>
      </c>
      <c r="X470" s="91">
        <v>2025</v>
      </c>
    </row>
    <row r="471" spans="1:24" x14ac:dyDescent="0.25">
      <c r="A471" s="74" t="s">
        <v>75</v>
      </c>
      <c r="B471" s="33">
        <v>2025</v>
      </c>
      <c r="C471" s="33">
        <v>1431.63</v>
      </c>
      <c r="D471" s="33">
        <v>-19.171199999999999</v>
      </c>
      <c r="E471" s="33">
        <v>-2.9769299999999999</v>
      </c>
      <c r="F471" s="33">
        <v>0.53348600000000002</v>
      </c>
      <c r="G471" s="33">
        <v>-3.60528</v>
      </c>
      <c r="H471" s="33">
        <v>-0.122</v>
      </c>
      <c r="I471" s="33">
        <v>-0.23039999999999999</v>
      </c>
      <c r="J471" s="33">
        <v>-4.7194800000000002E-2</v>
      </c>
      <c r="K471" s="33">
        <v>-6.25E-2</v>
      </c>
      <c r="L471" s="33">
        <v>-0.1017</v>
      </c>
      <c r="M471" s="33">
        <v>-4.3029299999999999E-2</v>
      </c>
      <c r="N471" s="173">
        <v>-5.9499999999999997E-2</v>
      </c>
      <c r="O471" s="33">
        <v>19.615400000000001</v>
      </c>
      <c r="P471" s="33">
        <v>21.615400000000001</v>
      </c>
      <c r="Q471" s="33">
        <v>-2</v>
      </c>
      <c r="R471" s="33">
        <v>5</v>
      </c>
      <c r="S471" s="33">
        <v>5.7553999999999998</v>
      </c>
      <c r="T471" s="33">
        <v>6.8680899999999996</v>
      </c>
      <c r="U471" s="33">
        <v>4</v>
      </c>
      <c r="V471" s="89" t="str">
        <f t="shared" si="14"/>
        <v>MIN</v>
      </c>
      <c r="W471" s="90">
        <f t="shared" si="15"/>
        <v>14</v>
      </c>
      <c r="X471" s="91">
        <v>2025</v>
      </c>
    </row>
    <row r="472" spans="1:24" x14ac:dyDescent="0.25">
      <c r="A472" s="74" t="s">
        <v>69</v>
      </c>
      <c r="B472" s="33">
        <v>2025</v>
      </c>
      <c r="C472" s="33">
        <v>1427.81</v>
      </c>
      <c r="D472" s="33">
        <v>24.182400000000001</v>
      </c>
      <c r="E472" s="33">
        <v>-3.1294400000000002</v>
      </c>
      <c r="F472" s="33">
        <v>-2.4026200000000002</v>
      </c>
      <c r="G472" s="33">
        <v>-2.0737700000000001</v>
      </c>
      <c r="H472" s="33">
        <v>-4.3999999999999997E-2</v>
      </c>
      <c r="I472" s="33">
        <v>-6.4500000000000002E-2</v>
      </c>
      <c r="J472" s="33">
        <v>-2.2376699999999999E-2</v>
      </c>
      <c r="K472" s="33">
        <v>4.5600000000000002E-2</v>
      </c>
      <c r="L472" s="33">
        <v>-2.52E-2</v>
      </c>
      <c r="M472" s="33">
        <v>3.3806299999999997E-2</v>
      </c>
      <c r="N472" s="173">
        <v>-8.9700000000000002E-2</v>
      </c>
      <c r="O472" s="33">
        <v>19.384599999999999</v>
      </c>
      <c r="P472" s="33">
        <v>24.076899999999998</v>
      </c>
      <c r="Q472" s="33">
        <v>-4.6923000000000004</v>
      </c>
      <c r="R472" s="33">
        <v>4</v>
      </c>
      <c r="S472" s="33">
        <v>4.8661000000000003</v>
      </c>
      <c r="T472" s="33">
        <v>5.8228499999999999</v>
      </c>
      <c r="U472" s="33">
        <v>8</v>
      </c>
      <c r="V472" s="89" t="str">
        <f t="shared" si="14"/>
        <v>ATL</v>
      </c>
      <c r="W472" s="90">
        <f t="shared" si="15"/>
        <v>14</v>
      </c>
      <c r="X472" s="91">
        <v>2025</v>
      </c>
    </row>
    <row r="473" spans="1:24" x14ac:dyDescent="0.25">
      <c r="A473" s="74" t="s">
        <v>67</v>
      </c>
      <c r="B473" s="33">
        <v>2025</v>
      </c>
      <c r="C473" s="33">
        <v>1407.42</v>
      </c>
      <c r="D473" s="33">
        <v>9.6029</v>
      </c>
      <c r="E473" s="33">
        <v>-3.94496</v>
      </c>
      <c r="F473" s="33">
        <v>-0.25963900000000001</v>
      </c>
      <c r="G473" s="33">
        <v>1.52972</v>
      </c>
      <c r="H473" s="33">
        <v>-1.3299999999999999E-2</v>
      </c>
      <c r="I473" s="33">
        <v>-6.0900000000000003E-2</v>
      </c>
      <c r="J473" s="33">
        <v>-1.13796E-2</v>
      </c>
      <c r="K473" s="33">
        <v>6.2799999999999995E-2</v>
      </c>
      <c r="L473" s="33">
        <v>0.1142</v>
      </c>
      <c r="M473" s="33">
        <v>1.17588E-2</v>
      </c>
      <c r="N473" s="173">
        <v>-7.6100000000000001E-2</v>
      </c>
      <c r="O473" s="33">
        <v>19</v>
      </c>
      <c r="P473" s="33">
        <v>22.8462</v>
      </c>
      <c r="Q473" s="33">
        <v>-3.8462000000000001</v>
      </c>
      <c r="R473" s="33">
        <v>7</v>
      </c>
      <c r="S473" s="33">
        <v>5.1022999999999996</v>
      </c>
      <c r="T473" s="33">
        <v>5.5594700000000001</v>
      </c>
      <c r="U473" s="33">
        <v>4</v>
      </c>
      <c r="V473" s="89" t="str">
        <f t="shared" si="14"/>
        <v>CAR</v>
      </c>
      <c r="W473" s="90">
        <f t="shared" si="15"/>
        <v>14</v>
      </c>
      <c r="X473" s="91">
        <v>2025</v>
      </c>
    </row>
    <row r="474" spans="1:24" x14ac:dyDescent="0.25">
      <c r="A474" s="74" t="s">
        <v>95</v>
      </c>
      <c r="B474" s="33">
        <v>2025</v>
      </c>
      <c r="C474" s="33">
        <v>1401.81</v>
      </c>
      <c r="D474" s="33">
        <v>-10.429399999999999</v>
      </c>
      <c r="E474" s="33">
        <v>-4.1694599999999999</v>
      </c>
      <c r="F474" s="33">
        <v>-0.25963900000000001</v>
      </c>
      <c r="G474" s="33">
        <v>0.48186499999999999</v>
      </c>
      <c r="H474" s="33">
        <v>3.15E-2</v>
      </c>
      <c r="I474" s="33">
        <v>2.5000000000000001E-3</v>
      </c>
      <c r="J474" s="33">
        <v>4.3187599999999996E-3</v>
      </c>
      <c r="K474" s="33">
        <v>0.14119999999999999</v>
      </c>
      <c r="L474" s="33">
        <v>7.9000000000000001E-2</v>
      </c>
      <c r="M474" s="33">
        <v>0.18377499999999999</v>
      </c>
      <c r="N474" s="173">
        <v>-0.1096</v>
      </c>
      <c r="O474" s="33">
        <v>21.461500000000001</v>
      </c>
      <c r="P474" s="33">
        <v>28.230799999999999</v>
      </c>
      <c r="Q474" s="33">
        <v>-6.7691999999999997</v>
      </c>
      <c r="R474" s="33">
        <v>2</v>
      </c>
      <c r="S474" s="33">
        <v>4.4596</v>
      </c>
      <c r="T474" s="33">
        <v>3.7071299999999998</v>
      </c>
      <c r="U474" s="33">
        <v>3</v>
      </c>
      <c r="V474" s="89" t="str">
        <f t="shared" si="14"/>
        <v>NYG</v>
      </c>
      <c r="W474" s="90">
        <f t="shared" si="15"/>
        <v>14</v>
      </c>
      <c r="X474" s="91">
        <v>2025</v>
      </c>
    </row>
    <row r="475" spans="1:24" x14ac:dyDescent="0.25">
      <c r="A475" s="74" t="s">
        <v>93</v>
      </c>
      <c r="B475" s="33">
        <v>2025</v>
      </c>
      <c r="C475" s="33">
        <v>1391.82</v>
      </c>
      <c r="D475" s="33">
        <v>-34.159799999999997</v>
      </c>
      <c r="E475" s="33">
        <v>-4.5693299999999999</v>
      </c>
      <c r="F475" s="33">
        <v>-1.0282100000000001</v>
      </c>
      <c r="G475" s="33">
        <v>-4.7853700000000003</v>
      </c>
      <c r="H475" s="33">
        <v>-3.3500000000000002E-2</v>
      </c>
      <c r="I475" s="33">
        <v>1.0999999999999999E-2</v>
      </c>
      <c r="J475" s="33">
        <v>-8.52382E-2</v>
      </c>
      <c r="K475" s="33">
        <v>6.6699999999999995E-2</v>
      </c>
      <c r="L475" s="33">
        <v>7.4800000000000005E-2</v>
      </c>
      <c r="M475" s="33">
        <v>-2.0488200000000002E-2</v>
      </c>
      <c r="N475" s="173">
        <v>-0.10009999999999999</v>
      </c>
      <c r="O475" s="33">
        <v>21.692299999999999</v>
      </c>
      <c r="P475" s="33">
        <v>26.769200000000001</v>
      </c>
      <c r="Q475" s="33">
        <v>-5.0769000000000002</v>
      </c>
      <c r="R475" s="33">
        <v>3</v>
      </c>
      <c r="S475" s="33">
        <v>4.9128999999999996</v>
      </c>
      <c r="T475" s="33">
        <v>6.0258200000000004</v>
      </c>
      <c r="U475" s="33">
        <v>3</v>
      </c>
      <c r="V475" s="89" t="str">
        <f t="shared" si="14"/>
        <v>ARI</v>
      </c>
      <c r="W475" s="90">
        <f t="shared" si="15"/>
        <v>14</v>
      </c>
      <c r="X475" s="91">
        <v>2025</v>
      </c>
    </row>
    <row r="476" spans="1:24" x14ac:dyDescent="0.25">
      <c r="A476" s="74" t="s">
        <v>41</v>
      </c>
      <c r="B476" s="33">
        <v>2025</v>
      </c>
      <c r="C476" s="33">
        <v>1388.94</v>
      </c>
      <c r="D476" s="33">
        <v>-34.6693</v>
      </c>
      <c r="E476" s="33">
        <v>-4.6843300000000001</v>
      </c>
      <c r="F476" s="33">
        <v>-1.1669099999999999</v>
      </c>
      <c r="G476" s="33">
        <v>-6.4527099999999997</v>
      </c>
      <c r="H476" s="33">
        <v>2.6599999999999999E-2</v>
      </c>
      <c r="I476" s="33">
        <v>-2.0199999999999999E-2</v>
      </c>
      <c r="J476" s="33">
        <v>2.3854199999999999E-2</v>
      </c>
      <c r="K476" s="33">
        <v>0.1681</v>
      </c>
      <c r="L476" s="33">
        <v>0.26150000000000001</v>
      </c>
      <c r="M476" s="33">
        <v>2.3779000000000002E-2</v>
      </c>
      <c r="N476" s="173">
        <v>-0.14149999999999999</v>
      </c>
      <c r="O476" s="33">
        <v>20.1538</v>
      </c>
      <c r="P476" s="33">
        <v>27.230799999999999</v>
      </c>
      <c r="Q476" s="33">
        <v>-7.0769000000000002</v>
      </c>
      <c r="R476" s="33">
        <v>3</v>
      </c>
      <c r="S476" s="33">
        <v>4.2754000000000003</v>
      </c>
      <c r="T476" s="33">
        <v>7.1697199999999999</v>
      </c>
      <c r="U476" s="33">
        <v>3</v>
      </c>
      <c r="V476" s="89" t="str">
        <f t="shared" si="14"/>
        <v>WAS</v>
      </c>
      <c r="W476" s="90">
        <f t="shared" si="15"/>
        <v>14</v>
      </c>
      <c r="X476" s="91">
        <v>2025</v>
      </c>
    </row>
    <row r="477" spans="1:24" x14ac:dyDescent="0.25">
      <c r="A477" s="74" t="s">
        <v>91</v>
      </c>
      <c r="B477" s="33">
        <v>2025</v>
      </c>
      <c r="C477" s="33">
        <v>1368.95</v>
      </c>
      <c r="D477" s="33">
        <v>-24.500299999999999</v>
      </c>
      <c r="E477" s="33">
        <v>-5.4841100000000003</v>
      </c>
      <c r="F477" s="33">
        <v>-0.49773899999999999</v>
      </c>
      <c r="G477" s="33">
        <v>-0.984873</v>
      </c>
      <c r="H477" s="33">
        <v>-0.20630000000000001</v>
      </c>
      <c r="I477" s="33">
        <v>-0.27129999999999999</v>
      </c>
      <c r="J477" s="33">
        <v>-7.6319499999999998E-2</v>
      </c>
      <c r="K477" s="33">
        <v>-9.2200000000000004E-2</v>
      </c>
      <c r="L477" s="33">
        <v>-0.11269999999999999</v>
      </c>
      <c r="M477" s="33">
        <v>-0.12808800000000001</v>
      </c>
      <c r="N477" s="173">
        <v>-0.11409999999999999</v>
      </c>
      <c r="O477" s="33">
        <v>17.1538</v>
      </c>
      <c r="P477" s="33">
        <v>23.1538</v>
      </c>
      <c r="Q477" s="33">
        <v>-6</v>
      </c>
      <c r="R477" s="33">
        <v>3</v>
      </c>
      <c r="S477" s="33">
        <v>4.2823000000000002</v>
      </c>
      <c r="T477" s="33">
        <v>4.78186</v>
      </c>
      <c r="U477" s="33">
        <v>6</v>
      </c>
      <c r="V477" s="89" t="str">
        <f t="shared" si="14"/>
        <v>CLE</v>
      </c>
      <c r="W477" s="90">
        <f t="shared" si="15"/>
        <v>14</v>
      </c>
      <c r="X477" s="91">
        <v>2025</v>
      </c>
    </row>
    <row r="478" spans="1:24" x14ac:dyDescent="0.25">
      <c r="A478" s="74" t="s">
        <v>403</v>
      </c>
      <c r="B478" s="33">
        <v>2025</v>
      </c>
      <c r="C478" s="33">
        <v>1345.28</v>
      </c>
      <c r="D478" s="33">
        <v>-5.8295000000000003</v>
      </c>
      <c r="E478" s="33">
        <v>-6.4308500000000004</v>
      </c>
      <c r="F478" s="33">
        <v>0.22380900000000001</v>
      </c>
      <c r="G478" s="33">
        <v>-0.60931599999999997</v>
      </c>
      <c r="H478" s="33">
        <v>-0.16830000000000001</v>
      </c>
      <c r="I478" s="33">
        <v>-0.16070000000000001</v>
      </c>
      <c r="J478" s="33">
        <v>-0.119862</v>
      </c>
      <c r="K478" s="33">
        <v>-6.7000000000000002E-3</v>
      </c>
      <c r="L478" s="33">
        <v>9.7999999999999997E-3</v>
      </c>
      <c r="M478" s="33">
        <v>-8.19468E-2</v>
      </c>
      <c r="N478" s="173">
        <v>-0.16159999999999999</v>
      </c>
      <c r="O478" s="33">
        <v>15.8462</v>
      </c>
      <c r="P478" s="33">
        <v>24.230799999999999</v>
      </c>
      <c r="Q478" s="33">
        <v>-8.3846000000000007</v>
      </c>
      <c r="R478" s="33">
        <v>3</v>
      </c>
      <c r="S478" s="33">
        <v>3.4796</v>
      </c>
      <c r="T478" s="33">
        <v>4.7765300000000002</v>
      </c>
      <c r="U478" s="33">
        <v>3</v>
      </c>
      <c r="V478" s="89" t="str">
        <f t="shared" si="14"/>
        <v>NO</v>
      </c>
      <c r="W478" s="90">
        <f t="shared" si="15"/>
        <v>14</v>
      </c>
      <c r="X478" s="91">
        <v>2025</v>
      </c>
    </row>
    <row r="479" spans="1:24" x14ac:dyDescent="0.25">
      <c r="A479" s="74" t="s">
        <v>401</v>
      </c>
      <c r="B479" s="33">
        <v>2025</v>
      </c>
      <c r="C479" s="33">
        <v>1331.46</v>
      </c>
      <c r="D479" s="33">
        <v>-25.098299999999998</v>
      </c>
      <c r="E479" s="33">
        <v>-6.9836200000000002</v>
      </c>
      <c r="F479" s="33">
        <v>-0.18601999999999999</v>
      </c>
      <c r="G479" s="33">
        <v>-4.5636799999999997</v>
      </c>
      <c r="H479" s="33">
        <v>-0.18579999999999999</v>
      </c>
      <c r="I479" s="33">
        <v>-0.16869999999999999</v>
      </c>
      <c r="J479" s="33">
        <v>-0.26538400000000001</v>
      </c>
      <c r="K479" s="33">
        <v>2.8400000000000002E-2</v>
      </c>
      <c r="L479" s="33">
        <v>0.1052</v>
      </c>
      <c r="M479" s="33">
        <v>-6.8166400000000002E-2</v>
      </c>
      <c r="N479" s="173">
        <v>-0.2142</v>
      </c>
      <c r="O479" s="33">
        <v>15.0769</v>
      </c>
      <c r="P479" s="33">
        <v>25.538499999999999</v>
      </c>
      <c r="Q479" s="33">
        <v>-10.461499999999999</v>
      </c>
      <c r="R479" s="33">
        <v>2</v>
      </c>
      <c r="S479" s="33">
        <v>2.8973</v>
      </c>
      <c r="T479" s="33">
        <v>4.5859699999999997</v>
      </c>
      <c r="U479" s="33">
        <v>3</v>
      </c>
      <c r="V479" s="89" t="str">
        <f t="shared" si="14"/>
        <v>LV</v>
      </c>
      <c r="W479" s="90">
        <f t="shared" si="15"/>
        <v>14</v>
      </c>
      <c r="X479" s="91">
        <v>2025</v>
      </c>
    </row>
    <row r="480" spans="1:24" x14ac:dyDescent="0.25">
      <c r="A480" s="74" t="s">
        <v>79</v>
      </c>
      <c r="B480" s="33">
        <v>2025</v>
      </c>
      <c r="C480" s="33">
        <v>1312.8</v>
      </c>
      <c r="D480" s="33">
        <v>-29.802600000000002</v>
      </c>
      <c r="E480" s="33">
        <v>-7.7297599999999997</v>
      </c>
      <c r="F480" s="33">
        <v>-2.54176</v>
      </c>
      <c r="G480" s="33">
        <v>-4.7475699999999996</v>
      </c>
      <c r="H480" s="33">
        <v>-0.03</v>
      </c>
      <c r="I480" s="33">
        <v>-0.14219999999999999</v>
      </c>
      <c r="J480" s="33">
        <v>-5.8912800000000001E-2</v>
      </c>
      <c r="K480" s="33">
        <v>0.11550000000000001</v>
      </c>
      <c r="L480" s="33">
        <v>0.14280000000000001</v>
      </c>
      <c r="M480" s="33">
        <v>4.4268700000000001E-2</v>
      </c>
      <c r="N480" s="173">
        <v>-0.14549999999999999</v>
      </c>
      <c r="O480" s="33">
        <v>19.692299999999999</v>
      </c>
      <c r="P480" s="33">
        <v>26.8462</v>
      </c>
      <c r="Q480" s="33">
        <v>-7.1538000000000004</v>
      </c>
      <c r="R480" s="33">
        <v>3</v>
      </c>
      <c r="S480" s="33">
        <v>4.2148000000000003</v>
      </c>
      <c r="T480" s="33">
        <v>5.1368999999999998</v>
      </c>
      <c r="U480" s="33">
        <v>3</v>
      </c>
      <c r="V480" s="89" t="str">
        <f t="shared" si="14"/>
        <v>NYJ</v>
      </c>
      <c r="W480" s="90">
        <f t="shared" si="15"/>
        <v>14</v>
      </c>
      <c r="X480" s="91">
        <v>2025</v>
      </c>
    </row>
    <row r="481" spans="1:24" ht="15.75" thickBot="1" x14ac:dyDescent="0.3">
      <c r="A481" s="74" t="s">
        <v>89</v>
      </c>
      <c r="B481" s="33">
        <v>2025</v>
      </c>
      <c r="C481" s="33">
        <v>1311.66</v>
      </c>
      <c r="D481" s="33">
        <v>-11.702199999999999</v>
      </c>
      <c r="E481" s="33">
        <v>-7.7754700000000003</v>
      </c>
      <c r="F481" s="33">
        <v>0.51466299999999998</v>
      </c>
      <c r="G481" s="33">
        <v>-3.0318499999999999</v>
      </c>
      <c r="H481" s="33">
        <v>-0.17749999999999999</v>
      </c>
      <c r="I481" s="33">
        <v>-0.26729999999999998</v>
      </c>
      <c r="J481" s="33">
        <v>-9.7703700000000004E-2</v>
      </c>
      <c r="K481" s="33">
        <v>6.3299999999999995E-2</v>
      </c>
      <c r="L481" s="33">
        <v>0.15329999999999999</v>
      </c>
      <c r="M481" s="33">
        <v>-2.4706700000000002E-2</v>
      </c>
      <c r="N481" s="173">
        <v>-0.24079999999999999</v>
      </c>
      <c r="O481" s="33">
        <v>15.461499999999999</v>
      </c>
      <c r="P481" s="33">
        <v>27.461500000000001</v>
      </c>
      <c r="Q481" s="33">
        <v>-12</v>
      </c>
      <c r="R481" s="33">
        <v>2</v>
      </c>
      <c r="S481" s="33">
        <v>2.6522000000000001</v>
      </c>
      <c r="T481" s="33">
        <v>3.4342899999999998</v>
      </c>
      <c r="U481" s="33">
        <v>1</v>
      </c>
      <c r="V481" s="89" t="str">
        <f t="shared" si="14"/>
        <v>TEN</v>
      </c>
      <c r="W481" s="90">
        <f t="shared" si="15"/>
        <v>14</v>
      </c>
      <c r="X481" s="91">
        <v>2025</v>
      </c>
    </row>
    <row r="482" spans="1:24" x14ac:dyDescent="0.25">
      <c r="A482" s="125" t="s">
        <v>21</v>
      </c>
      <c r="B482" s="126">
        <v>2025</v>
      </c>
      <c r="C482" s="126">
        <v>1701.78</v>
      </c>
      <c r="D482" s="126">
        <v>24.1721</v>
      </c>
      <c r="E482" s="126">
        <v>7.6880300000000004</v>
      </c>
      <c r="F482" s="126">
        <v>0.32520500000000002</v>
      </c>
      <c r="G482" s="126">
        <v>6.6238900000000003</v>
      </c>
      <c r="H482" s="126">
        <v>0.13400000000000001</v>
      </c>
      <c r="I482" s="126">
        <v>0.2165</v>
      </c>
      <c r="J482" s="126">
        <v>1.0472499999999999E-2</v>
      </c>
      <c r="K482" s="126">
        <v>-7.4999999999999997E-2</v>
      </c>
      <c r="L482" s="126">
        <v>-9.2600000000000002E-2</v>
      </c>
      <c r="M482" s="126">
        <v>-7.8913399999999995E-2</v>
      </c>
      <c r="N482" s="171">
        <v>0.20899999999999999</v>
      </c>
      <c r="O482" s="126">
        <v>30</v>
      </c>
      <c r="P482" s="126">
        <v>18.642900000000001</v>
      </c>
      <c r="Q482" s="126">
        <v>11.357100000000001</v>
      </c>
      <c r="R482" s="126">
        <v>11</v>
      </c>
      <c r="S482" s="126">
        <v>10.5753</v>
      </c>
      <c r="T482" s="126">
        <v>9.5640499999999999</v>
      </c>
      <c r="U482" s="196">
        <v>14</v>
      </c>
      <c r="V482" s="127" t="str">
        <f t="shared" ref="V482:V513" si="16">IF(A482&lt;&gt;"",IF(A482="OAK","LV",A482),"")</f>
        <v>LAR</v>
      </c>
      <c r="W482" s="127">
        <v>15</v>
      </c>
      <c r="X482" s="128">
        <v>2025</v>
      </c>
    </row>
    <row r="483" spans="1:24" x14ac:dyDescent="0.25">
      <c r="A483" s="74" t="s">
        <v>55</v>
      </c>
      <c r="B483" s="33">
        <v>2025</v>
      </c>
      <c r="C483" s="33">
        <v>1674.24</v>
      </c>
      <c r="D483" s="33">
        <v>-1.3272999999999999</v>
      </c>
      <c r="E483" s="33">
        <v>6.5863899999999997</v>
      </c>
      <c r="F483" s="33">
        <v>-0.36641600000000002</v>
      </c>
      <c r="G483" s="33">
        <v>6.6531500000000001</v>
      </c>
      <c r="H483" s="33">
        <v>7.5399999999999995E-2</v>
      </c>
      <c r="I483" s="33">
        <v>0.1691</v>
      </c>
      <c r="J483" s="33">
        <v>-0.10792599999999999</v>
      </c>
      <c r="K483" s="33">
        <v>-0.15390000000000001</v>
      </c>
      <c r="L483" s="33">
        <v>-0.1116</v>
      </c>
      <c r="M483" s="33">
        <v>-0.14532300000000001</v>
      </c>
      <c r="N483" s="173">
        <v>0.2293</v>
      </c>
      <c r="O483" s="33">
        <v>28.928599999999999</v>
      </c>
      <c r="P483" s="33">
        <v>17.285699999999999</v>
      </c>
      <c r="Q483" s="33">
        <v>11.642899999999999</v>
      </c>
      <c r="R483" s="33">
        <v>11</v>
      </c>
      <c r="S483" s="33">
        <v>10.809900000000001</v>
      </c>
      <c r="T483" s="33">
        <v>9.4143500000000007</v>
      </c>
      <c r="U483" s="197">
        <v>13</v>
      </c>
      <c r="V483" s="90" t="str">
        <f t="shared" si="16"/>
        <v>SEA</v>
      </c>
      <c r="W483" s="90">
        <v>15</v>
      </c>
      <c r="X483" s="91">
        <v>2025</v>
      </c>
    </row>
    <row r="484" spans="1:24" x14ac:dyDescent="0.25">
      <c r="A484" s="74" t="s">
        <v>10</v>
      </c>
      <c r="B484" s="33">
        <v>2025</v>
      </c>
      <c r="C484" s="33">
        <v>1630.48</v>
      </c>
      <c r="D484" s="33">
        <v>8.2562999999999995</v>
      </c>
      <c r="E484" s="33">
        <v>4.8359899999999998</v>
      </c>
      <c r="F484" s="33">
        <v>-9.3188800000000002E-2</v>
      </c>
      <c r="G484" s="33">
        <v>0.311504</v>
      </c>
      <c r="H484" s="33">
        <v>0.12690000000000001</v>
      </c>
      <c r="I484" s="33">
        <v>0.1988</v>
      </c>
      <c r="J484" s="33">
        <v>3.6966600000000001E-3</v>
      </c>
      <c r="K484" s="33">
        <v>2.3699999999999999E-2</v>
      </c>
      <c r="L484" s="33">
        <v>1.9099999999999999E-2</v>
      </c>
      <c r="M484" s="33">
        <v>-6.8582900000000002E-2</v>
      </c>
      <c r="N484" s="173">
        <v>0.1032</v>
      </c>
      <c r="O484" s="33">
        <v>30.571400000000001</v>
      </c>
      <c r="P484" s="33">
        <v>24.642900000000001</v>
      </c>
      <c r="Q484" s="33">
        <v>5.9286000000000003</v>
      </c>
      <c r="R484" s="33">
        <v>8</v>
      </c>
      <c r="S484" s="33">
        <v>8.7502999999999993</v>
      </c>
      <c r="T484" s="33">
        <v>9.3962299999999992</v>
      </c>
      <c r="U484" s="197">
        <v>8</v>
      </c>
      <c r="V484" s="90" t="str">
        <f t="shared" si="16"/>
        <v>DET</v>
      </c>
      <c r="W484" s="90">
        <v>15</v>
      </c>
      <c r="X484" s="91">
        <v>2025</v>
      </c>
    </row>
    <row r="485" spans="1:24" x14ac:dyDescent="0.25">
      <c r="A485" s="74" t="s">
        <v>25</v>
      </c>
      <c r="B485" s="33">
        <v>2025</v>
      </c>
      <c r="C485" s="33">
        <v>1627.35</v>
      </c>
      <c r="D485" s="33">
        <v>4.7403000000000004</v>
      </c>
      <c r="E485" s="33">
        <v>4.7108600000000003</v>
      </c>
      <c r="F485" s="33">
        <v>0.70259799999999994</v>
      </c>
      <c r="G485" s="33">
        <v>0.43133300000000002</v>
      </c>
      <c r="H485" s="33">
        <v>0.17030000000000001</v>
      </c>
      <c r="I485" s="33">
        <v>0.1966</v>
      </c>
      <c r="J485" s="33">
        <v>7.2966000000000003E-2</v>
      </c>
      <c r="K485" s="33">
        <v>6.4000000000000001E-2</v>
      </c>
      <c r="L485" s="33">
        <v>-8.0100000000000005E-2</v>
      </c>
      <c r="M485" s="33">
        <v>0.108305</v>
      </c>
      <c r="N485" s="173">
        <v>0.10630000000000001</v>
      </c>
      <c r="O485" s="33">
        <v>29.357099999999999</v>
      </c>
      <c r="P485" s="33">
        <v>23.142900000000001</v>
      </c>
      <c r="Q485" s="33">
        <v>6.2142999999999997</v>
      </c>
      <c r="R485" s="33">
        <v>10</v>
      </c>
      <c r="S485" s="33">
        <v>8.9222999999999999</v>
      </c>
      <c r="T485" s="33">
        <v>10.2461</v>
      </c>
      <c r="U485" s="197">
        <v>8</v>
      </c>
      <c r="V485" s="90" t="str">
        <f t="shared" si="16"/>
        <v>BUF</v>
      </c>
      <c r="W485" s="90">
        <v>15</v>
      </c>
      <c r="X485" s="91">
        <v>2025</v>
      </c>
    </row>
    <row r="486" spans="1:24" x14ac:dyDescent="0.25">
      <c r="A486" s="74" t="s">
        <v>400</v>
      </c>
      <c r="B486" s="33">
        <v>2025</v>
      </c>
      <c r="C486" s="33">
        <v>1618.46</v>
      </c>
      <c r="D486" s="33">
        <v>6.1985000000000001</v>
      </c>
      <c r="E486" s="33">
        <v>4.3552799999999996</v>
      </c>
      <c r="F486" s="33">
        <v>-0.53428200000000003</v>
      </c>
      <c r="G486" s="33">
        <v>2.3329300000000002</v>
      </c>
      <c r="H486" s="33">
        <v>0.1464</v>
      </c>
      <c r="I486" s="33">
        <v>0.2621</v>
      </c>
      <c r="J486" s="33">
        <v>-5.5262899999999997E-3</v>
      </c>
      <c r="K486" s="33">
        <v>4.3299999999999998E-2</v>
      </c>
      <c r="L486" s="33">
        <v>6.4899999999999999E-2</v>
      </c>
      <c r="M486" s="33">
        <v>-7.3186000000000001E-2</v>
      </c>
      <c r="N486" s="173">
        <v>0.1031</v>
      </c>
      <c r="O486" s="33">
        <v>24.857099999999999</v>
      </c>
      <c r="P486" s="33">
        <v>20.071400000000001</v>
      </c>
      <c r="Q486" s="33">
        <v>4.7857000000000003</v>
      </c>
      <c r="R486" s="33">
        <v>9</v>
      </c>
      <c r="S486" s="33">
        <v>8.7368000000000006</v>
      </c>
      <c r="T486" s="33">
        <v>9.3993500000000001</v>
      </c>
      <c r="U486" s="197">
        <v>10</v>
      </c>
      <c r="V486" s="90" t="str">
        <f t="shared" si="16"/>
        <v>GB</v>
      </c>
      <c r="W486" s="90">
        <v>15</v>
      </c>
      <c r="X486" s="91">
        <v>2025</v>
      </c>
    </row>
    <row r="487" spans="1:24" x14ac:dyDescent="0.25">
      <c r="A487" s="74" t="s">
        <v>38</v>
      </c>
      <c r="B487" s="33">
        <v>2025</v>
      </c>
      <c r="C487" s="33">
        <v>1618.29</v>
      </c>
      <c r="D487" s="33">
        <v>-1.2002999999999999</v>
      </c>
      <c r="E487" s="33">
        <v>4.34842</v>
      </c>
      <c r="F487" s="33">
        <v>0.65667900000000001</v>
      </c>
      <c r="G487" s="33">
        <v>-0.27515600000000001</v>
      </c>
      <c r="H487" s="33">
        <v>1.7299999999999999E-2</v>
      </c>
      <c r="I487" s="33">
        <v>6.6100000000000006E-2</v>
      </c>
      <c r="J487" s="33">
        <v>-4.4453300000000001E-2</v>
      </c>
      <c r="K487" s="33">
        <v>-4.8800000000000003E-2</v>
      </c>
      <c r="L487" s="33">
        <v>-0.126</v>
      </c>
      <c r="M487" s="33">
        <v>-3.3495900000000002E-2</v>
      </c>
      <c r="N487" s="173">
        <v>6.6100000000000006E-2</v>
      </c>
      <c r="O487" s="33">
        <v>22.857099999999999</v>
      </c>
      <c r="P487" s="33">
        <v>19.357099999999999</v>
      </c>
      <c r="Q487" s="33">
        <v>3.5</v>
      </c>
      <c r="R487" s="33">
        <v>9</v>
      </c>
      <c r="S487" s="33">
        <v>8.3611000000000004</v>
      </c>
      <c r="T487" s="33">
        <v>10.548500000000001</v>
      </c>
      <c r="U487" s="197">
        <v>10</v>
      </c>
      <c r="V487" s="90" t="str">
        <f t="shared" si="16"/>
        <v>PHI</v>
      </c>
      <c r="W487" s="90">
        <v>15</v>
      </c>
      <c r="X487" s="91">
        <v>2025</v>
      </c>
    </row>
    <row r="488" spans="1:24" x14ac:dyDescent="0.25">
      <c r="A488" s="74" t="s">
        <v>31</v>
      </c>
      <c r="B488" s="33">
        <v>2025</v>
      </c>
      <c r="C488" s="33">
        <v>1582.56</v>
      </c>
      <c r="D488" s="33">
        <v>4.4669999999999996</v>
      </c>
      <c r="E488" s="33">
        <v>2.9189600000000002</v>
      </c>
      <c r="F488" s="33">
        <v>0.79227000000000003</v>
      </c>
      <c r="G488" s="33">
        <v>3.0963799999999999</v>
      </c>
      <c r="H488" s="33">
        <v>-5.4999999999999997E-3</v>
      </c>
      <c r="I488" s="33">
        <v>5.2200000000000003E-2</v>
      </c>
      <c r="J488" s="33">
        <v>-6.0368100000000001E-2</v>
      </c>
      <c r="K488" s="33">
        <v>-0.1565</v>
      </c>
      <c r="L488" s="33">
        <v>-0.22239999999999999</v>
      </c>
      <c r="M488" s="33">
        <v>-3.4264700000000002E-2</v>
      </c>
      <c r="N488" s="173">
        <v>0.151</v>
      </c>
      <c r="O488" s="33">
        <v>23.071400000000001</v>
      </c>
      <c r="P488" s="33">
        <v>16.285699999999999</v>
      </c>
      <c r="Q488" s="33">
        <v>6.7857000000000003</v>
      </c>
      <c r="R488" s="33">
        <v>9</v>
      </c>
      <c r="S488" s="33">
        <v>9.7355999999999998</v>
      </c>
      <c r="T488" s="33">
        <v>8.4539600000000004</v>
      </c>
      <c r="U488" s="197">
        <v>9</v>
      </c>
      <c r="V488" s="90" t="str">
        <f t="shared" si="16"/>
        <v>HOU</v>
      </c>
      <c r="W488" s="90">
        <v>15</v>
      </c>
      <c r="X488" s="91">
        <v>2025</v>
      </c>
    </row>
    <row r="489" spans="1:24" x14ac:dyDescent="0.25">
      <c r="A489" s="74" t="s">
        <v>63</v>
      </c>
      <c r="B489" s="33">
        <v>2025</v>
      </c>
      <c r="C489" s="33">
        <v>1572.55</v>
      </c>
      <c r="D489" s="33">
        <v>13.8492</v>
      </c>
      <c r="E489" s="33">
        <v>2.51878</v>
      </c>
      <c r="F489" s="33">
        <v>0.69166000000000005</v>
      </c>
      <c r="G489" s="33">
        <v>1.0160800000000001</v>
      </c>
      <c r="H489" s="33">
        <v>5.0099999999999999E-2</v>
      </c>
      <c r="I489" s="33">
        <v>0.1108</v>
      </c>
      <c r="J489" s="33">
        <v>-1.6183300000000001E-2</v>
      </c>
      <c r="K489" s="33">
        <v>-4.3900000000000002E-2</v>
      </c>
      <c r="L489" s="33">
        <v>-9.3600000000000003E-2</v>
      </c>
      <c r="M489" s="33">
        <v>-5.2016699999999999E-2</v>
      </c>
      <c r="N489" s="173">
        <v>9.4E-2</v>
      </c>
      <c r="O489" s="33">
        <v>24.428599999999999</v>
      </c>
      <c r="P489" s="33">
        <v>18.642900000000001</v>
      </c>
      <c r="Q489" s="33">
        <v>5.7857000000000003</v>
      </c>
      <c r="R489" s="33">
        <v>12</v>
      </c>
      <c r="S489" s="33">
        <v>9.1684000000000001</v>
      </c>
      <c r="T489" s="33">
        <v>9.8359699999999997</v>
      </c>
      <c r="U489" s="197">
        <v>11</v>
      </c>
      <c r="V489" s="90" t="str">
        <f t="shared" si="16"/>
        <v>DEN</v>
      </c>
      <c r="W489" s="90">
        <v>15</v>
      </c>
      <c r="X489" s="91">
        <v>2025</v>
      </c>
    </row>
    <row r="490" spans="1:24" x14ac:dyDescent="0.25">
      <c r="A490" s="74" t="s">
        <v>405</v>
      </c>
      <c r="B490" s="33">
        <v>2025</v>
      </c>
      <c r="C490" s="33">
        <v>1571.44</v>
      </c>
      <c r="D490" s="33">
        <v>6.4869000000000003</v>
      </c>
      <c r="E490" s="33">
        <v>2.4742000000000002</v>
      </c>
      <c r="F490" s="33">
        <v>0.18576699999999999</v>
      </c>
      <c r="G490" s="33">
        <v>1.65327</v>
      </c>
      <c r="H490" s="33">
        <v>9.9199999999999997E-2</v>
      </c>
      <c r="I490" s="33">
        <v>0.15609999999999999</v>
      </c>
      <c r="J490" s="33">
        <v>-6.2918600000000005E-2</v>
      </c>
      <c r="K490" s="33">
        <v>2.5499999999999998E-2</v>
      </c>
      <c r="L490" s="33">
        <v>9.2999999999999999E-2</v>
      </c>
      <c r="M490" s="33">
        <v>-1.4429900000000001E-2</v>
      </c>
      <c r="N490" s="173">
        <v>7.3700000000000002E-2</v>
      </c>
      <c r="O490" s="33">
        <v>24.571400000000001</v>
      </c>
      <c r="P490" s="33">
        <v>20.928599999999999</v>
      </c>
      <c r="Q490" s="33">
        <v>3.6429</v>
      </c>
      <c r="R490" s="33">
        <v>10</v>
      </c>
      <c r="S490" s="33">
        <v>8.3153000000000006</v>
      </c>
      <c r="T490" s="33">
        <v>8.2610799999999998</v>
      </c>
      <c r="U490" s="197">
        <v>8</v>
      </c>
      <c r="V490" s="90" t="str">
        <f t="shared" si="16"/>
        <v>SF</v>
      </c>
      <c r="W490" s="90">
        <v>15</v>
      </c>
      <c r="X490" s="91">
        <v>2025</v>
      </c>
    </row>
    <row r="491" spans="1:24" x14ac:dyDescent="0.25">
      <c r="A491" s="74" t="s">
        <v>47</v>
      </c>
      <c r="B491" s="33">
        <v>2025</v>
      </c>
      <c r="C491" s="33">
        <v>1563.64</v>
      </c>
      <c r="D491" s="33">
        <v>-24.172999999999998</v>
      </c>
      <c r="E491" s="33">
        <v>2.1623700000000001</v>
      </c>
      <c r="F491" s="33">
        <v>0.45327600000000001</v>
      </c>
      <c r="G491" s="33">
        <v>-4.1700299999999997</v>
      </c>
      <c r="H491" s="33">
        <v>2.64E-2</v>
      </c>
      <c r="I491" s="33">
        <v>-9.8100000000000007E-2</v>
      </c>
      <c r="J491" s="33">
        <v>5.8853799999999998E-2</v>
      </c>
      <c r="K491" s="33">
        <v>1.4999999999999999E-2</v>
      </c>
      <c r="L491" s="33">
        <v>3.2399999999999998E-2</v>
      </c>
      <c r="M491" s="33">
        <v>-5.93488E-2</v>
      </c>
      <c r="N491" s="173">
        <v>1.1299999999999999E-2</v>
      </c>
      <c r="O491" s="33">
        <v>23.928599999999999</v>
      </c>
      <c r="P491" s="33">
        <v>22.857099999999999</v>
      </c>
      <c r="Q491" s="33">
        <v>1.0713999999999999</v>
      </c>
      <c r="R491" s="33">
        <v>7</v>
      </c>
      <c r="S491" s="33">
        <v>7.3795999999999999</v>
      </c>
      <c r="T491" s="33">
        <v>9.0644600000000004</v>
      </c>
      <c r="U491" s="197">
        <v>8</v>
      </c>
      <c r="V491" s="90" t="str">
        <f t="shared" si="16"/>
        <v>BAL</v>
      </c>
      <c r="W491" s="90">
        <v>15</v>
      </c>
      <c r="X491" s="91">
        <v>2025</v>
      </c>
    </row>
    <row r="492" spans="1:24" x14ac:dyDescent="0.25">
      <c r="A492" s="74" t="s">
        <v>57</v>
      </c>
      <c r="B492" s="33">
        <v>2025</v>
      </c>
      <c r="C492" s="33">
        <v>1556.52</v>
      </c>
      <c r="D492" s="33">
        <v>16.273099999999999</v>
      </c>
      <c r="E492" s="33">
        <v>1.87757</v>
      </c>
      <c r="F492" s="33">
        <v>1.01905E-2</v>
      </c>
      <c r="G492" s="33">
        <v>4.9341699999999999</v>
      </c>
      <c r="H492" s="33">
        <v>0.1472</v>
      </c>
      <c r="I492" s="33">
        <v>0.1041</v>
      </c>
      <c r="J492" s="33">
        <v>0.10156900000000001</v>
      </c>
      <c r="K492" s="33">
        <v>1.1299999999999999E-2</v>
      </c>
      <c r="L492" s="33">
        <v>1.3100000000000001E-2</v>
      </c>
      <c r="M492" s="33">
        <v>-8.2762500000000003E-2</v>
      </c>
      <c r="N492" s="173">
        <v>0.13589999999999999</v>
      </c>
      <c r="O492" s="33">
        <v>28</v>
      </c>
      <c r="P492" s="33">
        <v>21.642900000000001</v>
      </c>
      <c r="Q492" s="33">
        <v>6.3571</v>
      </c>
      <c r="R492" s="33">
        <v>8</v>
      </c>
      <c r="S492" s="33">
        <v>9.0723000000000003</v>
      </c>
      <c r="T492" s="33">
        <v>7.7389299999999999</v>
      </c>
      <c r="U492" s="197">
        <v>9</v>
      </c>
      <c r="V492" s="90" t="str">
        <f t="shared" si="16"/>
        <v>IND</v>
      </c>
      <c r="W492" s="90">
        <v>15</v>
      </c>
      <c r="X492" s="91">
        <v>2025</v>
      </c>
    </row>
    <row r="493" spans="1:24" x14ac:dyDescent="0.25">
      <c r="A493" s="74" t="s">
        <v>404</v>
      </c>
      <c r="B493" s="33">
        <v>2025</v>
      </c>
      <c r="C493" s="33">
        <v>1555.15</v>
      </c>
      <c r="D493" s="33">
        <v>16.637699999999999</v>
      </c>
      <c r="E493" s="33">
        <v>1.8226500000000001</v>
      </c>
      <c r="F493" s="33">
        <v>-0.72277800000000003</v>
      </c>
      <c r="G493" s="33">
        <v>4.8845700000000001</v>
      </c>
      <c r="H493" s="33">
        <v>0.1074</v>
      </c>
      <c r="I493" s="33">
        <v>0.26290000000000002</v>
      </c>
      <c r="J493" s="33">
        <v>-4.6394600000000001E-2</v>
      </c>
      <c r="K493" s="33">
        <v>-3.09E-2</v>
      </c>
      <c r="L493" s="33">
        <v>-2.92E-2</v>
      </c>
      <c r="M493" s="33">
        <v>-3.1190800000000001E-2</v>
      </c>
      <c r="N493" s="173">
        <v>0.1384</v>
      </c>
      <c r="O493" s="33">
        <v>27.285699999999999</v>
      </c>
      <c r="P493" s="33">
        <v>19.714300000000001</v>
      </c>
      <c r="Q493" s="33">
        <v>7.5713999999999997</v>
      </c>
      <c r="R493" s="33">
        <v>11</v>
      </c>
      <c r="S493" s="33">
        <v>9.5701999999999998</v>
      </c>
      <c r="T493" s="33">
        <v>8.2156900000000004</v>
      </c>
      <c r="U493" s="197">
        <v>8</v>
      </c>
      <c r="V493" s="90" t="str">
        <f t="shared" si="16"/>
        <v>NE</v>
      </c>
      <c r="W493" s="90">
        <v>15</v>
      </c>
      <c r="X493" s="91">
        <v>2025</v>
      </c>
    </row>
    <row r="494" spans="1:24" x14ac:dyDescent="0.25">
      <c r="A494" s="74" t="s">
        <v>44</v>
      </c>
      <c r="B494" s="33">
        <v>2025</v>
      </c>
      <c r="C494" s="33">
        <v>1546.99</v>
      </c>
      <c r="D494" s="33">
        <v>16.407900000000001</v>
      </c>
      <c r="E494" s="33">
        <v>1.4962200000000001</v>
      </c>
      <c r="F494" s="33">
        <v>1.2816700000000001</v>
      </c>
      <c r="G494" s="33">
        <v>3.4273199999999999</v>
      </c>
      <c r="H494" s="33">
        <v>4.4299999999999999E-2</v>
      </c>
      <c r="I494" s="33">
        <v>2.63E-2</v>
      </c>
      <c r="J494" s="33">
        <v>-4.4531199999999996E-3</v>
      </c>
      <c r="K494" s="33">
        <v>-6.25E-2</v>
      </c>
      <c r="L494" s="33">
        <v>-0.11940000000000001</v>
      </c>
      <c r="M494" s="33">
        <v>-6.1526600000000001E-2</v>
      </c>
      <c r="N494" s="173">
        <v>0.10680000000000001</v>
      </c>
      <c r="O494" s="33">
        <v>26.857099999999999</v>
      </c>
      <c r="P494" s="33">
        <v>20.857099999999999</v>
      </c>
      <c r="Q494" s="33">
        <v>6</v>
      </c>
      <c r="R494" s="33">
        <v>10</v>
      </c>
      <c r="S494" s="33">
        <v>9.0366999999999997</v>
      </c>
      <c r="T494" s="33">
        <v>7.0568900000000001</v>
      </c>
      <c r="U494" s="197">
        <v>10</v>
      </c>
      <c r="V494" s="90" t="str">
        <f t="shared" si="16"/>
        <v>JAX</v>
      </c>
      <c r="W494" s="90">
        <v>15</v>
      </c>
      <c r="X494" s="91">
        <v>2025</v>
      </c>
    </row>
    <row r="495" spans="1:24" x14ac:dyDescent="0.25">
      <c r="A495" s="74" t="s">
        <v>72</v>
      </c>
      <c r="B495" s="33">
        <v>2025</v>
      </c>
      <c r="C495" s="33">
        <v>1524.3</v>
      </c>
      <c r="D495" s="33">
        <v>14.936999999999999</v>
      </c>
      <c r="E495" s="33">
        <v>0.58863799999999999</v>
      </c>
      <c r="F495" s="33">
        <v>0.94167999999999996</v>
      </c>
      <c r="G495" s="33">
        <v>1.94774</v>
      </c>
      <c r="H495" s="33">
        <v>4.3799999999999999E-2</v>
      </c>
      <c r="I495" s="33">
        <v>5.4899999999999997E-2</v>
      </c>
      <c r="J495" s="33">
        <v>6.25473E-2</v>
      </c>
      <c r="K495" s="33">
        <v>-2.9999999999999997E-4</v>
      </c>
      <c r="L495" s="33">
        <v>-2.8400000000000002E-2</v>
      </c>
      <c r="M495" s="33">
        <v>-9.31272E-3</v>
      </c>
      <c r="N495" s="173">
        <v>4.41E-2</v>
      </c>
      <c r="O495" s="33">
        <v>26.071400000000001</v>
      </c>
      <c r="P495" s="33">
        <v>24.142900000000001</v>
      </c>
      <c r="Q495" s="33">
        <v>1.9286000000000001</v>
      </c>
      <c r="R495" s="33">
        <v>10</v>
      </c>
      <c r="S495" s="33">
        <v>7.6356999999999999</v>
      </c>
      <c r="T495" s="33">
        <v>6.5194299999999998</v>
      </c>
      <c r="U495" s="197">
        <v>9</v>
      </c>
      <c r="V495" s="90" t="str">
        <f t="shared" si="16"/>
        <v>CHI</v>
      </c>
      <c r="W495" s="90">
        <v>15</v>
      </c>
      <c r="X495" s="91">
        <v>2025</v>
      </c>
    </row>
    <row r="496" spans="1:24" x14ac:dyDescent="0.25">
      <c r="A496" s="74" t="s">
        <v>60</v>
      </c>
      <c r="B496" s="33">
        <v>2025</v>
      </c>
      <c r="C496" s="33">
        <v>1516.57</v>
      </c>
      <c r="D496" s="33">
        <v>-24.337</v>
      </c>
      <c r="E496" s="33">
        <v>0.27960000000000002</v>
      </c>
      <c r="F496" s="33">
        <v>0.26105499999999998</v>
      </c>
      <c r="G496" s="33">
        <v>-0.37060500000000002</v>
      </c>
      <c r="H496" s="33">
        <v>2E-3</v>
      </c>
      <c r="I496" s="33">
        <v>-3.95E-2</v>
      </c>
      <c r="J496" s="33">
        <v>-1.6365999999999999E-2</v>
      </c>
      <c r="K496" s="33">
        <v>-4.2799999999999998E-2</v>
      </c>
      <c r="L496" s="33">
        <v>-0.1245</v>
      </c>
      <c r="M496" s="33">
        <v>-3.3176600000000001E-2</v>
      </c>
      <c r="N496" s="173">
        <v>4.4900000000000002E-2</v>
      </c>
      <c r="O496" s="33">
        <v>22.5</v>
      </c>
      <c r="P496" s="33">
        <v>20.285699999999999</v>
      </c>
      <c r="Q496" s="33">
        <v>2.2143000000000002</v>
      </c>
      <c r="R496" s="33">
        <v>10</v>
      </c>
      <c r="S496" s="33">
        <v>7.8551000000000002</v>
      </c>
      <c r="T496" s="33">
        <v>8.8262699999999992</v>
      </c>
      <c r="U496" s="197">
        <v>7</v>
      </c>
      <c r="V496" s="90" t="str">
        <f t="shared" si="16"/>
        <v>LAC</v>
      </c>
      <c r="W496" s="90">
        <v>15</v>
      </c>
      <c r="X496" s="91">
        <v>2025</v>
      </c>
    </row>
    <row r="497" spans="1:24" x14ac:dyDescent="0.25">
      <c r="A497" s="74" t="s">
        <v>85</v>
      </c>
      <c r="B497" s="33">
        <v>2025</v>
      </c>
      <c r="C497" s="33">
        <v>1512.25</v>
      </c>
      <c r="D497" s="33">
        <v>-4.7859999999999996</v>
      </c>
      <c r="E497" s="33">
        <v>0.106763</v>
      </c>
      <c r="F497" s="33">
        <v>0.125303</v>
      </c>
      <c r="G497" s="33">
        <v>0.04</v>
      </c>
      <c r="H497" s="33">
        <v>6.1400000000000003E-2</v>
      </c>
      <c r="I497" s="33">
        <v>3.6400000000000002E-2</v>
      </c>
      <c r="J497" s="33">
        <v>-4.4730999999999998E-3</v>
      </c>
      <c r="K497" s="33">
        <v>3.6600000000000001E-2</v>
      </c>
      <c r="L497" s="33">
        <v>8.2000000000000007E-3</v>
      </c>
      <c r="M497" s="33">
        <v>1.7852300000000002E-2</v>
      </c>
      <c r="N497" s="173">
        <v>2.4799999999999999E-2</v>
      </c>
      <c r="O497" s="33">
        <v>24</v>
      </c>
      <c r="P497" s="33">
        <v>23.285699999999999</v>
      </c>
      <c r="Q497" s="33">
        <v>0.71430000000000005</v>
      </c>
      <c r="R497" s="33">
        <v>8</v>
      </c>
      <c r="S497" s="33">
        <v>7.2504999999999997</v>
      </c>
      <c r="T497" s="33">
        <v>7.6775099999999998</v>
      </c>
      <c r="U497" s="197">
        <v>6</v>
      </c>
      <c r="V497" s="90" t="str">
        <f t="shared" si="16"/>
        <v>PIT</v>
      </c>
      <c r="W497" s="90">
        <v>15</v>
      </c>
      <c r="X497" s="91">
        <v>2025</v>
      </c>
    </row>
    <row r="498" spans="1:24" x14ac:dyDescent="0.25">
      <c r="A498" s="74" t="s">
        <v>399</v>
      </c>
      <c r="B498" s="33">
        <v>2025</v>
      </c>
      <c r="C498" s="33">
        <v>1506.91</v>
      </c>
      <c r="D498" s="33">
        <v>-79.325000000000003</v>
      </c>
      <c r="E498" s="33">
        <v>-0.106763</v>
      </c>
      <c r="F498" s="33">
        <v>-3.47105</v>
      </c>
      <c r="G498" s="33">
        <v>-3.3001999999999998</v>
      </c>
      <c r="H498" s="33">
        <v>0.1037</v>
      </c>
      <c r="I498" s="33">
        <v>0.13170000000000001</v>
      </c>
      <c r="J498" s="33">
        <v>4.5552299999999997E-2</v>
      </c>
      <c r="K498" s="33">
        <v>4.1200000000000001E-2</v>
      </c>
      <c r="L498" s="33">
        <v>1.37E-2</v>
      </c>
      <c r="M498" s="33">
        <v>-3.5510699999999999E-2</v>
      </c>
      <c r="N498" s="173">
        <v>6.25E-2</v>
      </c>
      <c r="O498" s="33">
        <v>23.428599999999999</v>
      </c>
      <c r="P498" s="33">
        <v>19.142900000000001</v>
      </c>
      <c r="Q498" s="33">
        <v>4.2857000000000003</v>
      </c>
      <c r="R498" s="33">
        <v>6</v>
      </c>
      <c r="S498" s="33">
        <v>8.6445000000000007</v>
      </c>
      <c r="T498" s="33">
        <v>9.2126999999999999</v>
      </c>
      <c r="U498" s="197">
        <v>8</v>
      </c>
      <c r="V498" s="90" t="str">
        <f t="shared" si="16"/>
        <v>KC</v>
      </c>
      <c r="W498" s="90">
        <v>15</v>
      </c>
      <c r="X498" s="91">
        <v>2025</v>
      </c>
    </row>
    <row r="499" spans="1:24" x14ac:dyDescent="0.25">
      <c r="A499" s="74" t="s">
        <v>14</v>
      </c>
      <c r="B499" s="33">
        <v>2025</v>
      </c>
      <c r="C499" s="33">
        <v>1498.16</v>
      </c>
      <c r="D499" s="33">
        <v>13.3812</v>
      </c>
      <c r="E499" s="33">
        <v>-0.457036</v>
      </c>
      <c r="F499" s="33">
        <v>-0.61037600000000003</v>
      </c>
      <c r="G499" s="33">
        <v>0.58472199999999996</v>
      </c>
      <c r="H499" s="33">
        <v>0.1424</v>
      </c>
      <c r="I499" s="33">
        <v>0.16350000000000001</v>
      </c>
      <c r="J499" s="33">
        <v>-1.0271499999999999E-2</v>
      </c>
      <c r="K499" s="33">
        <v>0.16569999999999999</v>
      </c>
      <c r="L499" s="33">
        <v>0.1981</v>
      </c>
      <c r="M499" s="33">
        <v>7.8365900000000002E-2</v>
      </c>
      <c r="N499" s="173">
        <v>-2.3300000000000001E-2</v>
      </c>
      <c r="O499" s="33">
        <v>29.071400000000001</v>
      </c>
      <c r="P499" s="33">
        <v>30</v>
      </c>
      <c r="Q499" s="33">
        <v>-0.92859999999999998</v>
      </c>
      <c r="R499" s="33">
        <v>6</v>
      </c>
      <c r="S499" s="33">
        <v>6.7393000000000001</v>
      </c>
      <c r="T499" s="33">
        <v>6.5358799999999997</v>
      </c>
      <c r="U499" s="197">
        <v>6</v>
      </c>
      <c r="V499" s="90" t="str">
        <f t="shared" si="16"/>
        <v>DAL</v>
      </c>
      <c r="W499" s="90">
        <v>15</v>
      </c>
      <c r="X499" s="91">
        <v>2025</v>
      </c>
    </row>
    <row r="500" spans="1:24" x14ac:dyDescent="0.25">
      <c r="A500" s="74" t="s">
        <v>77</v>
      </c>
      <c r="B500" s="33">
        <v>2025</v>
      </c>
      <c r="C500" s="33">
        <v>1449.29</v>
      </c>
      <c r="D500" s="33">
        <v>-3.7021999999999999</v>
      </c>
      <c r="E500" s="33">
        <v>-2.4117000000000002</v>
      </c>
      <c r="F500" s="33">
        <v>-1.04481</v>
      </c>
      <c r="G500" s="33">
        <v>-4.0304500000000001</v>
      </c>
      <c r="H500" s="33">
        <v>3.7000000000000002E-3</v>
      </c>
      <c r="I500" s="33">
        <v>-8.2100000000000006E-2</v>
      </c>
      <c r="J500" s="33">
        <v>-2.0901099999999999E-2</v>
      </c>
      <c r="K500" s="33">
        <v>0.16259999999999999</v>
      </c>
      <c r="L500" s="33">
        <v>0.2296</v>
      </c>
      <c r="M500" s="33">
        <v>8.4652699999999997E-2</v>
      </c>
      <c r="N500" s="173">
        <v>-0.15890000000000001</v>
      </c>
      <c r="O500" s="33">
        <v>22.428599999999999</v>
      </c>
      <c r="P500" s="33">
        <v>31.214300000000001</v>
      </c>
      <c r="Q500" s="33">
        <v>-8.7857000000000003</v>
      </c>
      <c r="R500" s="33">
        <v>4</v>
      </c>
      <c r="S500" s="33">
        <v>4.3902999999999999</v>
      </c>
      <c r="T500" s="33">
        <v>6.5498700000000003</v>
      </c>
      <c r="U500" s="197">
        <v>5</v>
      </c>
      <c r="V500" s="90" t="str">
        <f t="shared" si="16"/>
        <v>CIN</v>
      </c>
      <c r="W500" s="90">
        <v>15</v>
      </c>
      <c r="X500" s="91">
        <v>2025</v>
      </c>
    </row>
    <row r="501" spans="1:24" x14ac:dyDescent="0.25">
      <c r="A501" s="74" t="s">
        <v>75</v>
      </c>
      <c r="B501" s="33">
        <v>2025</v>
      </c>
      <c r="C501" s="33">
        <v>1449.15</v>
      </c>
      <c r="D501" s="33">
        <v>-12.184200000000001</v>
      </c>
      <c r="E501" s="33">
        <v>-2.41717</v>
      </c>
      <c r="F501" s="33">
        <v>0.72641100000000003</v>
      </c>
      <c r="G501" s="33">
        <v>-3.0455199999999998</v>
      </c>
      <c r="H501" s="33">
        <v>-9.4500000000000001E-2</v>
      </c>
      <c r="I501" s="33">
        <v>-0.1885</v>
      </c>
      <c r="J501" s="33">
        <v>-4.80393E-2</v>
      </c>
      <c r="K501" s="33">
        <v>-5.3900000000000003E-2</v>
      </c>
      <c r="L501" s="33">
        <v>-8.9499999999999996E-2</v>
      </c>
      <c r="M501" s="33">
        <v>-2.4667999999999999E-2</v>
      </c>
      <c r="N501" s="173">
        <v>-4.0599999999999997E-2</v>
      </c>
      <c r="O501" s="33">
        <v>20.642900000000001</v>
      </c>
      <c r="P501" s="33">
        <v>21.928599999999999</v>
      </c>
      <c r="Q501" s="33">
        <v>-1.2857000000000001</v>
      </c>
      <c r="R501" s="33">
        <v>6</v>
      </c>
      <c r="S501" s="33">
        <v>6.4996999999999998</v>
      </c>
      <c r="T501" s="33">
        <v>7.5945</v>
      </c>
      <c r="U501" s="197">
        <v>5</v>
      </c>
      <c r="V501" s="90" t="str">
        <f t="shared" si="16"/>
        <v>MIN</v>
      </c>
      <c r="W501" s="90">
        <v>15</v>
      </c>
      <c r="X501" s="91">
        <v>2025</v>
      </c>
    </row>
    <row r="502" spans="1:24" x14ac:dyDescent="0.25">
      <c r="A502" s="74" t="s">
        <v>402</v>
      </c>
      <c r="B502" s="33">
        <v>2025</v>
      </c>
      <c r="C502" s="33">
        <v>1447.07</v>
      </c>
      <c r="D502" s="33">
        <v>-19.773</v>
      </c>
      <c r="E502" s="33">
        <v>-2.5003000000000002</v>
      </c>
      <c r="F502" s="33">
        <v>-0.50342799999999999</v>
      </c>
      <c r="G502" s="33">
        <v>-2.7731599999999998</v>
      </c>
      <c r="H502" s="33">
        <v>-1.24E-2</v>
      </c>
      <c r="I502" s="33">
        <v>-5.8000000000000003E-2</v>
      </c>
      <c r="J502" s="33">
        <v>8.3292499999999998E-3</v>
      </c>
      <c r="K502" s="33">
        <v>2.0299999999999999E-2</v>
      </c>
      <c r="L502" s="33">
        <v>5.5199999999999999E-2</v>
      </c>
      <c r="M502" s="33">
        <v>-7.7575599999999995E-2</v>
      </c>
      <c r="N502" s="173">
        <v>-3.2599999999999997E-2</v>
      </c>
      <c r="O502" s="33">
        <v>23.357099999999999</v>
      </c>
      <c r="P502" s="33">
        <v>25.285699999999999</v>
      </c>
      <c r="Q502" s="33">
        <v>-1.9286000000000001</v>
      </c>
      <c r="R502" s="33">
        <v>7</v>
      </c>
      <c r="S502" s="33">
        <v>6.3437999999999999</v>
      </c>
      <c r="T502" s="33">
        <v>8.1444100000000006</v>
      </c>
      <c r="U502" s="197">
        <v>6</v>
      </c>
      <c r="V502" s="90" t="str">
        <f t="shared" si="16"/>
        <v>TB</v>
      </c>
      <c r="W502" s="90">
        <v>15</v>
      </c>
      <c r="X502" s="91">
        <v>2025</v>
      </c>
    </row>
    <row r="503" spans="1:24" x14ac:dyDescent="0.25">
      <c r="A503" s="74" t="s">
        <v>69</v>
      </c>
      <c r="B503" s="33">
        <v>2025</v>
      </c>
      <c r="C503" s="33">
        <v>1443.68</v>
      </c>
      <c r="D503" s="33">
        <v>33.340200000000003</v>
      </c>
      <c r="E503" s="33">
        <v>-2.6362100000000002</v>
      </c>
      <c r="F503" s="33">
        <v>0.57898400000000005</v>
      </c>
      <c r="G503" s="33">
        <v>-1.5805400000000001</v>
      </c>
      <c r="H503" s="33">
        <v>-2.3599999999999999E-2</v>
      </c>
      <c r="I503" s="33">
        <v>-3.0499999999999999E-2</v>
      </c>
      <c r="J503" s="33">
        <v>-1.52079E-2</v>
      </c>
      <c r="K503" s="33">
        <v>5.7200000000000001E-2</v>
      </c>
      <c r="L503" s="33">
        <v>-1.29E-2</v>
      </c>
      <c r="M503" s="33">
        <v>2.9413399999999999E-2</v>
      </c>
      <c r="N503" s="173">
        <v>-8.0799999999999997E-2</v>
      </c>
      <c r="O503" s="33">
        <v>20.071400000000001</v>
      </c>
      <c r="P503" s="33">
        <v>24.357099999999999</v>
      </c>
      <c r="Q503" s="33">
        <v>-4.2857000000000003</v>
      </c>
      <c r="R503" s="33">
        <v>5</v>
      </c>
      <c r="S503" s="33">
        <v>5.4222000000000001</v>
      </c>
      <c r="T503" s="33">
        <v>6.3317500000000004</v>
      </c>
      <c r="U503" s="197">
        <v>9</v>
      </c>
      <c r="V503" s="90" t="str">
        <f t="shared" si="16"/>
        <v>ATL</v>
      </c>
      <c r="W503" s="90">
        <v>15</v>
      </c>
      <c r="X503" s="91">
        <v>2025</v>
      </c>
    </row>
    <row r="504" spans="1:24" x14ac:dyDescent="0.25">
      <c r="A504" s="74" t="s">
        <v>2</v>
      </c>
      <c r="B504" s="33">
        <v>2025</v>
      </c>
      <c r="C504" s="33">
        <v>1427.26</v>
      </c>
      <c r="D504" s="33">
        <v>-32.817</v>
      </c>
      <c r="E504" s="33">
        <v>-3.29271</v>
      </c>
      <c r="F504" s="33">
        <v>-1.7245699999999999</v>
      </c>
      <c r="G504" s="33">
        <v>-3.0714800000000002</v>
      </c>
      <c r="H504" s="33">
        <v>3.39E-2</v>
      </c>
      <c r="I504" s="33">
        <v>-1.2999999999999999E-3</v>
      </c>
      <c r="J504" s="33">
        <v>3.7478300000000002E-3</v>
      </c>
      <c r="K504" s="33">
        <v>6.0699999999999997E-2</v>
      </c>
      <c r="L504" s="33">
        <v>9.4E-2</v>
      </c>
      <c r="M504" s="33">
        <v>4.0756000000000004E-3</v>
      </c>
      <c r="N504" s="173">
        <v>-2.6800000000000001E-2</v>
      </c>
      <c r="O504" s="33">
        <v>21.142900000000001</v>
      </c>
      <c r="P504" s="33">
        <v>23.142900000000001</v>
      </c>
      <c r="Q504" s="33">
        <v>-2</v>
      </c>
      <c r="R504" s="33">
        <v>6</v>
      </c>
      <c r="S504" s="33">
        <v>6.2530999999999999</v>
      </c>
      <c r="T504" s="33">
        <v>7.1049100000000003</v>
      </c>
      <c r="U504" s="197">
        <v>8</v>
      </c>
      <c r="V504" s="90" t="str">
        <f t="shared" si="16"/>
        <v>MIA</v>
      </c>
      <c r="W504" s="90">
        <v>15</v>
      </c>
      <c r="X504" s="91">
        <v>2025</v>
      </c>
    </row>
    <row r="505" spans="1:24" x14ac:dyDescent="0.25">
      <c r="A505" s="74" t="s">
        <v>41</v>
      </c>
      <c r="B505" s="33">
        <v>2025</v>
      </c>
      <c r="C505" s="33">
        <v>1404.01</v>
      </c>
      <c r="D505" s="33">
        <v>-32.856699999999996</v>
      </c>
      <c r="E505" s="33">
        <v>-4.2229299999999999</v>
      </c>
      <c r="F505" s="33">
        <v>0.54908199999999996</v>
      </c>
      <c r="G505" s="33">
        <v>-5.99132</v>
      </c>
      <c r="H505" s="33">
        <v>2.3599999999999999E-2</v>
      </c>
      <c r="I505" s="33">
        <v>-1.5599999999999999E-2</v>
      </c>
      <c r="J505" s="33">
        <v>1.8273500000000002E-2</v>
      </c>
      <c r="K505" s="33">
        <v>0.14180000000000001</v>
      </c>
      <c r="L505" s="33">
        <v>0.2387</v>
      </c>
      <c r="M505" s="33">
        <v>2.6023299999999999E-2</v>
      </c>
      <c r="N505" s="173">
        <v>-0.1182</v>
      </c>
      <c r="O505" s="33">
        <v>20.785699999999999</v>
      </c>
      <c r="P505" s="33">
        <v>26.785699999999999</v>
      </c>
      <c r="Q505" s="33">
        <v>-6</v>
      </c>
      <c r="R505" s="33">
        <v>4</v>
      </c>
      <c r="S505" s="33">
        <v>4.9574999999999996</v>
      </c>
      <c r="T505" s="33">
        <v>7.5462899999999999</v>
      </c>
      <c r="U505" s="197">
        <v>4</v>
      </c>
      <c r="V505" s="90" t="str">
        <f t="shared" si="16"/>
        <v>WAS</v>
      </c>
      <c r="W505" s="90">
        <v>15</v>
      </c>
      <c r="X505" s="91">
        <v>2025</v>
      </c>
    </row>
    <row r="506" spans="1:24" x14ac:dyDescent="0.25">
      <c r="A506" s="74" t="s">
        <v>67</v>
      </c>
      <c r="B506" s="33">
        <v>2025</v>
      </c>
      <c r="C506" s="33">
        <v>1403.91</v>
      </c>
      <c r="D506" s="33">
        <v>13.3331</v>
      </c>
      <c r="E506" s="33">
        <v>-4.2269399999999999</v>
      </c>
      <c r="F506" s="33">
        <v>-0.19514200000000001</v>
      </c>
      <c r="G506" s="33">
        <v>1.24773</v>
      </c>
      <c r="H506" s="33">
        <v>-5.1000000000000004E-3</v>
      </c>
      <c r="I506" s="33">
        <v>-3.95E-2</v>
      </c>
      <c r="J506" s="33">
        <v>-1.42674E-2</v>
      </c>
      <c r="K506" s="33">
        <v>6.8000000000000005E-2</v>
      </c>
      <c r="L506" s="33">
        <v>0.12559999999999999</v>
      </c>
      <c r="M506" s="33">
        <v>4.6170999999999999E-3</v>
      </c>
      <c r="N506" s="173">
        <v>-7.3099999999999998E-2</v>
      </c>
      <c r="O506" s="33">
        <v>18.857099999999999</v>
      </c>
      <c r="P506" s="33">
        <v>22.642900000000001</v>
      </c>
      <c r="Q506" s="33">
        <v>-3.7856999999999998</v>
      </c>
      <c r="R506" s="33">
        <v>7</v>
      </c>
      <c r="S506" s="33">
        <v>5.5057</v>
      </c>
      <c r="T506" s="33">
        <v>5.9722099999999996</v>
      </c>
      <c r="U506" s="197">
        <v>4</v>
      </c>
      <c r="V506" s="90" t="str">
        <f t="shared" si="16"/>
        <v>CAR</v>
      </c>
      <c r="W506" s="90">
        <v>15</v>
      </c>
      <c r="X506" s="91">
        <v>2025</v>
      </c>
    </row>
    <row r="507" spans="1:24" x14ac:dyDescent="0.25">
      <c r="A507" s="74" t="s">
        <v>95</v>
      </c>
      <c r="B507" s="33">
        <v>2025</v>
      </c>
      <c r="C507" s="33">
        <v>1392.98</v>
      </c>
      <c r="D507" s="33">
        <v>-5.8829000000000002</v>
      </c>
      <c r="E507" s="33">
        <v>-4.6642700000000001</v>
      </c>
      <c r="F507" s="33">
        <v>-0.406719</v>
      </c>
      <c r="G507" s="33">
        <v>-1.2949E-2</v>
      </c>
      <c r="H507" s="33">
        <v>1.6199999999999999E-2</v>
      </c>
      <c r="I507" s="33">
        <v>1.6999999999999999E-3</v>
      </c>
      <c r="J507" s="33">
        <v>7.8563999999999995E-3</v>
      </c>
      <c r="K507" s="33">
        <v>0.1308</v>
      </c>
      <c r="L507" s="33">
        <v>7.9000000000000001E-2</v>
      </c>
      <c r="M507" s="33">
        <v>0.16256499999999999</v>
      </c>
      <c r="N507" s="173">
        <v>-0.11459999999999999</v>
      </c>
      <c r="O507" s="33">
        <v>21.428599999999999</v>
      </c>
      <c r="P507" s="33">
        <v>28.285699999999999</v>
      </c>
      <c r="Q507" s="33">
        <v>-6.8571</v>
      </c>
      <c r="R507" s="33">
        <v>2</v>
      </c>
      <c r="S507" s="33">
        <v>4.7766999999999999</v>
      </c>
      <c r="T507" s="33">
        <v>3.9262999999999999</v>
      </c>
      <c r="U507" s="197">
        <v>3</v>
      </c>
      <c r="V507" s="90" t="str">
        <f t="shared" si="16"/>
        <v>NYG</v>
      </c>
      <c r="W507" s="90">
        <v>15</v>
      </c>
      <c r="X507" s="91">
        <v>2025</v>
      </c>
    </row>
    <row r="508" spans="1:24" x14ac:dyDescent="0.25">
      <c r="A508" s="74" t="s">
        <v>93</v>
      </c>
      <c r="B508" s="33">
        <v>2025</v>
      </c>
      <c r="C508" s="33">
        <v>1386.67</v>
      </c>
      <c r="D508" s="33">
        <v>-27.183299999999999</v>
      </c>
      <c r="E508" s="33">
        <v>-4.9163699999999997</v>
      </c>
      <c r="F508" s="33">
        <v>-0.258608</v>
      </c>
      <c r="G508" s="33">
        <v>-5.1324100000000001</v>
      </c>
      <c r="H508" s="33">
        <v>-3.5200000000000002E-2</v>
      </c>
      <c r="I508" s="33">
        <v>6.8999999999999999E-3</v>
      </c>
      <c r="J508" s="33">
        <v>-7.14587E-2</v>
      </c>
      <c r="K508" s="33">
        <v>8.4699999999999998E-2</v>
      </c>
      <c r="L508" s="33">
        <v>0.1028</v>
      </c>
      <c r="M508" s="33">
        <v>-1.8848299999999998E-2</v>
      </c>
      <c r="N508" s="173">
        <v>-0.12</v>
      </c>
      <c r="O508" s="33">
        <v>21.571400000000001</v>
      </c>
      <c r="P508" s="33">
        <v>27.714300000000001</v>
      </c>
      <c r="Q508" s="33">
        <v>-6.1429</v>
      </c>
      <c r="R508" s="33">
        <v>3</v>
      </c>
      <c r="S508" s="33">
        <v>4.9805000000000001</v>
      </c>
      <c r="T508" s="33">
        <v>6.5319500000000001</v>
      </c>
      <c r="U508" s="197">
        <v>3</v>
      </c>
      <c r="V508" s="90" t="str">
        <f t="shared" si="16"/>
        <v>ARI</v>
      </c>
      <c r="W508" s="90">
        <v>15</v>
      </c>
      <c r="X508" s="91">
        <v>2025</v>
      </c>
    </row>
    <row r="509" spans="1:24" x14ac:dyDescent="0.25">
      <c r="A509" s="74" t="s">
        <v>403</v>
      </c>
      <c r="B509" s="33">
        <v>2025</v>
      </c>
      <c r="C509" s="33">
        <v>1356.56</v>
      </c>
      <c r="D509" s="33">
        <v>-2.2829000000000002</v>
      </c>
      <c r="E509" s="33">
        <v>-6.1207900000000004</v>
      </c>
      <c r="F509" s="33">
        <v>0.39801300000000001</v>
      </c>
      <c r="G509" s="33">
        <v>-0.29925299999999999</v>
      </c>
      <c r="H509" s="33">
        <v>-0.14699999999999999</v>
      </c>
      <c r="I509" s="33">
        <v>-0.13150000000000001</v>
      </c>
      <c r="J509" s="33">
        <v>-0.118037</v>
      </c>
      <c r="K509" s="33">
        <v>1.1000000000000001E-3</v>
      </c>
      <c r="L509" s="33">
        <v>2.92E-2</v>
      </c>
      <c r="M509" s="33">
        <v>-7.9651200000000005E-2</v>
      </c>
      <c r="N509" s="173">
        <v>-0.14810000000000001</v>
      </c>
      <c r="O509" s="33">
        <v>16.142900000000001</v>
      </c>
      <c r="P509" s="33">
        <v>23.714300000000001</v>
      </c>
      <c r="Q509" s="33">
        <v>-7.5713999999999997</v>
      </c>
      <c r="R509" s="33">
        <v>4</v>
      </c>
      <c r="S509" s="33">
        <v>4.0137</v>
      </c>
      <c r="T509" s="33">
        <v>5.4319699999999997</v>
      </c>
      <c r="U509" s="197">
        <v>4</v>
      </c>
      <c r="V509" s="90" t="str">
        <f t="shared" si="16"/>
        <v>NO</v>
      </c>
      <c r="W509" s="90">
        <v>15</v>
      </c>
      <c r="X509" s="91">
        <v>2025</v>
      </c>
    </row>
    <row r="510" spans="1:24" x14ac:dyDescent="0.25">
      <c r="A510" s="74" t="s">
        <v>91</v>
      </c>
      <c r="B510" s="33">
        <v>2025</v>
      </c>
      <c r="C510" s="33">
        <v>1344.69</v>
      </c>
      <c r="D510" s="33">
        <v>-33.976599999999998</v>
      </c>
      <c r="E510" s="33">
        <v>-6.5956400000000004</v>
      </c>
      <c r="F510" s="33">
        <v>-1.2465999999999999</v>
      </c>
      <c r="G510" s="33">
        <v>-2.0964</v>
      </c>
      <c r="H510" s="33">
        <v>-0.22520000000000001</v>
      </c>
      <c r="I510" s="33">
        <v>-0.29909999999999998</v>
      </c>
      <c r="J510" s="33">
        <v>-8.1946699999999997E-2</v>
      </c>
      <c r="K510" s="33">
        <v>-8.2600000000000007E-2</v>
      </c>
      <c r="L510" s="33">
        <v>-9.6299999999999997E-2</v>
      </c>
      <c r="M510" s="33">
        <v>-0.117456</v>
      </c>
      <c r="N510" s="173">
        <v>-0.1426</v>
      </c>
      <c r="O510" s="33">
        <v>16.142900000000001</v>
      </c>
      <c r="P510" s="33">
        <v>23.714300000000001</v>
      </c>
      <c r="Q510" s="33">
        <v>-7.5713999999999997</v>
      </c>
      <c r="R510" s="33">
        <v>3</v>
      </c>
      <c r="S510" s="33">
        <v>4.0137</v>
      </c>
      <c r="T510" s="33">
        <v>4.9794099999999997</v>
      </c>
      <c r="U510" s="197">
        <v>6</v>
      </c>
      <c r="V510" s="90" t="str">
        <f t="shared" si="16"/>
        <v>CLE</v>
      </c>
      <c r="W510" s="90">
        <v>15</v>
      </c>
      <c r="X510" s="91">
        <v>2025</v>
      </c>
    </row>
    <row r="511" spans="1:24" x14ac:dyDescent="0.25">
      <c r="A511" s="74" t="s">
        <v>401</v>
      </c>
      <c r="B511" s="33">
        <v>2025</v>
      </c>
      <c r="C511" s="33">
        <v>1332.92</v>
      </c>
      <c r="D511" s="33">
        <v>-12.097099999999999</v>
      </c>
      <c r="E511" s="33">
        <v>-7.0664499999999997</v>
      </c>
      <c r="F511" s="33">
        <v>-0.85788500000000001</v>
      </c>
      <c r="G511" s="33">
        <v>-4.6465199999999998</v>
      </c>
      <c r="H511" s="33">
        <v>-0.19539999999999999</v>
      </c>
      <c r="I511" s="33">
        <v>-0.19719999999999999</v>
      </c>
      <c r="J511" s="33">
        <v>-0.255247</v>
      </c>
      <c r="K511" s="33">
        <v>4.8300000000000003E-2</v>
      </c>
      <c r="L511" s="33">
        <v>0.1389</v>
      </c>
      <c r="M511" s="33">
        <v>-6.1235900000000003E-2</v>
      </c>
      <c r="N511" s="173">
        <v>-0.2437</v>
      </c>
      <c r="O511" s="33">
        <v>14</v>
      </c>
      <c r="P511" s="33">
        <v>25.928599999999999</v>
      </c>
      <c r="Q511" s="33">
        <v>-11.928599999999999</v>
      </c>
      <c r="R511" s="33">
        <v>2</v>
      </c>
      <c r="S511" s="33">
        <v>2.6373000000000002</v>
      </c>
      <c r="T511" s="33">
        <v>4.6980700000000004</v>
      </c>
      <c r="U511" s="197">
        <v>3</v>
      </c>
      <c r="V511" s="90" t="str">
        <f t="shared" si="16"/>
        <v>LV</v>
      </c>
      <c r="W511" s="90">
        <v>15</v>
      </c>
      <c r="X511" s="91">
        <v>2025</v>
      </c>
    </row>
    <row r="512" spans="1:24" x14ac:dyDescent="0.25">
      <c r="A512" s="74" t="s">
        <v>89</v>
      </c>
      <c r="B512" s="33">
        <v>2025</v>
      </c>
      <c r="C512" s="33">
        <v>1316.4</v>
      </c>
      <c r="D512" s="33">
        <v>-6.9981999999999998</v>
      </c>
      <c r="E512" s="33">
        <v>-7.7271999999999998</v>
      </c>
      <c r="F512" s="33">
        <v>0.35141600000000001</v>
      </c>
      <c r="G512" s="33">
        <v>-2.9835699999999998</v>
      </c>
      <c r="H512" s="33">
        <v>-0.1547</v>
      </c>
      <c r="I512" s="33">
        <v>-0.24709999999999999</v>
      </c>
      <c r="J512" s="33">
        <v>-5.7877100000000001E-2</v>
      </c>
      <c r="K512" s="33">
        <v>8.5999999999999993E-2</v>
      </c>
      <c r="L512" s="33">
        <v>0.18379999999999999</v>
      </c>
      <c r="M512" s="33">
        <v>-2.3583699999999999E-2</v>
      </c>
      <c r="N512" s="173">
        <v>-0.2407</v>
      </c>
      <c r="O512" s="33">
        <v>16.071400000000001</v>
      </c>
      <c r="P512" s="33">
        <v>28.142900000000001</v>
      </c>
      <c r="Q512" s="33">
        <v>-12.071400000000001</v>
      </c>
      <c r="R512" s="33">
        <v>2</v>
      </c>
      <c r="S512" s="33">
        <v>2.9333</v>
      </c>
      <c r="T512" s="33">
        <v>3.6409099999999999</v>
      </c>
      <c r="U512" s="197">
        <v>1</v>
      </c>
      <c r="V512" s="90" t="str">
        <f t="shared" si="16"/>
        <v>TEN</v>
      </c>
      <c r="W512" s="90">
        <v>15</v>
      </c>
      <c r="X512" s="91">
        <v>2025</v>
      </c>
    </row>
    <row r="513" spans="1:24" ht="15.75" thickBot="1" x14ac:dyDescent="0.3">
      <c r="A513" s="75" t="s">
        <v>79</v>
      </c>
      <c r="B513" s="76">
        <v>2025</v>
      </c>
      <c r="C513" s="76">
        <v>1267.52</v>
      </c>
      <c r="D513" s="76">
        <v>-61.327300000000001</v>
      </c>
      <c r="E513" s="76">
        <v>-9.6824999999999992</v>
      </c>
      <c r="F513" s="76">
        <v>-0.26133299999999998</v>
      </c>
      <c r="G513" s="76">
        <v>-6.70031</v>
      </c>
      <c r="H513" s="76">
        <v>-3.3500000000000002E-2</v>
      </c>
      <c r="I513" s="76">
        <v>-0.14979999999999999</v>
      </c>
      <c r="J513" s="76">
        <v>-6.1503500000000003E-2</v>
      </c>
      <c r="K513" s="76">
        <v>0.13600000000000001</v>
      </c>
      <c r="L513" s="76">
        <v>0.1895</v>
      </c>
      <c r="M513" s="76">
        <v>2.9031299999999999E-2</v>
      </c>
      <c r="N513" s="170">
        <v>-0.16950000000000001</v>
      </c>
      <c r="O513" s="76">
        <v>19.714300000000001</v>
      </c>
      <c r="P513" s="76">
        <v>28.357099999999999</v>
      </c>
      <c r="Q513" s="76">
        <v>-8.6428999999999991</v>
      </c>
      <c r="R513" s="76">
        <v>3</v>
      </c>
      <c r="S513" s="76">
        <v>4.1581000000000001</v>
      </c>
      <c r="T513" s="76">
        <v>5.58012</v>
      </c>
      <c r="U513" s="195">
        <v>3</v>
      </c>
      <c r="V513" s="198" t="str">
        <f t="shared" si="16"/>
        <v>NYJ</v>
      </c>
      <c r="W513" s="198">
        <v>15</v>
      </c>
      <c r="X513" s="199">
        <v>2025</v>
      </c>
    </row>
    <row r="514" spans="1:24" x14ac:dyDescent="0.25">
      <c r="A514" s="125" t="s">
        <v>21</v>
      </c>
      <c r="B514" s="126">
        <v>2025</v>
      </c>
      <c r="C514" s="126">
        <v>1710.49</v>
      </c>
      <c r="D514" s="126">
        <v>35.240400000000001</v>
      </c>
      <c r="E514" s="126">
        <v>8.5370399999999993</v>
      </c>
      <c r="F514" s="126">
        <v>0.87596200000000002</v>
      </c>
      <c r="G514" s="126">
        <v>7.4729000000000001</v>
      </c>
      <c r="H514" s="126">
        <v>0.1313</v>
      </c>
      <c r="I514" s="126">
        <v>0.24640000000000001</v>
      </c>
      <c r="J514" s="126">
        <v>-1.8277300000000001E-3</v>
      </c>
      <c r="K514" s="126">
        <v>-6.5100000000000005E-2</v>
      </c>
      <c r="L514" s="126">
        <v>-9.98E-2</v>
      </c>
      <c r="M514" s="126">
        <v>-4.9835400000000002E-2</v>
      </c>
      <c r="N514" s="171">
        <v>0.1963</v>
      </c>
      <c r="O514" s="126">
        <v>30.466699999999999</v>
      </c>
      <c r="P514" s="126">
        <v>19.933299999999999</v>
      </c>
      <c r="Q514" s="126">
        <v>10.533300000000001</v>
      </c>
      <c r="R514" s="126">
        <v>11</v>
      </c>
      <c r="S514" s="126">
        <v>10.9819</v>
      </c>
      <c r="T514" s="126">
        <v>10.296200000000001</v>
      </c>
      <c r="U514" s="196">
        <v>14</v>
      </c>
      <c r="V514" s="127" t="str">
        <f t="shared" ref="V514:V545" si="17">IF(A514&lt;&gt;"",IF(A514="OAK","LV",A514),"")</f>
        <v>LAR</v>
      </c>
      <c r="W514" s="127">
        <v>16</v>
      </c>
      <c r="X514" s="128">
        <v>2025</v>
      </c>
    </row>
    <row r="515" spans="1:24" x14ac:dyDescent="0.25">
      <c r="A515" s="74" t="s">
        <v>55</v>
      </c>
      <c r="B515" s="33">
        <v>2025</v>
      </c>
      <c r="C515" s="33">
        <v>1674.85</v>
      </c>
      <c r="D515" s="33">
        <v>-4.2397999999999998</v>
      </c>
      <c r="E515" s="33">
        <v>7.1113999999999997</v>
      </c>
      <c r="F515" s="33">
        <v>0.54769000000000001</v>
      </c>
      <c r="G515" s="33">
        <v>7.1781600000000001</v>
      </c>
      <c r="H515" s="33">
        <v>7.51E-2</v>
      </c>
      <c r="I515" s="33">
        <v>0.13819999999999999</v>
      </c>
      <c r="J515" s="33">
        <v>-8.0060400000000004E-2</v>
      </c>
      <c r="K515" s="33">
        <v>-0.13059999999999999</v>
      </c>
      <c r="L515" s="33">
        <v>-5.45E-2</v>
      </c>
      <c r="M515" s="33">
        <v>-0.14274200000000001</v>
      </c>
      <c r="N515" s="173">
        <v>0.2056</v>
      </c>
      <c r="O515" s="33">
        <v>29.533300000000001</v>
      </c>
      <c r="P515" s="33">
        <v>18.600000000000001</v>
      </c>
      <c r="Q515" s="33">
        <v>10.933299999999999</v>
      </c>
      <c r="R515" s="33">
        <v>12</v>
      </c>
      <c r="S515" s="33">
        <v>11.242100000000001</v>
      </c>
      <c r="T515" s="33">
        <v>10.244</v>
      </c>
      <c r="U515" s="197">
        <v>13</v>
      </c>
      <c r="V515" s="90" t="str">
        <f t="shared" si="17"/>
        <v>SEA</v>
      </c>
      <c r="W515" s="90">
        <v>16</v>
      </c>
      <c r="X515" s="91">
        <v>2025</v>
      </c>
    </row>
    <row r="516" spans="1:24" x14ac:dyDescent="0.25">
      <c r="A516" s="74" t="s">
        <v>405</v>
      </c>
      <c r="B516" s="33">
        <v>2025</v>
      </c>
      <c r="C516" s="33">
        <v>1633.93</v>
      </c>
      <c r="D516" s="33">
        <v>15.3993</v>
      </c>
      <c r="E516" s="33">
        <v>5.4746899999999998</v>
      </c>
      <c r="F516" s="33">
        <v>3.0274399999999999</v>
      </c>
      <c r="G516" s="33">
        <v>4.6537600000000001</v>
      </c>
      <c r="H516" s="33">
        <v>0.1171</v>
      </c>
      <c r="I516" s="33">
        <v>0.1855</v>
      </c>
      <c r="J516" s="33">
        <v>-5.4297499999999999E-2</v>
      </c>
      <c r="K516" s="33">
        <v>1.83E-2</v>
      </c>
      <c r="L516" s="33">
        <v>8.5800000000000001E-2</v>
      </c>
      <c r="M516" s="33">
        <v>-1.8445699999999999E-2</v>
      </c>
      <c r="N516" s="173">
        <v>9.8799999999999999E-2</v>
      </c>
      <c r="O516" s="33">
        <v>26.133299999999998</v>
      </c>
      <c r="P516" s="33">
        <v>21.333300000000001</v>
      </c>
      <c r="Q516" s="33">
        <v>4.8</v>
      </c>
      <c r="R516" s="33">
        <v>11</v>
      </c>
      <c r="S516" s="33">
        <v>9.2697000000000003</v>
      </c>
      <c r="T516" s="33">
        <v>8.8130100000000002</v>
      </c>
      <c r="U516" s="197">
        <v>8</v>
      </c>
      <c r="V516" s="90" t="str">
        <f t="shared" si="17"/>
        <v>SF</v>
      </c>
      <c r="W516" s="90">
        <v>16</v>
      </c>
      <c r="X516" s="91">
        <v>2025</v>
      </c>
    </row>
    <row r="517" spans="1:24" x14ac:dyDescent="0.25">
      <c r="A517" s="74" t="s">
        <v>38</v>
      </c>
      <c r="B517" s="33">
        <v>2025</v>
      </c>
      <c r="C517" s="33">
        <v>1625.94</v>
      </c>
      <c r="D517" s="33">
        <v>0.14649999999999999</v>
      </c>
      <c r="E517" s="33">
        <v>5.1549899999999997</v>
      </c>
      <c r="F517" s="33">
        <v>0.83351600000000003</v>
      </c>
      <c r="G517" s="33">
        <v>0.53141099999999997</v>
      </c>
      <c r="H517" s="33">
        <v>2.8500000000000001E-2</v>
      </c>
      <c r="I517" s="33">
        <v>7.8799999999999995E-2</v>
      </c>
      <c r="J517" s="33">
        <v>-2.03073E-2</v>
      </c>
      <c r="K517" s="33">
        <v>-4.9700000000000001E-2</v>
      </c>
      <c r="L517" s="33">
        <v>-0.13639999999999999</v>
      </c>
      <c r="M517" s="33">
        <v>-2.75848E-2</v>
      </c>
      <c r="N517" s="173">
        <v>7.8200000000000006E-2</v>
      </c>
      <c r="O517" s="33">
        <v>23.2667</v>
      </c>
      <c r="P517" s="33">
        <v>19.2667</v>
      </c>
      <c r="Q517" s="33">
        <v>4</v>
      </c>
      <c r="R517" s="33">
        <v>10</v>
      </c>
      <c r="S517" s="33">
        <v>9.1492000000000004</v>
      </c>
      <c r="T517" s="33">
        <v>10.978899999999999</v>
      </c>
      <c r="U517" s="197">
        <v>10</v>
      </c>
      <c r="V517" s="90" t="str">
        <f t="shared" si="17"/>
        <v>PHI</v>
      </c>
      <c r="W517" s="90">
        <v>16</v>
      </c>
      <c r="X517" s="91">
        <v>2025</v>
      </c>
    </row>
    <row r="518" spans="1:24" x14ac:dyDescent="0.25">
      <c r="A518" s="74" t="s">
        <v>10</v>
      </c>
      <c r="B518" s="33">
        <v>2025</v>
      </c>
      <c r="C518" s="33">
        <v>1623.95</v>
      </c>
      <c r="D518" s="33">
        <v>11.865399999999999</v>
      </c>
      <c r="E518" s="33">
        <v>5.0753000000000004</v>
      </c>
      <c r="F518" s="33">
        <v>0.26626</v>
      </c>
      <c r="G518" s="33">
        <v>0.55081599999999997</v>
      </c>
      <c r="H518" s="33">
        <v>0.12180000000000001</v>
      </c>
      <c r="I518" s="33">
        <v>0.19900000000000001</v>
      </c>
      <c r="J518" s="33">
        <v>-6.6840099999999998E-3</v>
      </c>
      <c r="K518" s="33">
        <v>3.2500000000000001E-2</v>
      </c>
      <c r="L518" s="33">
        <v>2.9499999999999998E-2</v>
      </c>
      <c r="M518" s="33">
        <v>-4.2186800000000003E-2</v>
      </c>
      <c r="N518" s="173">
        <v>8.9300000000000004E-2</v>
      </c>
      <c r="O518" s="33">
        <v>30.133299999999998</v>
      </c>
      <c r="P518" s="33">
        <v>24.933299999999999</v>
      </c>
      <c r="Q518" s="33">
        <v>5.2</v>
      </c>
      <c r="R518" s="33">
        <v>8</v>
      </c>
      <c r="S518" s="33">
        <v>9.1557999999999993</v>
      </c>
      <c r="T518" s="33">
        <v>9.9198900000000005</v>
      </c>
      <c r="U518" s="197">
        <v>8</v>
      </c>
      <c r="V518" s="90" t="str">
        <f t="shared" si="17"/>
        <v>DET</v>
      </c>
      <c r="W518" s="90">
        <v>16</v>
      </c>
      <c r="X518" s="91">
        <v>2025</v>
      </c>
    </row>
    <row r="519" spans="1:24" x14ac:dyDescent="0.25">
      <c r="A519" s="74" t="s">
        <v>25</v>
      </c>
      <c r="B519" s="33">
        <v>2025</v>
      </c>
      <c r="C519" s="33">
        <v>1611.87</v>
      </c>
      <c r="D519" s="33">
        <v>-2.9079999999999999</v>
      </c>
      <c r="E519" s="33">
        <v>4.5922099999999997</v>
      </c>
      <c r="F519" s="33">
        <v>-9.1709100000000002E-2</v>
      </c>
      <c r="G519" s="33">
        <v>0.31267499999999998</v>
      </c>
      <c r="H519" s="33">
        <v>0.16120000000000001</v>
      </c>
      <c r="I519" s="33">
        <v>0.16869999999999999</v>
      </c>
      <c r="J519" s="33">
        <v>8.8860400000000006E-2</v>
      </c>
      <c r="K519" s="33">
        <v>5.2299999999999999E-2</v>
      </c>
      <c r="L519" s="33">
        <v>-0.1099</v>
      </c>
      <c r="M519" s="33">
        <v>0.12170599999999999</v>
      </c>
      <c r="N519" s="173">
        <v>0.1089</v>
      </c>
      <c r="O519" s="33">
        <v>28.933299999999999</v>
      </c>
      <c r="P519" s="33">
        <v>22.933299999999999</v>
      </c>
      <c r="Q519" s="33">
        <v>6</v>
      </c>
      <c r="R519" s="33">
        <v>11</v>
      </c>
      <c r="S519" s="33">
        <v>9.5147999999999993</v>
      </c>
      <c r="T519" s="33">
        <v>10.8584</v>
      </c>
      <c r="U519" s="197">
        <v>8</v>
      </c>
      <c r="V519" s="90" t="str">
        <f t="shared" si="17"/>
        <v>BUF</v>
      </c>
      <c r="W519" s="90">
        <v>16</v>
      </c>
      <c r="X519" s="91">
        <v>2025</v>
      </c>
    </row>
    <row r="520" spans="1:24" x14ac:dyDescent="0.25">
      <c r="A520" s="74" t="s">
        <v>400</v>
      </c>
      <c r="B520" s="33">
        <v>2025</v>
      </c>
      <c r="C520" s="33">
        <v>1576.92</v>
      </c>
      <c r="D520" s="33">
        <v>-1.0426</v>
      </c>
      <c r="E520" s="33">
        <v>3.1943600000000001</v>
      </c>
      <c r="F520" s="33">
        <v>-1.1339699999999999</v>
      </c>
      <c r="G520" s="33">
        <v>1.1719999999999999</v>
      </c>
      <c r="H520" s="33">
        <v>0.14180000000000001</v>
      </c>
      <c r="I520" s="33">
        <v>0.2651</v>
      </c>
      <c r="J520" s="33">
        <v>-1.29268E-2</v>
      </c>
      <c r="K520" s="33">
        <v>5.3400000000000003E-2</v>
      </c>
      <c r="L520" s="33">
        <v>7.1900000000000006E-2</v>
      </c>
      <c r="M520" s="33">
        <v>-6.7574599999999999E-2</v>
      </c>
      <c r="N520" s="173">
        <v>8.8499999999999995E-2</v>
      </c>
      <c r="O520" s="33">
        <v>24.2667</v>
      </c>
      <c r="P520" s="33">
        <v>20.2</v>
      </c>
      <c r="Q520" s="33">
        <v>4.0667</v>
      </c>
      <c r="R520" s="33">
        <v>9</v>
      </c>
      <c r="S520" s="33">
        <v>9.1050000000000004</v>
      </c>
      <c r="T520" s="33">
        <v>10.054</v>
      </c>
      <c r="U520" s="197">
        <v>10</v>
      </c>
      <c r="V520" s="90" t="str">
        <f t="shared" si="17"/>
        <v>GB</v>
      </c>
      <c r="W520" s="90">
        <v>16</v>
      </c>
      <c r="X520" s="91">
        <v>2025</v>
      </c>
    </row>
    <row r="521" spans="1:24" x14ac:dyDescent="0.25">
      <c r="A521" s="74" t="s">
        <v>31</v>
      </c>
      <c r="B521" s="33">
        <v>2025</v>
      </c>
      <c r="C521" s="33">
        <v>1572.43</v>
      </c>
      <c r="D521" s="33">
        <v>4.4981</v>
      </c>
      <c r="E521" s="33">
        <v>3.01457</v>
      </c>
      <c r="F521" s="33">
        <v>0.122559</v>
      </c>
      <c r="G521" s="33">
        <v>3.1919900000000001</v>
      </c>
      <c r="H521" s="33">
        <v>-7.3000000000000001E-3</v>
      </c>
      <c r="I521" s="33">
        <v>5.4199999999999998E-2</v>
      </c>
      <c r="J521" s="33">
        <v>-9.5604599999999998E-2</v>
      </c>
      <c r="K521" s="33">
        <v>-0.15190000000000001</v>
      </c>
      <c r="L521" s="33">
        <v>-0.20810000000000001</v>
      </c>
      <c r="M521" s="33">
        <v>-4.2797700000000001E-2</v>
      </c>
      <c r="N521" s="173">
        <v>0.14449999999999999</v>
      </c>
      <c r="O521" s="33">
        <v>23.066700000000001</v>
      </c>
      <c r="P521" s="33">
        <v>16.600000000000001</v>
      </c>
      <c r="Q521" s="33">
        <v>6.4667000000000003</v>
      </c>
      <c r="R521" s="33">
        <v>10</v>
      </c>
      <c r="S521" s="33">
        <v>10.2842</v>
      </c>
      <c r="T521" s="33">
        <v>8.9443800000000007</v>
      </c>
      <c r="U521" s="197">
        <v>9</v>
      </c>
      <c r="V521" s="90" t="str">
        <f t="shared" si="17"/>
        <v>HOU</v>
      </c>
      <c r="W521" s="90">
        <v>16</v>
      </c>
      <c r="X521" s="91">
        <v>2025</v>
      </c>
    </row>
    <row r="522" spans="1:24" x14ac:dyDescent="0.25">
      <c r="A522" s="74" t="s">
        <v>404</v>
      </c>
      <c r="B522" s="33">
        <v>2025</v>
      </c>
      <c r="C522" s="33">
        <v>1567.45</v>
      </c>
      <c r="D522" s="33">
        <v>20.512899999999998</v>
      </c>
      <c r="E522" s="33">
        <v>2.8156500000000002</v>
      </c>
      <c r="F522" s="33">
        <v>1.0199499999999999</v>
      </c>
      <c r="G522" s="33">
        <v>5.8775599999999999</v>
      </c>
      <c r="H522" s="33">
        <v>0.1111</v>
      </c>
      <c r="I522" s="33">
        <v>0.26450000000000001</v>
      </c>
      <c r="J522" s="33">
        <v>-5.2530800000000002E-2</v>
      </c>
      <c r="K522" s="33">
        <v>-2.4799999999999999E-2</v>
      </c>
      <c r="L522" s="33">
        <v>-1.95E-2</v>
      </c>
      <c r="M522" s="33">
        <v>-2.39429E-2</v>
      </c>
      <c r="N522" s="173">
        <v>0.13589999999999999</v>
      </c>
      <c r="O522" s="33">
        <v>27.333300000000001</v>
      </c>
      <c r="P522" s="33">
        <v>20</v>
      </c>
      <c r="Q522" s="33">
        <v>7.3333000000000004</v>
      </c>
      <c r="R522" s="33">
        <v>12</v>
      </c>
      <c r="S522" s="33">
        <v>10.156000000000001</v>
      </c>
      <c r="T522" s="33">
        <v>9.0123899999999999</v>
      </c>
      <c r="U522" s="197">
        <v>8</v>
      </c>
      <c r="V522" s="90" t="str">
        <f t="shared" si="17"/>
        <v>NE</v>
      </c>
      <c r="W522" s="90">
        <v>16</v>
      </c>
      <c r="X522" s="91">
        <v>2025</v>
      </c>
    </row>
    <row r="523" spans="1:24" x14ac:dyDescent="0.25">
      <c r="A523" s="74" t="s">
        <v>72</v>
      </c>
      <c r="B523" s="33">
        <v>2025</v>
      </c>
      <c r="C523" s="33">
        <v>1565.41</v>
      </c>
      <c r="D523" s="33">
        <v>19.848800000000001</v>
      </c>
      <c r="E523" s="33">
        <v>2.7337500000000001</v>
      </c>
      <c r="F523" s="33">
        <v>2.1720700000000002</v>
      </c>
      <c r="G523" s="33">
        <v>4.0928599999999999</v>
      </c>
      <c r="H523" s="33">
        <v>5.3100000000000001E-2</v>
      </c>
      <c r="I523" s="33">
        <v>6.2600000000000003E-2</v>
      </c>
      <c r="J523" s="33">
        <v>5.9718500000000001E-2</v>
      </c>
      <c r="K523" s="33">
        <v>6.4999999999999997E-3</v>
      </c>
      <c r="L523" s="33">
        <v>-1.04E-2</v>
      </c>
      <c r="M523" s="33">
        <v>-1.71147E-2</v>
      </c>
      <c r="N523" s="173">
        <v>4.6600000000000003E-2</v>
      </c>
      <c r="O523" s="33">
        <v>25.8</v>
      </c>
      <c r="P523" s="33">
        <v>23.6</v>
      </c>
      <c r="Q523" s="33">
        <v>2.2000000000000002</v>
      </c>
      <c r="R523" s="33">
        <v>11</v>
      </c>
      <c r="S523" s="33">
        <v>8.2891999999999992</v>
      </c>
      <c r="T523" s="33">
        <v>6.9646100000000004</v>
      </c>
      <c r="U523" s="197">
        <v>9</v>
      </c>
      <c r="V523" s="90" t="str">
        <f t="shared" si="17"/>
        <v>CHI</v>
      </c>
      <c r="W523" s="90">
        <v>16</v>
      </c>
      <c r="X523" s="91">
        <v>2025</v>
      </c>
    </row>
    <row r="524" spans="1:24" x14ac:dyDescent="0.25">
      <c r="A524" s="74" t="s">
        <v>44</v>
      </c>
      <c r="B524" s="33">
        <v>2025</v>
      </c>
      <c r="C524" s="33">
        <v>1564.03</v>
      </c>
      <c r="D524" s="33">
        <v>21.872</v>
      </c>
      <c r="E524" s="33">
        <v>2.6787000000000001</v>
      </c>
      <c r="F524" s="33">
        <v>1.20943</v>
      </c>
      <c r="G524" s="33">
        <v>4.6097999999999999</v>
      </c>
      <c r="H524" s="33">
        <v>5.7299999999999997E-2</v>
      </c>
      <c r="I524" s="33">
        <v>4.2900000000000001E-2</v>
      </c>
      <c r="J524" s="33">
        <v>-1.1525799999999999E-2</v>
      </c>
      <c r="K524" s="33">
        <v>-6.0900000000000003E-2</v>
      </c>
      <c r="L524" s="33">
        <v>-0.1091</v>
      </c>
      <c r="M524" s="33">
        <v>-6.5750199999999995E-2</v>
      </c>
      <c r="N524" s="173">
        <v>0.1182</v>
      </c>
      <c r="O524" s="33">
        <v>27.333300000000001</v>
      </c>
      <c r="P524" s="33">
        <v>20.8</v>
      </c>
      <c r="Q524" s="33">
        <v>6.5332999999999997</v>
      </c>
      <c r="R524" s="33">
        <v>11</v>
      </c>
      <c r="S524" s="33">
        <v>9.8462999999999994</v>
      </c>
      <c r="T524" s="33">
        <v>7.6381199999999998</v>
      </c>
      <c r="U524" s="197">
        <v>10</v>
      </c>
      <c r="V524" s="90" t="str">
        <f t="shared" si="17"/>
        <v>JAX</v>
      </c>
      <c r="W524" s="90">
        <v>16</v>
      </c>
      <c r="X524" s="91">
        <v>2025</v>
      </c>
    </row>
    <row r="525" spans="1:24" x14ac:dyDescent="0.25">
      <c r="A525" s="74" t="s">
        <v>63</v>
      </c>
      <c r="B525" s="33">
        <v>2025</v>
      </c>
      <c r="C525" s="33">
        <v>1559.59</v>
      </c>
      <c r="D525" s="33">
        <v>12.370900000000001</v>
      </c>
      <c r="E525" s="33">
        <v>2.5009100000000002</v>
      </c>
      <c r="F525" s="33">
        <v>9.0723000000000002E-3</v>
      </c>
      <c r="G525" s="33">
        <v>0.99820299999999995</v>
      </c>
      <c r="H525" s="33">
        <v>4.41E-2</v>
      </c>
      <c r="I525" s="33">
        <v>0.10199999999999999</v>
      </c>
      <c r="J525" s="33">
        <v>-2.1666399999999999E-2</v>
      </c>
      <c r="K525" s="33">
        <v>-2.4299999999999999E-2</v>
      </c>
      <c r="L525" s="33">
        <v>-6.9800000000000001E-2</v>
      </c>
      <c r="M525" s="33">
        <v>-5.7054599999999997E-2</v>
      </c>
      <c r="N525" s="173">
        <v>6.8400000000000002E-2</v>
      </c>
      <c r="O525" s="33">
        <v>24.133299999999998</v>
      </c>
      <c r="P525" s="33">
        <v>19.666699999999999</v>
      </c>
      <c r="Q525" s="33">
        <v>4.4667000000000003</v>
      </c>
      <c r="R525" s="33">
        <v>12</v>
      </c>
      <c r="S525" s="33">
        <v>9.2841000000000005</v>
      </c>
      <c r="T525" s="33">
        <v>10.525600000000001</v>
      </c>
      <c r="U525" s="197">
        <v>11</v>
      </c>
      <c r="V525" s="90" t="str">
        <f t="shared" si="17"/>
        <v>DEN</v>
      </c>
      <c r="W525" s="90">
        <v>16</v>
      </c>
      <c r="X525" s="91">
        <v>2025</v>
      </c>
    </row>
    <row r="526" spans="1:24" x14ac:dyDescent="0.25">
      <c r="A526" s="74" t="s">
        <v>60</v>
      </c>
      <c r="B526" s="33">
        <v>2025</v>
      </c>
      <c r="C526" s="33">
        <v>1551.54</v>
      </c>
      <c r="D526" s="33">
        <v>-9.4100999999999999</v>
      </c>
      <c r="E526" s="33">
        <v>2.1790699999999998</v>
      </c>
      <c r="F526" s="33">
        <v>1.92642</v>
      </c>
      <c r="G526" s="33">
        <v>1.52887</v>
      </c>
      <c r="H526" s="33">
        <v>2.3900000000000001E-2</v>
      </c>
      <c r="I526" s="33">
        <v>1.0999999999999999E-2</v>
      </c>
      <c r="J526" s="33">
        <v>-1.37939E-2</v>
      </c>
      <c r="K526" s="33">
        <v>-4.0300000000000002E-2</v>
      </c>
      <c r="L526" s="33">
        <v>-8.5900000000000004E-2</v>
      </c>
      <c r="M526" s="33">
        <v>-6.4222799999999997E-2</v>
      </c>
      <c r="N526" s="173">
        <v>6.4199999999999993E-2</v>
      </c>
      <c r="O526" s="33">
        <v>23.2667</v>
      </c>
      <c r="P526" s="33">
        <v>20.066700000000001</v>
      </c>
      <c r="Q526" s="33">
        <v>3.2</v>
      </c>
      <c r="R526" s="33">
        <v>11</v>
      </c>
      <c r="S526" s="33">
        <v>8.8017000000000003</v>
      </c>
      <c r="T526" s="33">
        <v>9.3566500000000001</v>
      </c>
      <c r="U526" s="197">
        <v>7</v>
      </c>
      <c r="V526" s="90" t="str">
        <f t="shared" si="17"/>
        <v>LAC</v>
      </c>
      <c r="W526" s="90">
        <v>16</v>
      </c>
      <c r="X526" s="91">
        <v>2025</v>
      </c>
    </row>
    <row r="527" spans="1:24" x14ac:dyDescent="0.25">
      <c r="A527" s="74" t="s">
        <v>47</v>
      </c>
      <c r="B527" s="33">
        <v>2025</v>
      </c>
      <c r="C527" s="33">
        <v>1550.82</v>
      </c>
      <c r="D527" s="33">
        <v>-28.733000000000001</v>
      </c>
      <c r="E527" s="33">
        <v>2.1504400000000001</v>
      </c>
      <c r="F527" s="33">
        <v>1.50194E-2</v>
      </c>
      <c r="G527" s="33">
        <v>-4.1819600000000001</v>
      </c>
      <c r="H527" s="33">
        <v>2.8899999999999999E-2</v>
      </c>
      <c r="I527" s="33">
        <v>-8.2699999999999996E-2</v>
      </c>
      <c r="J527" s="33">
        <v>5.7988499999999998E-2</v>
      </c>
      <c r="K527" s="33">
        <v>2.52E-2</v>
      </c>
      <c r="L527" s="33">
        <v>5.1900000000000002E-2</v>
      </c>
      <c r="M527" s="33">
        <v>-6.5242099999999997E-2</v>
      </c>
      <c r="N527" s="173">
        <v>3.7000000000000002E-3</v>
      </c>
      <c r="O527" s="33">
        <v>23.933299999999999</v>
      </c>
      <c r="P527" s="33">
        <v>23.2</v>
      </c>
      <c r="Q527" s="33">
        <v>0.73329999999999995</v>
      </c>
      <c r="R527" s="33">
        <v>7</v>
      </c>
      <c r="S527" s="33">
        <v>7.7765000000000004</v>
      </c>
      <c r="T527" s="33">
        <v>9.3903700000000008</v>
      </c>
      <c r="U527" s="197">
        <v>8</v>
      </c>
      <c r="V527" s="90" t="str">
        <f t="shared" si="17"/>
        <v>BAL</v>
      </c>
      <c r="W527" s="90">
        <v>16</v>
      </c>
      <c r="X527" s="91">
        <v>2025</v>
      </c>
    </row>
    <row r="528" spans="1:24" x14ac:dyDescent="0.25">
      <c r="A528" s="74" t="s">
        <v>85</v>
      </c>
      <c r="B528" s="33">
        <v>2025</v>
      </c>
      <c r="C528" s="33">
        <v>1528.38</v>
      </c>
      <c r="D528" s="33">
        <v>1.2431000000000001</v>
      </c>
      <c r="E528" s="33">
        <v>1.25264</v>
      </c>
      <c r="F528" s="33">
        <v>0.99976100000000001</v>
      </c>
      <c r="G528" s="33">
        <v>1.18587</v>
      </c>
      <c r="H528" s="33">
        <v>6.8199999999999997E-2</v>
      </c>
      <c r="I528" s="33">
        <v>4.6300000000000001E-2</v>
      </c>
      <c r="J528" s="33">
        <v>2.0189599999999999E-2</v>
      </c>
      <c r="K528" s="33">
        <v>3.7999999999999999E-2</v>
      </c>
      <c r="L528" s="33">
        <v>2.63E-2</v>
      </c>
      <c r="M528" s="33">
        <v>7.4363700000000003E-3</v>
      </c>
      <c r="N528" s="173">
        <v>3.0099999999999998E-2</v>
      </c>
      <c r="O528" s="33">
        <v>24.333300000000001</v>
      </c>
      <c r="P528" s="33">
        <v>23.333300000000001</v>
      </c>
      <c r="Q528" s="33">
        <v>1</v>
      </c>
      <c r="R528" s="33">
        <v>9</v>
      </c>
      <c r="S528" s="33">
        <v>7.8727</v>
      </c>
      <c r="T528" s="33">
        <v>8.3774800000000003</v>
      </c>
      <c r="U528" s="197">
        <v>6</v>
      </c>
      <c r="V528" s="90" t="str">
        <f t="shared" si="17"/>
        <v>PIT</v>
      </c>
      <c r="W528" s="90">
        <v>16</v>
      </c>
      <c r="X528" s="91">
        <v>2025</v>
      </c>
    </row>
    <row r="529" spans="1:24" x14ac:dyDescent="0.25">
      <c r="A529" s="74" t="s">
        <v>57</v>
      </c>
      <c r="B529" s="33">
        <v>2025</v>
      </c>
      <c r="C529" s="33">
        <v>1502.33</v>
      </c>
      <c r="D529" s="33">
        <v>15.282400000000001</v>
      </c>
      <c r="E529" s="33">
        <v>0.21060100000000001</v>
      </c>
      <c r="F529" s="33">
        <v>-1.6609</v>
      </c>
      <c r="G529" s="33">
        <v>3.2671999999999999</v>
      </c>
      <c r="H529" s="33">
        <v>0.13220000000000001</v>
      </c>
      <c r="I529" s="33">
        <v>9.5600000000000004E-2</v>
      </c>
      <c r="J529" s="33">
        <v>9.1925699999999999E-2</v>
      </c>
      <c r="K529" s="33">
        <v>3.49E-2</v>
      </c>
      <c r="L529" s="33">
        <v>4.8899999999999999E-2</v>
      </c>
      <c r="M529" s="33">
        <v>-7.1482599999999993E-2</v>
      </c>
      <c r="N529" s="173">
        <v>9.7299999999999998E-2</v>
      </c>
      <c r="O529" s="33">
        <v>27.933299999999999</v>
      </c>
      <c r="P529" s="33">
        <v>23.4</v>
      </c>
      <c r="Q529" s="33">
        <v>4.5332999999999997</v>
      </c>
      <c r="R529" s="33">
        <v>8</v>
      </c>
      <c r="S529" s="33">
        <v>9.0510999999999999</v>
      </c>
      <c r="T529" s="33">
        <v>8.1539599999999997</v>
      </c>
      <c r="U529" s="197">
        <v>9</v>
      </c>
      <c r="V529" s="90" t="str">
        <f t="shared" si="17"/>
        <v>IND</v>
      </c>
      <c r="W529" s="90">
        <v>16</v>
      </c>
      <c r="X529" s="91">
        <v>2025</v>
      </c>
    </row>
    <row r="530" spans="1:24" x14ac:dyDescent="0.25">
      <c r="A530" s="74" t="s">
        <v>77</v>
      </c>
      <c r="B530" s="33">
        <v>2025</v>
      </c>
      <c r="C530" s="33">
        <v>1491.8</v>
      </c>
      <c r="D530" s="33">
        <v>5.1776</v>
      </c>
      <c r="E530" s="33">
        <v>-0.21060100000000001</v>
      </c>
      <c r="F530" s="33">
        <v>2.2280500000000001</v>
      </c>
      <c r="G530" s="33">
        <v>-1.82935</v>
      </c>
      <c r="H530" s="33">
        <v>3.2599999999999997E-2</v>
      </c>
      <c r="I530" s="33">
        <v>-4.2799999999999998E-2</v>
      </c>
      <c r="J530" s="33">
        <v>-9.5803899999999994E-3</v>
      </c>
      <c r="K530" s="33">
        <v>0.1482</v>
      </c>
      <c r="L530" s="33">
        <v>0.21809999999999999</v>
      </c>
      <c r="M530" s="33">
        <v>6.8692100000000006E-2</v>
      </c>
      <c r="N530" s="173">
        <v>-0.1157</v>
      </c>
      <c r="O530" s="33">
        <v>23.933299999999999</v>
      </c>
      <c r="P530" s="33">
        <v>30.533300000000001</v>
      </c>
      <c r="Q530" s="33">
        <v>-6.6</v>
      </c>
      <c r="R530" s="33">
        <v>5</v>
      </c>
      <c r="S530" s="33">
        <v>5.3936000000000002</v>
      </c>
      <c r="T530" s="33">
        <v>7.3790899999999997</v>
      </c>
      <c r="U530" s="197">
        <v>5</v>
      </c>
      <c r="V530" s="90" t="str">
        <f t="shared" si="17"/>
        <v>CIN</v>
      </c>
      <c r="W530" s="90">
        <v>16</v>
      </c>
      <c r="X530" s="91">
        <v>2025</v>
      </c>
    </row>
    <row r="531" spans="1:24" x14ac:dyDescent="0.25">
      <c r="A531" s="74" t="s">
        <v>14</v>
      </c>
      <c r="B531" s="33">
        <v>2025</v>
      </c>
      <c r="C531" s="33">
        <v>1482.58</v>
      </c>
      <c r="D531" s="33">
        <v>17.575800000000001</v>
      </c>
      <c r="E531" s="33">
        <v>-0.57926800000000001</v>
      </c>
      <c r="F531" s="33">
        <v>-9.5283199999999998E-2</v>
      </c>
      <c r="G531" s="33">
        <v>0.46249000000000001</v>
      </c>
      <c r="H531" s="33">
        <v>0.13400000000000001</v>
      </c>
      <c r="I531" s="33">
        <v>0.1784</v>
      </c>
      <c r="J531" s="33">
        <v>-3.9568399999999997E-2</v>
      </c>
      <c r="K531" s="33">
        <v>0.17749999999999999</v>
      </c>
      <c r="L531" s="33">
        <v>0.2339</v>
      </c>
      <c r="M531" s="33">
        <v>7.3339699999999994E-2</v>
      </c>
      <c r="N531" s="173">
        <v>-4.3499999999999997E-2</v>
      </c>
      <c r="O531" s="33">
        <v>28.2667</v>
      </c>
      <c r="P531" s="33">
        <v>30.2667</v>
      </c>
      <c r="Q531" s="33">
        <v>-2</v>
      </c>
      <c r="R531" s="33">
        <v>6</v>
      </c>
      <c r="S531" s="33">
        <v>6.8936999999999999</v>
      </c>
      <c r="T531" s="33">
        <v>7.0041700000000002</v>
      </c>
      <c r="U531" s="197">
        <v>6</v>
      </c>
      <c r="V531" s="90" t="str">
        <f t="shared" si="17"/>
        <v>DAL</v>
      </c>
      <c r="W531" s="90">
        <v>16</v>
      </c>
      <c r="X531" s="91">
        <v>2025</v>
      </c>
    </row>
    <row r="532" spans="1:24" x14ac:dyDescent="0.25">
      <c r="A532" s="74" t="s">
        <v>69</v>
      </c>
      <c r="B532" s="33">
        <v>2025</v>
      </c>
      <c r="C532" s="33">
        <v>1474.18</v>
      </c>
      <c r="D532" s="33">
        <v>30.7974</v>
      </c>
      <c r="E532" s="33">
        <v>-0.91536600000000001</v>
      </c>
      <c r="F532" s="33">
        <v>1.74779</v>
      </c>
      <c r="G532" s="33">
        <v>0.14029800000000001</v>
      </c>
      <c r="H532" s="33">
        <v>-1.18E-2</v>
      </c>
      <c r="I532" s="33">
        <v>-1.21E-2</v>
      </c>
      <c r="J532" s="33">
        <v>-2.4174899999999999E-2</v>
      </c>
      <c r="K532" s="33">
        <v>5.4100000000000002E-2</v>
      </c>
      <c r="L532" s="33">
        <v>-1.72E-2</v>
      </c>
      <c r="M532" s="33">
        <v>3.2941400000000003E-2</v>
      </c>
      <c r="N532" s="173">
        <v>-6.6000000000000003E-2</v>
      </c>
      <c r="O532" s="33">
        <v>20.466699999999999</v>
      </c>
      <c r="P532" s="33">
        <v>24</v>
      </c>
      <c r="Q532" s="33">
        <v>-3.5333000000000001</v>
      </c>
      <c r="R532" s="33">
        <v>6</v>
      </c>
      <c r="S532" s="33">
        <v>6.1012000000000004</v>
      </c>
      <c r="T532" s="33">
        <v>6.5215899999999998</v>
      </c>
      <c r="U532" s="197">
        <v>9</v>
      </c>
      <c r="V532" s="90" t="str">
        <f t="shared" si="17"/>
        <v>ATL</v>
      </c>
      <c r="W532" s="90">
        <v>16</v>
      </c>
      <c r="X532" s="91">
        <v>2025</v>
      </c>
    </row>
    <row r="533" spans="1:24" x14ac:dyDescent="0.25">
      <c r="A533" s="74" t="s">
        <v>75</v>
      </c>
      <c r="B533" s="33">
        <v>2025</v>
      </c>
      <c r="C533" s="33">
        <v>1461.59</v>
      </c>
      <c r="D533" s="33">
        <v>-14.522</v>
      </c>
      <c r="E533" s="33">
        <v>-1.41892</v>
      </c>
      <c r="F533" s="33">
        <v>1.0251999999999999</v>
      </c>
      <c r="G533" s="33">
        <v>-2.0472700000000001</v>
      </c>
      <c r="H533" s="33">
        <v>-9.64E-2</v>
      </c>
      <c r="I533" s="33">
        <v>-0.1988</v>
      </c>
      <c r="J533" s="33">
        <v>-3.28554E-2</v>
      </c>
      <c r="K533" s="33">
        <v>-6.4899999999999999E-2</v>
      </c>
      <c r="L533" s="33">
        <v>-0.12839999999999999</v>
      </c>
      <c r="M533" s="33">
        <v>-2.55213E-2</v>
      </c>
      <c r="N533" s="173">
        <v>-3.15E-2</v>
      </c>
      <c r="O533" s="33">
        <v>20.333300000000001</v>
      </c>
      <c r="P533" s="33">
        <v>21.333300000000001</v>
      </c>
      <c r="Q533" s="33">
        <v>-1</v>
      </c>
      <c r="R533" s="33">
        <v>7</v>
      </c>
      <c r="S533" s="33">
        <v>7.0738000000000003</v>
      </c>
      <c r="T533" s="33">
        <v>8.0953499999999998</v>
      </c>
      <c r="U533" s="197">
        <v>5</v>
      </c>
      <c r="V533" s="90" t="str">
        <f t="shared" si="17"/>
        <v>MIN</v>
      </c>
      <c r="W533" s="90">
        <v>16</v>
      </c>
      <c r="X533" s="91">
        <v>2025</v>
      </c>
    </row>
    <row r="534" spans="1:24" x14ac:dyDescent="0.25">
      <c r="A534" s="74" t="s">
        <v>399</v>
      </c>
      <c r="B534" s="33">
        <v>2025</v>
      </c>
      <c r="C534" s="33">
        <v>1460.97</v>
      </c>
      <c r="D534" s="33">
        <v>-87.650800000000004</v>
      </c>
      <c r="E534" s="33">
        <v>-1.44356</v>
      </c>
      <c r="F534" s="33">
        <v>-1.1909099999999999</v>
      </c>
      <c r="G534" s="33">
        <v>-4.6370100000000001</v>
      </c>
      <c r="H534" s="33">
        <v>8.4500000000000006E-2</v>
      </c>
      <c r="I534" s="33">
        <v>0.10489999999999999</v>
      </c>
      <c r="J534" s="33">
        <v>3.7847499999999999E-2</v>
      </c>
      <c r="K534" s="33">
        <v>4.1500000000000002E-2</v>
      </c>
      <c r="L534" s="33">
        <v>2.81E-2</v>
      </c>
      <c r="M534" s="33">
        <v>-4.4732000000000001E-2</v>
      </c>
      <c r="N534" s="173">
        <v>4.2999999999999997E-2</v>
      </c>
      <c r="O534" s="33">
        <v>22.466699999999999</v>
      </c>
      <c r="P534" s="33">
        <v>19.600000000000001</v>
      </c>
      <c r="Q534" s="33">
        <v>2.8666999999999998</v>
      </c>
      <c r="R534" s="33">
        <v>6</v>
      </c>
      <c r="S534" s="33">
        <v>8.7027000000000001</v>
      </c>
      <c r="T534" s="33">
        <v>9.6380700000000008</v>
      </c>
      <c r="U534" s="197">
        <v>8</v>
      </c>
      <c r="V534" s="90" t="str">
        <f t="shared" si="17"/>
        <v>KC</v>
      </c>
      <c r="W534" s="90">
        <v>16</v>
      </c>
      <c r="X534" s="91">
        <v>2025</v>
      </c>
    </row>
    <row r="535" spans="1:24" x14ac:dyDescent="0.25">
      <c r="A535" s="74" t="s">
        <v>402</v>
      </c>
      <c r="B535" s="33">
        <v>2025</v>
      </c>
      <c r="C535" s="33">
        <v>1442.17</v>
      </c>
      <c r="D535" s="33">
        <v>-19.877400000000002</v>
      </c>
      <c r="E535" s="33">
        <v>-2.1957800000000001</v>
      </c>
      <c r="F535" s="33">
        <v>0.33147500000000002</v>
      </c>
      <c r="G535" s="33">
        <v>-2.4686400000000002</v>
      </c>
      <c r="H535" s="33">
        <v>-1.6000000000000001E-3</v>
      </c>
      <c r="I535" s="33">
        <v>-4.9299999999999997E-2</v>
      </c>
      <c r="J535" s="33">
        <v>1.6251600000000001E-2</v>
      </c>
      <c r="K535" s="33">
        <v>3.0200000000000001E-2</v>
      </c>
      <c r="L535" s="33">
        <v>5.9299999999999999E-2</v>
      </c>
      <c r="M535" s="33">
        <v>-6.9015000000000007E-2</v>
      </c>
      <c r="N535" s="173">
        <v>-3.1800000000000002E-2</v>
      </c>
      <c r="O535" s="33">
        <v>23.133299999999998</v>
      </c>
      <c r="P535" s="33">
        <v>25.133299999999998</v>
      </c>
      <c r="Q535" s="33">
        <v>-2</v>
      </c>
      <c r="R535" s="33">
        <v>7</v>
      </c>
      <c r="S535" s="33">
        <v>6.7653999999999996</v>
      </c>
      <c r="T535" s="33">
        <v>8.6718600000000006</v>
      </c>
      <c r="U535" s="197">
        <v>6</v>
      </c>
      <c r="V535" s="90" t="str">
        <f t="shared" si="17"/>
        <v>TB</v>
      </c>
      <c r="W535" s="90">
        <v>16</v>
      </c>
      <c r="X535" s="91">
        <v>2025</v>
      </c>
    </row>
    <row r="536" spans="1:24" x14ac:dyDescent="0.25">
      <c r="A536" s="74" t="s">
        <v>67</v>
      </c>
      <c r="B536" s="33">
        <v>2025</v>
      </c>
      <c r="C536" s="33">
        <v>1410.61</v>
      </c>
      <c r="D536" s="33">
        <v>13.7761</v>
      </c>
      <c r="E536" s="33">
        <v>-3.4582000000000002</v>
      </c>
      <c r="F536" s="33">
        <v>0.79569299999999998</v>
      </c>
      <c r="G536" s="33">
        <v>2.01647</v>
      </c>
      <c r="H536" s="33">
        <v>6.1000000000000004E-3</v>
      </c>
      <c r="I536" s="33">
        <v>-2.8299999999999999E-2</v>
      </c>
      <c r="J536" s="33">
        <v>-1.0137E-2</v>
      </c>
      <c r="K536" s="33">
        <v>7.3899999999999993E-2</v>
      </c>
      <c r="L536" s="33">
        <v>0.12470000000000001</v>
      </c>
      <c r="M536" s="33">
        <v>1.31413E-2</v>
      </c>
      <c r="N536" s="173">
        <v>-6.7799999999999999E-2</v>
      </c>
      <c r="O536" s="33">
        <v>19.133299999999998</v>
      </c>
      <c r="P536" s="33">
        <v>22.466699999999999</v>
      </c>
      <c r="Q536" s="33">
        <v>-3.3332999999999999</v>
      </c>
      <c r="R536" s="33">
        <v>8</v>
      </c>
      <c r="S536" s="33">
        <v>6.0895999999999999</v>
      </c>
      <c r="T536" s="33">
        <v>6.1624100000000004</v>
      </c>
      <c r="U536" s="197">
        <v>4</v>
      </c>
      <c r="V536" s="90" t="str">
        <f t="shared" si="17"/>
        <v>CAR</v>
      </c>
      <c r="W536" s="90">
        <v>16</v>
      </c>
      <c r="X536" s="91">
        <v>2025</v>
      </c>
    </row>
    <row r="537" spans="1:24" x14ac:dyDescent="0.25">
      <c r="A537" s="74" t="s">
        <v>41</v>
      </c>
      <c r="B537" s="33">
        <v>2025</v>
      </c>
      <c r="C537" s="33">
        <v>1393.95</v>
      </c>
      <c r="D537" s="33">
        <v>-36.812899999999999</v>
      </c>
      <c r="E537" s="33">
        <v>-4.1246700000000001</v>
      </c>
      <c r="F537" s="33">
        <v>0.12520500000000001</v>
      </c>
      <c r="G537" s="33">
        <v>-5.8930600000000002</v>
      </c>
      <c r="H537" s="33">
        <v>1.84E-2</v>
      </c>
      <c r="I537" s="33">
        <v>-3.3399999999999999E-2</v>
      </c>
      <c r="J537" s="33">
        <v>2.0810200000000001E-2</v>
      </c>
      <c r="K537" s="33">
        <v>0.14360000000000001</v>
      </c>
      <c r="L537" s="33">
        <v>0.2394</v>
      </c>
      <c r="M537" s="33">
        <v>4.4069799999999999E-2</v>
      </c>
      <c r="N537" s="173">
        <v>-0.12520000000000001</v>
      </c>
      <c r="O537" s="33">
        <v>20.6</v>
      </c>
      <c r="P537" s="33">
        <v>26.933299999999999</v>
      </c>
      <c r="Q537" s="33">
        <v>-6.3333000000000004</v>
      </c>
      <c r="R537" s="33">
        <v>4</v>
      </c>
      <c r="S537" s="33">
        <v>5.1944999999999997</v>
      </c>
      <c r="T537" s="33">
        <v>8.0174199999999995</v>
      </c>
      <c r="U537" s="197">
        <v>4</v>
      </c>
      <c r="V537" s="90" t="str">
        <f t="shared" si="17"/>
        <v>WAS</v>
      </c>
      <c r="W537" s="90">
        <v>16</v>
      </c>
      <c r="X537" s="91">
        <v>2025</v>
      </c>
    </row>
    <row r="538" spans="1:24" x14ac:dyDescent="0.25">
      <c r="A538" s="74" t="s">
        <v>403</v>
      </c>
      <c r="B538" s="33">
        <v>2025</v>
      </c>
      <c r="C538" s="33">
        <v>1379.66</v>
      </c>
      <c r="D538" s="33">
        <v>1.8535999999999999</v>
      </c>
      <c r="E538" s="33">
        <v>-4.6962000000000002</v>
      </c>
      <c r="F538" s="33">
        <v>1.4515400000000001</v>
      </c>
      <c r="G538" s="33">
        <v>1.12534</v>
      </c>
      <c r="H538" s="33">
        <v>-0.1326</v>
      </c>
      <c r="I538" s="33">
        <v>-0.10249999999999999</v>
      </c>
      <c r="J538" s="33">
        <v>-0.13434499999999999</v>
      </c>
      <c r="K538" s="33">
        <v>-2.58E-2</v>
      </c>
      <c r="L538" s="33">
        <v>-2.41E-2</v>
      </c>
      <c r="M538" s="33">
        <v>-7.8749600000000003E-2</v>
      </c>
      <c r="N538" s="173">
        <v>-0.10680000000000001</v>
      </c>
      <c r="O538" s="33">
        <v>17</v>
      </c>
      <c r="P538" s="33">
        <v>22.533300000000001</v>
      </c>
      <c r="Q538" s="33">
        <v>-5.5332999999999997</v>
      </c>
      <c r="R538" s="33">
        <v>5</v>
      </c>
      <c r="S538" s="33">
        <v>5.0848000000000004</v>
      </c>
      <c r="T538" s="33">
        <v>5.8582999999999998</v>
      </c>
      <c r="U538" s="197">
        <v>4</v>
      </c>
      <c r="V538" s="90" t="str">
        <f t="shared" si="17"/>
        <v>NO</v>
      </c>
      <c r="W538" s="90">
        <v>16</v>
      </c>
      <c r="X538" s="91">
        <v>2025</v>
      </c>
    </row>
    <row r="539" spans="1:24" x14ac:dyDescent="0.25">
      <c r="A539" s="74" t="s">
        <v>95</v>
      </c>
      <c r="B539" s="33">
        <v>2025</v>
      </c>
      <c r="C539" s="33">
        <v>1362.63</v>
      </c>
      <c r="D539" s="33">
        <v>-19.9358</v>
      </c>
      <c r="E539" s="33">
        <v>-5.3771599999999999</v>
      </c>
      <c r="F539" s="33">
        <v>-0.68594200000000005</v>
      </c>
      <c r="G539" s="33">
        <v>-0.72583500000000001</v>
      </c>
      <c r="H539" s="33">
        <v>2.2000000000000001E-3</v>
      </c>
      <c r="I539" s="33">
        <v>-3.5000000000000003E-2</v>
      </c>
      <c r="J539" s="33">
        <v>4.80139E-3</v>
      </c>
      <c r="K539" s="33">
        <v>0.1154</v>
      </c>
      <c r="L539" s="33">
        <v>5.7500000000000002E-2</v>
      </c>
      <c r="M539" s="33">
        <v>0.15968199999999999</v>
      </c>
      <c r="N539" s="173">
        <v>-0.1132</v>
      </c>
      <c r="O539" s="33">
        <v>20.866700000000002</v>
      </c>
      <c r="P539" s="33">
        <v>27.466699999999999</v>
      </c>
      <c r="Q539" s="33">
        <v>-6.6</v>
      </c>
      <c r="R539" s="33">
        <v>2</v>
      </c>
      <c r="S539" s="33">
        <v>5.1403999999999996</v>
      </c>
      <c r="T539" s="33">
        <v>4.3577599999999999</v>
      </c>
      <c r="U539" s="197">
        <v>3</v>
      </c>
      <c r="V539" s="90" t="str">
        <f t="shared" si="17"/>
        <v>NYG</v>
      </c>
      <c r="W539" s="90">
        <v>16</v>
      </c>
      <c r="X539" s="91">
        <v>2025</v>
      </c>
    </row>
    <row r="540" spans="1:24" x14ac:dyDescent="0.25">
      <c r="A540" s="74" t="s">
        <v>89</v>
      </c>
      <c r="B540" s="33">
        <v>2025</v>
      </c>
      <c r="C540" s="33">
        <v>1361.32</v>
      </c>
      <c r="D540" s="33">
        <v>0.57199999999999995</v>
      </c>
      <c r="E540" s="33">
        <v>-5.4295400000000003</v>
      </c>
      <c r="F540" s="33">
        <v>2.3246099999999998</v>
      </c>
      <c r="G540" s="33">
        <v>-0.68590799999999996</v>
      </c>
      <c r="H540" s="33">
        <v>-0.13880000000000001</v>
      </c>
      <c r="I540" s="33">
        <v>-0.2195</v>
      </c>
      <c r="J540" s="33">
        <v>-6.5872E-2</v>
      </c>
      <c r="K540" s="33">
        <v>6.6400000000000001E-2</v>
      </c>
      <c r="L540" s="33">
        <v>0.14979999999999999</v>
      </c>
      <c r="M540" s="33">
        <v>-2.8368999999999998E-2</v>
      </c>
      <c r="N540" s="173">
        <v>-0.20530000000000001</v>
      </c>
      <c r="O540" s="33">
        <v>16.7333</v>
      </c>
      <c r="P540" s="33">
        <v>26.866700000000002</v>
      </c>
      <c r="Q540" s="33">
        <v>-10.1333</v>
      </c>
      <c r="R540" s="33">
        <v>3</v>
      </c>
      <c r="S540" s="33">
        <v>3.6842000000000001</v>
      </c>
      <c r="T540" s="33">
        <v>4.0053999999999998</v>
      </c>
      <c r="U540" s="197">
        <v>1</v>
      </c>
      <c r="V540" s="90" t="str">
        <f t="shared" si="17"/>
        <v>TEN</v>
      </c>
      <c r="W540" s="90">
        <v>16</v>
      </c>
      <c r="X540" s="91">
        <v>2025</v>
      </c>
    </row>
    <row r="541" spans="1:24" x14ac:dyDescent="0.25">
      <c r="A541" s="74" t="s">
        <v>91</v>
      </c>
      <c r="B541" s="33">
        <v>2025</v>
      </c>
      <c r="C541" s="33">
        <v>1358.06</v>
      </c>
      <c r="D541" s="33">
        <v>-28.187999999999999</v>
      </c>
      <c r="E541" s="33">
        <v>-5.5602099999999997</v>
      </c>
      <c r="F541" s="33">
        <v>1.0623800000000001</v>
      </c>
      <c r="G541" s="33">
        <v>-1.06097</v>
      </c>
      <c r="H541" s="33">
        <v>-0.21609999999999999</v>
      </c>
      <c r="I541" s="33">
        <v>-0.3105</v>
      </c>
      <c r="J541" s="33">
        <v>-5.1773899999999998E-2</v>
      </c>
      <c r="K541" s="33">
        <v>-7.8E-2</v>
      </c>
      <c r="L541" s="33">
        <v>-0.1125</v>
      </c>
      <c r="M541" s="33">
        <v>-8.6919399999999994E-2</v>
      </c>
      <c r="N541" s="173">
        <v>-0.1381</v>
      </c>
      <c r="O541" s="33">
        <v>16.399999999999999</v>
      </c>
      <c r="P541" s="33">
        <v>23.666699999999999</v>
      </c>
      <c r="Q541" s="33">
        <v>-7.2667000000000002</v>
      </c>
      <c r="R541" s="33">
        <v>3</v>
      </c>
      <c r="S541" s="33">
        <v>4.4310999999999998</v>
      </c>
      <c r="T541" s="33">
        <v>5.21143</v>
      </c>
      <c r="U541" s="197">
        <v>6</v>
      </c>
      <c r="V541" s="90" t="str">
        <f t="shared" si="17"/>
        <v>CLE</v>
      </c>
      <c r="W541" s="90">
        <v>16</v>
      </c>
      <c r="X541" s="91">
        <v>2025</v>
      </c>
    </row>
    <row r="542" spans="1:24" x14ac:dyDescent="0.25">
      <c r="A542" s="74" t="s">
        <v>2</v>
      </c>
      <c r="B542" s="33">
        <v>2025</v>
      </c>
      <c r="C542" s="33">
        <v>1349.35</v>
      </c>
      <c r="D542" s="33">
        <v>-77.632499999999993</v>
      </c>
      <c r="E542" s="33">
        <v>-5.90855</v>
      </c>
      <c r="F542" s="33">
        <v>-0.57497500000000001</v>
      </c>
      <c r="G542" s="33">
        <v>-5.6873199999999997</v>
      </c>
      <c r="H542" s="33">
        <v>2.6599999999999999E-2</v>
      </c>
      <c r="I542" s="33">
        <v>1.9E-3</v>
      </c>
      <c r="J542" s="33">
        <v>-8.9980600000000004E-3</v>
      </c>
      <c r="K542" s="33">
        <v>8.6199999999999999E-2</v>
      </c>
      <c r="L542" s="33">
        <v>0.13059999999999999</v>
      </c>
      <c r="M542" s="33">
        <v>1.11749E-2</v>
      </c>
      <c r="N542" s="173">
        <v>-5.9499999999999997E-2</v>
      </c>
      <c r="O542" s="33">
        <v>21.133299999999998</v>
      </c>
      <c r="P542" s="33">
        <v>24.6</v>
      </c>
      <c r="Q542" s="33">
        <v>-3.4666999999999999</v>
      </c>
      <c r="R542" s="33">
        <v>6</v>
      </c>
      <c r="S542" s="33">
        <v>6.1643999999999997</v>
      </c>
      <c r="T542" s="33">
        <v>7.5390899999999998</v>
      </c>
      <c r="U542" s="197">
        <v>8</v>
      </c>
      <c r="V542" s="90" t="str">
        <f t="shared" si="17"/>
        <v>MIA</v>
      </c>
      <c r="W542" s="90">
        <v>16</v>
      </c>
      <c r="X542" s="91">
        <v>2025</v>
      </c>
    </row>
    <row r="543" spans="1:24" x14ac:dyDescent="0.25">
      <c r="A543" s="74" t="s">
        <v>93</v>
      </c>
      <c r="B543" s="33">
        <v>2025</v>
      </c>
      <c r="C543" s="33">
        <v>1348.25</v>
      </c>
      <c r="D543" s="33">
        <v>-32.872500000000002</v>
      </c>
      <c r="E543" s="33">
        <v>-5.9523900000000003</v>
      </c>
      <c r="F543" s="33">
        <v>-1.00908</v>
      </c>
      <c r="G543" s="33">
        <v>-6.1684299999999999</v>
      </c>
      <c r="H543" s="33">
        <v>-3.2800000000000003E-2</v>
      </c>
      <c r="I543" s="33">
        <v>2.3999999999999998E-3</v>
      </c>
      <c r="J543" s="33">
        <v>-6.0243900000000003E-2</v>
      </c>
      <c r="K543" s="33">
        <v>8.8099999999999998E-2</v>
      </c>
      <c r="L543" s="33">
        <v>0.1119</v>
      </c>
      <c r="M543" s="33">
        <v>-2.7392900000000001E-2</v>
      </c>
      <c r="N543" s="173">
        <v>-0.12089999999999999</v>
      </c>
      <c r="O543" s="33">
        <v>21.4</v>
      </c>
      <c r="P543" s="33">
        <v>27.6</v>
      </c>
      <c r="Q543" s="33">
        <v>-6.2</v>
      </c>
      <c r="R543" s="33">
        <v>3</v>
      </c>
      <c r="S543" s="33">
        <v>5.3048999999999999</v>
      </c>
      <c r="T543" s="33">
        <v>6.85215</v>
      </c>
      <c r="U543" s="197">
        <v>3</v>
      </c>
      <c r="V543" s="90" t="str">
        <f t="shared" si="17"/>
        <v>ARI</v>
      </c>
      <c r="W543" s="90">
        <v>16</v>
      </c>
      <c r="X543" s="91">
        <v>2025</v>
      </c>
    </row>
    <row r="544" spans="1:24" x14ac:dyDescent="0.25">
      <c r="A544" s="74" t="s">
        <v>401</v>
      </c>
      <c r="B544" s="33">
        <v>2025</v>
      </c>
      <c r="C544" s="33">
        <v>1341.43</v>
      </c>
      <c r="D544" s="33">
        <v>-13.6252</v>
      </c>
      <c r="E544" s="33">
        <v>-6.2254500000000004</v>
      </c>
      <c r="F544" s="33">
        <v>1.1570199999999999</v>
      </c>
      <c r="G544" s="33">
        <v>-3.8055099999999999</v>
      </c>
      <c r="H544" s="33">
        <v>-0.18809999999999999</v>
      </c>
      <c r="I544" s="33">
        <v>-0.18379999999999999</v>
      </c>
      <c r="J544" s="33">
        <v>-0.24587600000000001</v>
      </c>
      <c r="K544" s="33">
        <v>4.2999999999999997E-2</v>
      </c>
      <c r="L544" s="33">
        <v>0.13469999999999999</v>
      </c>
      <c r="M544" s="33">
        <v>-9.2730300000000002E-2</v>
      </c>
      <c r="N544" s="173">
        <v>-0.23119999999999999</v>
      </c>
      <c r="O544" s="33">
        <v>14.466699999999999</v>
      </c>
      <c r="P544" s="33">
        <v>25.7333</v>
      </c>
      <c r="Q544" s="33">
        <v>-11.2667</v>
      </c>
      <c r="R544" s="33">
        <v>2</v>
      </c>
      <c r="S544" s="33">
        <v>3.0514999999999999</v>
      </c>
      <c r="T544" s="33">
        <v>5.25427</v>
      </c>
      <c r="U544" s="197">
        <v>3</v>
      </c>
      <c r="V544" s="90" t="str">
        <f t="shared" si="17"/>
        <v>LV</v>
      </c>
      <c r="W544" s="90">
        <v>16</v>
      </c>
      <c r="X544" s="91">
        <v>2025</v>
      </c>
    </row>
    <row r="545" spans="1:24" ht="15.75" thickBot="1" x14ac:dyDescent="0.3">
      <c r="A545" s="74" t="s">
        <v>79</v>
      </c>
      <c r="B545" s="33">
        <v>2025</v>
      </c>
      <c r="C545" s="33">
        <v>1259.0899999999999</v>
      </c>
      <c r="D545" s="33">
        <v>-50.365699999999997</v>
      </c>
      <c r="E545" s="33">
        <v>-9.5190400000000004</v>
      </c>
      <c r="F545" s="33">
        <v>0.57595700000000005</v>
      </c>
      <c r="G545" s="33">
        <v>-6.5368500000000003</v>
      </c>
      <c r="H545" s="33">
        <v>-5.8400000000000001E-2</v>
      </c>
      <c r="I545" s="33">
        <v>-0.18609999999999999</v>
      </c>
      <c r="J545" s="33">
        <v>-6.1363300000000003E-2</v>
      </c>
      <c r="K545" s="33">
        <v>0.12720000000000001</v>
      </c>
      <c r="L545" s="33">
        <v>0.188</v>
      </c>
      <c r="M545" s="33">
        <v>7.2829799999999997E-3</v>
      </c>
      <c r="N545" s="173">
        <v>-0.1857</v>
      </c>
      <c r="O545" s="33">
        <v>18.8</v>
      </c>
      <c r="P545" s="33">
        <v>28.4</v>
      </c>
      <c r="Q545" s="33">
        <v>-9.6</v>
      </c>
      <c r="R545" s="33">
        <v>3</v>
      </c>
      <c r="S545" s="33">
        <v>4.1002000000000001</v>
      </c>
      <c r="T545" s="33">
        <v>5.9036200000000001</v>
      </c>
      <c r="U545" s="197">
        <v>3</v>
      </c>
      <c r="V545" s="198" t="str">
        <f t="shared" si="17"/>
        <v>NYJ</v>
      </c>
      <c r="W545" s="93">
        <v>16</v>
      </c>
      <c r="X545" s="199">
        <v>2025</v>
      </c>
    </row>
    <row r="546" spans="1:24" x14ac:dyDescent="0.25">
      <c r="A546" s="125" t="s">
        <v>21</v>
      </c>
      <c r="B546" s="126">
        <v>2025</v>
      </c>
      <c r="C546" s="126">
        <v>1682.99</v>
      </c>
      <c r="D546" s="126">
        <v>22.905200000000001</v>
      </c>
      <c r="E546" s="126">
        <v>7.5980400000000001</v>
      </c>
      <c r="F546" s="126">
        <v>-1.1888399999999999</v>
      </c>
      <c r="G546" s="126">
        <v>6.5339</v>
      </c>
      <c r="H546" s="126">
        <v>0.1193</v>
      </c>
      <c r="I546" s="126">
        <v>0.22470000000000001</v>
      </c>
      <c r="J546" s="126">
        <v>-9.9742500000000005E-3</v>
      </c>
      <c r="K546" s="126">
        <v>-6.4299999999999996E-2</v>
      </c>
      <c r="L546" s="126">
        <v>-8.7499999999999994E-2</v>
      </c>
      <c r="M546" s="126">
        <v>-4.3081399999999999E-2</v>
      </c>
      <c r="N546" s="202">
        <v>0.18360000000000001</v>
      </c>
      <c r="O546" s="126">
        <v>30.0625</v>
      </c>
      <c r="P546" s="126">
        <v>20.375</v>
      </c>
      <c r="Q546" s="126">
        <v>9.6875</v>
      </c>
      <c r="R546" s="126">
        <v>11</v>
      </c>
      <c r="S546" s="126">
        <v>11.4467</v>
      </c>
      <c r="T546" s="126">
        <v>11.1145</v>
      </c>
      <c r="U546" s="196">
        <v>15</v>
      </c>
      <c r="V546" s="127" t="str">
        <f t="shared" ref="V546:V577" si="18">IF(A546&lt;&gt;"",IF(A546="OAK","LV",A546),"")</f>
        <v>LAR</v>
      </c>
      <c r="W546" s="127">
        <v>17</v>
      </c>
      <c r="X546" s="128">
        <v>2025</v>
      </c>
    </row>
    <row r="547" spans="1:24" x14ac:dyDescent="0.25">
      <c r="A547" s="74" t="s">
        <v>55</v>
      </c>
      <c r="B547" s="33">
        <v>2025</v>
      </c>
      <c r="C547" s="33">
        <v>1675.22</v>
      </c>
      <c r="D547" s="33">
        <v>-11.229200000000001</v>
      </c>
      <c r="E547" s="33">
        <v>7.2873700000000001</v>
      </c>
      <c r="F547" s="33">
        <v>3.5395599999999999E-2</v>
      </c>
      <c r="G547" s="33">
        <v>7.3541400000000001</v>
      </c>
      <c r="H547" s="33">
        <v>6.7100000000000007E-2</v>
      </c>
      <c r="I547" s="33">
        <v>0.1133</v>
      </c>
      <c r="J547" s="33">
        <v>-7.3088600000000004E-2</v>
      </c>
      <c r="K547" s="33">
        <v>-0.14860000000000001</v>
      </c>
      <c r="L547" s="33">
        <v>-8.8800000000000004E-2</v>
      </c>
      <c r="M547" s="33">
        <v>-0.152505</v>
      </c>
      <c r="N547" s="203">
        <v>0.21579999999999999</v>
      </c>
      <c r="O547" s="33">
        <v>29.375</v>
      </c>
      <c r="P547" s="33">
        <v>18.0625</v>
      </c>
      <c r="Q547" s="33">
        <v>11.3125</v>
      </c>
      <c r="R547" s="33">
        <v>13</v>
      </c>
      <c r="S547" s="33">
        <v>12.159599999999999</v>
      </c>
      <c r="T547" s="33">
        <v>10.7989</v>
      </c>
      <c r="U547" s="197">
        <v>14</v>
      </c>
      <c r="V547" s="90" t="str">
        <f t="shared" si="18"/>
        <v>SEA</v>
      </c>
      <c r="W547" s="90">
        <v>17</v>
      </c>
      <c r="X547" s="91">
        <v>2025</v>
      </c>
    </row>
    <row r="548" spans="1:24" x14ac:dyDescent="0.25">
      <c r="A548" s="74" t="s">
        <v>405</v>
      </c>
      <c r="B548" s="33">
        <v>2025</v>
      </c>
      <c r="C548" s="33">
        <v>1648.63</v>
      </c>
      <c r="D548" s="33">
        <v>25.729299999999999</v>
      </c>
      <c r="E548" s="33">
        <v>6.2236200000000004</v>
      </c>
      <c r="F548" s="33">
        <v>0.15518100000000001</v>
      </c>
      <c r="G548" s="33">
        <v>5.4026899999999998</v>
      </c>
      <c r="H548" s="33">
        <v>0.13150000000000001</v>
      </c>
      <c r="I548" s="33">
        <v>0.19739999999999999</v>
      </c>
      <c r="J548" s="33">
        <v>-3.6170500000000001E-2</v>
      </c>
      <c r="K548" s="33">
        <v>3.9699999999999999E-2</v>
      </c>
      <c r="L548" s="33">
        <v>0.11119999999999999</v>
      </c>
      <c r="M548" s="33">
        <v>-5.1977300000000002E-3</v>
      </c>
      <c r="N548" s="203">
        <v>9.1800000000000007E-2</v>
      </c>
      <c r="O548" s="33">
        <v>27.125</v>
      </c>
      <c r="P548" s="33">
        <v>22.375</v>
      </c>
      <c r="Q548" s="33">
        <v>4.75</v>
      </c>
      <c r="R548" s="33">
        <v>12</v>
      </c>
      <c r="S548" s="33">
        <v>9.7940000000000005</v>
      </c>
      <c r="T548" s="33">
        <v>9.3044100000000007</v>
      </c>
      <c r="U548" s="197">
        <v>10</v>
      </c>
      <c r="V548" s="90" t="str">
        <f t="shared" si="18"/>
        <v>SF</v>
      </c>
      <c r="W548" s="90">
        <v>17</v>
      </c>
      <c r="X548" s="91">
        <v>2025</v>
      </c>
    </row>
    <row r="549" spans="1:24" x14ac:dyDescent="0.25">
      <c r="A549" s="74" t="s">
        <v>38</v>
      </c>
      <c r="B549" s="33">
        <v>2025</v>
      </c>
      <c r="C549" s="33">
        <v>1624.49</v>
      </c>
      <c r="D549" s="33">
        <v>-7.3047000000000004</v>
      </c>
      <c r="E549" s="33">
        <v>5.2579900000000004</v>
      </c>
      <c r="F549" s="33">
        <v>-0.103364</v>
      </c>
      <c r="G549" s="33">
        <v>0.63441899999999996</v>
      </c>
      <c r="H549" s="33">
        <v>2.2599999999999999E-2</v>
      </c>
      <c r="I549" s="33">
        <v>6.3299999999999995E-2</v>
      </c>
      <c r="J549" s="33">
        <v>-2.29169E-2</v>
      </c>
      <c r="K549" s="33">
        <v>-5.33E-2</v>
      </c>
      <c r="L549" s="33">
        <v>-0.14510000000000001</v>
      </c>
      <c r="M549" s="33">
        <v>-2.4210700000000002E-2</v>
      </c>
      <c r="N549" s="203">
        <v>7.5899999999999995E-2</v>
      </c>
      <c r="O549" s="33">
        <v>22.625</v>
      </c>
      <c r="P549" s="33">
        <v>18.8125</v>
      </c>
      <c r="Q549" s="33">
        <v>3.8125</v>
      </c>
      <c r="R549" s="33">
        <v>11</v>
      </c>
      <c r="S549" s="33">
        <v>9.7219999999999995</v>
      </c>
      <c r="T549" s="33">
        <v>11.818199999999999</v>
      </c>
      <c r="U549" s="197">
        <v>12</v>
      </c>
      <c r="V549" s="90" t="str">
        <f t="shared" si="18"/>
        <v>PHI</v>
      </c>
      <c r="W549" s="90">
        <v>17</v>
      </c>
      <c r="X549" s="91">
        <v>2025</v>
      </c>
    </row>
    <row r="550" spans="1:24" x14ac:dyDescent="0.25">
      <c r="A550" s="74" t="s">
        <v>25</v>
      </c>
      <c r="B550" s="33">
        <v>2025</v>
      </c>
      <c r="C550" s="33">
        <v>1606.38</v>
      </c>
      <c r="D550" s="33">
        <v>-3.0739000000000001</v>
      </c>
      <c r="E550" s="33">
        <v>4.5337300000000003</v>
      </c>
      <c r="F550" s="33">
        <v>-0.30943799999999999</v>
      </c>
      <c r="G550" s="33">
        <v>0.25419399999999998</v>
      </c>
      <c r="H550" s="33">
        <v>0.14230000000000001</v>
      </c>
      <c r="I550" s="33">
        <v>0.13589999999999999</v>
      </c>
      <c r="J550" s="33">
        <v>8.42754E-2</v>
      </c>
      <c r="K550" s="33">
        <v>4.4699999999999997E-2</v>
      </c>
      <c r="L550" s="33">
        <v>-0.1145</v>
      </c>
      <c r="M550" s="33">
        <v>0.110274</v>
      </c>
      <c r="N550" s="203">
        <v>9.7600000000000006E-2</v>
      </c>
      <c r="O550" s="33">
        <v>27.875</v>
      </c>
      <c r="P550" s="33">
        <v>22.3125</v>
      </c>
      <c r="Q550" s="33">
        <v>5.5625</v>
      </c>
      <c r="R550" s="33">
        <v>11</v>
      </c>
      <c r="S550" s="33">
        <v>10.0625</v>
      </c>
      <c r="T550" s="33">
        <v>11.7737</v>
      </c>
      <c r="U550" s="197">
        <v>9</v>
      </c>
      <c r="V550" s="90" t="str">
        <f t="shared" si="18"/>
        <v>BUF</v>
      </c>
      <c r="W550" s="90">
        <v>17</v>
      </c>
      <c r="X550" s="91">
        <v>2025</v>
      </c>
    </row>
    <row r="551" spans="1:24" x14ac:dyDescent="0.25">
      <c r="A551" s="74" t="s">
        <v>10</v>
      </c>
      <c r="B551" s="33">
        <v>2025</v>
      </c>
      <c r="C551" s="33">
        <v>1600.22</v>
      </c>
      <c r="D551" s="33">
        <v>-0.91290000000000004</v>
      </c>
      <c r="E551" s="33">
        <v>4.2872899999999996</v>
      </c>
      <c r="F551" s="33">
        <v>-1.0118799999999999</v>
      </c>
      <c r="G551" s="33">
        <v>-0.23718700000000001</v>
      </c>
      <c r="H551" s="33">
        <v>8.6300000000000002E-2</v>
      </c>
      <c r="I551" s="33">
        <v>0.1736</v>
      </c>
      <c r="J551" s="33">
        <v>-5.8450599999999998E-2</v>
      </c>
      <c r="K551" s="33">
        <v>1.9300000000000001E-2</v>
      </c>
      <c r="L551" s="33">
        <v>-4.7999999999999996E-3</v>
      </c>
      <c r="M551" s="33">
        <v>-3.14732E-2</v>
      </c>
      <c r="N551" s="203">
        <v>6.7000000000000004E-2</v>
      </c>
      <c r="O551" s="33">
        <v>28.875</v>
      </c>
      <c r="P551" s="33">
        <v>24.8125</v>
      </c>
      <c r="Q551" s="33">
        <v>4.0625</v>
      </c>
      <c r="R551" s="33">
        <v>8</v>
      </c>
      <c r="S551" s="33">
        <v>9.4222000000000001</v>
      </c>
      <c r="T551" s="33">
        <v>10.414400000000001</v>
      </c>
      <c r="U551" s="197">
        <v>9</v>
      </c>
      <c r="V551" s="90" t="str">
        <f t="shared" si="18"/>
        <v>DET</v>
      </c>
      <c r="W551" s="90">
        <v>17</v>
      </c>
      <c r="X551" s="91">
        <v>2025</v>
      </c>
    </row>
    <row r="552" spans="1:24" x14ac:dyDescent="0.25">
      <c r="A552" s="74" t="s">
        <v>404</v>
      </c>
      <c r="B552" s="33">
        <v>2025</v>
      </c>
      <c r="C552" s="33">
        <v>1590.54</v>
      </c>
      <c r="D552" s="33">
        <v>31.786200000000001</v>
      </c>
      <c r="E552" s="33">
        <v>3.9001800000000002</v>
      </c>
      <c r="F552" s="33">
        <v>0.88305699999999998</v>
      </c>
      <c r="G552" s="33">
        <v>6.9620899999999999</v>
      </c>
      <c r="H552" s="33">
        <v>0.1343</v>
      </c>
      <c r="I552" s="33">
        <v>0.30930000000000002</v>
      </c>
      <c r="J552" s="33">
        <v>-4.5967399999999999E-2</v>
      </c>
      <c r="K552" s="33">
        <v>-3.15E-2</v>
      </c>
      <c r="L552" s="33">
        <v>-4.2599999999999999E-2</v>
      </c>
      <c r="M552" s="33">
        <v>-2.2712E-2</v>
      </c>
      <c r="N552" s="203">
        <v>0.1658</v>
      </c>
      <c r="O552" s="33">
        <v>28.25</v>
      </c>
      <c r="P552" s="33">
        <v>19.375</v>
      </c>
      <c r="Q552" s="33">
        <v>8.875</v>
      </c>
      <c r="R552" s="33">
        <v>13</v>
      </c>
      <c r="S552" s="33">
        <v>11.3546</v>
      </c>
      <c r="T552" s="33">
        <v>9.8083899999999993</v>
      </c>
      <c r="U552" s="197">
        <v>10</v>
      </c>
      <c r="V552" s="90" t="str">
        <f t="shared" si="18"/>
        <v>NE</v>
      </c>
      <c r="W552" s="90">
        <v>17</v>
      </c>
      <c r="X552" s="91">
        <v>2025</v>
      </c>
    </row>
    <row r="553" spans="1:24" x14ac:dyDescent="0.25">
      <c r="A553" s="74" t="s">
        <v>31</v>
      </c>
      <c r="B553" s="33">
        <v>2025</v>
      </c>
      <c r="C553" s="33">
        <v>1583.54</v>
      </c>
      <c r="D553" s="33">
        <v>4.7545000000000002</v>
      </c>
      <c r="E553" s="33">
        <v>3.62005</v>
      </c>
      <c r="F553" s="33">
        <v>0.39553700000000003</v>
      </c>
      <c r="G553" s="33">
        <v>3.7974700000000001</v>
      </c>
      <c r="H553" s="33">
        <v>-1.2E-2</v>
      </c>
      <c r="I553" s="33">
        <v>4.2900000000000001E-2</v>
      </c>
      <c r="J553" s="33">
        <v>-0.102426</v>
      </c>
      <c r="K553" s="33">
        <v>-0.15670000000000001</v>
      </c>
      <c r="L553" s="33">
        <v>-0.21260000000000001</v>
      </c>
      <c r="M553" s="33">
        <v>-5.0498599999999998E-2</v>
      </c>
      <c r="N553" s="203">
        <v>0.14460000000000001</v>
      </c>
      <c r="O553" s="33">
        <v>22.875</v>
      </c>
      <c r="P553" s="33">
        <v>16.5625</v>
      </c>
      <c r="Q553" s="33">
        <v>6.3125</v>
      </c>
      <c r="R553" s="33">
        <v>11</v>
      </c>
      <c r="S553" s="33">
        <v>10.92</v>
      </c>
      <c r="T553" s="33">
        <v>9.7424400000000002</v>
      </c>
      <c r="U553" s="197">
        <v>11</v>
      </c>
      <c r="V553" s="90" t="str">
        <f t="shared" si="18"/>
        <v>HOU</v>
      </c>
      <c r="W553" s="90">
        <v>17</v>
      </c>
      <c r="X553" s="91">
        <v>2025</v>
      </c>
    </row>
    <row r="554" spans="1:24" x14ac:dyDescent="0.25">
      <c r="A554" s="74" t="s">
        <v>72</v>
      </c>
      <c r="B554" s="33">
        <v>2025</v>
      </c>
      <c r="C554" s="33">
        <v>1580.86</v>
      </c>
      <c r="D554" s="33">
        <v>24.548500000000001</v>
      </c>
      <c r="E554" s="33">
        <v>3.5129100000000002</v>
      </c>
      <c r="F554" s="33">
        <v>0.53382799999999997</v>
      </c>
      <c r="G554" s="33">
        <v>4.8720100000000004</v>
      </c>
      <c r="H554" s="33">
        <v>7.0599999999999996E-2</v>
      </c>
      <c r="I554" s="33">
        <v>9.06E-2</v>
      </c>
      <c r="J554" s="33">
        <v>6.6727999999999996E-2</v>
      </c>
      <c r="K554" s="33">
        <v>3.0099999999999998E-2</v>
      </c>
      <c r="L554" s="33">
        <v>1.5900000000000001E-2</v>
      </c>
      <c r="M554" s="33">
        <v>-2.8365600000000002E-4</v>
      </c>
      <c r="N554" s="203">
        <v>4.0500000000000001E-2</v>
      </c>
      <c r="O554" s="33">
        <v>26.5625</v>
      </c>
      <c r="P554" s="33">
        <v>24.75</v>
      </c>
      <c r="Q554" s="33">
        <v>1.8125</v>
      </c>
      <c r="R554" s="33">
        <v>11</v>
      </c>
      <c r="S554" s="33">
        <v>8.6684000000000001</v>
      </c>
      <c r="T554" s="33">
        <v>7.4548800000000002</v>
      </c>
      <c r="U554" s="197">
        <v>10</v>
      </c>
      <c r="V554" s="90" t="str">
        <f t="shared" si="18"/>
        <v>CHI</v>
      </c>
      <c r="W554" s="90">
        <v>17</v>
      </c>
      <c r="X554" s="91">
        <v>2025</v>
      </c>
    </row>
    <row r="555" spans="1:24" x14ac:dyDescent="0.25">
      <c r="A555" s="74" t="s">
        <v>44</v>
      </c>
      <c r="B555" s="33">
        <v>2025</v>
      </c>
      <c r="C555" s="33">
        <v>1578.26</v>
      </c>
      <c r="D555" s="33">
        <v>21.594799999999999</v>
      </c>
      <c r="E555" s="33">
        <v>3.40869</v>
      </c>
      <c r="F555" s="33">
        <v>0.56488799999999995</v>
      </c>
      <c r="G555" s="33">
        <v>5.3397899999999998</v>
      </c>
      <c r="H555" s="33">
        <v>5.6800000000000003E-2</v>
      </c>
      <c r="I555" s="33">
        <v>4.1799999999999997E-2</v>
      </c>
      <c r="J555" s="33">
        <v>-1.20576E-2</v>
      </c>
      <c r="K555" s="33">
        <v>-6.3700000000000007E-2</v>
      </c>
      <c r="L555" s="33">
        <v>-0.1234</v>
      </c>
      <c r="M555" s="33">
        <v>-5.9009800000000001E-2</v>
      </c>
      <c r="N555" s="203">
        <v>0.12039999999999999</v>
      </c>
      <c r="O555" s="33">
        <v>27.0625</v>
      </c>
      <c r="P555" s="33">
        <v>20.5625</v>
      </c>
      <c r="Q555" s="33">
        <v>6.5</v>
      </c>
      <c r="R555" s="33">
        <v>12</v>
      </c>
      <c r="S555" s="33">
        <v>10.515700000000001</v>
      </c>
      <c r="T555" s="33">
        <v>8.4755000000000003</v>
      </c>
      <c r="U555" s="197">
        <v>11</v>
      </c>
      <c r="V555" s="90" t="str">
        <f t="shared" si="18"/>
        <v>JAX</v>
      </c>
      <c r="W555" s="90">
        <v>17</v>
      </c>
      <c r="X555" s="91">
        <v>2025</v>
      </c>
    </row>
    <row r="556" spans="1:24" x14ac:dyDescent="0.25">
      <c r="A556" s="74" t="s">
        <v>63</v>
      </c>
      <c r="B556" s="33">
        <v>2025</v>
      </c>
      <c r="C556" s="33">
        <v>1568.02</v>
      </c>
      <c r="D556" s="33">
        <v>13.0654</v>
      </c>
      <c r="E556" s="33">
        <v>2.99925</v>
      </c>
      <c r="F556" s="33">
        <v>0.25419900000000001</v>
      </c>
      <c r="G556" s="33">
        <v>1.49654</v>
      </c>
      <c r="H556" s="33">
        <v>4.9099999999999998E-2</v>
      </c>
      <c r="I556" s="33">
        <v>0.1004</v>
      </c>
      <c r="J556" s="33">
        <v>-1.10581E-2</v>
      </c>
      <c r="K556" s="33">
        <v>-2.4E-2</v>
      </c>
      <c r="L556" s="33">
        <v>-8.2500000000000004E-2</v>
      </c>
      <c r="M556" s="33">
        <v>-5.3678299999999998E-2</v>
      </c>
      <c r="N556" s="203">
        <v>7.3099999999999998E-2</v>
      </c>
      <c r="O556" s="33">
        <v>23.875</v>
      </c>
      <c r="P556" s="33">
        <v>19.25</v>
      </c>
      <c r="Q556" s="33">
        <v>4.625</v>
      </c>
      <c r="R556" s="33">
        <v>13</v>
      </c>
      <c r="S556" s="33">
        <v>9.9981000000000009</v>
      </c>
      <c r="T556" s="33">
        <v>11.3338</v>
      </c>
      <c r="U556" s="197">
        <v>13</v>
      </c>
      <c r="V556" s="90" t="str">
        <f t="shared" si="18"/>
        <v>DEN</v>
      </c>
      <c r="W556" s="90">
        <v>17</v>
      </c>
      <c r="X556" s="91">
        <v>2025</v>
      </c>
    </row>
    <row r="557" spans="1:24" x14ac:dyDescent="0.25">
      <c r="A557" s="74" t="s">
        <v>60</v>
      </c>
      <c r="B557" s="33">
        <v>2025</v>
      </c>
      <c r="C557" s="33">
        <v>1539.36</v>
      </c>
      <c r="D557" s="33">
        <v>-9.8254000000000001</v>
      </c>
      <c r="E557" s="33">
        <v>1.8529500000000001</v>
      </c>
      <c r="F557" s="33">
        <v>-0.50778299999999998</v>
      </c>
      <c r="G557" s="33">
        <v>1.2027399999999999</v>
      </c>
      <c r="H557" s="33">
        <v>9.4999999999999998E-3</v>
      </c>
      <c r="I557" s="33">
        <v>-6.6E-3</v>
      </c>
      <c r="J557" s="33">
        <v>-2.1647699999999999E-2</v>
      </c>
      <c r="K557" s="33">
        <v>-4.3400000000000001E-2</v>
      </c>
      <c r="L557" s="33">
        <v>-9.0700000000000003E-2</v>
      </c>
      <c r="M557" s="33">
        <v>-7.48331E-2</v>
      </c>
      <c r="N557" s="203">
        <v>5.2900000000000003E-2</v>
      </c>
      <c r="O557" s="33">
        <v>22.8125</v>
      </c>
      <c r="P557" s="33">
        <v>20.0625</v>
      </c>
      <c r="Q557" s="33">
        <v>2.75</v>
      </c>
      <c r="R557" s="33">
        <v>11</v>
      </c>
      <c r="S557" s="33">
        <v>9.2083999999999993</v>
      </c>
      <c r="T557" s="33">
        <v>9.6425800000000006</v>
      </c>
      <c r="U557" s="197">
        <v>8</v>
      </c>
      <c r="V557" s="90" t="str">
        <f t="shared" si="18"/>
        <v>LAC</v>
      </c>
      <c r="W557" s="90">
        <v>17</v>
      </c>
      <c r="X557" s="91">
        <v>2025</v>
      </c>
    </row>
    <row r="558" spans="1:24" x14ac:dyDescent="0.25">
      <c r="A558" s="74" t="s">
        <v>47</v>
      </c>
      <c r="B558" s="33">
        <v>2025</v>
      </c>
      <c r="C558" s="33">
        <v>1531.4</v>
      </c>
      <c r="D558" s="33">
        <v>-60.024900000000002</v>
      </c>
      <c r="E558" s="33">
        <v>1.5342800000000001</v>
      </c>
      <c r="F558" s="33">
        <v>0.70309600000000005</v>
      </c>
      <c r="G558" s="33">
        <v>-4.7981199999999999</v>
      </c>
      <c r="H558" s="33">
        <v>5.5399999999999998E-2</v>
      </c>
      <c r="I558" s="33">
        <v>-6.2700000000000006E-2</v>
      </c>
      <c r="J558" s="33">
        <v>9.1778200000000004E-2</v>
      </c>
      <c r="K558" s="33">
        <v>2.9399999999999999E-2</v>
      </c>
      <c r="L558" s="33">
        <v>6.9199999999999998E-2</v>
      </c>
      <c r="M558" s="33">
        <v>-7.8673300000000002E-2</v>
      </c>
      <c r="N558" s="203">
        <v>2.5999999999999999E-2</v>
      </c>
      <c r="O558" s="33">
        <v>25</v>
      </c>
      <c r="P558" s="33">
        <v>23.25</v>
      </c>
      <c r="Q558" s="33">
        <v>1.75</v>
      </c>
      <c r="R558" s="33">
        <v>8</v>
      </c>
      <c r="S558" s="33">
        <v>8.6862999999999992</v>
      </c>
      <c r="T558" s="33">
        <v>10.062200000000001</v>
      </c>
      <c r="U558" s="197">
        <v>9</v>
      </c>
      <c r="V558" s="90" t="str">
        <f t="shared" si="18"/>
        <v>BAL</v>
      </c>
      <c r="W558" s="90">
        <v>17</v>
      </c>
      <c r="X558" s="91">
        <v>2025</v>
      </c>
    </row>
    <row r="559" spans="1:24" x14ac:dyDescent="0.25">
      <c r="A559" s="74" t="s">
        <v>400</v>
      </c>
      <c r="B559" s="33">
        <v>2025</v>
      </c>
      <c r="C559" s="33">
        <v>1511.12</v>
      </c>
      <c r="D559" s="33">
        <v>-54.304900000000004</v>
      </c>
      <c r="E559" s="33">
        <v>0.72309599999999996</v>
      </c>
      <c r="F559" s="33">
        <v>0.28547899999999998</v>
      </c>
      <c r="G559" s="33">
        <v>-1.2992600000000001</v>
      </c>
      <c r="H559" s="33">
        <v>0.1409</v>
      </c>
      <c r="I559" s="33">
        <v>0.27489999999999998</v>
      </c>
      <c r="J559" s="33">
        <v>-2.6922700000000001E-2</v>
      </c>
      <c r="K559" s="33">
        <v>7.6100000000000001E-2</v>
      </c>
      <c r="L559" s="33">
        <v>8.1600000000000006E-2</v>
      </c>
      <c r="M559" s="33">
        <v>-1.64026E-2</v>
      </c>
      <c r="N559" s="203">
        <v>6.4799999999999996E-2</v>
      </c>
      <c r="O559" s="33">
        <v>24.25</v>
      </c>
      <c r="P559" s="33">
        <v>21.5</v>
      </c>
      <c r="Q559" s="33">
        <v>2.75</v>
      </c>
      <c r="R559" s="33">
        <v>9</v>
      </c>
      <c r="S559" s="33">
        <v>9.1334</v>
      </c>
      <c r="T559" s="33">
        <v>10.2936</v>
      </c>
      <c r="U559" s="197">
        <v>10</v>
      </c>
      <c r="V559" s="90" t="str">
        <f t="shared" si="18"/>
        <v>GB</v>
      </c>
      <c r="W559" s="90">
        <v>17</v>
      </c>
      <c r="X559" s="91">
        <v>2025</v>
      </c>
    </row>
    <row r="560" spans="1:24" x14ac:dyDescent="0.25">
      <c r="A560" s="74" t="s">
        <v>77</v>
      </c>
      <c r="B560" s="33">
        <v>2025</v>
      </c>
      <c r="C560" s="33">
        <v>1503.69</v>
      </c>
      <c r="D560" s="33">
        <v>6.9528999999999996</v>
      </c>
      <c r="E560" s="33">
        <v>0.42587900000000001</v>
      </c>
      <c r="F560" s="33">
        <v>0.45979999999999999</v>
      </c>
      <c r="G560" s="33">
        <v>-1.1928700000000001</v>
      </c>
      <c r="H560" s="33">
        <v>5.7000000000000002E-2</v>
      </c>
      <c r="I560" s="33">
        <v>-9.4999999999999998E-3</v>
      </c>
      <c r="J560" s="33">
        <v>5.9145400000000002E-3</v>
      </c>
      <c r="K560" s="33">
        <v>0.14130000000000001</v>
      </c>
      <c r="L560" s="33">
        <v>0.2009</v>
      </c>
      <c r="M560" s="33">
        <v>6.3036800000000004E-2</v>
      </c>
      <c r="N560" s="203">
        <v>-8.43E-2</v>
      </c>
      <c r="O560" s="33">
        <v>24.75</v>
      </c>
      <c r="P560" s="33">
        <v>29.5</v>
      </c>
      <c r="Q560" s="33">
        <v>-4.75</v>
      </c>
      <c r="R560" s="33">
        <v>6</v>
      </c>
      <c r="S560" s="33">
        <v>6.3593000000000002</v>
      </c>
      <c r="T560" s="33">
        <v>8.0482300000000002</v>
      </c>
      <c r="U560" s="197">
        <v>7</v>
      </c>
      <c r="V560" s="90" t="str">
        <f t="shared" si="18"/>
        <v>CIN</v>
      </c>
      <c r="W560" s="90">
        <v>17</v>
      </c>
      <c r="X560" s="91">
        <v>2025</v>
      </c>
    </row>
    <row r="561" spans="1:24" x14ac:dyDescent="0.25">
      <c r="A561" s="74" t="s">
        <v>85</v>
      </c>
      <c r="B561" s="33">
        <v>2025</v>
      </c>
      <c r="C561" s="33">
        <v>1494.82</v>
      </c>
      <c r="D561" s="33">
        <v>-3.2349999999999999</v>
      </c>
      <c r="E561" s="33">
        <v>7.1435499999999999E-2</v>
      </c>
      <c r="F561" s="33">
        <v>-1.36242</v>
      </c>
      <c r="G561" s="33">
        <v>4.67286E-3</v>
      </c>
      <c r="H561" s="33">
        <v>4.4600000000000001E-2</v>
      </c>
      <c r="I561" s="33">
        <v>1.84E-2</v>
      </c>
      <c r="J561" s="33">
        <v>1.7719200000000001E-2</v>
      </c>
      <c r="K561" s="33">
        <v>2.7400000000000001E-2</v>
      </c>
      <c r="L561" s="33">
        <v>1.61E-2</v>
      </c>
      <c r="M561" s="33">
        <v>-6.95651E-3</v>
      </c>
      <c r="N561" s="203">
        <v>1.72E-2</v>
      </c>
      <c r="O561" s="33">
        <v>23.1875</v>
      </c>
      <c r="P561" s="33">
        <v>22.6875</v>
      </c>
      <c r="Q561" s="33">
        <v>0.5</v>
      </c>
      <c r="R561" s="33">
        <v>9</v>
      </c>
      <c r="S561" s="33">
        <v>8.2065999999999999</v>
      </c>
      <c r="T561" s="33">
        <v>8.9307499999999997</v>
      </c>
      <c r="U561" s="197">
        <v>8</v>
      </c>
      <c r="V561" s="90" t="str">
        <f t="shared" si="18"/>
        <v>PIT</v>
      </c>
      <c r="W561" s="90">
        <v>17</v>
      </c>
      <c r="X561" s="91">
        <v>2025</v>
      </c>
    </row>
    <row r="562" spans="1:24" x14ac:dyDescent="0.25">
      <c r="A562" s="74" t="s">
        <v>14</v>
      </c>
      <c r="B562" s="33">
        <v>2025</v>
      </c>
      <c r="C562" s="33">
        <v>1491.25</v>
      </c>
      <c r="D562" s="33">
        <v>9.9133999999999993</v>
      </c>
      <c r="E562" s="33">
        <v>-7.1440400000000001E-2</v>
      </c>
      <c r="F562" s="33">
        <v>0.28184100000000001</v>
      </c>
      <c r="G562" s="33">
        <v>0.97031699999999999</v>
      </c>
      <c r="H562" s="33">
        <v>0.14280000000000001</v>
      </c>
      <c r="I562" s="33">
        <v>0.18690000000000001</v>
      </c>
      <c r="J562" s="33">
        <v>-1.99831E-2</v>
      </c>
      <c r="K562" s="33">
        <v>0.1825</v>
      </c>
      <c r="L562" s="33">
        <v>0.23</v>
      </c>
      <c r="M562" s="33">
        <v>7.8757199999999999E-2</v>
      </c>
      <c r="N562" s="203">
        <v>-3.9800000000000002E-2</v>
      </c>
      <c r="O562" s="33">
        <v>28.375</v>
      </c>
      <c r="P562" s="33">
        <v>29.8125</v>
      </c>
      <c r="Q562" s="33">
        <v>-1.4375</v>
      </c>
      <c r="R562" s="33">
        <v>7</v>
      </c>
      <c r="S562" s="33">
        <v>7.532</v>
      </c>
      <c r="T562" s="33">
        <v>7.7533700000000003</v>
      </c>
      <c r="U562" s="197">
        <v>7</v>
      </c>
      <c r="V562" s="90" t="str">
        <f t="shared" si="18"/>
        <v>DAL</v>
      </c>
      <c r="W562" s="90">
        <v>17</v>
      </c>
      <c r="X562" s="91">
        <v>2025</v>
      </c>
    </row>
    <row r="563" spans="1:24" x14ac:dyDescent="0.25">
      <c r="A563" s="74" t="s">
        <v>69</v>
      </c>
      <c r="B563" s="33">
        <v>2025</v>
      </c>
      <c r="C563" s="33">
        <v>1487.59</v>
      </c>
      <c r="D563" s="33">
        <v>28.1524</v>
      </c>
      <c r="E563" s="33">
        <v>-0.217837</v>
      </c>
      <c r="F563" s="33">
        <v>0.48794399999999999</v>
      </c>
      <c r="G563" s="33">
        <v>0.83782699999999999</v>
      </c>
      <c r="H563" s="33">
        <v>-1.38E-2</v>
      </c>
      <c r="I563" s="33">
        <v>-2E-3</v>
      </c>
      <c r="J563" s="33">
        <v>-1.97524E-2</v>
      </c>
      <c r="K563" s="33">
        <v>4.6699999999999998E-2</v>
      </c>
      <c r="L563" s="33">
        <v>-2.1399999999999999E-2</v>
      </c>
      <c r="M563" s="33">
        <v>2.3325499999999999E-2</v>
      </c>
      <c r="N563" s="203">
        <v>-6.0499999999999998E-2</v>
      </c>
      <c r="O563" s="33">
        <v>20.875</v>
      </c>
      <c r="P563" s="33">
        <v>24</v>
      </c>
      <c r="Q563" s="33">
        <v>-3.125</v>
      </c>
      <c r="R563" s="33">
        <v>7</v>
      </c>
      <c r="S563" s="33">
        <v>6.6894</v>
      </c>
      <c r="T563" s="33">
        <v>7.2036600000000002</v>
      </c>
      <c r="U563" s="197">
        <v>11</v>
      </c>
      <c r="V563" s="90" t="str">
        <f t="shared" si="18"/>
        <v>ATL</v>
      </c>
      <c r="W563" s="90">
        <v>17</v>
      </c>
      <c r="X563" s="91">
        <v>2025</v>
      </c>
    </row>
    <row r="564" spans="1:24" x14ac:dyDescent="0.25">
      <c r="A564" s="74" t="s">
        <v>57</v>
      </c>
      <c r="B564" s="33">
        <v>2025</v>
      </c>
      <c r="C564" s="33">
        <v>1467.88</v>
      </c>
      <c r="D564" s="33">
        <v>6.4010999999999996</v>
      </c>
      <c r="E564" s="33">
        <v>-1.0062500000000001</v>
      </c>
      <c r="F564" s="33">
        <v>-1.04017</v>
      </c>
      <c r="G564" s="33">
        <v>2.0503499999999999</v>
      </c>
      <c r="H564" s="33">
        <v>0.1183</v>
      </c>
      <c r="I564" s="33">
        <v>6.6699999999999995E-2</v>
      </c>
      <c r="J564" s="33">
        <v>8.9267799999999994E-2</v>
      </c>
      <c r="K564" s="33">
        <v>3.5799999999999998E-2</v>
      </c>
      <c r="L564" s="33">
        <v>4.7500000000000001E-2</v>
      </c>
      <c r="M564" s="33">
        <v>-6.7899799999999996E-2</v>
      </c>
      <c r="N564" s="203">
        <v>8.2500000000000004E-2</v>
      </c>
      <c r="O564" s="33">
        <v>27.25</v>
      </c>
      <c r="P564" s="33">
        <v>23.375</v>
      </c>
      <c r="Q564" s="33">
        <v>3.875</v>
      </c>
      <c r="R564" s="33">
        <v>8</v>
      </c>
      <c r="S564" s="33">
        <v>9.4382999999999999</v>
      </c>
      <c r="T564" s="33">
        <v>8.4114799999999992</v>
      </c>
      <c r="U564" s="197">
        <v>9</v>
      </c>
      <c r="V564" s="90" t="str">
        <f t="shared" si="18"/>
        <v>IND</v>
      </c>
      <c r="W564" s="90">
        <v>17</v>
      </c>
      <c r="X564" s="91">
        <v>2025</v>
      </c>
    </row>
    <row r="565" spans="1:24" x14ac:dyDescent="0.25">
      <c r="A565" s="74" t="s">
        <v>402</v>
      </c>
      <c r="B565" s="33">
        <v>2025</v>
      </c>
      <c r="C565" s="33">
        <v>1438.73</v>
      </c>
      <c r="D565" s="33">
        <v>-16.235700000000001</v>
      </c>
      <c r="E565" s="33">
        <v>-2.1722999999999999</v>
      </c>
      <c r="F565" s="33">
        <v>-0.17175799999999999</v>
      </c>
      <c r="G565" s="33">
        <v>-2.44516</v>
      </c>
      <c r="H565" s="33">
        <v>-8.9999999999999998E-4</v>
      </c>
      <c r="I565" s="33">
        <v>-4.2099999999999999E-2</v>
      </c>
      <c r="J565" s="33">
        <v>1.67239E-2</v>
      </c>
      <c r="K565" s="33">
        <v>3.2000000000000001E-2</v>
      </c>
      <c r="L565" s="33">
        <v>6.5699999999999995E-2</v>
      </c>
      <c r="M565" s="33">
        <v>-6.4925200000000002E-2</v>
      </c>
      <c r="N565" s="203">
        <v>-3.2899999999999999E-2</v>
      </c>
      <c r="O565" s="33">
        <v>22.75</v>
      </c>
      <c r="P565" s="33">
        <v>24.8125</v>
      </c>
      <c r="Q565" s="33">
        <v>-2.0625</v>
      </c>
      <c r="R565" s="33">
        <v>7</v>
      </c>
      <c r="S565" s="33">
        <v>7.1802000000000001</v>
      </c>
      <c r="T565" s="33">
        <v>9.4059000000000008</v>
      </c>
      <c r="U565" s="197">
        <v>6</v>
      </c>
      <c r="V565" s="90" t="str">
        <f t="shared" si="18"/>
        <v>TB</v>
      </c>
      <c r="W565" s="90">
        <v>17</v>
      </c>
      <c r="X565" s="91">
        <v>2025</v>
      </c>
    </row>
    <row r="566" spans="1:24" x14ac:dyDescent="0.25">
      <c r="A566" s="74" t="s">
        <v>75</v>
      </c>
      <c r="B566" s="33">
        <v>2025</v>
      </c>
      <c r="C566" s="33">
        <v>1434.83</v>
      </c>
      <c r="D566" s="33">
        <v>-52.566400000000002</v>
      </c>
      <c r="E566" s="33">
        <v>-2.32823</v>
      </c>
      <c r="F566" s="33">
        <v>6.0375900000000003E-2</v>
      </c>
      <c r="G566" s="33">
        <v>-2.9565800000000002</v>
      </c>
      <c r="H566" s="33">
        <v>-0.10390000000000001</v>
      </c>
      <c r="I566" s="33">
        <v>-0.23019999999999999</v>
      </c>
      <c r="J566" s="33">
        <v>-2.1417800000000001E-2</v>
      </c>
      <c r="K566" s="33">
        <v>-8.8700000000000001E-2</v>
      </c>
      <c r="L566" s="33">
        <v>-0.1381</v>
      </c>
      <c r="M566" s="33">
        <v>-6.79704E-2</v>
      </c>
      <c r="N566" s="203">
        <v>-1.52E-2</v>
      </c>
      <c r="O566" s="33">
        <v>20.5</v>
      </c>
      <c r="P566" s="33">
        <v>20.625</v>
      </c>
      <c r="Q566" s="33">
        <v>-0.125</v>
      </c>
      <c r="R566" s="33">
        <v>8</v>
      </c>
      <c r="S566" s="33">
        <v>7.9424000000000001</v>
      </c>
      <c r="T566" s="33">
        <v>8.6144700000000007</v>
      </c>
      <c r="U566" s="197">
        <v>6</v>
      </c>
      <c r="V566" s="90" t="str">
        <f t="shared" si="18"/>
        <v>MIN</v>
      </c>
      <c r="W566" s="90">
        <v>17</v>
      </c>
      <c r="X566" s="91">
        <v>2025</v>
      </c>
    </row>
    <row r="567" spans="1:24" x14ac:dyDescent="0.25">
      <c r="A567" s="74" t="s">
        <v>95</v>
      </c>
      <c r="B567" s="33">
        <v>2025</v>
      </c>
      <c r="C567" s="33">
        <v>1430.72</v>
      </c>
      <c r="D567" s="33">
        <v>-11.961399999999999</v>
      </c>
      <c r="E567" s="33">
        <v>-2.49288</v>
      </c>
      <c r="F567" s="33">
        <v>2.6939799999999998</v>
      </c>
      <c r="G567" s="33">
        <v>2.1584500000000002</v>
      </c>
      <c r="H567" s="33">
        <v>2.24E-2</v>
      </c>
      <c r="I567" s="33">
        <v>-2.69E-2</v>
      </c>
      <c r="J567" s="33">
        <v>2.8178600000000002E-2</v>
      </c>
      <c r="K567" s="33">
        <v>0.1008</v>
      </c>
      <c r="L567" s="33">
        <v>4.2599999999999999E-2</v>
      </c>
      <c r="M567" s="33">
        <v>0.13986599999999999</v>
      </c>
      <c r="N567" s="203">
        <v>-7.8399999999999997E-2</v>
      </c>
      <c r="O567" s="33">
        <v>21.6875</v>
      </c>
      <c r="P567" s="33">
        <v>26.375</v>
      </c>
      <c r="Q567" s="33">
        <v>-4.6875</v>
      </c>
      <c r="R567" s="33">
        <v>3</v>
      </c>
      <c r="S567" s="33">
        <v>6.1775000000000002</v>
      </c>
      <c r="T567" s="33">
        <v>4.76729</v>
      </c>
      <c r="U567" s="197">
        <v>4</v>
      </c>
      <c r="V567" s="90" t="str">
        <f t="shared" si="18"/>
        <v>NYG</v>
      </c>
      <c r="W567" s="90">
        <v>17</v>
      </c>
      <c r="X567" s="91">
        <v>2025</v>
      </c>
    </row>
    <row r="568" spans="1:24" x14ac:dyDescent="0.25">
      <c r="A568" s="74" t="s">
        <v>399</v>
      </c>
      <c r="B568" s="33">
        <v>2025</v>
      </c>
      <c r="C568" s="33">
        <v>1423.86</v>
      </c>
      <c r="D568" s="33">
        <v>-118.471</v>
      </c>
      <c r="E568" s="33">
        <v>-2.7671899999999998</v>
      </c>
      <c r="F568" s="33">
        <v>-0.118076</v>
      </c>
      <c r="G568" s="33">
        <v>-5.9606300000000001</v>
      </c>
      <c r="H568" s="33">
        <v>8.0299999999999996E-2</v>
      </c>
      <c r="I568" s="33">
        <v>8.5400000000000004E-2</v>
      </c>
      <c r="J568" s="33">
        <v>3.6561200000000002E-2</v>
      </c>
      <c r="K568" s="33">
        <v>4.7300000000000002E-2</v>
      </c>
      <c r="L568" s="33">
        <v>3.1899999999999998E-2</v>
      </c>
      <c r="M568" s="33">
        <v>-3.2094400000000002E-2</v>
      </c>
      <c r="N568" s="203">
        <v>3.3000000000000002E-2</v>
      </c>
      <c r="O568" s="33">
        <v>21.875</v>
      </c>
      <c r="P568" s="33">
        <v>19.625</v>
      </c>
      <c r="Q568" s="33">
        <v>2.25</v>
      </c>
      <c r="R568" s="33">
        <v>6</v>
      </c>
      <c r="S568" s="33">
        <v>9.0233000000000008</v>
      </c>
      <c r="T568" s="33">
        <v>10.2791</v>
      </c>
      <c r="U568" s="197">
        <v>8</v>
      </c>
      <c r="V568" s="90" t="str">
        <f t="shared" si="18"/>
        <v>KC</v>
      </c>
      <c r="W568" s="90">
        <v>17</v>
      </c>
      <c r="X568" s="91">
        <v>2025</v>
      </c>
    </row>
    <row r="569" spans="1:24" x14ac:dyDescent="0.25">
      <c r="A569" s="74" t="s">
        <v>403</v>
      </c>
      <c r="B569" s="33">
        <v>2025</v>
      </c>
      <c r="C569" s="33">
        <v>1420.31</v>
      </c>
      <c r="D569" s="33">
        <v>10.823499999999999</v>
      </c>
      <c r="E569" s="33">
        <v>-2.9092799999999999</v>
      </c>
      <c r="F569" s="33">
        <v>1.6288199999999999</v>
      </c>
      <c r="G569" s="33">
        <v>2.9122599999999998</v>
      </c>
      <c r="H569" s="33">
        <v>-0.1186</v>
      </c>
      <c r="I569" s="33">
        <v>-7.7299999999999994E-2</v>
      </c>
      <c r="J569" s="33">
        <v>-0.123864</v>
      </c>
      <c r="K569" s="33">
        <v>-2.7400000000000001E-2</v>
      </c>
      <c r="L569" s="33">
        <v>-4.07E-2</v>
      </c>
      <c r="M569" s="33">
        <v>-8.3253199999999999E-2</v>
      </c>
      <c r="N569" s="203">
        <v>-9.1300000000000006E-2</v>
      </c>
      <c r="O569" s="33">
        <v>18.0625</v>
      </c>
      <c r="P569" s="33">
        <v>22.75</v>
      </c>
      <c r="Q569" s="33">
        <v>-4.6875</v>
      </c>
      <c r="R569" s="33">
        <v>6</v>
      </c>
      <c r="S569" s="33">
        <v>5.8655999999999997</v>
      </c>
      <c r="T569" s="33">
        <v>6.2469000000000001</v>
      </c>
      <c r="U569" s="197">
        <v>6</v>
      </c>
      <c r="V569" s="90" t="str">
        <f t="shared" si="18"/>
        <v>NO</v>
      </c>
      <c r="W569" s="90">
        <v>17</v>
      </c>
      <c r="X569" s="91">
        <v>2025</v>
      </c>
    </row>
    <row r="570" spans="1:24" x14ac:dyDescent="0.25">
      <c r="A570" s="74" t="s">
        <v>67</v>
      </c>
      <c r="B570" s="33">
        <v>2025</v>
      </c>
      <c r="C570" s="33">
        <v>1394.9</v>
      </c>
      <c r="D570" s="33">
        <v>7.2632000000000003</v>
      </c>
      <c r="E570" s="33">
        <v>-3.9253900000000002</v>
      </c>
      <c r="F570" s="33">
        <v>-0.67974100000000004</v>
      </c>
      <c r="G570" s="33">
        <v>1.5492900000000001</v>
      </c>
      <c r="H570" s="33">
        <v>-2.0400000000000001E-2</v>
      </c>
      <c r="I570" s="33">
        <v>-7.0499999999999993E-2</v>
      </c>
      <c r="J570" s="33">
        <v>-2.6666200000000001E-2</v>
      </c>
      <c r="K570" s="33">
        <v>6.6100000000000006E-2</v>
      </c>
      <c r="L570" s="33">
        <v>0.1021</v>
      </c>
      <c r="M570" s="33">
        <v>1.2945699999999999E-2</v>
      </c>
      <c r="N570" s="203">
        <v>-8.6499999999999994E-2</v>
      </c>
      <c r="O570" s="33">
        <v>18.5625</v>
      </c>
      <c r="P570" s="33">
        <v>22.75</v>
      </c>
      <c r="Q570" s="33">
        <v>-4.1875</v>
      </c>
      <c r="R570" s="33">
        <v>8</v>
      </c>
      <c r="S570" s="33">
        <v>6.1081000000000003</v>
      </c>
      <c r="T570" s="33">
        <v>6.5483399999999996</v>
      </c>
      <c r="U570" s="197">
        <v>5</v>
      </c>
      <c r="V570" s="90" t="str">
        <f t="shared" si="18"/>
        <v>CAR</v>
      </c>
      <c r="W570" s="90">
        <v>17</v>
      </c>
      <c r="X570" s="91">
        <v>2025</v>
      </c>
    </row>
    <row r="571" spans="1:24" x14ac:dyDescent="0.25">
      <c r="A571" s="74" t="s">
        <v>91</v>
      </c>
      <c r="B571" s="33">
        <v>2025</v>
      </c>
      <c r="C571" s="33">
        <v>1385.6</v>
      </c>
      <c r="D571" s="33">
        <v>-26.7378</v>
      </c>
      <c r="E571" s="33">
        <v>-4.29739</v>
      </c>
      <c r="F571" s="33">
        <v>1.11972</v>
      </c>
      <c r="G571" s="33">
        <v>0.201846</v>
      </c>
      <c r="H571" s="33">
        <v>-0.21479999999999999</v>
      </c>
      <c r="I571" s="33">
        <v>-0.3075</v>
      </c>
      <c r="J571" s="33">
        <v>-6.3430899999999998E-2</v>
      </c>
      <c r="K571" s="33">
        <v>-9.0800000000000006E-2</v>
      </c>
      <c r="L571" s="33">
        <v>-0.13009999999999999</v>
      </c>
      <c r="M571" s="33">
        <v>-8.3309499999999995E-2</v>
      </c>
      <c r="N571" s="203">
        <v>-0.124</v>
      </c>
      <c r="O571" s="33">
        <v>16.1875</v>
      </c>
      <c r="P571" s="33">
        <v>22.5625</v>
      </c>
      <c r="Q571" s="33">
        <v>-6.375</v>
      </c>
      <c r="R571" s="33">
        <v>4</v>
      </c>
      <c r="S571" s="33">
        <v>5.0052000000000003</v>
      </c>
      <c r="T571" s="33">
        <v>5.4754100000000001</v>
      </c>
      <c r="U571" s="197">
        <v>7</v>
      </c>
      <c r="V571" s="90" t="str">
        <f t="shared" si="18"/>
        <v>CLE</v>
      </c>
      <c r="W571" s="90">
        <v>17</v>
      </c>
      <c r="X571" s="91">
        <v>2025</v>
      </c>
    </row>
    <row r="572" spans="1:24" x14ac:dyDescent="0.25">
      <c r="A572" s="74" t="s">
        <v>2</v>
      </c>
      <c r="B572" s="33">
        <v>2025</v>
      </c>
      <c r="C572" s="33">
        <v>1359</v>
      </c>
      <c r="D572" s="33">
        <v>-75.944900000000004</v>
      </c>
      <c r="E572" s="33">
        <v>-5.36158</v>
      </c>
      <c r="F572" s="33">
        <v>0.39057199999999997</v>
      </c>
      <c r="G572" s="33">
        <v>-5.1403499999999998</v>
      </c>
      <c r="H572" s="33">
        <v>2.8899999999999999E-2</v>
      </c>
      <c r="I572" s="33">
        <v>1.23E-2</v>
      </c>
      <c r="J572" s="33">
        <v>-9.5832999999999995E-3</v>
      </c>
      <c r="K572" s="33">
        <v>8.1199999999999994E-2</v>
      </c>
      <c r="L572" s="33">
        <v>0.1225</v>
      </c>
      <c r="M572" s="33">
        <v>1.1826100000000001E-2</v>
      </c>
      <c r="N572" s="203">
        <v>-5.2400000000000002E-2</v>
      </c>
      <c r="O572" s="33">
        <v>21.0625</v>
      </c>
      <c r="P572" s="33">
        <v>24.125</v>
      </c>
      <c r="Q572" s="33">
        <v>-3.0625</v>
      </c>
      <c r="R572" s="33">
        <v>7</v>
      </c>
      <c r="S572" s="33">
        <v>6.7240000000000002</v>
      </c>
      <c r="T572" s="33">
        <v>7.6575600000000001</v>
      </c>
      <c r="U572" s="197">
        <v>9</v>
      </c>
      <c r="V572" s="90" t="str">
        <f t="shared" si="18"/>
        <v>MIA</v>
      </c>
      <c r="W572" s="90">
        <v>17</v>
      </c>
      <c r="X572" s="91">
        <v>2025</v>
      </c>
    </row>
    <row r="573" spans="1:24" x14ac:dyDescent="0.25">
      <c r="A573" s="74" t="s">
        <v>93</v>
      </c>
      <c r="B573" s="33">
        <v>2025</v>
      </c>
      <c r="C573" s="33">
        <v>1334.64</v>
      </c>
      <c r="D573" s="33">
        <v>-35.920999999999999</v>
      </c>
      <c r="E573" s="33">
        <v>-6.3358100000000004</v>
      </c>
      <c r="F573" s="33">
        <v>-0.58505399999999996</v>
      </c>
      <c r="G573" s="33">
        <v>-6.55185</v>
      </c>
      <c r="H573" s="33">
        <v>-3.0099999999999998E-2</v>
      </c>
      <c r="I573" s="33">
        <v>1E-3</v>
      </c>
      <c r="J573" s="33">
        <v>-6.2808299999999997E-2</v>
      </c>
      <c r="K573" s="33">
        <v>0.10780000000000001</v>
      </c>
      <c r="L573" s="33">
        <v>0.13919999999999999</v>
      </c>
      <c r="M573" s="33">
        <v>-1.4012200000000001E-2</v>
      </c>
      <c r="N573" s="203">
        <v>-0.13789999999999999</v>
      </c>
      <c r="O573" s="33">
        <v>20.9375</v>
      </c>
      <c r="P573" s="33">
        <v>28.1875</v>
      </c>
      <c r="Q573" s="33">
        <v>-7.25</v>
      </c>
      <c r="R573" s="33">
        <v>3</v>
      </c>
      <c r="S573" s="33">
        <v>5.2923999999999998</v>
      </c>
      <c r="T573" s="33">
        <v>7.0073400000000001</v>
      </c>
      <c r="U573" s="197">
        <v>3</v>
      </c>
      <c r="V573" s="90" t="str">
        <f t="shared" si="18"/>
        <v>ARI</v>
      </c>
      <c r="W573" s="90">
        <v>17</v>
      </c>
      <c r="X573" s="91">
        <v>2025</v>
      </c>
    </row>
    <row r="574" spans="1:24" x14ac:dyDescent="0.25">
      <c r="A574" s="74" t="s">
        <v>89</v>
      </c>
      <c r="B574" s="33">
        <v>2025</v>
      </c>
      <c r="C574" s="33">
        <v>1331.15</v>
      </c>
      <c r="D574" s="33">
        <v>2.6025999999999998</v>
      </c>
      <c r="E574" s="33">
        <v>-6.4756</v>
      </c>
      <c r="F574" s="33">
        <v>-1.27962</v>
      </c>
      <c r="G574" s="33">
        <v>-1.73197</v>
      </c>
      <c r="H574" s="33">
        <v>-0.13189999999999999</v>
      </c>
      <c r="I574" s="33">
        <v>-0.21920000000000001</v>
      </c>
      <c r="J574" s="33">
        <v>-7.3073399999999997E-2</v>
      </c>
      <c r="K574" s="33">
        <v>7.0400000000000004E-2</v>
      </c>
      <c r="L574" s="33">
        <v>0.1648</v>
      </c>
      <c r="M574" s="33">
        <v>-2.4029399999999999E-2</v>
      </c>
      <c r="N574" s="203">
        <v>-0.20230000000000001</v>
      </c>
      <c r="O574" s="33">
        <v>17.3125</v>
      </c>
      <c r="P574" s="33">
        <v>27.3125</v>
      </c>
      <c r="Q574" s="33">
        <v>-10</v>
      </c>
      <c r="R574" s="33">
        <v>3</v>
      </c>
      <c r="S574" s="33">
        <v>4.0545</v>
      </c>
      <c r="T574" s="33">
        <v>4.1174400000000002</v>
      </c>
      <c r="U574" s="197">
        <v>2</v>
      </c>
      <c r="V574" s="90" t="str">
        <f t="shared" si="18"/>
        <v>TEN</v>
      </c>
      <c r="W574" s="90">
        <v>17</v>
      </c>
      <c r="X574" s="91">
        <v>2025</v>
      </c>
    </row>
    <row r="575" spans="1:24" x14ac:dyDescent="0.25">
      <c r="A575" s="74" t="s">
        <v>41</v>
      </c>
      <c r="B575" s="33">
        <v>2025</v>
      </c>
      <c r="C575" s="33">
        <v>1317.46</v>
      </c>
      <c r="D575" s="33">
        <v>-103.782</v>
      </c>
      <c r="E575" s="33">
        <v>-7.0231199999999996</v>
      </c>
      <c r="F575" s="33">
        <v>-0.244702</v>
      </c>
      <c r="G575" s="33">
        <v>-8.7915100000000006</v>
      </c>
      <c r="H575" s="33">
        <v>3.0700000000000002E-2</v>
      </c>
      <c r="I575" s="33">
        <v>-2.4199999999999999E-2</v>
      </c>
      <c r="J575" s="33">
        <v>2.78084E-2</v>
      </c>
      <c r="K575" s="33">
        <v>0.15190000000000001</v>
      </c>
      <c r="L575" s="33">
        <v>0.24510000000000001</v>
      </c>
      <c r="M575" s="33">
        <v>5.3986899999999997E-2</v>
      </c>
      <c r="N575" s="203">
        <v>-0.1212</v>
      </c>
      <c r="O575" s="33">
        <v>20.75</v>
      </c>
      <c r="P575" s="33">
        <v>27.125</v>
      </c>
      <c r="Q575" s="33">
        <v>-6.375</v>
      </c>
      <c r="R575" s="33">
        <v>4</v>
      </c>
      <c r="S575" s="33">
        <v>5.5422000000000002</v>
      </c>
      <c r="T575" s="33">
        <v>8.0754199999999994</v>
      </c>
      <c r="U575" s="197">
        <v>4</v>
      </c>
      <c r="V575" s="90" t="str">
        <f t="shared" si="18"/>
        <v>WAS</v>
      </c>
      <c r="W575" s="90">
        <v>17</v>
      </c>
      <c r="X575" s="91">
        <v>2025</v>
      </c>
    </row>
    <row r="576" spans="1:24" x14ac:dyDescent="0.25">
      <c r="A576" s="74" t="s">
        <v>401</v>
      </c>
      <c r="B576" s="33">
        <v>2025</v>
      </c>
      <c r="C576" s="33">
        <v>1285.17</v>
      </c>
      <c r="D576" s="33">
        <v>-9.4312000000000005</v>
      </c>
      <c r="E576" s="33">
        <v>-8.3147599999999997</v>
      </c>
      <c r="F576" s="33">
        <v>-2.2174700000000001</v>
      </c>
      <c r="G576" s="33">
        <v>-5.8948200000000002</v>
      </c>
      <c r="H576" s="33">
        <v>-0.1862</v>
      </c>
      <c r="I576" s="33">
        <v>-0.18509999999999999</v>
      </c>
      <c r="J576" s="33">
        <v>-0.24743999999999999</v>
      </c>
      <c r="K576" s="33">
        <v>6.0699999999999997E-2</v>
      </c>
      <c r="L576" s="33">
        <v>0.1326</v>
      </c>
      <c r="M576" s="33">
        <v>-6.3600199999999996E-2</v>
      </c>
      <c r="N576" s="203">
        <v>-0.24690000000000001</v>
      </c>
      <c r="O576" s="33">
        <v>14.1875</v>
      </c>
      <c r="P576" s="33">
        <v>26.25</v>
      </c>
      <c r="Q576" s="33">
        <v>-12.0625</v>
      </c>
      <c r="R576" s="33">
        <v>2</v>
      </c>
      <c r="S576" s="33">
        <v>3.0196999999999998</v>
      </c>
      <c r="T576" s="33">
        <v>5.4646299999999997</v>
      </c>
      <c r="U576" s="197">
        <v>3</v>
      </c>
      <c r="V576" s="90" t="str">
        <f t="shared" si="18"/>
        <v>LV</v>
      </c>
      <c r="W576" s="90">
        <v>17</v>
      </c>
      <c r="X576" s="91">
        <v>2025</v>
      </c>
    </row>
    <row r="577" spans="1:24" ht="15.75" thickBot="1" x14ac:dyDescent="0.3">
      <c r="A577" s="75" t="s">
        <v>79</v>
      </c>
      <c r="B577" s="76">
        <v>2025</v>
      </c>
      <c r="C577" s="76">
        <v>1222.2</v>
      </c>
      <c r="D577" s="76">
        <v>-76.927400000000006</v>
      </c>
      <c r="E577" s="76">
        <v>-10.833399999999999</v>
      </c>
      <c r="F577" s="76">
        <v>-0.47955599999999998</v>
      </c>
      <c r="G577" s="76">
        <v>-7.8512500000000003</v>
      </c>
      <c r="H577" s="76">
        <v>-6.2600000000000003E-2</v>
      </c>
      <c r="I577" s="76">
        <v>-0.1986</v>
      </c>
      <c r="J577" s="76">
        <v>-5.7867599999999998E-2</v>
      </c>
      <c r="K577" s="76">
        <v>0.14899999999999999</v>
      </c>
      <c r="L577" s="76">
        <v>0.23619999999999999</v>
      </c>
      <c r="M577" s="76">
        <v>9.0551999999999994E-3</v>
      </c>
      <c r="N577" s="204">
        <v>-0.21160000000000001</v>
      </c>
      <c r="O577" s="76">
        <v>18.25</v>
      </c>
      <c r="P577" s="76">
        <v>29.25</v>
      </c>
      <c r="Q577" s="76">
        <v>-11</v>
      </c>
      <c r="R577" s="76">
        <v>3</v>
      </c>
      <c r="S577" s="76">
        <v>3.9422000000000001</v>
      </c>
      <c r="T577" s="76">
        <v>5.9553099999999999</v>
      </c>
      <c r="U577" s="195">
        <v>3</v>
      </c>
      <c r="V577" s="198" t="str">
        <f t="shared" si="18"/>
        <v>NYJ</v>
      </c>
      <c r="W577" s="93">
        <v>17</v>
      </c>
      <c r="X577" s="199">
        <v>2025</v>
      </c>
    </row>
    <row r="578" spans="1:24" x14ac:dyDescent="0.25">
      <c r="A578" s="125" t="s">
        <v>21</v>
      </c>
      <c r="B578" s="126">
        <v>2025</v>
      </c>
      <c r="C578" s="126">
        <v>1682.99</v>
      </c>
      <c r="D578" s="126">
        <v>22.905200000000001</v>
      </c>
      <c r="E578" s="126">
        <v>7.5980400000000001</v>
      </c>
      <c r="F578" s="126">
        <v>-1.1888399999999999</v>
      </c>
      <c r="G578" s="126">
        <v>6.5339</v>
      </c>
      <c r="H578" s="126">
        <v>0.1193</v>
      </c>
      <c r="I578" s="126">
        <v>0.22470000000000001</v>
      </c>
      <c r="J578" s="126">
        <v>-9.9742500000000005E-3</v>
      </c>
      <c r="K578" s="126">
        <v>-6.4299999999999996E-2</v>
      </c>
      <c r="L578" s="126">
        <v>-8.7499999999999994E-2</v>
      </c>
      <c r="M578" s="126">
        <v>-4.3081399999999999E-2</v>
      </c>
      <c r="N578" s="202">
        <v>0.18360000000000001</v>
      </c>
      <c r="O578" s="126">
        <v>30.0625</v>
      </c>
      <c r="P578" s="126">
        <v>20.375</v>
      </c>
      <c r="Q578" s="126">
        <v>9.6875</v>
      </c>
      <c r="R578" s="126">
        <v>11</v>
      </c>
      <c r="S578" s="126">
        <v>11.4467</v>
      </c>
      <c r="T578" s="126">
        <v>11.1145</v>
      </c>
      <c r="U578" s="196">
        <v>15</v>
      </c>
      <c r="V578" s="127" t="s">
        <v>21</v>
      </c>
      <c r="W578" s="127">
        <v>18</v>
      </c>
      <c r="X578" s="128">
        <v>2025</v>
      </c>
    </row>
    <row r="579" spans="1:24" x14ac:dyDescent="0.25">
      <c r="A579" s="74" t="s">
        <v>55</v>
      </c>
      <c r="B579" s="33">
        <v>2025</v>
      </c>
      <c r="C579" s="33">
        <v>1675.22</v>
      </c>
      <c r="D579" s="33">
        <v>-11.229200000000001</v>
      </c>
      <c r="E579" s="33">
        <v>7.2873700000000001</v>
      </c>
      <c r="F579" s="33">
        <v>3.5395599999999999E-2</v>
      </c>
      <c r="G579" s="33">
        <v>7.3541400000000001</v>
      </c>
      <c r="H579" s="33">
        <v>6.7100000000000007E-2</v>
      </c>
      <c r="I579" s="33">
        <v>0.1133</v>
      </c>
      <c r="J579" s="33">
        <v>-7.3088600000000004E-2</v>
      </c>
      <c r="K579" s="33">
        <v>-0.14860000000000001</v>
      </c>
      <c r="L579" s="33">
        <v>-8.8800000000000004E-2</v>
      </c>
      <c r="M579" s="33">
        <v>-0.152505</v>
      </c>
      <c r="N579" s="203">
        <v>0.21579999999999999</v>
      </c>
      <c r="O579" s="33">
        <v>29.375</v>
      </c>
      <c r="P579" s="33">
        <v>18.0625</v>
      </c>
      <c r="Q579" s="33">
        <v>11.3125</v>
      </c>
      <c r="R579" s="33">
        <v>13</v>
      </c>
      <c r="S579" s="33">
        <v>12.159599999999999</v>
      </c>
      <c r="T579" s="33">
        <v>10.7989</v>
      </c>
      <c r="U579" s="197">
        <v>14</v>
      </c>
      <c r="V579" s="90" t="s">
        <v>55</v>
      </c>
      <c r="W579" s="90">
        <v>18</v>
      </c>
      <c r="X579" s="91">
        <v>2025</v>
      </c>
    </row>
    <row r="580" spans="1:24" x14ac:dyDescent="0.25">
      <c r="A580" s="74" t="s">
        <v>405</v>
      </c>
      <c r="B580" s="33">
        <v>2025</v>
      </c>
      <c r="C580" s="33">
        <v>1648.63</v>
      </c>
      <c r="D580" s="33">
        <v>25.729299999999999</v>
      </c>
      <c r="E580" s="33">
        <v>6.2236200000000004</v>
      </c>
      <c r="F580" s="33">
        <v>0.15518100000000001</v>
      </c>
      <c r="G580" s="33">
        <v>5.4026899999999998</v>
      </c>
      <c r="H580" s="33">
        <v>0.13150000000000001</v>
      </c>
      <c r="I580" s="33">
        <v>0.19739999999999999</v>
      </c>
      <c r="J580" s="33">
        <v>-3.6170500000000001E-2</v>
      </c>
      <c r="K580" s="33">
        <v>3.9699999999999999E-2</v>
      </c>
      <c r="L580" s="33">
        <v>0.11119999999999999</v>
      </c>
      <c r="M580" s="33">
        <v>-5.1977300000000002E-3</v>
      </c>
      <c r="N580" s="203">
        <v>9.1800000000000007E-2</v>
      </c>
      <c r="O580" s="33">
        <v>27.125</v>
      </c>
      <c r="P580" s="33">
        <v>22.375</v>
      </c>
      <c r="Q580" s="33">
        <v>4.75</v>
      </c>
      <c r="R580" s="33">
        <v>12</v>
      </c>
      <c r="S580" s="33">
        <v>9.7940000000000005</v>
      </c>
      <c r="T580" s="33">
        <v>9.3044100000000007</v>
      </c>
      <c r="U580" s="197">
        <v>10</v>
      </c>
      <c r="V580" s="90" t="s">
        <v>405</v>
      </c>
      <c r="W580" s="90">
        <v>18</v>
      </c>
      <c r="X580" s="91">
        <v>2025</v>
      </c>
    </row>
    <row r="581" spans="1:24" x14ac:dyDescent="0.25">
      <c r="A581" s="74" t="s">
        <v>38</v>
      </c>
      <c r="B581" s="33">
        <v>2025</v>
      </c>
      <c r="C581" s="33">
        <v>1624.49</v>
      </c>
      <c r="D581" s="33">
        <v>-7.3047000000000004</v>
      </c>
      <c r="E581" s="33">
        <v>5.2579900000000004</v>
      </c>
      <c r="F581" s="33">
        <v>-0.103364</v>
      </c>
      <c r="G581" s="33">
        <v>0.63441899999999996</v>
      </c>
      <c r="H581" s="33">
        <v>2.2599999999999999E-2</v>
      </c>
      <c r="I581" s="33">
        <v>6.3299999999999995E-2</v>
      </c>
      <c r="J581" s="33">
        <v>-2.29169E-2</v>
      </c>
      <c r="K581" s="33">
        <v>-5.33E-2</v>
      </c>
      <c r="L581" s="33">
        <v>-0.14510000000000001</v>
      </c>
      <c r="M581" s="33">
        <v>-2.4210700000000002E-2</v>
      </c>
      <c r="N581" s="203">
        <v>7.5899999999999995E-2</v>
      </c>
      <c r="O581" s="33">
        <v>22.625</v>
      </c>
      <c r="P581" s="33">
        <v>18.8125</v>
      </c>
      <c r="Q581" s="33">
        <v>3.8125</v>
      </c>
      <c r="R581" s="33">
        <v>11</v>
      </c>
      <c r="S581" s="33">
        <v>9.7219999999999995</v>
      </c>
      <c r="T581" s="33">
        <v>11.818199999999999</v>
      </c>
      <c r="U581" s="197">
        <v>12</v>
      </c>
      <c r="V581" s="90" t="s">
        <v>38</v>
      </c>
      <c r="W581" s="90">
        <v>18</v>
      </c>
      <c r="X581" s="91">
        <v>2025</v>
      </c>
    </row>
    <row r="582" spans="1:24" x14ac:dyDescent="0.25">
      <c r="A582" s="74" t="s">
        <v>25</v>
      </c>
      <c r="B582" s="33">
        <v>2025</v>
      </c>
      <c r="C582" s="33">
        <v>1606.38</v>
      </c>
      <c r="D582" s="33">
        <v>-3.0739000000000001</v>
      </c>
      <c r="E582" s="33">
        <v>4.5337300000000003</v>
      </c>
      <c r="F582" s="33">
        <v>-0.30943799999999999</v>
      </c>
      <c r="G582" s="33">
        <v>0.25419399999999998</v>
      </c>
      <c r="H582" s="33">
        <v>0.14230000000000001</v>
      </c>
      <c r="I582" s="33">
        <v>0.13589999999999999</v>
      </c>
      <c r="J582" s="33">
        <v>8.42754E-2</v>
      </c>
      <c r="K582" s="33">
        <v>4.4699999999999997E-2</v>
      </c>
      <c r="L582" s="33">
        <v>-0.1145</v>
      </c>
      <c r="M582" s="33">
        <v>0.110274</v>
      </c>
      <c r="N582" s="203">
        <v>9.7600000000000006E-2</v>
      </c>
      <c r="O582" s="33">
        <v>27.875</v>
      </c>
      <c r="P582" s="33">
        <v>22.3125</v>
      </c>
      <c r="Q582" s="33">
        <v>5.5625</v>
      </c>
      <c r="R582" s="33">
        <v>11</v>
      </c>
      <c r="S582" s="33">
        <v>10.0625</v>
      </c>
      <c r="T582" s="33">
        <v>11.7737</v>
      </c>
      <c r="U582" s="197">
        <v>9</v>
      </c>
      <c r="V582" s="90" t="s">
        <v>25</v>
      </c>
      <c r="W582" s="90">
        <v>18</v>
      </c>
      <c r="X582" s="91">
        <v>2025</v>
      </c>
    </row>
    <row r="583" spans="1:24" x14ac:dyDescent="0.25">
      <c r="A583" s="74" t="s">
        <v>10</v>
      </c>
      <c r="B583" s="33">
        <v>2025</v>
      </c>
      <c r="C583" s="33">
        <v>1600.22</v>
      </c>
      <c r="D583" s="33">
        <v>-0.91290000000000004</v>
      </c>
      <c r="E583" s="33">
        <v>4.2872899999999996</v>
      </c>
      <c r="F583" s="33">
        <v>-1.0118799999999999</v>
      </c>
      <c r="G583" s="33">
        <v>-0.23718700000000001</v>
      </c>
      <c r="H583" s="33">
        <v>8.6300000000000002E-2</v>
      </c>
      <c r="I583" s="33">
        <v>0.1736</v>
      </c>
      <c r="J583" s="33">
        <v>-5.8450599999999998E-2</v>
      </c>
      <c r="K583" s="33">
        <v>1.9300000000000001E-2</v>
      </c>
      <c r="L583" s="33">
        <v>-4.7999999999999996E-3</v>
      </c>
      <c r="M583" s="33">
        <v>-3.14732E-2</v>
      </c>
      <c r="N583" s="203">
        <v>6.7000000000000004E-2</v>
      </c>
      <c r="O583" s="33">
        <v>28.875</v>
      </c>
      <c r="P583" s="33">
        <v>24.8125</v>
      </c>
      <c r="Q583" s="33">
        <v>4.0625</v>
      </c>
      <c r="R583" s="33">
        <v>8</v>
      </c>
      <c r="S583" s="33">
        <v>9.4222000000000001</v>
      </c>
      <c r="T583" s="33">
        <v>10.414400000000001</v>
      </c>
      <c r="U583" s="197">
        <v>9</v>
      </c>
      <c r="V583" s="90" t="s">
        <v>10</v>
      </c>
      <c r="W583" s="90">
        <v>18</v>
      </c>
      <c r="X583" s="91">
        <v>2025</v>
      </c>
    </row>
    <row r="584" spans="1:24" x14ac:dyDescent="0.25">
      <c r="A584" s="74" t="s">
        <v>404</v>
      </c>
      <c r="B584" s="33">
        <v>2025</v>
      </c>
      <c r="C584" s="33">
        <v>1590.54</v>
      </c>
      <c r="D584" s="33">
        <v>31.786200000000001</v>
      </c>
      <c r="E584" s="33">
        <v>3.9001800000000002</v>
      </c>
      <c r="F584" s="33">
        <v>0.88305699999999998</v>
      </c>
      <c r="G584" s="33">
        <v>6.9620899999999999</v>
      </c>
      <c r="H584" s="33">
        <v>0.1343</v>
      </c>
      <c r="I584" s="33">
        <v>0.30930000000000002</v>
      </c>
      <c r="J584" s="33">
        <v>-4.5967399999999999E-2</v>
      </c>
      <c r="K584" s="33">
        <v>-3.15E-2</v>
      </c>
      <c r="L584" s="33">
        <v>-4.2599999999999999E-2</v>
      </c>
      <c r="M584" s="33">
        <v>-2.2712E-2</v>
      </c>
      <c r="N584" s="203">
        <v>0.1658</v>
      </c>
      <c r="O584" s="33">
        <v>28.25</v>
      </c>
      <c r="P584" s="33">
        <v>19.375</v>
      </c>
      <c r="Q584" s="33">
        <v>8.875</v>
      </c>
      <c r="R584" s="33">
        <v>13</v>
      </c>
      <c r="S584" s="33">
        <v>11.3546</v>
      </c>
      <c r="T584" s="33">
        <v>9.8083899999999993</v>
      </c>
      <c r="U584" s="197">
        <v>10</v>
      </c>
      <c r="V584" s="90" t="s">
        <v>404</v>
      </c>
      <c r="W584" s="90">
        <v>18</v>
      </c>
      <c r="X584" s="91">
        <v>2025</v>
      </c>
    </row>
    <row r="585" spans="1:24" x14ac:dyDescent="0.25">
      <c r="A585" s="74" t="s">
        <v>31</v>
      </c>
      <c r="B585" s="33">
        <v>2025</v>
      </c>
      <c r="C585" s="33">
        <v>1583.54</v>
      </c>
      <c r="D585" s="33">
        <v>4.7545000000000002</v>
      </c>
      <c r="E585" s="33">
        <v>3.62005</v>
      </c>
      <c r="F585" s="33">
        <v>0.39553700000000003</v>
      </c>
      <c r="G585" s="33">
        <v>3.7974700000000001</v>
      </c>
      <c r="H585" s="33">
        <v>-1.2E-2</v>
      </c>
      <c r="I585" s="33">
        <v>4.2900000000000001E-2</v>
      </c>
      <c r="J585" s="33">
        <v>-0.102426</v>
      </c>
      <c r="K585" s="33">
        <v>-0.15670000000000001</v>
      </c>
      <c r="L585" s="33">
        <v>-0.21260000000000001</v>
      </c>
      <c r="M585" s="33">
        <v>-5.0498599999999998E-2</v>
      </c>
      <c r="N585" s="203">
        <v>0.14460000000000001</v>
      </c>
      <c r="O585" s="33">
        <v>22.875</v>
      </c>
      <c r="P585" s="33">
        <v>16.5625</v>
      </c>
      <c r="Q585" s="33">
        <v>6.3125</v>
      </c>
      <c r="R585" s="33">
        <v>11</v>
      </c>
      <c r="S585" s="33">
        <v>10.92</v>
      </c>
      <c r="T585" s="33">
        <v>9.7424400000000002</v>
      </c>
      <c r="U585" s="197">
        <v>11</v>
      </c>
      <c r="V585" s="90" t="s">
        <v>31</v>
      </c>
      <c r="W585" s="90">
        <v>18</v>
      </c>
      <c r="X585" s="91">
        <v>2025</v>
      </c>
    </row>
    <row r="586" spans="1:24" x14ac:dyDescent="0.25">
      <c r="A586" s="74" t="s">
        <v>72</v>
      </c>
      <c r="B586" s="33">
        <v>2025</v>
      </c>
      <c r="C586" s="33">
        <v>1580.86</v>
      </c>
      <c r="D586" s="33">
        <v>24.548500000000001</v>
      </c>
      <c r="E586" s="33">
        <v>3.5129100000000002</v>
      </c>
      <c r="F586" s="33">
        <v>0.53382799999999997</v>
      </c>
      <c r="G586" s="33">
        <v>4.8720100000000004</v>
      </c>
      <c r="H586" s="33">
        <v>7.0599999999999996E-2</v>
      </c>
      <c r="I586" s="33">
        <v>9.06E-2</v>
      </c>
      <c r="J586" s="33">
        <v>6.6727999999999996E-2</v>
      </c>
      <c r="K586" s="33">
        <v>3.0099999999999998E-2</v>
      </c>
      <c r="L586" s="33">
        <v>1.5900000000000001E-2</v>
      </c>
      <c r="M586" s="33">
        <v>-2.8365600000000002E-4</v>
      </c>
      <c r="N586" s="203">
        <v>4.0500000000000001E-2</v>
      </c>
      <c r="O586" s="33">
        <v>26.5625</v>
      </c>
      <c r="P586" s="33">
        <v>24.75</v>
      </c>
      <c r="Q586" s="33">
        <v>1.8125</v>
      </c>
      <c r="R586" s="33">
        <v>11</v>
      </c>
      <c r="S586" s="33">
        <v>8.6684000000000001</v>
      </c>
      <c r="T586" s="33">
        <v>7.4548800000000002</v>
      </c>
      <c r="U586" s="197">
        <v>10</v>
      </c>
      <c r="V586" s="90" t="s">
        <v>72</v>
      </c>
      <c r="W586" s="90">
        <v>18</v>
      </c>
      <c r="X586" s="91">
        <v>2025</v>
      </c>
    </row>
    <row r="587" spans="1:24" x14ac:dyDescent="0.25">
      <c r="A587" s="74" t="s">
        <v>44</v>
      </c>
      <c r="B587" s="33">
        <v>2025</v>
      </c>
      <c r="C587" s="33">
        <v>1578.26</v>
      </c>
      <c r="D587" s="33">
        <v>21.594799999999999</v>
      </c>
      <c r="E587" s="33">
        <v>3.40869</v>
      </c>
      <c r="F587" s="33">
        <v>0.56488799999999995</v>
      </c>
      <c r="G587" s="33">
        <v>5.3397899999999998</v>
      </c>
      <c r="H587" s="33">
        <v>5.6800000000000003E-2</v>
      </c>
      <c r="I587" s="33">
        <v>4.1799999999999997E-2</v>
      </c>
      <c r="J587" s="33">
        <v>-1.20576E-2</v>
      </c>
      <c r="K587" s="33">
        <v>-6.3700000000000007E-2</v>
      </c>
      <c r="L587" s="33">
        <v>-0.1234</v>
      </c>
      <c r="M587" s="33">
        <v>-5.9009800000000001E-2</v>
      </c>
      <c r="N587" s="203">
        <v>0.12039999999999999</v>
      </c>
      <c r="O587" s="33">
        <v>27.0625</v>
      </c>
      <c r="P587" s="33">
        <v>20.5625</v>
      </c>
      <c r="Q587" s="33">
        <v>6.5</v>
      </c>
      <c r="R587" s="33">
        <v>12</v>
      </c>
      <c r="S587" s="33">
        <v>10.515700000000001</v>
      </c>
      <c r="T587" s="33">
        <v>8.4755000000000003</v>
      </c>
      <c r="U587" s="197">
        <v>11</v>
      </c>
      <c r="V587" s="90" t="s">
        <v>44</v>
      </c>
      <c r="W587" s="90">
        <v>18</v>
      </c>
      <c r="X587" s="91">
        <v>2025</v>
      </c>
    </row>
    <row r="588" spans="1:24" x14ac:dyDescent="0.25">
      <c r="A588" s="74" t="s">
        <v>63</v>
      </c>
      <c r="B588" s="33">
        <v>2025</v>
      </c>
      <c r="C588" s="33">
        <v>1568.02</v>
      </c>
      <c r="D588" s="33">
        <v>13.0654</v>
      </c>
      <c r="E588" s="33">
        <v>2.99925</v>
      </c>
      <c r="F588" s="33">
        <v>0.25419900000000001</v>
      </c>
      <c r="G588" s="33">
        <v>1.49654</v>
      </c>
      <c r="H588" s="33">
        <v>4.9099999999999998E-2</v>
      </c>
      <c r="I588" s="33">
        <v>0.1004</v>
      </c>
      <c r="J588" s="33">
        <v>-1.10581E-2</v>
      </c>
      <c r="K588" s="33">
        <v>-2.4E-2</v>
      </c>
      <c r="L588" s="33">
        <v>-8.2500000000000004E-2</v>
      </c>
      <c r="M588" s="33">
        <v>-5.3678299999999998E-2</v>
      </c>
      <c r="N588" s="203">
        <v>7.3099999999999998E-2</v>
      </c>
      <c r="O588" s="33">
        <v>23.875</v>
      </c>
      <c r="P588" s="33">
        <v>19.25</v>
      </c>
      <c r="Q588" s="33">
        <v>4.625</v>
      </c>
      <c r="R588" s="33">
        <v>13</v>
      </c>
      <c r="S588" s="33">
        <v>9.9981000000000009</v>
      </c>
      <c r="T588" s="33">
        <v>11.3338</v>
      </c>
      <c r="U588" s="197">
        <v>13</v>
      </c>
      <c r="V588" s="90" t="s">
        <v>63</v>
      </c>
      <c r="W588" s="90">
        <v>18</v>
      </c>
      <c r="X588" s="91">
        <v>2025</v>
      </c>
    </row>
    <row r="589" spans="1:24" x14ac:dyDescent="0.25">
      <c r="A589" s="74" t="s">
        <v>60</v>
      </c>
      <c r="B589" s="33">
        <v>2025</v>
      </c>
      <c r="C589" s="33">
        <v>1539.36</v>
      </c>
      <c r="D589" s="33">
        <v>-9.8254000000000001</v>
      </c>
      <c r="E589" s="33">
        <v>1.8529500000000001</v>
      </c>
      <c r="F589" s="33">
        <v>-0.50778299999999998</v>
      </c>
      <c r="G589" s="33">
        <v>1.2027399999999999</v>
      </c>
      <c r="H589" s="33">
        <v>9.4999999999999998E-3</v>
      </c>
      <c r="I589" s="33">
        <v>-6.6E-3</v>
      </c>
      <c r="J589" s="33">
        <v>-2.1647699999999999E-2</v>
      </c>
      <c r="K589" s="33">
        <v>-4.3400000000000001E-2</v>
      </c>
      <c r="L589" s="33">
        <v>-9.0700000000000003E-2</v>
      </c>
      <c r="M589" s="33">
        <v>-7.48331E-2</v>
      </c>
      <c r="N589" s="203">
        <v>5.2900000000000003E-2</v>
      </c>
      <c r="O589" s="33">
        <v>22.8125</v>
      </c>
      <c r="P589" s="33">
        <v>20.0625</v>
      </c>
      <c r="Q589" s="33">
        <v>2.75</v>
      </c>
      <c r="R589" s="33">
        <v>11</v>
      </c>
      <c r="S589" s="33">
        <v>9.2083999999999993</v>
      </c>
      <c r="T589" s="33">
        <v>9.6425800000000006</v>
      </c>
      <c r="U589" s="197">
        <v>8</v>
      </c>
      <c r="V589" s="90" t="s">
        <v>60</v>
      </c>
      <c r="W589" s="90">
        <v>18</v>
      </c>
      <c r="X589" s="91">
        <v>2025</v>
      </c>
    </row>
    <row r="590" spans="1:24" x14ac:dyDescent="0.25">
      <c r="A590" s="74" t="s">
        <v>47</v>
      </c>
      <c r="B590" s="33">
        <v>2025</v>
      </c>
      <c r="C590" s="33">
        <v>1531.4</v>
      </c>
      <c r="D590" s="33">
        <v>-60.024900000000002</v>
      </c>
      <c r="E590" s="33">
        <v>1.5342800000000001</v>
      </c>
      <c r="F590" s="33">
        <v>0.70309600000000005</v>
      </c>
      <c r="G590" s="33">
        <v>-4.7981199999999999</v>
      </c>
      <c r="H590" s="33">
        <v>5.5399999999999998E-2</v>
      </c>
      <c r="I590" s="33">
        <v>-6.2700000000000006E-2</v>
      </c>
      <c r="J590" s="33">
        <v>9.1778200000000004E-2</v>
      </c>
      <c r="K590" s="33">
        <v>2.9399999999999999E-2</v>
      </c>
      <c r="L590" s="33">
        <v>6.9199999999999998E-2</v>
      </c>
      <c r="M590" s="33">
        <v>-7.8673300000000002E-2</v>
      </c>
      <c r="N590" s="203">
        <v>2.5999999999999999E-2</v>
      </c>
      <c r="O590" s="33">
        <v>25</v>
      </c>
      <c r="P590" s="33">
        <v>23.25</v>
      </c>
      <c r="Q590" s="33">
        <v>1.75</v>
      </c>
      <c r="R590" s="33">
        <v>8</v>
      </c>
      <c r="S590" s="33">
        <v>8.6862999999999992</v>
      </c>
      <c r="T590" s="33">
        <v>10.062200000000001</v>
      </c>
      <c r="U590" s="197">
        <v>9</v>
      </c>
      <c r="V590" s="90" t="s">
        <v>47</v>
      </c>
      <c r="W590" s="90">
        <v>18</v>
      </c>
      <c r="X590" s="91">
        <v>2025</v>
      </c>
    </row>
    <row r="591" spans="1:24" x14ac:dyDescent="0.25">
      <c r="A591" s="74" t="s">
        <v>400</v>
      </c>
      <c r="B591" s="33">
        <v>2025</v>
      </c>
      <c r="C591" s="33">
        <v>1511.12</v>
      </c>
      <c r="D591" s="33">
        <v>-54.304900000000004</v>
      </c>
      <c r="E591" s="33">
        <v>0.72309599999999996</v>
      </c>
      <c r="F591" s="33">
        <v>0.28547899999999998</v>
      </c>
      <c r="G591" s="33">
        <v>-1.2992600000000001</v>
      </c>
      <c r="H591" s="33">
        <v>0.1409</v>
      </c>
      <c r="I591" s="33">
        <v>0.27489999999999998</v>
      </c>
      <c r="J591" s="33">
        <v>-2.6922700000000001E-2</v>
      </c>
      <c r="K591" s="33">
        <v>7.6100000000000001E-2</v>
      </c>
      <c r="L591" s="33">
        <v>8.1600000000000006E-2</v>
      </c>
      <c r="M591" s="33">
        <v>-1.64026E-2</v>
      </c>
      <c r="N591" s="203">
        <v>6.4799999999999996E-2</v>
      </c>
      <c r="O591" s="33">
        <v>24.25</v>
      </c>
      <c r="P591" s="33">
        <v>21.5</v>
      </c>
      <c r="Q591" s="33">
        <v>2.75</v>
      </c>
      <c r="R591" s="33">
        <v>9</v>
      </c>
      <c r="S591" s="33">
        <v>9.1334</v>
      </c>
      <c r="T591" s="33">
        <v>10.2936</v>
      </c>
      <c r="U591" s="197">
        <v>10</v>
      </c>
      <c r="V591" s="90" t="s">
        <v>400</v>
      </c>
      <c r="W591" s="90">
        <v>18</v>
      </c>
      <c r="X591" s="91">
        <v>2025</v>
      </c>
    </row>
    <row r="592" spans="1:24" x14ac:dyDescent="0.25">
      <c r="A592" s="74" t="s">
        <v>77</v>
      </c>
      <c r="B592" s="33">
        <v>2025</v>
      </c>
      <c r="C592" s="33">
        <v>1503.69</v>
      </c>
      <c r="D592" s="33">
        <v>6.9528999999999996</v>
      </c>
      <c r="E592" s="33">
        <v>0.42587900000000001</v>
      </c>
      <c r="F592" s="33">
        <v>0.45979999999999999</v>
      </c>
      <c r="G592" s="33">
        <v>-1.1928700000000001</v>
      </c>
      <c r="H592" s="33">
        <v>5.7000000000000002E-2</v>
      </c>
      <c r="I592" s="33">
        <v>-9.4999999999999998E-3</v>
      </c>
      <c r="J592" s="33">
        <v>5.9145400000000002E-3</v>
      </c>
      <c r="K592" s="33">
        <v>0.14130000000000001</v>
      </c>
      <c r="L592" s="33">
        <v>0.2009</v>
      </c>
      <c r="M592" s="33">
        <v>6.3036800000000004E-2</v>
      </c>
      <c r="N592" s="203">
        <v>-8.43E-2</v>
      </c>
      <c r="O592" s="33">
        <v>24.75</v>
      </c>
      <c r="P592" s="33">
        <v>29.5</v>
      </c>
      <c r="Q592" s="33">
        <v>-4.75</v>
      </c>
      <c r="R592" s="33">
        <v>6</v>
      </c>
      <c r="S592" s="33">
        <v>6.3593000000000002</v>
      </c>
      <c r="T592" s="33">
        <v>8.0482300000000002</v>
      </c>
      <c r="U592" s="197">
        <v>7</v>
      </c>
      <c r="V592" s="90" t="s">
        <v>77</v>
      </c>
      <c r="W592" s="90">
        <v>18</v>
      </c>
      <c r="X592" s="91">
        <v>2025</v>
      </c>
    </row>
    <row r="593" spans="1:24" x14ac:dyDescent="0.25">
      <c r="A593" s="74" t="s">
        <v>85</v>
      </c>
      <c r="B593" s="33">
        <v>2025</v>
      </c>
      <c r="C593" s="33">
        <v>1494.82</v>
      </c>
      <c r="D593" s="33">
        <v>-3.2349999999999999</v>
      </c>
      <c r="E593" s="33">
        <v>7.1435499999999999E-2</v>
      </c>
      <c r="F593" s="33">
        <v>-1.36242</v>
      </c>
      <c r="G593" s="33">
        <v>4.67286E-3</v>
      </c>
      <c r="H593" s="33">
        <v>4.4600000000000001E-2</v>
      </c>
      <c r="I593" s="33">
        <v>1.84E-2</v>
      </c>
      <c r="J593" s="33">
        <v>1.7719200000000001E-2</v>
      </c>
      <c r="K593" s="33">
        <v>2.7400000000000001E-2</v>
      </c>
      <c r="L593" s="33">
        <v>1.61E-2</v>
      </c>
      <c r="M593" s="33">
        <v>-6.95651E-3</v>
      </c>
      <c r="N593" s="203">
        <v>1.72E-2</v>
      </c>
      <c r="O593" s="33">
        <v>23.1875</v>
      </c>
      <c r="P593" s="33">
        <v>22.6875</v>
      </c>
      <c r="Q593" s="33">
        <v>0.5</v>
      </c>
      <c r="R593" s="33">
        <v>9</v>
      </c>
      <c r="S593" s="33">
        <v>8.2065999999999999</v>
      </c>
      <c r="T593" s="33">
        <v>8.9307499999999997</v>
      </c>
      <c r="U593" s="197">
        <v>8</v>
      </c>
      <c r="V593" s="90" t="s">
        <v>85</v>
      </c>
      <c r="W593" s="90">
        <v>18</v>
      </c>
      <c r="X593" s="91">
        <v>2025</v>
      </c>
    </row>
    <row r="594" spans="1:24" x14ac:dyDescent="0.25">
      <c r="A594" s="74" t="s">
        <v>14</v>
      </c>
      <c r="B594" s="33">
        <v>2025</v>
      </c>
      <c r="C594" s="33">
        <v>1491.25</v>
      </c>
      <c r="D594" s="33">
        <v>9.9133999999999993</v>
      </c>
      <c r="E594" s="33">
        <v>-7.1440400000000001E-2</v>
      </c>
      <c r="F594" s="33">
        <v>0.28184100000000001</v>
      </c>
      <c r="G594" s="33">
        <v>0.97031699999999999</v>
      </c>
      <c r="H594" s="33">
        <v>0.14280000000000001</v>
      </c>
      <c r="I594" s="33">
        <v>0.18690000000000001</v>
      </c>
      <c r="J594" s="33">
        <v>-1.99831E-2</v>
      </c>
      <c r="K594" s="33">
        <v>0.1825</v>
      </c>
      <c r="L594" s="33">
        <v>0.23</v>
      </c>
      <c r="M594" s="33">
        <v>7.8757199999999999E-2</v>
      </c>
      <c r="N594" s="203">
        <v>-3.9800000000000002E-2</v>
      </c>
      <c r="O594" s="33">
        <v>28.375</v>
      </c>
      <c r="P594" s="33">
        <v>29.8125</v>
      </c>
      <c r="Q594" s="33">
        <v>-1.4375</v>
      </c>
      <c r="R594" s="33">
        <v>7</v>
      </c>
      <c r="S594" s="33">
        <v>7.532</v>
      </c>
      <c r="T594" s="33">
        <v>7.7533700000000003</v>
      </c>
      <c r="U594" s="197">
        <v>7</v>
      </c>
      <c r="V594" s="90" t="s">
        <v>14</v>
      </c>
      <c r="W594" s="90">
        <v>18</v>
      </c>
      <c r="X594" s="91">
        <v>2025</v>
      </c>
    </row>
    <row r="595" spans="1:24" x14ac:dyDescent="0.25">
      <c r="A595" s="74" t="s">
        <v>69</v>
      </c>
      <c r="B595" s="33">
        <v>2025</v>
      </c>
      <c r="C595" s="33">
        <v>1487.59</v>
      </c>
      <c r="D595" s="33">
        <v>28.1524</v>
      </c>
      <c r="E595" s="33">
        <v>-0.217837</v>
      </c>
      <c r="F595" s="33">
        <v>0.48794399999999999</v>
      </c>
      <c r="G595" s="33">
        <v>0.83782699999999999</v>
      </c>
      <c r="H595" s="33">
        <v>-1.38E-2</v>
      </c>
      <c r="I595" s="33">
        <v>-2E-3</v>
      </c>
      <c r="J595" s="33">
        <v>-1.97524E-2</v>
      </c>
      <c r="K595" s="33">
        <v>4.6699999999999998E-2</v>
      </c>
      <c r="L595" s="33">
        <v>-2.1399999999999999E-2</v>
      </c>
      <c r="M595" s="33">
        <v>2.3325499999999999E-2</v>
      </c>
      <c r="N595" s="203">
        <v>-6.0499999999999998E-2</v>
      </c>
      <c r="O595" s="33">
        <v>20.875</v>
      </c>
      <c r="P595" s="33">
        <v>24</v>
      </c>
      <c r="Q595" s="33">
        <v>-3.125</v>
      </c>
      <c r="R595" s="33">
        <v>7</v>
      </c>
      <c r="S595" s="33">
        <v>6.6894</v>
      </c>
      <c r="T595" s="33">
        <v>7.2036600000000002</v>
      </c>
      <c r="U595" s="197">
        <v>11</v>
      </c>
      <c r="V595" s="90" t="s">
        <v>69</v>
      </c>
      <c r="W595" s="90">
        <v>18</v>
      </c>
      <c r="X595" s="91">
        <v>2025</v>
      </c>
    </row>
    <row r="596" spans="1:24" x14ac:dyDescent="0.25">
      <c r="A596" s="74" t="s">
        <v>57</v>
      </c>
      <c r="B596" s="33">
        <v>2025</v>
      </c>
      <c r="C596" s="33">
        <v>1467.88</v>
      </c>
      <c r="D596" s="33">
        <v>6.4010999999999996</v>
      </c>
      <c r="E596" s="33">
        <v>-1.0062500000000001</v>
      </c>
      <c r="F596" s="33">
        <v>-1.04017</v>
      </c>
      <c r="G596" s="33">
        <v>2.0503499999999999</v>
      </c>
      <c r="H596" s="33">
        <v>0.1183</v>
      </c>
      <c r="I596" s="33">
        <v>6.6699999999999995E-2</v>
      </c>
      <c r="J596" s="33">
        <v>8.9267799999999994E-2</v>
      </c>
      <c r="K596" s="33">
        <v>3.5799999999999998E-2</v>
      </c>
      <c r="L596" s="33">
        <v>4.7500000000000001E-2</v>
      </c>
      <c r="M596" s="33">
        <v>-6.7899799999999996E-2</v>
      </c>
      <c r="N596" s="203">
        <v>8.2500000000000004E-2</v>
      </c>
      <c r="O596" s="33">
        <v>27.25</v>
      </c>
      <c r="P596" s="33">
        <v>23.375</v>
      </c>
      <c r="Q596" s="33">
        <v>3.875</v>
      </c>
      <c r="R596" s="33">
        <v>8</v>
      </c>
      <c r="S596" s="33">
        <v>9.4382999999999999</v>
      </c>
      <c r="T596" s="33">
        <v>8.4114799999999992</v>
      </c>
      <c r="U596" s="197">
        <v>9</v>
      </c>
      <c r="V596" s="90" t="s">
        <v>57</v>
      </c>
      <c r="W596" s="90">
        <v>18</v>
      </c>
      <c r="X596" s="91">
        <v>2025</v>
      </c>
    </row>
    <row r="597" spans="1:24" x14ac:dyDescent="0.25">
      <c r="A597" s="74" t="s">
        <v>402</v>
      </c>
      <c r="B597" s="33">
        <v>2025</v>
      </c>
      <c r="C597" s="33">
        <v>1438.73</v>
      </c>
      <c r="D597" s="33">
        <v>-16.235700000000001</v>
      </c>
      <c r="E597" s="33">
        <v>-2.1722999999999999</v>
      </c>
      <c r="F597" s="33">
        <v>-0.17175799999999999</v>
      </c>
      <c r="G597" s="33">
        <v>-2.44516</v>
      </c>
      <c r="H597" s="33">
        <v>-8.9999999999999998E-4</v>
      </c>
      <c r="I597" s="33">
        <v>-4.2099999999999999E-2</v>
      </c>
      <c r="J597" s="33">
        <v>1.67239E-2</v>
      </c>
      <c r="K597" s="33">
        <v>3.2000000000000001E-2</v>
      </c>
      <c r="L597" s="33">
        <v>6.5699999999999995E-2</v>
      </c>
      <c r="M597" s="33">
        <v>-6.4925200000000002E-2</v>
      </c>
      <c r="N597" s="203">
        <v>-3.2899999999999999E-2</v>
      </c>
      <c r="O597" s="33">
        <v>22.75</v>
      </c>
      <c r="P597" s="33">
        <v>24.8125</v>
      </c>
      <c r="Q597" s="33">
        <v>-2.0625</v>
      </c>
      <c r="R597" s="33">
        <v>7</v>
      </c>
      <c r="S597" s="33">
        <v>7.1802000000000001</v>
      </c>
      <c r="T597" s="33">
        <v>9.4059000000000008</v>
      </c>
      <c r="U597" s="197">
        <v>6</v>
      </c>
      <c r="V597" s="90" t="s">
        <v>402</v>
      </c>
      <c r="W597" s="90">
        <v>18</v>
      </c>
      <c r="X597" s="91">
        <v>2025</v>
      </c>
    </row>
    <row r="598" spans="1:24" x14ac:dyDescent="0.25">
      <c r="A598" s="74" t="s">
        <v>75</v>
      </c>
      <c r="B598" s="33">
        <v>2025</v>
      </c>
      <c r="C598" s="33">
        <v>1434.83</v>
      </c>
      <c r="D598" s="33">
        <v>-52.566400000000002</v>
      </c>
      <c r="E598" s="33">
        <v>-2.32823</v>
      </c>
      <c r="F598" s="33">
        <v>6.0375900000000003E-2</v>
      </c>
      <c r="G598" s="33">
        <v>-2.9565800000000002</v>
      </c>
      <c r="H598" s="33">
        <v>-0.10390000000000001</v>
      </c>
      <c r="I598" s="33">
        <v>-0.23019999999999999</v>
      </c>
      <c r="J598" s="33">
        <v>-2.1417800000000001E-2</v>
      </c>
      <c r="K598" s="33">
        <v>-8.8700000000000001E-2</v>
      </c>
      <c r="L598" s="33">
        <v>-0.1381</v>
      </c>
      <c r="M598" s="33">
        <v>-6.79704E-2</v>
      </c>
      <c r="N598" s="203">
        <v>-1.52E-2</v>
      </c>
      <c r="O598" s="33">
        <v>20.5</v>
      </c>
      <c r="P598" s="33">
        <v>20.625</v>
      </c>
      <c r="Q598" s="33">
        <v>-0.125</v>
      </c>
      <c r="R598" s="33">
        <v>8</v>
      </c>
      <c r="S598" s="33">
        <v>7.9424000000000001</v>
      </c>
      <c r="T598" s="33">
        <v>8.6144700000000007</v>
      </c>
      <c r="U598" s="197">
        <v>6</v>
      </c>
      <c r="V598" s="90" t="s">
        <v>75</v>
      </c>
      <c r="W598" s="90">
        <v>18</v>
      </c>
      <c r="X598" s="91">
        <v>2025</v>
      </c>
    </row>
    <row r="599" spans="1:24" x14ac:dyDescent="0.25">
      <c r="A599" s="74" t="s">
        <v>95</v>
      </c>
      <c r="B599" s="33">
        <v>2025</v>
      </c>
      <c r="C599" s="33">
        <v>1430.72</v>
      </c>
      <c r="D599" s="33">
        <v>-11.961399999999999</v>
      </c>
      <c r="E599" s="33">
        <v>-2.49288</v>
      </c>
      <c r="F599" s="33">
        <v>2.6939799999999998</v>
      </c>
      <c r="G599" s="33">
        <v>2.1584500000000002</v>
      </c>
      <c r="H599" s="33">
        <v>2.24E-2</v>
      </c>
      <c r="I599" s="33">
        <v>-2.69E-2</v>
      </c>
      <c r="J599" s="33">
        <v>2.8178600000000002E-2</v>
      </c>
      <c r="K599" s="33">
        <v>0.1008</v>
      </c>
      <c r="L599" s="33">
        <v>4.2599999999999999E-2</v>
      </c>
      <c r="M599" s="33">
        <v>0.13986599999999999</v>
      </c>
      <c r="N599" s="203">
        <v>-7.8399999999999997E-2</v>
      </c>
      <c r="O599" s="33">
        <v>21.6875</v>
      </c>
      <c r="P599" s="33">
        <v>26.375</v>
      </c>
      <c r="Q599" s="33">
        <v>-4.6875</v>
      </c>
      <c r="R599" s="33">
        <v>3</v>
      </c>
      <c r="S599" s="33">
        <v>6.1775000000000002</v>
      </c>
      <c r="T599" s="33">
        <v>4.76729</v>
      </c>
      <c r="U599" s="197">
        <v>4</v>
      </c>
      <c r="V599" s="90" t="s">
        <v>95</v>
      </c>
      <c r="W599" s="90">
        <v>18</v>
      </c>
      <c r="X599" s="91">
        <v>2025</v>
      </c>
    </row>
    <row r="600" spans="1:24" x14ac:dyDescent="0.25">
      <c r="A600" s="74" t="s">
        <v>399</v>
      </c>
      <c r="B600" s="33">
        <v>2025</v>
      </c>
      <c r="C600" s="33">
        <v>1423.86</v>
      </c>
      <c r="D600" s="33">
        <v>-118.471</v>
      </c>
      <c r="E600" s="33">
        <v>-2.7671899999999998</v>
      </c>
      <c r="F600" s="33">
        <v>-0.118076</v>
      </c>
      <c r="G600" s="33">
        <v>-5.9606300000000001</v>
      </c>
      <c r="H600" s="33">
        <v>8.0299999999999996E-2</v>
      </c>
      <c r="I600" s="33">
        <v>8.5400000000000004E-2</v>
      </c>
      <c r="J600" s="33">
        <v>3.6561200000000002E-2</v>
      </c>
      <c r="K600" s="33">
        <v>4.7300000000000002E-2</v>
      </c>
      <c r="L600" s="33">
        <v>3.1899999999999998E-2</v>
      </c>
      <c r="M600" s="33">
        <v>-3.2094400000000002E-2</v>
      </c>
      <c r="N600" s="203">
        <v>3.3000000000000002E-2</v>
      </c>
      <c r="O600" s="33">
        <v>21.875</v>
      </c>
      <c r="P600" s="33">
        <v>19.625</v>
      </c>
      <c r="Q600" s="33">
        <v>2.25</v>
      </c>
      <c r="R600" s="33">
        <v>6</v>
      </c>
      <c r="S600" s="33">
        <v>9.0233000000000008</v>
      </c>
      <c r="T600" s="33">
        <v>10.2791</v>
      </c>
      <c r="U600" s="197">
        <v>8</v>
      </c>
      <c r="V600" s="90" t="s">
        <v>399</v>
      </c>
      <c r="W600" s="90">
        <v>18</v>
      </c>
      <c r="X600" s="91">
        <v>2025</v>
      </c>
    </row>
    <row r="601" spans="1:24" x14ac:dyDescent="0.25">
      <c r="A601" s="74" t="s">
        <v>403</v>
      </c>
      <c r="B601" s="33">
        <v>2025</v>
      </c>
      <c r="C601" s="33">
        <v>1420.31</v>
      </c>
      <c r="D601" s="33">
        <v>10.823499999999999</v>
      </c>
      <c r="E601" s="33">
        <v>-2.9092799999999999</v>
      </c>
      <c r="F601" s="33">
        <v>1.6288199999999999</v>
      </c>
      <c r="G601" s="33">
        <v>2.9122599999999998</v>
      </c>
      <c r="H601" s="33">
        <v>-0.1186</v>
      </c>
      <c r="I601" s="33">
        <v>-7.7299999999999994E-2</v>
      </c>
      <c r="J601" s="33">
        <v>-0.123864</v>
      </c>
      <c r="K601" s="33">
        <v>-2.7400000000000001E-2</v>
      </c>
      <c r="L601" s="33">
        <v>-4.07E-2</v>
      </c>
      <c r="M601" s="33">
        <v>-8.3253199999999999E-2</v>
      </c>
      <c r="N601" s="203">
        <v>-9.1300000000000006E-2</v>
      </c>
      <c r="O601" s="33">
        <v>18.0625</v>
      </c>
      <c r="P601" s="33">
        <v>22.75</v>
      </c>
      <c r="Q601" s="33">
        <v>-4.6875</v>
      </c>
      <c r="R601" s="33">
        <v>6</v>
      </c>
      <c r="S601" s="33">
        <v>5.8655999999999997</v>
      </c>
      <c r="T601" s="33">
        <v>6.2469000000000001</v>
      </c>
      <c r="U601" s="197">
        <v>6</v>
      </c>
      <c r="V601" s="90" t="s">
        <v>403</v>
      </c>
      <c r="W601" s="90">
        <v>18</v>
      </c>
      <c r="X601" s="91">
        <v>2025</v>
      </c>
    </row>
    <row r="602" spans="1:24" x14ac:dyDescent="0.25">
      <c r="A602" s="74" t="s">
        <v>67</v>
      </c>
      <c r="B602" s="33">
        <v>2025</v>
      </c>
      <c r="C602" s="33">
        <v>1394.9</v>
      </c>
      <c r="D602" s="33">
        <v>7.2632000000000003</v>
      </c>
      <c r="E602" s="33">
        <v>-3.9253900000000002</v>
      </c>
      <c r="F602" s="33">
        <v>-0.67974100000000004</v>
      </c>
      <c r="G602" s="33">
        <v>1.5492900000000001</v>
      </c>
      <c r="H602" s="33">
        <v>-2.0400000000000001E-2</v>
      </c>
      <c r="I602" s="33">
        <v>-7.0499999999999993E-2</v>
      </c>
      <c r="J602" s="33">
        <v>-2.6666200000000001E-2</v>
      </c>
      <c r="K602" s="33">
        <v>6.6100000000000006E-2</v>
      </c>
      <c r="L602" s="33">
        <v>0.1021</v>
      </c>
      <c r="M602" s="33">
        <v>1.2945699999999999E-2</v>
      </c>
      <c r="N602" s="203">
        <v>-8.6499999999999994E-2</v>
      </c>
      <c r="O602" s="33">
        <v>18.5625</v>
      </c>
      <c r="P602" s="33">
        <v>22.75</v>
      </c>
      <c r="Q602" s="33">
        <v>-4.1875</v>
      </c>
      <c r="R602" s="33">
        <v>8</v>
      </c>
      <c r="S602" s="33">
        <v>6.1081000000000003</v>
      </c>
      <c r="T602" s="33">
        <v>6.5483399999999996</v>
      </c>
      <c r="U602" s="197">
        <v>5</v>
      </c>
      <c r="V602" s="90" t="s">
        <v>67</v>
      </c>
      <c r="W602" s="90">
        <v>18</v>
      </c>
      <c r="X602" s="91">
        <v>2025</v>
      </c>
    </row>
    <row r="603" spans="1:24" x14ac:dyDescent="0.25">
      <c r="A603" s="74" t="s">
        <v>91</v>
      </c>
      <c r="B603" s="33">
        <v>2025</v>
      </c>
      <c r="C603" s="33">
        <v>1385.6</v>
      </c>
      <c r="D603" s="33">
        <v>-26.7378</v>
      </c>
      <c r="E603" s="33">
        <v>-4.29739</v>
      </c>
      <c r="F603" s="33">
        <v>1.11972</v>
      </c>
      <c r="G603" s="33">
        <v>0.201846</v>
      </c>
      <c r="H603" s="33">
        <v>-0.21479999999999999</v>
      </c>
      <c r="I603" s="33">
        <v>-0.3075</v>
      </c>
      <c r="J603" s="33">
        <v>-6.3430899999999998E-2</v>
      </c>
      <c r="K603" s="33">
        <v>-9.0800000000000006E-2</v>
      </c>
      <c r="L603" s="33">
        <v>-0.13009999999999999</v>
      </c>
      <c r="M603" s="33">
        <v>-8.3309499999999995E-2</v>
      </c>
      <c r="N603" s="203">
        <v>-0.124</v>
      </c>
      <c r="O603" s="33">
        <v>16.1875</v>
      </c>
      <c r="P603" s="33">
        <v>22.5625</v>
      </c>
      <c r="Q603" s="33">
        <v>-6.375</v>
      </c>
      <c r="R603" s="33">
        <v>4</v>
      </c>
      <c r="S603" s="33">
        <v>5.0052000000000003</v>
      </c>
      <c r="T603" s="33">
        <v>5.4754100000000001</v>
      </c>
      <c r="U603" s="197">
        <v>7</v>
      </c>
      <c r="V603" s="90" t="s">
        <v>91</v>
      </c>
      <c r="W603" s="90">
        <v>18</v>
      </c>
      <c r="X603" s="91">
        <v>2025</v>
      </c>
    </row>
    <row r="604" spans="1:24" x14ac:dyDescent="0.25">
      <c r="A604" s="74" t="s">
        <v>2</v>
      </c>
      <c r="B604" s="33">
        <v>2025</v>
      </c>
      <c r="C604" s="33">
        <v>1359</v>
      </c>
      <c r="D604" s="33">
        <v>-75.944900000000004</v>
      </c>
      <c r="E604" s="33">
        <v>-5.36158</v>
      </c>
      <c r="F604" s="33">
        <v>0.39057199999999997</v>
      </c>
      <c r="G604" s="33">
        <v>-5.1403499999999998</v>
      </c>
      <c r="H604" s="33">
        <v>2.8899999999999999E-2</v>
      </c>
      <c r="I604" s="33">
        <v>1.23E-2</v>
      </c>
      <c r="J604" s="33">
        <v>-9.5832999999999995E-3</v>
      </c>
      <c r="K604" s="33">
        <v>8.1199999999999994E-2</v>
      </c>
      <c r="L604" s="33">
        <v>0.1225</v>
      </c>
      <c r="M604" s="33">
        <v>1.1826100000000001E-2</v>
      </c>
      <c r="N604" s="203">
        <v>-5.2400000000000002E-2</v>
      </c>
      <c r="O604" s="33">
        <v>21.0625</v>
      </c>
      <c r="P604" s="33">
        <v>24.125</v>
      </c>
      <c r="Q604" s="33">
        <v>-3.0625</v>
      </c>
      <c r="R604" s="33">
        <v>7</v>
      </c>
      <c r="S604" s="33">
        <v>6.7240000000000002</v>
      </c>
      <c r="T604" s="33">
        <v>7.6575600000000001</v>
      </c>
      <c r="U604" s="197">
        <v>9</v>
      </c>
      <c r="V604" s="90" t="s">
        <v>2</v>
      </c>
      <c r="W604" s="90">
        <v>18</v>
      </c>
      <c r="X604" s="91">
        <v>2025</v>
      </c>
    </row>
    <row r="605" spans="1:24" x14ac:dyDescent="0.25">
      <c r="A605" s="74" t="s">
        <v>93</v>
      </c>
      <c r="B605" s="33">
        <v>2025</v>
      </c>
      <c r="C605" s="33">
        <v>1334.64</v>
      </c>
      <c r="D605" s="33">
        <v>-35.920999999999999</v>
      </c>
      <c r="E605" s="33">
        <v>-6.3358100000000004</v>
      </c>
      <c r="F605" s="33">
        <v>-0.58505399999999996</v>
      </c>
      <c r="G605" s="33">
        <v>-6.55185</v>
      </c>
      <c r="H605" s="33">
        <v>-3.0099999999999998E-2</v>
      </c>
      <c r="I605" s="33">
        <v>1E-3</v>
      </c>
      <c r="J605" s="33">
        <v>-6.2808299999999997E-2</v>
      </c>
      <c r="K605" s="33">
        <v>0.10780000000000001</v>
      </c>
      <c r="L605" s="33">
        <v>0.13919999999999999</v>
      </c>
      <c r="M605" s="33">
        <v>-1.4012200000000001E-2</v>
      </c>
      <c r="N605" s="203">
        <v>-0.13789999999999999</v>
      </c>
      <c r="O605" s="33">
        <v>20.9375</v>
      </c>
      <c r="P605" s="33">
        <v>28.1875</v>
      </c>
      <c r="Q605" s="33">
        <v>-7.25</v>
      </c>
      <c r="R605" s="33">
        <v>3</v>
      </c>
      <c r="S605" s="33">
        <v>5.2923999999999998</v>
      </c>
      <c r="T605" s="33">
        <v>7.0073400000000001</v>
      </c>
      <c r="U605" s="197">
        <v>3</v>
      </c>
      <c r="V605" s="90" t="s">
        <v>93</v>
      </c>
      <c r="W605" s="90">
        <v>18</v>
      </c>
      <c r="X605" s="91">
        <v>2025</v>
      </c>
    </row>
    <row r="606" spans="1:24" x14ac:dyDescent="0.25">
      <c r="A606" s="74" t="s">
        <v>89</v>
      </c>
      <c r="B606" s="33">
        <v>2025</v>
      </c>
      <c r="C606" s="33">
        <v>1331.15</v>
      </c>
      <c r="D606" s="33">
        <v>2.6025999999999998</v>
      </c>
      <c r="E606" s="33">
        <v>-6.4756</v>
      </c>
      <c r="F606" s="33">
        <v>-1.27962</v>
      </c>
      <c r="G606" s="33">
        <v>-1.73197</v>
      </c>
      <c r="H606" s="33">
        <v>-0.13189999999999999</v>
      </c>
      <c r="I606" s="33">
        <v>-0.21920000000000001</v>
      </c>
      <c r="J606" s="33">
        <v>-7.3073399999999997E-2</v>
      </c>
      <c r="K606" s="33">
        <v>7.0400000000000004E-2</v>
      </c>
      <c r="L606" s="33">
        <v>0.1648</v>
      </c>
      <c r="M606" s="33">
        <v>-2.4029399999999999E-2</v>
      </c>
      <c r="N606" s="203">
        <v>-0.20230000000000001</v>
      </c>
      <c r="O606" s="33">
        <v>17.3125</v>
      </c>
      <c r="P606" s="33">
        <v>27.3125</v>
      </c>
      <c r="Q606" s="33">
        <v>-10</v>
      </c>
      <c r="R606" s="33">
        <v>3</v>
      </c>
      <c r="S606" s="33">
        <v>4.0545</v>
      </c>
      <c r="T606" s="33">
        <v>4.1174400000000002</v>
      </c>
      <c r="U606" s="197">
        <v>2</v>
      </c>
      <c r="V606" s="90" t="s">
        <v>89</v>
      </c>
      <c r="W606" s="90">
        <v>18</v>
      </c>
      <c r="X606" s="91">
        <v>2025</v>
      </c>
    </row>
    <row r="607" spans="1:24" x14ac:dyDescent="0.25">
      <c r="A607" s="74" t="s">
        <v>41</v>
      </c>
      <c r="B607" s="33">
        <v>2025</v>
      </c>
      <c r="C607" s="33">
        <v>1317.46</v>
      </c>
      <c r="D607" s="33">
        <v>-103.782</v>
      </c>
      <c r="E607" s="33">
        <v>-7.0231199999999996</v>
      </c>
      <c r="F607" s="33">
        <v>-0.244702</v>
      </c>
      <c r="G607" s="33">
        <v>-8.7915100000000006</v>
      </c>
      <c r="H607" s="33">
        <v>3.0700000000000002E-2</v>
      </c>
      <c r="I607" s="33">
        <v>-2.4199999999999999E-2</v>
      </c>
      <c r="J607" s="33">
        <v>2.78084E-2</v>
      </c>
      <c r="K607" s="33">
        <v>0.15190000000000001</v>
      </c>
      <c r="L607" s="33">
        <v>0.24510000000000001</v>
      </c>
      <c r="M607" s="33">
        <v>5.3986899999999997E-2</v>
      </c>
      <c r="N607" s="203">
        <v>-0.1212</v>
      </c>
      <c r="O607" s="33">
        <v>20.75</v>
      </c>
      <c r="P607" s="33">
        <v>27.125</v>
      </c>
      <c r="Q607" s="33">
        <v>-6.375</v>
      </c>
      <c r="R607" s="33">
        <v>4</v>
      </c>
      <c r="S607" s="33">
        <v>5.5422000000000002</v>
      </c>
      <c r="T607" s="33">
        <v>8.0754199999999994</v>
      </c>
      <c r="U607" s="197">
        <v>4</v>
      </c>
      <c r="V607" s="90" t="s">
        <v>41</v>
      </c>
      <c r="W607" s="90">
        <v>18</v>
      </c>
      <c r="X607" s="91">
        <v>2025</v>
      </c>
    </row>
    <row r="608" spans="1:24" x14ac:dyDescent="0.25">
      <c r="A608" s="74" t="s">
        <v>401</v>
      </c>
      <c r="B608" s="33">
        <v>2025</v>
      </c>
      <c r="C608" s="33">
        <v>1285.17</v>
      </c>
      <c r="D608" s="33">
        <v>-9.4312000000000005</v>
      </c>
      <c r="E608" s="33">
        <v>-8.3147599999999997</v>
      </c>
      <c r="F608" s="33">
        <v>-2.2174700000000001</v>
      </c>
      <c r="G608" s="33">
        <v>-5.8948200000000002</v>
      </c>
      <c r="H608" s="33">
        <v>-0.1862</v>
      </c>
      <c r="I608" s="33">
        <v>-0.18509999999999999</v>
      </c>
      <c r="J608" s="33">
        <v>-0.24743999999999999</v>
      </c>
      <c r="K608" s="33">
        <v>6.0699999999999997E-2</v>
      </c>
      <c r="L608" s="33">
        <v>0.1326</v>
      </c>
      <c r="M608" s="33">
        <v>-6.3600199999999996E-2</v>
      </c>
      <c r="N608" s="203">
        <v>-0.24690000000000001</v>
      </c>
      <c r="O608" s="33">
        <v>14.1875</v>
      </c>
      <c r="P608" s="33">
        <v>26.25</v>
      </c>
      <c r="Q608" s="33">
        <v>-12.0625</v>
      </c>
      <c r="R608" s="33">
        <v>2</v>
      </c>
      <c r="S608" s="33">
        <v>3.0196999999999998</v>
      </c>
      <c r="T608" s="33">
        <v>5.4646299999999997</v>
      </c>
      <c r="U608" s="197">
        <v>3</v>
      </c>
      <c r="V608" s="90" t="s">
        <v>423</v>
      </c>
      <c r="W608" s="90">
        <v>18</v>
      </c>
      <c r="X608" s="91">
        <v>2025</v>
      </c>
    </row>
    <row r="609" spans="1:24" ht="15.75" thickBot="1" x14ac:dyDescent="0.3">
      <c r="A609" s="75" t="s">
        <v>79</v>
      </c>
      <c r="B609" s="76">
        <v>2025</v>
      </c>
      <c r="C609" s="76">
        <v>1222.2</v>
      </c>
      <c r="D609" s="76">
        <v>-76.927400000000006</v>
      </c>
      <c r="E609" s="76">
        <v>-10.833399999999999</v>
      </c>
      <c r="F609" s="76">
        <v>-0.47955599999999998</v>
      </c>
      <c r="G609" s="76">
        <v>-7.8512500000000003</v>
      </c>
      <c r="H609" s="76">
        <v>-6.2600000000000003E-2</v>
      </c>
      <c r="I609" s="76">
        <v>-0.1986</v>
      </c>
      <c r="J609" s="76">
        <v>-5.7867599999999998E-2</v>
      </c>
      <c r="K609" s="76">
        <v>0.14899999999999999</v>
      </c>
      <c r="L609" s="76">
        <v>0.23619999999999999</v>
      </c>
      <c r="M609" s="76">
        <v>9.0551999999999994E-3</v>
      </c>
      <c r="N609" s="204">
        <v>-0.21160000000000001</v>
      </c>
      <c r="O609" s="76">
        <v>18.25</v>
      </c>
      <c r="P609" s="76">
        <v>29.25</v>
      </c>
      <c r="Q609" s="76">
        <v>-11</v>
      </c>
      <c r="R609" s="76">
        <v>3</v>
      </c>
      <c r="S609" s="76">
        <v>3.9422000000000001</v>
      </c>
      <c r="T609" s="76">
        <v>5.9553099999999999</v>
      </c>
      <c r="U609" s="195">
        <v>3</v>
      </c>
      <c r="V609" s="198" t="s">
        <v>79</v>
      </c>
      <c r="W609" s="93">
        <v>18</v>
      </c>
      <c r="X609" s="199">
        <v>2025</v>
      </c>
    </row>
  </sheetData>
  <autoFilter ref="A1:X33" xr:uid="{FE94A445-4481-4FE9-A94F-1DB03929B587}">
    <sortState xmlns:xlrd2="http://schemas.microsoft.com/office/spreadsheetml/2017/richdata2" ref="A2:X449">
      <sortCondition ref="W1:W33"/>
    </sortState>
  </autoFilter>
  <conditionalFormatting sqref="N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9DEF-B179-4F87-859F-14F41DA33267}">
  <sheetPr>
    <tabColor theme="7" tint="0.79998168889431442"/>
  </sheetPr>
  <dimension ref="A1:O864"/>
  <sheetViews>
    <sheetView zoomScale="80" zoomScaleNormal="80" workbookViewId="0">
      <pane xSplit="14" ySplit="1" topLeftCell="O797" activePane="bottomRight" state="frozen"/>
      <selection pane="topRight"/>
      <selection pane="bottomLeft"/>
      <selection pane="bottomRight" activeCell="A817" sqref="A817:N864"/>
    </sheetView>
  </sheetViews>
  <sheetFormatPr defaultRowHeight="15" x14ac:dyDescent="0.25"/>
  <sheetData>
    <row r="1" spans="1:15" x14ac:dyDescent="0.25">
      <c r="A1" s="33" t="s">
        <v>363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 t="s">
        <v>397</v>
      </c>
    </row>
    <row r="2" spans="1:15" x14ac:dyDescent="0.25">
      <c r="A2" s="33" t="s">
        <v>444</v>
      </c>
      <c r="B2" s="33" t="s">
        <v>445</v>
      </c>
      <c r="C2" s="33" t="s">
        <v>446</v>
      </c>
      <c r="D2" s="33" t="s">
        <v>447</v>
      </c>
      <c r="E2" s="33" t="s">
        <v>448</v>
      </c>
      <c r="F2" s="33" t="s">
        <v>449</v>
      </c>
      <c r="G2" s="33" t="s">
        <v>450</v>
      </c>
      <c r="H2" s="33" t="s">
        <v>451</v>
      </c>
      <c r="I2" s="33" t="s">
        <v>452</v>
      </c>
      <c r="J2" s="33" t="s">
        <v>453</v>
      </c>
      <c r="K2" s="33" t="s">
        <v>454</v>
      </c>
      <c r="L2" s="33" t="s">
        <v>455</v>
      </c>
      <c r="M2" s="33" t="s">
        <v>456</v>
      </c>
      <c r="N2" s="33" t="s">
        <v>457</v>
      </c>
      <c r="O2" s="60">
        <v>1</v>
      </c>
    </row>
    <row r="3" spans="1:15" x14ac:dyDescent="0.25">
      <c r="A3" s="33" t="s">
        <v>458</v>
      </c>
      <c r="B3" s="58">
        <v>36526</v>
      </c>
      <c r="C3" s="59">
        <v>0.18099999999999999</v>
      </c>
      <c r="D3" s="33">
        <v>11</v>
      </c>
      <c r="E3" s="59">
        <v>0.78500000000000003</v>
      </c>
      <c r="F3" s="59">
        <v>0.185</v>
      </c>
      <c r="G3" s="59">
        <v>0.14399999999999999</v>
      </c>
      <c r="H3" s="59">
        <v>0.106</v>
      </c>
      <c r="I3" s="59">
        <v>6.0999999999999999E-2</v>
      </c>
      <c r="J3" s="59">
        <v>0.127</v>
      </c>
      <c r="K3" s="59">
        <v>9.1999999999999998E-2</v>
      </c>
      <c r="L3" s="59">
        <v>7.0000000000000007E-2</v>
      </c>
      <c r="M3" s="59">
        <v>0.496</v>
      </c>
      <c r="N3" s="59">
        <v>0.28899999999999998</v>
      </c>
      <c r="O3" s="60">
        <v>1</v>
      </c>
    </row>
    <row r="4" spans="1:15" x14ac:dyDescent="0.25">
      <c r="A4" s="33" t="s">
        <v>459</v>
      </c>
      <c r="B4" s="58">
        <v>36526</v>
      </c>
      <c r="C4" s="59">
        <v>0.16900000000000001</v>
      </c>
      <c r="D4" s="33">
        <v>10.6</v>
      </c>
      <c r="E4" s="59">
        <v>0.74099999999999999</v>
      </c>
      <c r="F4" s="59">
        <v>0.14799999999999999</v>
      </c>
      <c r="G4" s="59">
        <v>0.122</v>
      </c>
      <c r="H4" s="59">
        <v>9.5000000000000001E-2</v>
      </c>
      <c r="I4" s="59">
        <v>5.6000000000000001E-2</v>
      </c>
      <c r="J4" s="59">
        <v>0.14000000000000001</v>
      </c>
      <c r="K4" s="59">
        <v>9.9000000000000005E-2</v>
      </c>
      <c r="L4" s="59">
        <v>8.1000000000000003E-2</v>
      </c>
      <c r="M4" s="59">
        <v>0.42099999999999999</v>
      </c>
      <c r="N4" s="59">
        <v>0.32</v>
      </c>
      <c r="O4" s="60">
        <v>1</v>
      </c>
    </row>
    <row r="5" spans="1:15" x14ac:dyDescent="0.25">
      <c r="A5" s="33" t="s">
        <v>460</v>
      </c>
      <c r="B5" s="33" t="s">
        <v>461</v>
      </c>
      <c r="C5" s="59">
        <v>3.0000000000000001E-3</v>
      </c>
      <c r="D5" s="33">
        <v>7.8</v>
      </c>
      <c r="E5" s="59">
        <v>0.27500000000000002</v>
      </c>
      <c r="F5" s="59">
        <v>1.6E-2</v>
      </c>
      <c r="G5" s="59">
        <v>2.1000000000000001E-2</v>
      </c>
      <c r="H5" s="59">
        <v>2.1000000000000001E-2</v>
      </c>
      <c r="I5" s="59">
        <v>1.7999999999999999E-2</v>
      </c>
      <c r="J5" s="59">
        <v>5.3999999999999999E-2</v>
      </c>
      <c r="K5" s="59">
        <v>6.7000000000000004E-2</v>
      </c>
      <c r="L5" s="59">
        <v>7.8E-2</v>
      </c>
      <c r="M5" s="59">
        <v>7.5999999999999998E-2</v>
      </c>
      <c r="N5" s="59">
        <v>0.2</v>
      </c>
      <c r="O5" s="60">
        <v>1</v>
      </c>
    </row>
    <row r="6" spans="1:15" x14ac:dyDescent="0.25">
      <c r="A6" s="33" t="s">
        <v>462</v>
      </c>
      <c r="B6" s="33" t="s">
        <v>461</v>
      </c>
      <c r="C6" s="59">
        <v>-0.17199999999999999</v>
      </c>
      <c r="D6" s="33">
        <v>4.9000000000000004</v>
      </c>
      <c r="E6" s="59">
        <v>3.9E-2</v>
      </c>
      <c r="F6" s="59">
        <v>1E-3</v>
      </c>
      <c r="G6" s="59">
        <v>1E-3</v>
      </c>
      <c r="H6" s="59">
        <v>2E-3</v>
      </c>
      <c r="I6" s="59">
        <v>3.0000000000000001E-3</v>
      </c>
      <c r="J6" s="59">
        <v>6.0000000000000001E-3</v>
      </c>
      <c r="K6" s="59">
        <v>8.9999999999999993E-3</v>
      </c>
      <c r="L6" s="59">
        <v>1.6E-2</v>
      </c>
      <c r="M6" s="59">
        <v>7.0000000000000001E-3</v>
      </c>
      <c r="N6" s="59">
        <v>3.2000000000000001E-2</v>
      </c>
      <c r="O6" s="60">
        <v>1</v>
      </c>
    </row>
    <row r="7" spans="1:15" x14ac:dyDescent="0.25">
      <c r="A7" s="33" t="s">
        <v>357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60">
        <v>1</v>
      </c>
    </row>
    <row r="8" spans="1:15" x14ac:dyDescent="0.25">
      <c r="A8" s="33" t="s">
        <v>444</v>
      </c>
      <c r="B8" s="33" t="s">
        <v>445</v>
      </c>
      <c r="C8" s="33" t="s">
        <v>446</v>
      </c>
      <c r="D8" s="33" t="s">
        <v>447</v>
      </c>
      <c r="E8" s="33" t="s">
        <v>448</v>
      </c>
      <c r="F8" s="33" t="s">
        <v>449</v>
      </c>
      <c r="G8" s="33" t="s">
        <v>450</v>
      </c>
      <c r="H8" s="33" t="s">
        <v>451</v>
      </c>
      <c r="I8" s="33" t="s">
        <v>452</v>
      </c>
      <c r="J8" s="33" t="s">
        <v>453</v>
      </c>
      <c r="K8" s="33" t="s">
        <v>454</v>
      </c>
      <c r="L8" s="33" t="s">
        <v>455</v>
      </c>
      <c r="M8" s="33" t="s">
        <v>456</v>
      </c>
      <c r="N8" s="33" t="s">
        <v>457</v>
      </c>
      <c r="O8" s="60">
        <v>1</v>
      </c>
    </row>
    <row r="9" spans="1:15" x14ac:dyDescent="0.25">
      <c r="A9" s="33" t="s">
        <v>463</v>
      </c>
      <c r="B9" s="58">
        <v>36526</v>
      </c>
      <c r="C9" s="59">
        <v>0.123</v>
      </c>
      <c r="D9" s="33">
        <v>10.3</v>
      </c>
      <c r="E9" s="59">
        <v>0.69699999999999995</v>
      </c>
      <c r="F9" s="59">
        <v>0.123</v>
      </c>
      <c r="G9" s="59">
        <v>0.126</v>
      </c>
      <c r="H9" s="59">
        <v>0.14699999999999999</v>
      </c>
      <c r="I9" s="59">
        <v>9.6000000000000002E-2</v>
      </c>
      <c r="J9" s="59">
        <v>6.4000000000000001E-2</v>
      </c>
      <c r="K9" s="59">
        <v>7.0000000000000007E-2</v>
      </c>
      <c r="L9" s="59">
        <v>7.0999999999999994E-2</v>
      </c>
      <c r="M9" s="59">
        <v>0.49199999999999999</v>
      </c>
      <c r="N9" s="59">
        <v>0.20499999999999999</v>
      </c>
      <c r="O9" s="60">
        <v>1</v>
      </c>
    </row>
    <row r="10" spans="1:15" x14ac:dyDescent="0.25">
      <c r="A10" s="33" t="s">
        <v>464</v>
      </c>
      <c r="B10" s="58" t="s">
        <v>461</v>
      </c>
      <c r="C10" s="59">
        <v>9.0999999999999998E-2</v>
      </c>
      <c r="D10" s="33">
        <v>8.6</v>
      </c>
      <c r="E10" s="59">
        <v>0.40600000000000003</v>
      </c>
      <c r="F10" s="59">
        <v>2.8000000000000001E-2</v>
      </c>
      <c r="G10" s="59">
        <v>4.4999999999999998E-2</v>
      </c>
      <c r="H10" s="59">
        <v>6.8000000000000005E-2</v>
      </c>
      <c r="I10" s="59">
        <v>4.7E-2</v>
      </c>
      <c r="J10" s="59">
        <v>6.3E-2</v>
      </c>
      <c r="K10" s="59">
        <v>7.3999999999999996E-2</v>
      </c>
      <c r="L10" s="59">
        <v>8.2000000000000003E-2</v>
      </c>
      <c r="M10" s="59">
        <v>0.187</v>
      </c>
      <c r="N10" s="59">
        <v>0.219</v>
      </c>
      <c r="O10" s="60">
        <v>1</v>
      </c>
    </row>
    <row r="11" spans="1:15" x14ac:dyDescent="0.25">
      <c r="A11" s="33" t="s">
        <v>465</v>
      </c>
      <c r="B11" s="58" t="s">
        <v>466</v>
      </c>
      <c r="C11" s="59">
        <v>2.5999999999999999E-2</v>
      </c>
      <c r="D11" s="33">
        <v>8.1</v>
      </c>
      <c r="E11" s="59">
        <v>0.35199999999999998</v>
      </c>
      <c r="F11" s="59">
        <v>3.2000000000000001E-2</v>
      </c>
      <c r="G11" s="59">
        <v>0.04</v>
      </c>
      <c r="H11" s="59">
        <v>5.8000000000000003E-2</v>
      </c>
      <c r="I11" s="59">
        <v>4.4999999999999998E-2</v>
      </c>
      <c r="J11" s="59">
        <v>4.8000000000000001E-2</v>
      </c>
      <c r="K11" s="59">
        <v>5.8999999999999997E-2</v>
      </c>
      <c r="L11" s="59">
        <v>7.0999999999999994E-2</v>
      </c>
      <c r="M11" s="59">
        <v>0.17399999999999999</v>
      </c>
      <c r="N11" s="59">
        <v>0.17699999999999999</v>
      </c>
      <c r="O11" s="60">
        <v>1</v>
      </c>
    </row>
    <row r="12" spans="1:15" x14ac:dyDescent="0.25">
      <c r="A12" s="33" t="s">
        <v>467</v>
      </c>
      <c r="B12" s="33" t="s">
        <v>466</v>
      </c>
      <c r="C12" s="59">
        <v>0.01</v>
      </c>
      <c r="D12" s="33">
        <v>7.9</v>
      </c>
      <c r="E12" s="59">
        <v>0.309</v>
      </c>
      <c r="F12" s="59">
        <v>2.1000000000000001E-2</v>
      </c>
      <c r="G12" s="59">
        <v>3.1E-2</v>
      </c>
      <c r="H12" s="59">
        <v>5.1999999999999998E-2</v>
      </c>
      <c r="I12" s="59">
        <v>4.2999999999999997E-2</v>
      </c>
      <c r="J12" s="59">
        <v>0.04</v>
      </c>
      <c r="K12" s="59">
        <v>5.3999999999999999E-2</v>
      </c>
      <c r="L12" s="59">
        <v>6.9000000000000006E-2</v>
      </c>
      <c r="M12" s="59">
        <v>0.14699999999999999</v>
      </c>
      <c r="N12" s="59">
        <v>0.16200000000000001</v>
      </c>
      <c r="O12" s="60">
        <v>1</v>
      </c>
    </row>
    <row r="13" spans="1:15" x14ac:dyDescent="0.25">
      <c r="A13" s="33" t="s">
        <v>383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60">
        <v>1</v>
      </c>
    </row>
    <row r="14" spans="1:15" x14ac:dyDescent="0.25">
      <c r="A14" s="33" t="s">
        <v>444</v>
      </c>
      <c r="B14" s="33" t="s">
        <v>445</v>
      </c>
      <c r="C14" s="33" t="s">
        <v>446</v>
      </c>
      <c r="D14" s="33" t="s">
        <v>447</v>
      </c>
      <c r="E14" s="33" t="s">
        <v>448</v>
      </c>
      <c r="F14" s="33" t="s">
        <v>449</v>
      </c>
      <c r="G14" s="33" t="s">
        <v>450</v>
      </c>
      <c r="H14" s="33" t="s">
        <v>451</v>
      </c>
      <c r="I14" s="33" t="s">
        <v>452</v>
      </c>
      <c r="J14" s="33" t="s">
        <v>453</v>
      </c>
      <c r="K14" s="33" t="s">
        <v>454</v>
      </c>
      <c r="L14" s="33" t="s">
        <v>455</v>
      </c>
      <c r="M14" s="33" t="s">
        <v>456</v>
      </c>
      <c r="N14" s="33" t="s">
        <v>457</v>
      </c>
      <c r="O14" s="60">
        <v>1</v>
      </c>
    </row>
    <row r="15" spans="1:15" x14ac:dyDescent="0.25">
      <c r="A15" s="33" t="s">
        <v>468</v>
      </c>
      <c r="B15" s="58">
        <v>36526</v>
      </c>
      <c r="C15" s="59">
        <v>3.3000000000000002E-2</v>
      </c>
      <c r="D15" s="33">
        <v>9.9</v>
      </c>
      <c r="E15" s="59">
        <v>0.71599999999999997</v>
      </c>
      <c r="F15" s="59">
        <v>8.1000000000000003E-2</v>
      </c>
      <c r="G15" s="59">
        <v>0.112</v>
      </c>
      <c r="H15" s="59">
        <v>0.156</v>
      </c>
      <c r="I15" s="59">
        <v>0.28999999999999998</v>
      </c>
      <c r="J15" s="59">
        <v>1.7999999999999999E-2</v>
      </c>
      <c r="K15" s="59">
        <v>2.7E-2</v>
      </c>
      <c r="L15" s="59">
        <v>3.3000000000000002E-2</v>
      </c>
      <c r="M15" s="59">
        <v>0.63900000000000001</v>
      </c>
      <c r="N15" s="59">
        <v>7.6999999999999999E-2</v>
      </c>
      <c r="O15" s="60">
        <v>1</v>
      </c>
    </row>
    <row r="16" spans="1:15" x14ac:dyDescent="0.25">
      <c r="A16" s="33" t="s">
        <v>469</v>
      </c>
      <c r="B16" s="58" t="s">
        <v>461</v>
      </c>
      <c r="C16" s="59">
        <v>-5.0999999999999997E-2</v>
      </c>
      <c r="D16" s="33">
        <v>7.7</v>
      </c>
      <c r="E16" s="59">
        <v>0.307</v>
      </c>
      <c r="F16" s="59">
        <v>1.4E-2</v>
      </c>
      <c r="G16" s="59">
        <v>2.4E-2</v>
      </c>
      <c r="H16" s="59">
        <v>4.7E-2</v>
      </c>
      <c r="I16" s="59">
        <v>0.104</v>
      </c>
      <c r="J16" s="59">
        <v>2.5999999999999999E-2</v>
      </c>
      <c r="K16" s="59">
        <v>0.04</v>
      </c>
      <c r="L16" s="59">
        <v>5.0999999999999997E-2</v>
      </c>
      <c r="M16" s="59">
        <v>0.19</v>
      </c>
      <c r="N16" s="59">
        <v>0.11700000000000001</v>
      </c>
      <c r="O16" s="60">
        <v>1</v>
      </c>
    </row>
    <row r="17" spans="1:15" x14ac:dyDescent="0.25">
      <c r="A17" s="33" t="s">
        <v>470</v>
      </c>
      <c r="B17" s="33" t="s">
        <v>461</v>
      </c>
      <c r="C17" s="59">
        <v>-0.13200000000000001</v>
      </c>
      <c r="D17" s="33">
        <v>7</v>
      </c>
      <c r="E17" s="59">
        <v>0.20599999999999999</v>
      </c>
      <c r="F17" s="59">
        <v>4.0000000000000001E-3</v>
      </c>
      <c r="G17" s="59">
        <v>1.4E-2</v>
      </c>
      <c r="H17" s="59">
        <v>3.1E-2</v>
      </c>
      <c r="I17" s="59">
        <v>9.5000000000000001E-2</v>
      </c>
      <c r="J17" s="59">
        <v>0.01</v>
      </c>
      <c r="K17" s="59">
        <v>2.1000000000000001E-2</v>
      </c>
      <c r="L17" s="59">
        <v>3.1E-2</v>
      </c>
      <c r="M17" s="59">
        <v>0.14399999999999999</v>
      </c>
      <c r="N17" s="59">
        <v>6.3E-2</v>
      </c>
      <c r="O17" s="60">
        <v>1</v>
      </c>
    </row>
    <row r="18" spans="1:15" x14ac:dyDescent="0.25">
      <c r="A18" s="33" t="s">
        <v>471</v>
      </c>
      <c r="B18" s="33" t="s">
        <v>461</v>
      </c>
      <c r="C18" s="59">
        <v>-0.26100000000000001</v>
      </c>
      <c r="D18" s="33">
        <v>4.7</v>
      </c>
      <c r="E18" s="59">
        <v>4.2999999999999997E-2</v>
      </c>
      <c r="F18" s="59">
        <v>0</v>
      </c>
      <c r="G18" s="59">
        <v>2E-3</v>
      </c>
      <c r="H18" s="59">
        <v>5.0000000000000001E-3</v>
      </c>
      <c r="I18" s="59">
        <v>2.1999999999999999E-2</v>
      </c>
      <c r="J18" s="59">
        <v>2E-3</v>
      </c>
      <c r="K18" s="59">
        <v>5.0000000000000001E-3</v>
      </c>
      <c r="L18" s="59">
        <v>8.0000000000000002E-3</v>
      </c>
      <c r="M18" s="59">
        <v>2.8000000000000001E-2</v>
      </c>
      <c r="N18" s="59">
        <v>1.4999999999999999E-2</v>
      </c>
      <c r="O18" s="60">
        <v>1</v>
      </c>
    </row>
    <row r="19" spans="1:15" x14ac:dyDescent="0.25">
      <c r="A19" s="33" t="s">
        <v>355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60">
        <v>1</v>
      </c>
    </row>
    <row r="20" spans="1:15" x14ac:dyDescent="0.25">
      <c r="A20" s="33" t="s">
        <v>444</v>
      </c>
      <c r="B20" s="33" t="s">
        <v>445</v>
      </c>
      <c r="C20" s="33" t="s">
        <v>446</v>
      </c>
      <c r="D20" s="33" t="s">
        <v>447</v>
      </c>
      <c r="E20" s="33" t="s">
        <v>448</v>
      </c>
      <c r="F20" s="33" t="s">
        <v>449</v>
      </c>
      <c r="G20" s="33" t="s">
        <v>450</v>
      </c>
      <c r="H20" s="33" t="s">
        <v>451</v>
      </c>
      <c r="I20" s="33" t="s">
        <v>452</v>
      </c>
      <c r="J20" s="33" t="s">
        <v>453</v>
      </c>
      <c r="K20" s="33" t="s">
        <v>454</v>
      </c>
      <c r="L20" s="33" t="s">
        <v>455</v>
      </c>
      <c r="M20" s="33" t="s">
        <v>456</v>
      </c>
      <c r="N20" s="33" t="s">
        <v>457</v>
      </c>
      <c r="O20" s="60">
        <v>1</v>
      </c>
    </row>
    <row r="21" spans="1:15" x14ac:dyDescent="0.25">
      <c r="A21" s="33" t="s">
        <v>472</v>
      </c>
      <c r="B21" s="58">
        <v>36526</v>
      </c>
      <c r="C21" s="59">
        <v>0.11899999999999999</v>
      </c>
      <c r="D21" s="33">
        <v>11.3</v>
      </c>
      <c r="E21" s="59">
        <v>0.81</v>
      </c>
      <c r="F21" s="59">
        <v>0.2</v>
      </c>
      <c r="G21" s="59">
        <v>0.161</v>
      </c>
      <c r="H21" s="59">
        <v>9.4E-2</v>
      </c>
      <c r="I21" s="59">
        <v>5.0999999999999997E-2</v>
      </c>
      <c r="J21" s="59">
        <v>0.129</v>
      </c>
      <c r="K21" s="59">
        <v>0.10100000000000001</v>
      </c>
      <c r="L21" s="59">
        <v>7.2999999999999995E-2</v>
      </c>
      <c r="M21" s="59">
        <v>0.50600000000000001</v>
      </c>
      <c r="N21" s="59">
        <v>0.30399999999999999</v>
      </c>
      <c r="O21" s="60">
        <v>1</v>
      </c>
    </row>
    <row r="22" spans="1:15" x14ac:dyDescent="0.25">
      <c r="A22" s="33" t="s">
        <v>473</v>
      </c>
      <c r="B22" s="58">
        <v>36526</v>
      </c>
      <c r="C22" s="59">
        <v>5.7000000000000002E-2</v>
      </c>
      <c r="D22" s="33">
        <v>9.6999999999999993</v>
      </c>
      <c r="E22" s="59">
        <v>0.57599999999999996</v>
      </c>
      <c r="F22" s="59">
        <v>7.8E-2</v>
      </c>
      <c r="G22" s="59">
        <v>7.6999999999999999E-2</v>
      </c>
      <c r="H22" s="59">
        <v>5.8000000000000003E-2</v>
      </c>
      <c r="I22" s="59">
        <v>3.2000000000000001E-2</v>
      </c>
      <c r="J22" s="59">
        <v>0.121</v>
      </c>
      <c r="K22" s="59">
        <v>0.111</v>
      </c>
      <c r="L22" s="59">
        <v>9.8000000000000004E-2</v>
      </c>
      <c r="M22" s="59">
        <v>0.245</v>
      </c>
      <c r="N22" s="59">
        <v>0.33</v>
      </c>
      <c r="O22" s="60">
        <v>1</v>
      </c>
    </row>
    <row r="23" spans="1:15" x14ac:dyDescent="0.25">
      <c r="A23" s="33" t="s">
        <v>474</v>
      </c>
      <c r="B23" s="58">
        <v>36526</v>
      </c>
      <c r="C23" s="59">
        <v>1.0999999999999999E-2</v>
      </c>
      <c r="D23" s="33">
        <v>9.4</v>
      </c>
      <c r="E23" s="59">
        <v>0.52600000000000002</v>
      </c>
      <c r="F23" s="59">
        <v>6.0999999999999999E-2</v>
      </c>
      <c r="G23" s="59">
        <v>6.6000000000000003E-2</v>
      </c>
      <c r="H23" s="59">
        <v>4.7E-2</v>
      </c>
      <c r="I23" s="59">
        <v>2.7E-2</v>
      </c>
      <c r="J23" s="59">
        <v>0.108</v>
      </c>
      <c r="K23" s="59">
        <v>0.115</v>
      </c>
      <c r="L23" s="59">
        <v>0.10100000000000001</v>
      </c>
      <c r="M23" s="59">
        <v>0.20200000000000001</v>
      </c>
      <c r="N23" s="59">
        <v>0.32400000000000001</v>
      </c>
      <c r="O23" s="60">
        <v>1</v>
      </c>
    </row>
    <row r="24" spans="1:15" x14ac:dyDescent="0.25">
      <c r="A24" s="33" t="s">
        <v>475</v>
      </c>
      <c r="B24" s="33" t="s">
        <v>461</v>
      </c>
      <c r="C24" s="59">
        <v>-5.8000000000000003E-2</v>
      </c>
      <c r="D24" s="33">
        <v>7.4</v>
      </c>
      <c r="E24" s="59">
        <v>0.214</v>
      </c>
      <c r="F24" s="59">
        <v>8.9999999999999993E-3</v>
      </c>
      <c r="G24" s="59">
        <v>1.4999999999999999E-2</v>
      </c>
      <c r="H24" s="59">
        <v>1.2999999999999999E-2</v>
      </c>
      <c r="I24" s="59">
        <v>0.01</v>
      </c>
      <c r="J24" s="59">
        <v>4.2999999999999997E-2</v>
      </c>
      <c r="K24" s="59">
        <v>5.6000000000000001E-2</v>
      </c>
      <c r="L24" s="59">
        <v>6.7000000000000004E-2</v>
      </c>
      <c r="M24" s="59">
        <v>4.7E-2</v>
      </c>
      <c r="N24" s="59">
        <v>0.16700000000000001</v>
      </c>
      <c r="O24" s="60">
        <v>1</v>
      </c>
    </row>
    <row r="25" spans="1:15" x14ac:dyDescent="0.25">
      <c r="A25" s="33" t="s">
        <v>359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60">
        <v>1</v>
      </c>
    </row>
    <row r="26" spans="1:15" x14ac:dyDescent="0.25">
      <c r="A26" s="33" t="s">
        <v>444</v>
      </c>
      <c r="B26" s="33" t="s">
        <v>445</v>
      </c>
      <c r="C26" s="33" t="s">
        <v>446</v>
      </c>
      <c r="D26" s="33" t="s">
        <v>447</v>
      </c>
      <c r="E26" s="33" t="s">
        <v>448</v>
      </c>
      <c r="F26" s="33" t="s">
        <v>449</v>
      </c>
      <c r="G26" s="33" t="s">
        <v>450</v>
      </c>
      <c r="H26" s="33" t="s">
        <v>451</v>
      </c>
      <c r="I26" s="33" t="s">
        <v>452</v>
      </c>
      <c r="J26" s="33" t="s">
        <v>453</v>
      </c>
      <c r="K26" s="33" t="s">
        <v>454</v>
      </c>
      <c r="L26" s="33" t="s">
        <v>455</v>
      </c>
      <c r="M26" s="33" t="s">
        <v>456</v>
      </c>
      <c r="N26" s="33" t="s">
        <v>457</v>
      </c>
      <c r="O26" s="60">
        <v>1</v>
      </c>
    </row>
    <row r="27" spans="1:15" x14ac:dyDescent="0.25">
      <c r="A27" s="33" t="s">
        <v>476</v>
      </c>
      <c r="B27" s="58">
        <v>36526</v>
      </c>
      <c r="C27" s="59">
        <v>0.19500000000000001</v>
      </c>
      <c r="D27" s="33">
        <v>12.4</v>
      </c>
      <c r="E27" s="59">
        <v>0.93600000000000005</v>
      </c>
      <c r="F27" s="59">
        <v>0.38600000000000001</v>
      </c>
      <c r="G27" s="59">
        <v>0.21299999999999999</v>
      </c>
      <c r="H27" s="59">
        <v>0.16600000000000001</v>
      </c>
      <c r="I27" s="59">
        <v>9.4E-2</v>
      </c>
      <c r="J27" s="59">
        <v>3.1E-2</v>
      </c>
      <c r="K27" s="59">
        <v>2.3E-2</v>
      </c>
      <c r="L27" s="59">
        <v>2.3E-2</v>
      </c>
      <c r="M27" s="59">
        <v>0.85899999999999999</v>
      </c>
      <c r="N27" s="59">
        <v>7.6999999999999999E-2</v>
      </c>
      <c r="O27" s="60">
        <v>1</v>
      </c>
    </row>
    <row r="28" spans="1:15" x14ac:dyDescent="0.25">
      <c r="A28" s="33" t="s">
        <v>477</v>
      </c>
      <c r="B28" s="58" t="s">
        <v>461</v>
      </c>
      <c r="C28" s="59">
        <v>-9.0999999999999998E-2</v>
      </c>
      <c r="D28" s="33">
        <v>7.5</v>
      </c>
      <c r="E28" s="59">
        <v>0.22900000000000001</v>
      </c>
      <c r="F28" s="59">
        <v>6.0000000000000001E-3</v>
      </c>
      <c r="G28" s="59">
        <v>1.2999999999999999E-2</v>
      </c>
      <c r="H28" s="59">
        <v>2.1000000000000001E-2</v>
      </c>
      <c r="I28" s="59">
        <v>2.4E-2</v>
      </c>
      <c r="J28" s="59">
        <v>4.3999999999999997E-2</v>
      </c>
      <c r="K28" s="59">
        <v>5.5E-2</v>
      </c>
      <c r="L28" s="59">
        <v>6.6000000000000003E-2</v>
      </c>
      <c r="M28" s="59">
        <v>6.4000000000000001E-2</v>
      </c>
      <c r="N28" s="59">
        <v>0.16500000000000001</v>
      </c>
      <c r="O28" s="60">
        <v>1</v>
      </c>
    </row>
    <row r="29" spans="1:15" x14ac:dyDescent="0.25">
      <c r="A29" s="33" t="s">
        <v>478</v>
      </c>
      <c r="B29" s="33" t="s">
        <v>461</v>
      </c>
      <c r="C29" s="59">
        <v>-9.5000000000000001E-2</v>
      </c>
      <c r="D29" s="33">
        <v>7</v>
      </c>
      <c r="E29" s="59">
        <v>0.17399999999999999</v>
      </c>
      <c r="F29" s="59">
        <v>5.0000000000000001E-3</v>
      </c>
      <c r="G29" s="59">
        <v>0.01</v>
      </c>
      <c r="H29" s="59">
        <v>1.4999999999999999E-2</v>
      </c>
      <c r="I29" s="59">
        <v>1.7999999999999999E-2</v>
      </c>
      <c r="J29" s="59">
        <v>0.03</v>
      </c>
      <c r="K29" s="59">
        <v>4.2999999999999997E-2</v>
      </c>
      <c r="L29" s="59">
        <v>5.2999999999999999E-2</v>
      </c>
      <c r="M29" s="59">
        <v>4.7E-2</v>
      </c>
      <c r="N29" s="59">
        <v>0.127</v>
      </c>
      <c r="O29" s="60">
        <v>1</v>
      </c>
    </row>
    <row r="30" spans="1:15" x14ac:dyDescent="0.25">
      <c r="A30" s="33" t="s">
        <v>479</v>
      </c>
      <c r="B30" s="58" t="s">
        <v>461</v>
      </c>
      <c r="C30" s="59">
        <v>-0.13800000000000001</v>
      </c>
      <c r="D30" s="33">
        <v>6.3</v>
      </c>
      <c r="E30" s="59">
        <v>0.122</v>
      </c>
      <c r="F30" s="59">
        <v>3.0000000000000001E-3</v>
      </c>
      <c r="G30" s="59">
        <v>5.0000000000000001E-3</v>
      </c>
      <c r="H30" s="59">
        <v>0.01</v>
      </c>
      <c r="I30" s="59">
        <v>1.2999999999999999E-2</v>
      </c>
      <c r="J30" s="59">
        <v>2.1000000000000001E-2</v>
      </c>
      <c r="K30" s="59">
        <v>3.2000000000000001E-2</v>
      </c>
      <c r="L30" s="59">
        <v>3.9E-2</v>
      </c>
      <c r="M30" s="59">
        <v>0.03</v>
      </c>
      <c r="N30" s="59">
        <v>9.1999999999999998E-2</v>
      </c>
      <c r="O30" s="60">
        <v>1</v>
      </c>
    </row>
    <row r="31" spans="1:15" x14ac:dyDescent="0.25">
      <c r="A31" s="33" t="s">
        <v>352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60">
        <v>1</v>
      </c>
    </row>
    <row r="32" spans="1:15" x14ac:dyDescent="0.25">
      <c r="A32" s="33" t="s">
        <v>444</v>
      </c>
      <c r="B32" s="33" t="s">
        <v>445</v>
      </c>
      <c r="C32" s="33" t="s">
        <v>446</v>
      </c>
      <c r="D32" s="33" t="s">
        <v>447</v>
      </c>
      <c r="E32" s="33" t="s">
        <v>448</v>
      </c>
      <c r="F32" s="33" t="s">
        <v>449</v>
      </c>
      <c r="G32" s="33" t="s">
        <v>450</v>
      </c>
      <c r="H32" s="33" t="s">
        <v>451</v>
      </c>
      <c r="I32" s="33" t="s">
        <v>452</v>
      </c>
      <c r="J32" s="33" t="s">
        <v>453</v>
      </c>
      <c r="K32" s="33" t="s">
        <v>454</v>
      </c>
      <c r="L32" s="33" t="s">
        <v>455</v>
      </c>
      <c r="M32" s="33" t="s">
        <v>456</v>
      </c>
      <c r="N32" s="33" t="s">
        <v>457</v>
      </c>
      <c r="O32" s="60">
        <v>1</v>
      </c>
    </row>
    <row r="33" spans="1:15" x14ac:dyDescent="0.25">
      <c r="A33" s="33" t="s">
        <v>480</v>
      </c>
      <c r="B33" s="33" t="s">
        <v>461</v>
      </c>
      <c r="C33" s="59">
        <v>0.30299999999999999</v>
      </c>
      <c r="D33" s="33">
        <v>12.1</v>
      </c>
      <c r="E33" s="59">
        <v>0.93100000000000005</v>
      </c>
      <c r="F33" s="59">
        <v>0.253</v>
      </c>
      <c r="G33" s="59">
        <v>0.255</v>
      </c>
      <c r="H33" s="59">
        <v>0.17499999999999999</v>
      </c>
      <c r="I33" s="59">
        <v>6.6000000000000003E-2</v>
      </c>
      <c r="J33" s="59">
        <v>9.0999999999999998E-2</v>
      </c>
      <c r="K33" s="59">
        <v>5.5E-2</v>
      </c>
      <c r="L33" s="59">
        <v>3.5999999999999997E-2</v>
      </c>
      <c r="M33" s="59">
        <v>0.749</v>
      </c>
      <c r="N33" s="59">
        <v>0.182</v>
      </c>
      <c r="O33" s="60">
        <v>1</v>
      </c>
    </row>
    <row r="34" spans="1:15" x14ac:dyDescent="0.25">
      <c r="A34" s="33" t="s">
        <v>481</v>
      </c>
      <c r="B34" s="58">
        <v>36526</v>
      </c>
      <c r="C34" s="59">
        <v>2.5999999999999999E-2</v>
      </c>
      <c r="D34" s="33">
        <v>9.1</v>
      </c>
      <c r="E34" s="59">
        <v>0.50900000000000001</v>
      </c>
      <c r="F34" s="59">
        <v>3.6999999999999998E-2</v>
      </c>
      <c r="G34" s="59">
        <v>4.3999999999999997E-2</v>
      </c>
      <c r="H34" s="59">
        <v>3.7999999999999999E-2</v>
      </c>
      <c r="I34" s="59">
        <v>2.1999999999999999E-2</v>
      </c>
      <c r="J34" s="59">
        <v>0.14199999999999999</v>
      </c>
      <c r="K34" s="59">
        <v>0.11700000000000001</v>
      </c>
      <c r="L34" s="59">
        <v>0.108</v>
      </c>
      <c r="M34" s="59">
        <v>0.14199999999999999</v>
      </c>
      <c r="N34" s="59">
        <v>0.36699999999999999</v>
      </c>
      <c r="O34" s="60">
        <v>1</v>
      </c>
    </row>
    <row r="35" spans="1:15" x14ac:dyDescent="0.25">
      <c r="A35" s="33" t="s">
        <v>482</v>
      </c>
      <c r="B35" s="58">
        <v>36526</v>
      </c>
      <c r="C35" s="59">
        <v>-2.3E-2</v>
      </c>
      <c r="D35" s="33">
        <v>8.5</v>
      </c>
      <c r="E35" s="59">
        <v>0.40400000000000003</v>
      </c>
      <c r="F35" s="59">
        <v>2.5000000000000001E-2</v>
      </c>
      <c r="G35" s="59">
        <v>2.9000000000000001E-2</v>
      </c>
      <c r="H35" s="59">
        <v>2.8000000000000001E-2</v>
      </c>
      <c r="I35" s="59">
        <v>1.6E-2</v>
      </c>
      <c r="J35" s="59">
        <v>0.11</v>
      </c>
      <c r="K35" s="59">
        <v>9.8000000000000004E-2</v>
      </c>
      <c r="L35" s="59">
        <v>9.7000000000000003E-2</v>
      </c>
      <c r="M35" s="59">
        <v>9.8000000000000004E-2</v>
      </c>
      <c r="N35" s="59">
        <v>0.30599999999999999</v>
      </c>
      <c r="O35" s="60">
        <v>1</v>
      </c>
    </row>
    <row r="36" spans="1:15" x14ac:dyDescent="0.25">
      <c r="A36" s="33" t="s">
        <v>483</v>
      </c>
      <c r="B36" s="33" t="s">
        <v>461</v>
      </c>
      <c r="C36" s="59">
        <v>-0.13400000000000001</v>
      </c>
      <c r="D36" s="33">
        <v>5.7</v>
      </c>
      <c r="E36" s="59">
        <v>7.6999999999999999E-2</v>
      </c>
      <c r="F36" s="59">
        <v>2E-3</v>
      </c>
      <c r="G36" s="59">
        <v>3.0000000000000001E-3</v>
      </c>
      <c r="H36" s="59">
        <v>3.0000000000000001E-3</v>
      </c>
      <c r="I36" s="59">
        <v>4.0000000000000001E-3</v>
      </c>
      <c r="J36" s="59">
        <v>1.4E-2</v>
      </c>
      <c r="K36" s="59">
        <v>2.1999999999999999E-2</v>
      </c>
      <c r="L36" s="59">
        <v>0.03</v>
      </c>
      <c r="M36" s="59">
        <v>1.0999999999999999E-2</v>
      </c>
      <c r="N36" s="59">
        <v>6.6000000000000003E-2</v>
      </c>
      <c r="O36" s="60">
        <v>1</v>
      </c>
    </row>
    <row r="37" spans="1:15" x14ac:dyDescent="0.25">
      <c r="A37" s="33" t="s">
        <v>368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60">
        <v>1</v>
      </c>
    </row>
    <row r="38" spans="1:15" x14ac:dyDescent="0.25">
      <c r="A38" s="33" t="s">
        <v>444</v>
      </c>
      <c r="B38" s="33" t="s">
        <v>445</v>
      </c>
      <c r="C38" s="33" t="s">
        <v>446</v>
      </c>
      <c r="D38" s="33" t="s">
        <v>447</v>
      </c>
      <c r="E38" s="33" t="s">
        <v>448</v>
      </c>
      <c r="F38" s="33" t="s">
        <v>449</v>
      </c>
      <c r="G38" s="33" t="s">
        <v>450</v>
      </c>
      <c r="H38" s="33" t="s">
        <v>451</v>
      </c>
      <c r="I38" s="33" t="s">
        <v>452</v>
      </c>
      <c r="J38" s="33" t="s">
        <v>453</v>
      </c>
      <c r="K38" s="33" t="s">
        <v>454</v>
      </c>
      <c r="L38" s="33" t="s">
        <v>455</v>
      </c>
      <c r="M38" s="33" t="s">
        <v>456</v>
      </c>
      <c r="N38" s="33" t="s">
        <v>457</v>
      </c>
      <c r="O38" s="60">
        <v>1</v>
      </c>
    </row>
    <row r="39" spans="1:15" x14ac:dyDescent="0.25">
      <c r="A39" s="33" t="s">
        <v>484</v>
      </c>
      <c r="B39" s="58">
        <v>36526</v>
      </c>
      <c r="C39" s="59">
        <v>1.2E-2</v>
      </c>
      <c r="D39" s="33">
        <v>9.6999999999999993</v>
      </c>
      <c r="E39" s="59">
        <v>0.65500000000000003</v>
      </c>
      <c r="F39" s="59">
        <v>5.7000000000000002E-2</v>
      </c>
      <c r="G39" s="59">
        <v>8.7999999999999995E-2</v>
      </c>
      <c r="H39" s="59">
        <v>0.13200000000000001</v>
      </c>
      <c r="I39" s="59">
        <v>0.255</v>
      </c>
      <c r="J39" s="59">
        <v>3.5000000000000003E-2</v>
      </c>
      <c r="K39" s="59">
        <v>4.2000000000000003E-2</v>
      </c>
      <c r="L39" s="59">
        <v>4.7E-2</v>
      </c>
      <c r="M39" s="59">
        <v>0.53200000000000003</v>
      </c>
      <c r="N39" s="59">
        <v>0.123</v>
      </c>
      <c r="O39" s="60">
        <v>1</v>
      </c>
    </row>
    <row r="40" spans="1:15" x14ac:dyDescent="0.25">
      <c r="A40" s="33" t="s">
        <v>485</v>
      </c>
      <c r="B40" s="58">
        <v>36526</v>
      </c>
      <c r="C40" s="59">
        <v>-9.4E-2</v>
      </c>
      <c r="D40" s="33">
        <v>8</v>
      </c>
      <c r="E40" s="59">
        <v>0.36799999999999999</v>
      </c>
      <c r="F40" s="59">
        <v>1.4999999999999999E-2</v>
      </c>
      <c r="G40" s="59">
        <v>2.8000000000000001E-2</v>
      </c>
      <c r="H40" s="59">
        <v>5.7000000000000002E-2</v>
      </c>
      <c r="I40" s="59">
        <v>0.13400000000000001</v>
      </c>
      <c r="J40" s="59">
        <v>3.2000000000000001E-2</v>
      </c>
      <c r="K40" s="59">
        <v>4.8000000000000001E-2</v>
      </c>
      <c r="L40" s="59">
        <v>5.5E-2</v>
      </c>
      <c r="M40" s="59">
        <v>0.23400000000000001</v>
      </c>
      <c r="N40" s="59">
        <v>0.13400000000000001</v>
      </c>
      <c r="O40" s="60">
        <v>1</v>
      </c>
    </row>
    <row r="41" spans="1:15" x14ac:dyDescent="0.25">
      <c r="A41" s="33" t="s">
        <v>486</v>
      </c>
      <c r="B41" s="33" t="s">
        <v>461</v>
      </c>
      <c r="C41" s="59">
        <v>-4.2999999999999997E-2</v>
      </c>
      <c r="D41" s="33">
        <v>7.5</v>
      </c>
      <c r="E41" s="59">
        <v>0.32</v>
      </c>
      <c r="F41" s="59">
        <v>1.0999999999999999E-2</v>
      </c>
      <c r="G41" s="59">
        <v>2.5000000000000001E-2</v>
      </c>
      <c r="H41" s="59">
        <v>4.7E-2</v>
      </c>
      <c r="I41" s="59">
        <v>0.123</v>
      </c>
      <c r="J41" s="59">
        <v>2.5000000000000001E-2</v>
      </c>
      <c r="K41" s="59">
        <v>0.04</v>
      </c>
      <c r="L41" s="59">
        <v>0.05</v>
      </c>
      <c r="M41" s="59">
        <v>0.20599999999999999</v>
      </c>
      <c r="N41" s="59">
        <v>0.114</v>
      </c>
      <c r="O41" s="60">
        <v>1</v>
      </c>
    </row>
    <row r="42" spans="1:15" x14ac:dyDescent="0.25">
      <c r="A42" s="33" t="s">
        <v>487</v>
      </c>
      <c r="B42" s="33" t="s">
        <v>461</v>
      </c>
      <c r="C42" s="59">
        <v>-0.26800000000000002</v>
      </c>
      <c r="D42" s="33">
        <v>4.8</v>
      </c>
      <c r="E42" s="59">
        <v>4.7E-2</v>
      </c>
      <c r="F42" s="59">
        <v>0</v>
      </c>
      <c r="G42" s="59">
        <v>2E-3</v>
      </c>
      <c r="H42" s="59">
        <v>4.0000000000000001E-3</v>
      </c>
      <c r="I42" s="59">
        <v>2.3E-2</v>
      </c>
      <c r="J42" s="59">
        <v>3.0000000000000001E-3</v>
      </c>
      <c r="K42" s="59">
        <v>6.0000000000000001E-3</v>
      </c>
      <c r="L42" s="59">
        <v>0.01</v>
      </c>
      <c r="M42" s="59">
        <v>2.9000000000000001E-2</v>
      </c>
      <c r="N42" s="59">
        <v>1.9E-2</v>
      </c>
      <c r="O42" s="60">
        <v>1</v>
      </c>
    </row>
    <row r="43" spans="1:15" x14ac:dyDescent="0.25">
      <c r="A43" s="33" t="s">
        <v>367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60">
        <v>1</v>
      </c>
    </row>
    <row r="44" spans="1:15" x14ac:dyDescent="0.25">
      <c r="A44" s="33" t="s">
        <v>444</v>
      </c>
      <c r="B44" s="33" t="s">
        <v>445</v>
      </c>
      <c r="C44" s="33" t="s">
        <v>446</v>
      </c>
      <c r="D44" s="33" t="s">
        <v>447</v>
      </c>
      <c r="E44" s="33" t="s">
        <v>448</v>
      </c>
      <c r="F44" s="33" t="s">
        <v>449</v>
      </c>
      <c r="G44" s="33" t="s">
        <v>450</v>
      </c>
      <c r="H44" s="33" t="s">
        <v>451</v>
      </c>
      <c r="I44" s="33" t="s">
        <v>452</v>
      </c>
      <c r="J44" s="33" t="s">
        <v>453</v>
      </c>
      <c r="K44" s="33" t="s">
        <v>454</v>
      </c>
      <c r="L44" s="33" t="s">
        <v>455</v>
      </c>
      <c r="M44" s="33" t="s">
        <v>456</v>
      </c>
      <c r="N44" s="33" t="s">
        <v>457</v>
      </c>
      <c r="O44" s="60">
        <v>1</v>
      </c>
    </row>
    <row r="45" spans="1:15" x14ac:dyDescent="0.25">
      <c r="A45" s="33" t="s">
        <v>488</v>
      </c>
      <c r="B45" s="58" t="s">
        <v>461</v>
      </c>
      <c r="C45" s="59">
        <v>0.14699999999999999</v>
      </c>
      <c r="D45" s="33">
        <v>9.8000000000000007</v>
      </c>
      <c r="E45" s="59">
        <v>0.63900000000000001</v>
      </c>
      <c r="F45" s="59">
        <v>7.0999999999999994E-2</v>
      </c>
      <c r="G45" s="59">
        <v>9.0999999999999998E-2</v>
      </c>
      <c r="H45" s="59">
        <v>9.4E-2</v>
      </c>
      <c r="I45" s="59">
        <v>0.06</v>
      </c>
      <c r="J45" s="59">
        <v>0.11700000000000001</v>
      </c>
      <c r="K45" s="59">
        <v>0.108</v>
      </c>
      <c r="L45" s="59">
        <v>9.8000000000000004E-2</v>
      </c>
      <c r="M45" s="59">
        <v>0.316</v>
      </c>
      <c r="N45" s="59">
        <v>0.32300000000000001</v>
      </c>
      <c r="O45" s="60">
        <v>1</v>
      </c>
    </row>
    <row r="46" spans="1:15" x14ac:dyDescent="0.25">
      <c r="A46" s="33" t="s">
        <v>489</v>
      </c>
      <c r="B46" s="58">
        <v>36526</v>
      </c>
      <c r="C46" s="59">
        <v>0.01</v>
      </c>
      <c r="D46" s="33">
        <v>9.3000000000000007</v>
      </c>
      <c r="E46" s="59">
        <v>0.55100000000000005</v>
      </c>
      <c r="F46" s="59">
        <v>4.7E-2</v>
      </c>
      <c r="G46" s="59">
        <v>6.7000000000000004E-2</v>
      </c>
      <c r="H46" s="59">
        <v>7.1999999999999995E-2</v>
      </c>
      <c r="I46" s="59">
        <v>5.3999999999999999E-2</v>
      </c>
      <c r="J46" s="59">
        <v>0.109</v>
      </c>
      <c r="K46" s="59">
        <v>0.108</v>
      </c>
      <c r="L46" s="59">
        <v>9.4E-2</v>
      </c>
      <c r="M46" s="59">
        <v>0.24</v>
      </c>
      <c r="N46" s="59">
        <v>0.311</v>
      </c>
      <c r="O46" s="60">
        <v>1</v>
      </c>
    </row>
    <row r="47" spans="1:15" x14ac:dyDescent="0.25">
      <c r="A47" s="33" t="s">
        <v>490</v>
      </c>
      <c r="B47" s="58">
        <v>36526</v>
      </c>
      <c r="C47" s="59">
        <v>1.4E-2</v>
      </c>
      <c r="D47" s="33">
        <v>9.3000000000000007</v>
      </c>
      <c r="E47" s="59">
        <v>0.55000000000000004</v>
      </c>
      <c r="F47" s="59">
        <v>4.3999999999999997E-2</v>
      </c>
      <c r="G47" s="59">
        <v>7.0000000000000007E-2</v>
      </c>
      <c r="H47" s="59">
        <v>7.1999999999999995E-2</v>
      </c>
      <c r="I47" s="59">
        <v>0.05</v>
      </c>
      <c r="J47" s="59">
        <v>0.105</v>
      </c>
      <c r="K47" s="59">
        <v>0.106</v>
      </c>
      <c r="L47" s="59">
        <v>0.10299999999999999</v>
      </c>
      <c r="M47" s="59">
        <v>0.23599999999999999</v>
      </c>
      <c r="N47" s="59">
        <v>0.314</v>
      </c>
      <c r="O47" s="60">
        <v>1</v>
      </c>
    </row>
    <row r="48" spans="1:15" x14ac:dyDescent="0.25">
      <c r="A48" s="33" t="s">
        <v>491</v>
      </c>
      <c r="B48" s="58">
        <v>36526</v>
      </c>
      <c r="C48" s="59">
        <v>2.3E-2</v>
      </c>
      <c r="D48" s="33">
        <v>8.9</v>
      </c>
      <c r="E48" s="59">
        <v>0.48799999999999999</v>
      </c>
      <c r="F48" s="59">
        <v>3.6999999999999998E-2</v>
      </c>
      <c r="G48" s="59">
        <v>5.7000000000000002E-2</v>
      </c>
      <c r="H48" s="59">
        <v>6.6000000000000003E-2</v>
      </c>
      <c r="I48" s="59">
        <v>4.7E-2</v>
      </c>
      <c r="J48" s="59">
        <v>8.8999999999999996E-2</v>
      </c>
      <c r="K48" s="59">
        <v>9.9000000000000005E-2</v>
      </c>
      <c r="L48" s="59">
        <v>9.1999999999999998E-2</v>
      </c>
      <c r="M48" s="59">
        <v>0.20799999999999999</v>
      </c>
      <c r="N48" s="59">
        <v>0.28000000000000003</v>
      </c>
      <c r="O48" s="60">
        <v>1</v>
      </c>
    </row>
    <row r="49" spans="1:15" x14ac:dyDescent="0.25">
      <c r="A49" t="s">
        <v>363</v>
      </c>
      <c r="O49" s="60">
        <v>2</v>
      </c>
    </row>
    <row r="50" spans="1:15" x14ac:dyDescent="0.25">
      <c r="A50" t="s">
        <v>444</v>
      </c>
      <c r="B50" t="s">
        <v>445</v>
      </c>
      <c r="C50" t="s">
        <v>446</v>
      </c>
      <c r="D50" t="s">
        <v>447</v>
      </c>
      <c r="E50" t="s">
        <v>448</v>
      </c>
      <c r="F50" t="s">
        <v>449</v>
      </c>
      <c r="G50" t="s">
        <v>450</v>
      </c>
      <c r="H50" t="s">
        <v>451</v>
      </c>
      <c r="I50" t="s">
        <v>452</v>
      </c>
      <c r="J50" t="s">
        <v>453</v>
      </c>
      <c r="K50" t="s">
        <v>454</v>
      </c>
      <c r="L50" t="s">
        <v>455</v>
      </c>
      <c r="M50" t="s">
        <v>456</v>
      </c>
      <c r="N50" t="s">
        <v>457</v>
      </c>
      <c r="O50" s="60">
        <v>2</v>
      </c>
    </row>
    <row r="51" spans="1:15" x14ac:dyDescent="0.25">
      <c r="A51" t="s">
        <v>459</v>
      </c>
      <c r="B51" s="110">
        <v>36557</v>
      </c>
      <c r="C51" s="111">
        <v>0.13900000000000001</v>
      </c>
      <c r="D51">
        <v>10.7</v>
      </c>
      <c r="E51" s="111">
        <v>0.747</v>
      </c>
      <c r="F51" s="111">
        <v>0.14399999999999999</v>
      </c>
      <c r="G51" s="111">
        <v>0.14299999999999999</v>
      </c>
      <c r="H51" s="111">
        <v>0.155</v>
      </c>
      <c r="I51" s="111">
        <v>0.128</v>
      </c>
      <c r="J51" s="111">
        <v>5.3999999999999999E-2</v>
      </c>
      <c r="K51" s="111">
        <v>0.06</v>
      </c>
      <c r="L51" s="111">
        <v>6.2E-2</v>
      </c>
      <c r="M51" s="111">
        <v>0.56999999999999995</v>
      </c>
      <c r="N51" s="111">
        <v>0.17599999999999999</v>
      </c>
      <c r="O51" s="60">
        <v>2</v>
      </c>
    </row>
    <row r="52" spans="1:15" x14ac:dyDescent="0.25">
      <c r="A52" t="s">
        <v>458</v>
      </c>
      <c r="B52" s="112">
        <v>45658</v>
      </c>
      <c r="C52" s="111">
        <v>0.122</v>
      </c>
      <c r="D52">
        <v>9.4</v>
      </c>
      <c r="E52" s="111">
        <v>0.53200000000000003</v>
      </c>
      <c r="F52" s="111">
        <v>4.5999999999999999E-2</v>
      </c>
      <c r="G52" s="111">
        <v>7.2999999999999995E-2</v>
      </c>
      <c r="H52" s="111">
        <v>9.8000000000000004E-2</v>
      </c>
      <c r="I52" s="111">
        <v>9.1999999999999998E-2</v>
      </c>
      <c r="J52" s="111">
        <v>6.2E-2</v>
      </c>
      <c r="K52" s="111">
        <v>7.5999999999999998E-2</v>
      </c>
      <c r="L52" s="111">
        <v>8.4000000000000005E-2</v>
      </c>
      <c r="M52" s="111">
        <v>0.31</v>
      </c>
      <c r="N52" s="111">
        <v>0.222</v>
      </c>
      <c r="O52" s="60">
        <v>2</v>
      </c>
    </row>
    <row r="53" spans="1:15" x14ac:dyDescent="0.25">
      <c r="A53" t="s">
        <v>460</v>
      </c>
      <c r="B53" s="112">
        <v>45658</v>
      </c>
      <c r="C53" s="111">
        <v>-0.02</v>
      </c>
      <c r="D53">
        <v>7.9</v>
      </c>
      <c r="E53" s="111">
        <v>0.26200000000000001</v>
      </c>
      <c r="F53" s="111">
        <v>1.0999999999999999E-2</v>
      </c>
      <c r="G53" s="111">
        <v>2.1000000000000001E-2</v>
      </c>
      <c r="H53" s="111">
        <v>3.3000000000000002E-2</v>
      </c>
      <c r="I53" s="111">
        <v>3.6999999999999998E-2</v>
      </c>
      <c r="J53" s="111">
        <v>3.7999999999999999E-2</v>
      </c>
      <c r="K53" s="111">
        <v>5.2999999999999999E-2</v>
      </c>
      <c r="L53" s="111">
        <v>6.8000000000000005E-2</v>
      </c>
      <c r="M53" s="111">
        <v>0.10199999999999999</v>
      </c>
      <c r="N53" s="111">
        <v>0.16</v>
      </c>
      <c r="O53" s="60">
        <v>2</v>
      </c>
    </row>
    <row r="54" spans="1:15" x14ac:dyDescent="0.25">
      <c r="A54" t="s">
        <v>462</v>
      </c>
      <c r="B54" t="s">
        <v>492</v>
      </c>
      <c r="C54" s="111">
        <v>-0.113</v>
      </c>
      <c r="D54">
        <v>5.5</v>
      </c>
      <c r="E54" s="111">
        <v>5.0999999999999997E-2</v>
      </c>
      <c r="F54" s="111">
        <v>1E-3</v>
      </c>
      <c r="G54" s="111">
        <v>2E-3</v>
      </c>
      <c r="H54" s="111">
        <v>5.0000000000000001E-3</v>
      </c>
      <c r="I54" s="111">
        <v>8.9999999999999993E-3</v>
      </c>
      <c r="J54" s="111">
        <v>6.0000000000000001E-3</v>
      </c>
      <c r="K54" s="111">
        <v>0.01</v>
      </c>
      <c r="L54" s="111">
        <v>1.7999999999999999E-2</v>
      </c>
      <c r="M54" s="111">
        <v>1.7000000000000001E-2</v>
      </c>
      <c r="N54" s="111">
        <v>3.4000000000000002E-2</v>
      </c>
      <c r="O54" s="60">
        <v>2</v>
      </c>
    </row>
    <row r="55" spans="1:15" x14ac:dyDescent="0.25">
      <c r="A55" t="s">
        <v>357</v>
      </c>
      <c r="O55" s="60">
        <v>2</v>
      </c>
    </row>
    <row r="56" spans="1:15" x14ac:dyDescent="0.25">
      <c r="A56" t="s">
        <v>444</v>
      </c>
      <c r="B56" t="s">
        <v>445</v>
      </c>
      <c r="C56" t="s">
        <v>446</v>
      </c>
      <c r="D56" t="s">
        <v>447</v>
      </c>
      <c r="E56" t="s">
        <v>448</v>
      </c>
      <c r="F56" t="s">
        <v>449</v>
      </c>
      <c r="G56" t="s">
        <v>450</v>
      </c>
      <c r="H56" t="s">
        <v>451</v>
      </c>
      <c r="I56" t="s">
        <v>452</v>
      </c>
      <c r="J56" t="s">
        <v>453</v>
      </c>
      <c r="K56" t="s">
        <v>454</v>
      </c>
      <c r="L56" t="s">
        <v>455</v>
      </c>
      <c r="M56" t="s">
        <v>456</v>
      </c>
      <c r="N56" t="s">
        <v>457</v>
      </c>
      <c r="O56" s="60">
        <v>2</v>
      </c>
    </row>
    <row r="57" spans="1:15" x14ac:dyDescent="0.25">
      <c r="A57" t="s">
        <v>463</v>
      </c>
      <c r="B57" s="110">
        <v>36557</v>
      </c>
      <c r="C57" s="111">
        <v>0.14599999999999999</v>
      </c>
      <c r="D57">
        <v>11.2</v>
      </c>
      <c r="E57" s="111">
        <v>0.80900000000000005</v>
      </c>
      <c r="F57" s="111">
        <v>0.19400000000000001</v>
      </c>
      <c r="G57" s="111">
        <v>0.16</v>
      </c>
      <c r="H57" s="111">
        <v>0.126</v>
      </c>
      <c r="I57" s="111">
        <v>7.0999999999999994E-2</v>
      </c>
      <c r="J57" s="111">
        <v>0.104</v>
      </c>
      <c r="K57" s="111">
        <v>8.5000000000000006E-2</v>
      </c>
      <c r="L57" s="111">
        <v>6.9000000000000006E-2</v>
      </c>
      <c r="M57" s="111">
        <v>0.55100000000000005</v>
      </c>
      <c r="N57" s="111">
        <v>0.25900000000000001</v>
      </c>
      <c r="O57" s="60">
        <v>2</v>
      </c>
    </row>
    <row r="58" spans="1:15" x14ac:dyDescent="0.25">
      <c r="A58" t="s">
        <v>464</v>
      </c>
      <c r="B58" s="112">
        <v>45658</v>
      </c>
      <c r="C58" s="111">
        <v>0.189</v>
      </c>
      <c r="D58">
        <v>10.4</v>
      </c>
      <c r="E58" s="111">
        <v>0.70099999999999996</v>
      </c>
      <c r="F58" s="111">
        <v>9.8000000000000004E-2</v>
      </c>
      <c r="G58" s="111">
        <v>0.11</v>
      </c>
      <c r="H58" s="111">
        <v>9.7000000000000003E-2</v>
      </c>
      <c r="I58" s="111">
        <v>0.06</v>
      </c>
      <c r="J58" s="111">
        <v>0.13500000000000001</v>
      </c>
      <c r="K58" s="111">
        <v>0.108</v>
      </c>
      <c r="L58" s="111">
        <v>9.1999999999999998E-2</v>
      </c>
      <c r="M58" s="111">
        <v>0.36499999999999999</v>
      </c>
      <c r="N58" s="111">
        <v>0.33600000000000002</v>
      </c>
      <c r="O58" s="60">
        <v>2</v>
      </c>
    </row>
    <row r="59" spans="1:15" x14ac:dyDescent="0.25">
      <c r="A59" t="s">
        <v>465</v>
      </c>
      <c r="B59" s="112">
        <v>45658</v>
      </c>
      <c r="C59" s="111">
        <v>-2.5000000000000001E-2</v>
      </c>
      <c r="D59">
        <v>7</v>
      </c>
      <c r="E59" s="111">
        <v>0.16500000000000001</v>
      </c>
      <c r="F59" s="111">
        <v>6.0000000000000001E-3</v>
      </c>
      <c r="G59" s="111">
        <v>1.4E-2</v>
      </c>
      <c r="H59" s="111">
        <v>1.9E-2</v>
      </c>
      <c r="I59" s="111">
        <v>2.1000000000000001E-2</v>
      </c>
      <c r="J59" s="111">
        <v>1.9E-2</v>
      </c>
      <c r="K59" s="111">
        <v>3.5999999999999997E-2</v>
      </c>
      <c r="L59" s="111">
        <v>0.05</v>
      </c>
      <c r="M59" s="111">
        <v>0.06</v>
      </c>
      <c r="N59" s="111">
        <v>0.106</v>
      </c>
      <c r="O59" s="60">
        <v>2</v>
      </c>
    </row>
    <row r="60" spans="1:15" x14ac:dyDescent="0.25">
      <c r="A60" t="s">
        <v>467</v>
      </c>
      <c r="B60" t="s">
        <v>492</v>
      </c>
      <c r="C60" s="111">
        <v>-4.2000000000000003E-2</v>
      </c>
      <c r="D60">
        <v>6.5</v>
      </c>
      <c r="E60" s="111">
        <v>9.5000000000000001E-2</v>
      </c>
      <c r="F60" s="111">
        <v>2E-3</v>
      </c>
      <c r="G60" s="111">
        <v>6.0000000000000001E-3</v>
      </c>
      <c r="H60" s="111">
        <v>7.0000000000000001E-3</v>
      </c>
      <c r="I60" s="111">
        <v>0.01</v>
      </c>
      <c r="J60" s="111">
        <v>1.2E-2</v>
      </c>
      <c r="K60" s="111">
        <v>2.3E-2</v>
      </c>
      <c r="L60" s="111">
        <v>3.5000000000000003E-2</v>
      </c>
      <c r="M60" s="111">
        <v>2.5000000000000001E-2</v>
      </c>
      <c r="N60" s="111">
        <v>7.0000000000000007E-2</v>
      </c>
      <c r="O60" s="60">
        <v>2</v>
      </c>
    </row>
    <row r="61" spans="1:15" x14ac:dyDescent="0.25">
      <c r="A61" t="s">
        <v>383</v>
      </c>
      <c r="O61" s="60">
        <v>2</v>
      </c>
    </row>
    <row r="62" spans="1:15" x14ac:dyDescent="0.25">
      <c r="A62" t="s">
        <v>444</v>
      </c>
      <c r="B62" t="s">
        <v>445</v>
      </c>
      <c r="C62" t="s">
        <v>446</v>
      </c>
      <c r="D62" t="s">
        <v>447</v>
      </c>
      <c r="E62" t="s">
        <v>448</v>
      </c>
      <c r="F62" t="s">
        <v>449</v>
      </c>
      <c r="G62" t="s">
        <v>450</v>
      </c>
      <c r="H62" t="s">
        <v>451</v>
      </c>
      <c r="I62" t="s">
        <v>452</v>
      </c>
      <c r="J62" t="s">
        <v>453</v>
      </c>
      <c r="K62" t="s">
        <v>454</v>
      </c>
      <c r="L62" t="s">
        <v>455</v>
      </c>
      <c r="M62" t="s">
        <v>456</v>
      </c>
      <c r="N62" t="s">
        <v>457</v>
      </c>
      <c r="O62" s="60">
        <v>2</v>
      </c>
    </row>
    <row r="63" spans="1:15" x14ac:dyDescent="0.25">
      <c r="A63" t="s">
        <v>468</v>
      </c>
      <c r="B63" s="110">
        <v>36557</v>
      </c>
      <c r="C63" s="111">
        <v>3.3000000000000002E-2</v>
      </c>
      <c r="D63">
        <v>10.3</v>
      </c>
      <c r="E63" s="111">
        <v>0.74199999999999999</v>
      </c>
      <c r="F63" s="111">
        <v>9.6000000000000002E-2</v>
      </c>
      <c r="G63" s="111">
        <v>0.11700000000000001</v>
      </c>
      <c r="H63" s="111">
        <v>0.16700000000000001</v>
      </c>
      <c r="I63" s="111">
        <v>0.27700000000000002</v>
      </c>
      <c r="J63" s="111">
        <v>2.1000000000000001E-2</v>
      </c>
      <c r="K63" s="111">
        <v>2.9000000000000001E-2</v>
      </c>
      <c r="L63" s="111">
        <v>3.4000000000000002E-2</v>
      </c>
      <c r="M63" s="111">
        <v>0.65700000000000003</v>
      </c>
      <c r="N63" s="111">
        <v>8.5000000000000006E-2</v>
      </c>
      <c r="O63" s="60">
        <v>2</v>
      </c>
    </row>
    <row r="64" spans="1:15" x14ac:dyDescent="0.25">
      <c r="A64" t="s">
        <v>469</v>
      </c>
      <c r="B64" s="112">
        <v>45658</v>
      </c>
      <c r="C64" s="111">
        <v>-3.3000000000000002E-2</v>
      </c>
      <c r="D64">
        <v>8.6999999999999993</v>
      </c>
      <c r="E64" s="111">
        <v>0.42</v>
      </c>
      <c r="F64" s="111">
        <v>2.4E-2</v>
      </c>
      <c r="G64" s="111">
        <v>4.1000000000000002E-2</v>
      </c>
      <c r="H64" s="111">
        <v>6.7000000000000004E-2</v>
      </c>
      <c r="I64" s="111">
        <v>0.11899999999999999</v>
      </c>
      <c r="J64" s="111">
        <v>4.4999999999999998E-2</v>
      </c>
      <c r="K64" s="111">
        <v>5.7000000000000002E-2</v>
      </c>
      <c r="L64" s="111">
        <v>6.7000000000000004E-2</v>
      </c>
      <c r="M64" s="111">
        <v>0.251</v>
      </c>
      <c r="N64" s="111">
        <v>0.16900000000000001</v>
      </c>
      <c r="O64" s="60">
        <v>2</v>
      </c>
    </row>
    <row r="65" spans="1:15" x14ac:dyDescent="0.25">
      <c r="A65" t="s">
        <v>470</v>
      </c>
      <c r="B65" t="s">
        <v>492</v>
      </c>
      <c r="C65" s="111">
        <v>-0.14099999999999999</v>
      </c>
      <c r="D65">
        <v>6.3</v>
      </c>
      <c r="E65" s="111">
        <v>0.106</v>
      </c>
      <c r="F65" s="111">
        <v>1E-3</v>
      </c>
      <c r="G65" s="111">
        <v>4.0000000000000001E-3</v>
      </c>
      <c r="H65" s="111">
        <v>1.2999999999999999E-2</v>
      </c>
      <c r="I65" s="111">
        <v>5.5E-2</v>
      </c>
      <c r="J65" s="111">
        <v>4.0000000000000001E-3</v>
      </c>
      <c r="K65" s="111">
        <v>0.01</v>
      </c>
      <c r="L65" s="111">
        <v>0.02</v>
      </c>
      <c r="M65" s="111">
        <v>7.1999999999999995E-2</v>
      </c>
      <c r="N65" s="111">
        <v>3.4000000000000002E-2</v>
      </c>
      <c r="O65" s="60">
        <v>2</v>
      </c>
    </row>
    <row r="66" spans="1:15" x14ac:dyDescent="0.25">
      <c r="A66" t="s">
        <v>471</v>
      </c>
      <c r="B66" t="s">
        <v>492</v>
      </c>
      <c r="C66" s="111">
        <v>-0.248</v>
      </c>
      <c r="D66">
        <v>4.5</v>
      </c>
      <c r="E66" s="111">
        <v>2.9000000000000001E-2</v>
      </c>
      <c r="F66" s="111">
        <v>0</v>
      </c>
      <c r="G66" s="111">
        <v>1E-3</v>
      </c>
      <c r="H66" s="111">
        <v>3.0000000000000001E-3</v>
      </c>
      <c r="I66" s="111">
        <v>1.6E-2</v>
      </c>
      <c r="J66" s="111">
        <v>1E-3</v>
      </c>
      <c r="K66" s="111">
        <v>3.0000000000000001E-3</v>
      </c>
      <c r="L66" s="111">
        <v>5.0000000000000001E-3</v>
      </c>
      <c r="M66" s="111">
        <v>0.02</v>
      </c>
      <c r="N66" s="111">
        <v>8.9999999999999993E-3</v>
      </c>
      <c r="O66" s="60">
        <v>2</v>
      </c>
    </row>
    <row r="67" spans="1:15" x14ac:dyDescent="0.25">
      <c r="A67" t="s">
        <v>355</v>
      </c>
      <c r="O67" s="60">
        <v>2</v>
      </c>
    </row>
    <row r="68" spans="1:15" x14ac:dyDescent="0.25">
      <c r="A68" t="s">
        <v>444</v>
      </c>
      <c r="B68" t="s">
        <v>445</v>
      </c>
      <c r="C68" t="s">
        <v>446</v>
      </c>
      <c r="D68" t="s">
        <v>447</v>
      </c>
      <c r="E68" t="s">
        <v>448</v>
      </c>
      <c r="F68" t="s">
        <v>449</v>
      </c>
      <c r="G68" t="s">
        <v>450</v>
      </c>
      <c r="H68" t="s">
        <v>451</v>
      </c>
      <c r="I68" t="s">
        <v>452</v>
      </c>
      <c r="J68" t="s">
        <v>453</v>
      </c>
      <c r="K68" t="s">
        <v>454</v>
      </c>
      <c r="L68" t="s">
        <v>455</v>
      </c>
      <c r="M68" t="s">
        <v>456</v>
      </c>
      <c r="N68" t="s">
        <v>457</v>
      </c>
      <c r="O68" s="60">
        <v>2</v>
      </c>
    </row>
    <row r="69" spans="1:15" x14ac:dyDescent="0.25">
      <c r="A69" t="s">
        <v>472</v>
      </c>
      <c r="B69" s="110">
        <v>36557</v>
      </c>
      <c r="C69" s="111">
        <v>0.128</v>
      </c>
      <c r="D69">
        <v>11</v>
      </c>
      <c r="E69" s="111">
        <v>0.75600000000000001</v>
      </c>
      <c r="F69" s="111">
        <v>0.15</v>
      </c>
      <c r="G69" s="111">
        <v>0.115</v>
      </c>
      <c r="H69" s="111">
        <v>7.0999999999999994E-2</v>
      </c>
      <c r="I69" s="111">
        <v>3.5999999999999997E-2</v>
      </c>
      <c r="J69" s="111">
        <v>0.158</v>
      </c>
      <c r="K69" s="111">
        <v>0.128</v>
      </c>
      <c r="L69" s="111">
        <v>9.8000000000000004E-2</v>
      </c>
      <c r="M69" s="111">
        <v>0.371</v>
      </c>
      <c r="N69" s="111">
        <v>0.38400000000000001</v>
      </c>
      <c r="O69" s="60">
        <v>2</v>
      </c>
    </row>
    <row r="70" spans="1:15" x14ac:dyDescent="0.25">
      <c r="A70" t="s">
        <v>473</v>
      </c>
      <c r="B70" s="110">
        <v>36557</v>
      </c>
      <c r="C70" s="111">
        <v>0.10100000000000001</v>
      </c>
      <c r="D70">
        <v>10.4</v>
      </c>
      <c r="E70" s="111">
        <v>0.65600000000000003</v>
      </c>
      <c r="F70" s="111">
        <v>0.113</v>
      </c>
      <c r="G70" s="111">
        <v>9.2999999999999999E-2</v>
      </c>
      <c r="H70" s="111">
        <v>6.5000000000000002E-2</v>
      </c>
      <c r="I70" s="111">
        <v>3.2000000000000001E-2</v>
      </c>
      <c r="J70" s="111">
        <v>0.13500000000000001</v>
      </c>
      <c r="K70" s="111">
        <v>0.11600000000000001</v>
      </c>
      <c r="L70" s="111">
        <v>0.10199999999999999</v>
      </c>
      <c r="M70" s="111">
        <v>0.30299999999999999</v>
      </c>
      <c r="N70" s="111">
        <v>0.35199999999999998</v>
      </c>
      <c r="O70" s="60">
        <v>2</v>
      </c>
    </row>
    <row r="71" spans="1:15" x14ac:dyDescent="0.25">
      <c r="A71" t="s">
        <v>474</v>
      </c>
      <c r="B71" s="110">
        <v>36557</v>
      </c>
      <c r="C71" s="111">
        <v>4.4999999999999998E-2</v>
      </c>
      <c r="D71">
        <v>10.1</v>
      </c>
      <c r="E71" s="111">
        <v>0.61899999999999999</v>
      </c>
      <c r="F71" s="111">
        <v>9.5000000000000001E-2</v>
      </c>
      <c r="G71" s="111">
        <v>7.6999999999999999E-2</v>
      </c>
      <c r="H71" s="111">
        <v>5.1999999999999998E-2</v>
      </c>
      <c r="I71" s="111">
        <v>2.5999999999999999E-2</v>
      </c>
      <c r="J71" s="111">
        <v>0.14000000000000001</v>
      </c>
      <c r="K71" s="111">
        <v>0.124</v>
      </c>
      <c r="L71" s="111">
        <v>0.105</v>
      </c>
      <c r="M71" s="111">
        <v>0.25</v>
      </c>
      <c r="N71" s="111">
        <v>0.36899999999999999</v>
      </c>
      <c r="O71" s="60">
        <v>2</v>
      </c>
    </row>
    <row r="72" spans="1:15" x14ac:dyDescent="0.25">
      <c r="A72" t="s">
        <v>475</v>
      </c>
      <c r="B72" s="112">
        <v>45658</v>
      </c>
      <c r="C72" s="111">
        <v>-1.6E-2</v>
      </c>
      <c r="D72">
        <v>8.4</v>
      </c>
      <c r="E72" s="111">
        <v>0.311</v>
      </c>
      <c r="F72" s="111">
        <v>1.9E-2</v>
      </c>
      <c r="G72" s="111">
        <v>2.4E-2</v>
      </c>
      <c r="H72" s="111">
        <v>2.1000000000000001E-2</v>
      </c>
      <c r="I72" s="111">
        <v>1.0999999999999999E-2</v>
      </c>
      <c r="J72" s="111">
        <v>6.5000000000000002E-2</v>
      </c>
      <c r="K72" s="111">
        <v>8.2000000000000003E-2</v>
      </c>
      <c r="L72" s="111">
        <v>8.8999999999999996E-2</v>
      </c>
      <c r="M72" s="111">
        <v>7.4999999999999997E-2</v>
      </c>
      <c r="N72" s="111">
        <v>0.23599999999999999</v>
      </c>
      <c r="O72" s="60">
        <v>2</v>
      </c>
    </row>
    <row r="73" spans="1:15" x14ac:dyDescent="0.25">
      <c r="A73" t="s">
        <v>359</v>
      </c>
      <c r="O73" s="60">
        <v>2</v>
      </c>
    </row>
    <row r="74" spans="1:15" x14ac:dyDescent="0.25">
      <c r="A74" t="s">
        <v>444</v>
      </c>
      <c r="B74" t="s">
        <v>445</v>
      </c>
      <c r="C74" t="s">
        <v>446</v>
      </c>
      <c r="D74" t="s">
        <v>447</v>
      </c>
      <c r="E74" t="s">
        <v>448</v>
      </c>
      <c r="F74" t="s">
        <v>449</v>
      </c>
      <c r="G74" t="s">
        <v>450</v>
      </c>
      <c r="H74" t="s">
        <v>451</v>
      </c>
      <c r="I74" t="s">
        <v>452</v>
      </c>
      <c r="J74" t="s">
        <v>453</v>
      </c>
      <c r="K74" t="s">
        <v>454</v>
      </c>
      <c r="L74" t="s">
        <v>455</v>
      </c>
      <c r="M74" t="s">
        <v>456</v>
      </c>
      <c r="N74" t="s">
        <v>457</v>
      </c>
      <c r="O74" s="60">
        <v>2</v>
      </c>
    </row>
    <row r="75" spans="1:15" x14ac:dyDescent="0.25">
      <c r="A75" t="s">
        <v>476</v>
      </c>
      <c r="B75" s="110">
        <v>36557</v>
      </c>
      <c r="C75" s="111">
        <v>0.20300000000000001</v>
      </c>
      <c r="D75">
        <v>12.9</v>
      </c>
      <c r="E75" s="111">
        <v>0.96599999999999997</v>
      </c>
      <c r="F75" s="111">
        <v>0.502</v>
      </c>
      <c r="G75" s="111">
        <v>0.21</v>
      </c>
      <c r="H75" s="111">
        <v>0.122</v>
      </c>
      <c r="I75" s="111">
        <v>5.5E-2</v>
      </c>
      <c r="J75" s="111">
        <v>3.5999999999999997E-2</v>
      </c>
      <c r="K75" s="111">
        <v>2.5000000000000001E-2</v>
      </c>
      <c r="L75" s="111">
        <v>1.4999999999999999E-2</v>
      </c>
      <c r="M75" s="111">
        <v>0.89</v>
      </c>
      <c r="N75" s="111">
        <v>7.5999999999999998E-2</v>
      </c>
      <c r="O75" s="60">
        <v>2</v>
      </c>
    </row>
    <row r="76" spans="1:15" x14ac:dyDescent="0.25">
      <c r="A76" t="s">
        <v>477</v>
      </c>
      <c r="B76" s="112">
        <v>45658</v>
      </c>
      <c r="C76" s="111">
        <v>-8.5000000000000006E-2</v>
      </c>
      <c r="D76">
        <v>8.1</v>
      </c>
      <c r="E76" s="111">
        <v>0.35</v>
      </c>
      <c r="F76" s="111">
        <v>1.2999999999999999E-2</v>
      </c>
      <c r="G76" s="111">
        <v>1.9E-2</v>
      </c>
      <c r="H76" s="111">
        <v>2.1999999999999999E-2</v>
      </c>
      <c r="I76" s="111">
        <v>1.9E-2</v>
      </c>
      <c r="J76" s="111">
        <v>9.0999999999999998E-2</v>
      </c>
      <c r="K76" s="111">
        <v>9.1999999999999998E-2</v>
      </c>
      <c r="L76" s="111">
        <v>9.6000000000000002E-2</v>
      </c>
      <c r="M76" s="111">
        <v>7.1999999999999995E-2</v>
      </c>
      <c r="N76" s="111">
        <v>0.27800000000000002</v>
      </c>
      <c r="O76" s="60">
        <v>2</v>
      </c>
    </row>
    <row r="77" spans="1:15" x14ac:dyDescent="0.25">
      <c r="A77" t="s">
        <v>479</v>
      </c>
      <c r="B77" t="s">
        <v>492</v>
      </c>
      <c r="C77" s="111">
        <v>-7.6999999999999999E-2</v>
      </c>
      <c r="D77">
        <v>6.8</v>
      </c>
      <c r="E77" s="111">
        <v>0.16800000000000001</v>
      </c>
      <c r="F77" s="111">
        <v>5.0000000000000001E-3</v>
      </c>
      <c r="G77" s="111">
        <v>7.0000000000000001E-3</v>
      </c>
      <c r="H77" s="111">
        <v>8.9999999999999993E-3</v>
      </c>
      <c r="I77" s="111">
        <v>8.9999999999999993E-3</v>
      </c>
      <c r="J77" s="111">
        <v>3.7999999999999999E-2</v>
      </c>
      <c r="K77" s="111">
        <v>4.9000000000000002E-2</v>
      </c>
      <c r="L77" s="111">
        <v>5.1999999999999998E-2</v>
      </c>
      <c r="M77" s="111">
        <v>2.9000000000000001E-2</v>
      </c>
      <c r="N77" s="111">
        <v>0.14000000000000001</v>
      </c>
      <c r="O77" s="60">
        <v>2</v>
      </c>
    </row>
    <row r="78" spans="1:15" x14ac:dyDescent="0.25">
      <c r="A78" t="s">
        <v>478</v>
      </c>
      <c r="B78" t="s">
        <v>492</v>
      </c>
      <c r="C78" s="111">
        <v>-0.157</v>
      </c>
      <c r="D78">
        <v>5.9</v>
      </c>
      <c r="E78" s="111">
        <v>8.1000000000000003E-2</v>
      </c>
      <c r="F78" s="111">
        <v>1E-3</v>
      </c>
      <c r="G78" s="111">
        <v>2E-3</v>
      </c>
      <c r="H78" s="111">
        <v>3.0000000000000001E-3</v>
      </c>
      <c r="I78" s="111">
        <v>3.0000000000000001E-3</v>
      </c>
      <c r="J78" s="111">
        <v>1.7999999999999999E-2</v>
      </c>
      <c r="K78" s="111">
        <v>2.5000000000000001E-2</v>
      </c>
      <c r="L78" s="111">
        <v>3.1E-2</v>
      </c>
      <c r="M78" s="111">
        <v>8.9999999999999993E-3</v>
      </c>
      <c r="N78" s="111">
        <v>7.2999999999999995E-2</v>
      </c>
      <c r="O78" s="60">
        <v>2</v>
      </c>
    </row>
    <row r="79" spans="1:15" x14ac:dyDescent="0.25">
      <c r="A79" t="s">
        <v>352</v>
      </c>
      <c r="O79" s="60">
        <v>2</v>
      </c>
    </row>
    <row r="80" spans="1:15" x14ac:dyDescent="0.25">
      <c r="A80" t="s">
        <v>444</v>
      </c>
      <c r="B80" t="s">
        <v>445</v>
      </c>
      <c r="C80" t="s">
        <v>446</v>
      </c>
      <c r="D80" t="s">
        <v>447</v>
      </c>
      <c r="E80" t="s">
        <v>448</v>
      </c>
      <c r="F80" t="s">
        <v>449</v>
      </c>
      <c r="G80" t="s">
        <v>450</v>
      </c>
      <c r="H80" t="s">
        <v>451</v>
      </c>
      <c r="I80" t="s">
        <v>452</v>
      </c>
      <c r="J80" t="s">
        <v>453</v>
      </c>
      <c r="K80" t="s">
        <v>454</v>
      </c>
      <c r="L80" t="s">
        <v>455</v>
      </c>
      <c r="M80" t="s">
        <v>456</v>
      </c>
      <c r="N80" t="s">
        <v>457</v>
      </c>
      <c r="O80" s="60">
        <v>2</v>
      </c>
    </row>
    <row r="81" spans="1:15" x14ac:dyDescent="0.25">
      <c r="A81" t="s">
        <v>480</v>
      </c>
      <c r="B81" s="112">
        <v>45658</v>
      </c>
      <c r="C81" s="111">
        <v>0.25600000000000001</v>
      </c>
      <c r="D81">
        <v>11.9</v>
      </c>
      <c r="E81" s="111">
        <v>0.93</v>
      </c>
      <c r="F81" s="111">
        <v>0.20699999999999999</v>
      </c>
      <c r="G81" s="111">
        <v>0.28899999999999998</v>
      </c>
      <c r="H81" s="111">
        <v>0.20200000000000001</v>
      </c>
      <c r="I81" s="111">
        <v>8.5000000000000006E-2</v>
      </c>
      <c r="J81" s="111">
        <v>6.7000000000000004E-2</v>
      </c>
      <c r="K81" s="111">
        <v>4.5999999999999999E-2</v>
      </c>
      <c r="L81" s="111">
        <v>3.4000000000000002E-2</v>
      </c>
      <c r="M81" s="111">
        <v>0.78300000000000003</v>
      </c>
      <c r="N81" s="111">
        <v>0.14699999999999999</v>
      </c>
      <c r="O81" s="60">
        <v>2</v>
      </c>
    </row>
    <row r="82" spans="1:15" x14ac:dyDescent="0.25">
      <c r="A82" t="s">
        <v>481</v>
      </c>
      <c r="B82" s="110">
        <v>36557</v>
      </c>
      <c r="C82" s="111">
        <v>-4.9000000000000002E-2</v>
      </c>
      <c r="D82">
        <v>8.6999999999999993</v>
      </c>
      <c r="E82" s="111">
        <v>0.47399999999999998</v>
      </c>
      <c r="F82" s="111">
        <v>2.5000000000000001E-2</v>
      </c>
      <c r="G82" s="111">
        <v>0.04</v>
      </c>
      <c r="H82" s="111">
        <v>4.2999999999999997E-2</v>
      </c>
      <c r="I82" s="111">
        <v>2.4E-2</v>
      </c>
      <c r="J82" s="111">
        <v>0.128</v>
      </c>
      <c r="K82" s="111">
        <v>0.111</v>
      </c>
      <c r="L82" s="111">
        <v>0.10299999999999999</v>
      </c>
      <c r="M82" s="111">
        <v>0.13200000000000001</v>
      </c>
      <c r="N82" s="111">
        <v>0.34200000000000003</v>
      </c>
      <c r="O82" s="60">
        <v>2</v>
      </c>
    </row>
    <row r="83" spans="1:15" x14ac:dyDescent="0.25">
      <c r="A83" t="s">
        <v>482</v>
      </c>
      <c r="B83" s="112">
        <v>45658</v>
      </c>
      <c r="C83" s="111">
        <v>-5.7000000000000002E-2</v>
      </c>
      <c r="D83">
        <v>7.7</v>
      </c>
      <c r="E83" s="111">
        <v>0.32200000000000001</v>
      </c>
      <c r="F83" s="111">
        <v>1.2E-2</v>
      </c>
      <c r="G83" s="111">
        <v>0.02</v>
      </c>
      <c r="H83" s="111">
        <v>2.4E-2</v>
      </c>
      <c r="I83" s="111">
        <v>1.7999999999999999E-2</v>
      </c>
      <c r="J83" s="111">
        <v>0.08</v>
      </c>
      <c r="K83" s="111">
        <v>0.08</v>
      </c>
      <c r="L83" s="111">
        <v>8.6999999999999994E-2</v>
      </c>
      <c r="M83" s="111">
        <v>7.4999999999999997E-2</v>
      </c>
      <c r="N83" s="111">
        <v>0.247</v>
      </c>
      <c r="O83" s="60">
        <v>2</v>
      </c>
    </row>
    <row r="84" spans="1:15" x14ac:dyDescent="0.25">
      <c r="A84" t="s">
        <v>483</v>
      </c>
      <c r="B84" t="s">
        <v>492</v>
      </c>
      <c r="C84" s="111">
        <v>-0.14899999999999999</v>
      </c>
      <c r="D84">
        <v>5.7</v>
      </c>
      <c r="E84" s="111">
        <v>7.6999999999999999E-2</v>
      </c>
      <c r="F84" s="111">
        <v>0</v>
      </c>
      <c r="G84" s="111">
        <v>3.0000000000000001E-3</v>
      </c>
      <c r="H84" s="111">
        <v>4.0000000000000001E-3</v>
      </c>
      <c r="I84" s="111">
        <v>4.0000000000000001E-3</v>
      </c>
      <c r="J84" s="111">
        <v>1.4E-2</v>
      </c>
      <c r="K84" s="111">
        <v>2.3E-2</v>
      </c>
      <c r="L84" s="111">
        <v>0.03</v>
      </c>
      <c r="M84" s="111">
        <v>0.01</v>
      </c>
      <c r="N84" s="111">
        <v>6.6000000000000003E-2</v>
      </c>
      <c r="O84" s="60">
        <v>2</v>
      </c>
    </row>
    <row r="85" spans="1:15" x14ac:dyDescent="0.25">
      <c r="A85" t="s">
        <v>368</v>
      </c>
      <c r="O85" s="60">
        <v>2</v>
      </c>
    </row>
    <row r="86" spans="1:15" x14ac:dyDescent="0.25">
      <c r="A86" t="s">
        <v>444</v>
      </c>
      <c r="B86" t="s">
        <v>445</v>
      </c>
      <c r="C86" t="s">
        <v>446</v>
      </c>
      <c r="D86" t="s">
        <v>447</v>
      </c>
      <c r="E86" t="s">
        <v>448</v>
      </c>
      <c r="F86" t="s">
        <v>449</v>
      </c>
      <c r="G86" t="s">
        <v>450</v>
      </c>
      <c r="H86" t="s">
        <v>451</v>
      </c>
      <c r="I86" t="s">
        <v>452</v>
      </c>
      <c r="J86" t="s">
        <v>453</v>
      </c>
      <c r="K86" t="s">
        <v>454</v>
      </c>
      <c r="L86" t="s">
        <v>455</v>
      </c>
      <c r="M86" t="s">
        <v>456</v>
      </c>
      <c r="N86" t="s">
        <v>457</v>
      </c>
      <c r="O86" s="60">
        <v>2</v>
      </c>
    </row>
    <row r="87" spans="1:15" x14ac:dyDescent="0.25">
      <c r="A87" t="s">
        <v>484</v>
      </c>
      <c r="B87" s="112">
        <v>45658</v>
      </c>
      <c r="C87" s="111">
        <v>2.1000000000000001E-2</v>
      </c>
      <c r="D87">
        <v>9.4</v>
      </c>
      <c r="E87" s="111">
        <v>0.63</v>
      </c>
      <c r="F87" s="111">
        <v>3.5999999999999997E-2</v>
      </c>
      <c r="G87" s="111">
        <v>7.5999999999999998E-2</v>
      </c>
      <c r="H87" s="111">
        <v>0.13100000000000001</v>
      </c>
      <c r="I87" s="111">
        <v>0.26200000000000001</v>
      </c>
      <c r="J87" s="111">
        <v>3.1E-2</v>
      </c>
      <c r="K87" s="111">
        <v>4.2999999999999997E-2</v>
      </c>
      <c r="L87" s="111">
        <v>0.05</v>
      </c>
      <c r="M87" s="111">
        <v>0.505</v>
      </c>
      <c r="N87" s="111">
        <v>0.125</v>
      </c>
      <c r="O87" s="60">
        <v>2</v>
      </c>
    </row>
    <row r="88" spans="1:15" x14ac:dyDescent="0.25">
      <c r="A88" t="s">
        <v>485</v>
      </c>
      <c r="B88" s="110">
        <v>36557</v>
      </c>
      <c r="C88" s="111">
        <v>-9.1999999999999998E-2</v>
      </c>
      <c r="D88">
        <v>8.3000000000000007</v>
      </c>
      <c r="E88" s="111">
        <v>0.44700000000000001</v>
      </c>
      <c r="F88" s="111">
        <v>1.7999999999999999E-2</v>
      </c>
      <c r="G88" s="111">
        <v>3.7999999999999999E-2</v>
      </c>
      <c r="H88" s="111">
        <v>7.0999999999999994E-2</v>
      </c>
      <c r="I88" s="111">
        <v>0.151</v>
      </c>
      <c r="J88" s="111">
        <v>4.2999999999999997E-2</v>
      </c>
      <c r="K88" s="111">
        <v>5.8000000000000003E-2</v>
      </c>
      <c r="L88" s="111">
        <v>6.8000000000000005E-2</v>
      </c>
      <c r="M88" s="111">
        <v>0.27800000000000002</v>
      </c>
      <c r="N88" s="111">
        <v>0.16900000000000001</v>
      </c>
      <c r="O88" s="60">
        <v>2</v>
      </c>
    </row>
    <row r="89" spans="1:15" x14ac:dyDescent="0.25">
      <c r="A89" t="s">
        <v>486</v>
      </c>
      <c r="B89" t="s">
        <v>492</v>
      </c>
      <c r="C89" s="111">
        <v>-2.1000000000000001E-2</v>
      </c>
      <c r="D89">
        <v>7.2</v>
      </c>
      <c r="E89" s="111">
        <v>0.3</v>
      </c>
      <c r="F89" s="111">
        <v>8.0000000000000002E-3</v>
      </c>
      <c r="G89" s="111">
        <v>1.9E-2</v>
      </c>
      <c r="H89" s="111">
        <v>0.04</v>
      </c>
      <c r="I89" s="111">
        <v>0.11600000000000001</v>
      </c>
      <c r="J89" s="111">
        <v>2.4E-2</v>
      </c>
      <c r="K89" s="111">
        <v>4.1000000000000002E-2</v>
      </c>
      <c r="L89" s="111">
        <v>5.2999999999999999E-2</v>
      </c>
      <c r="M89" s="111">
        <v>0.183</v>
      </c>
      <c r="N89" s="111">
        <v>0.11700000000000001</v>
      </c>
      <c r="O89" s="60">
        <v>2</v>
      </c>
    </row>
    <row r="90" spans="1:15" x14ac:dyDescent="0.25">
      <c r="A90" t="s">
        <v>487</v>
      </c>
      <c r="B90" t="s">
        <v>492</v>
      </c>
      <c r="C90" s="111">
        <v>-0.221</v>
      </c>
      <c r="D90">
        <v>5</v>
      </c>
      <c r="E90" s="111">
        <v>6.3E-2</v>
      </c>
      <c r="F90" s="111">
        <v>0</v>
      </c>
      <c r="G90" s="111">
        <v>1E-3</v>
      </c>
      <c r="H90" s="111">
        <v>5.0000000000000001E-3</v>
      </c>
      <c r="I90" s="111">
        <v>2.8000000000000001E-2</v>
      </c>
      <c r="J90" s="111">
        <v>4.0000000000000001E-3</v>
      </c>
      <c r="K90" s="111">
        <v>0.01</v>
      </c>
      <c r="L90" s="111">
        <v>1.4E-2</v>
      </c>
      <c r="M90" s="111">
        <v>3.4000000000000002E-2</v>
      </c>
      <c r="N90" s="111">
        <v>2.8000000000000001E-2</v>
      </c>
      <c r="O90" s="60">
        <v>2</v>
      </c>
    </row>
    <row r="91" spans="1:15" x14ac:dyDescent="0.25">
      <c r="A91" t="s">
        <v>367</v>
      </c>
      <c r="O91" s="60">
        <v>2</v>
      </c>
    </row>
    <row r="92" spans="1:15" x14ac:dyDescent="0.25">
      <c r="A92" t="s">
        <v>444</v>
      </c>
      <c r="B92" t="s">
        <v>445</v>
      </c>
      <c r="C92" t="s">
        <v>446</v>
      </c>
      <c r="D92" t="s">
        <v>447</v>
      </c>
      <c r="E92" t="s">
        <v>448</v>
      </c>
      <c r="F92" t="s">
        <v>449</v>
      </c>
      <c r="G92" t="s">
        <v>450</v>
      </c>
      <c r="H92" t="s">
        <v>451</v>
      </c>
      <c r="I92" t="s">
        <v>452</v>
      </c>
      <c r="J92" t="s">
        <v>453</v>
      </c>
      <c r="K92" t="s">
        <v>454</v>
      </c>
      <c r="L92" t="s">
        <v>455</v>
      </c>
      <c r="M92" t="s">
        <v>456</v>
      </c>
      <c r="N92" t="s">
        <v>457</v>
      </c>
      <c r="O92" s="60">
        <v>2</v>
      </c>
    </row>
    <row r="93" spans="1:15" x14ac:dyDescent="0.25">
      <c r="A93" t="s">
        <v>489</v>
      </c>
      <c r="B93" s="110">
        <v>36557</v>
      </c>
      <c r="C93" s="111">
        <v>4.1000000000000002E-2</v>
      </c>
      <c r="D93">
        <v>10.3</v>
      </c>
      <c r="E93" s="111">
        <v>0.746</v>
      </c>
      <c r="F93" s="111">
        <v>9.5000000000000001E-2</v>
      </c>
      <c r="G93" s="111">
        <v>0.13100000000000001</v>
      </c>
      <c r="H93" s="111">
        <v>0.13500000000000001</v>
      </c>
      <c r="I93" s="111">
        <v>8.7999999999999995E-2</v>
      </c>
      <c r="J93" s="111">
        <v>0.12</v>
      </c>
      <c r="K93" s="111">
        <v>9.8000000000000004E-2</v>
      </c>
      <c r="L93" s="111">
        <v>0.08</v>
      </c>
      <c r="M93" s="111">
        <v>0.44800000000000001</v>
      </c>
      <c r="N93" s="111">
        <v>0.29799999999999999</v>
      </c>
      <c r="O93" s="60">
        <v>2</v>
      </c>
    </row>
    <row r="94" spans="1:15" x14ac:dyDescent="0.25">
      <c r="A94" t="s">
        <v>488</v>
      </c>
      <c r="B94" t="s">
        <v>492</v>
      </c>
      <c r="C94" s="111">
        <v>0.13100000000000001</v>
      </c>
      <c r="D94">
        <v>9</v>
      </c>
      <c r="E94" s="111">
        <v>0.56100000000000005</v>
      </c>
      <c r="F94" s="111">
        <v>3.7999999999999999E-2</v>
      </c>
      <c r="G94" s="111">
        <v>6.2E-2</v>
      </c>
      <c r="H94" s="111">
        <v>7.3999999999999996E-2</v>
      </c>
      <c r="I94" s="111">
        <v>5.0999999999999997E-2</v>
      </c>
      <c r="J94" s="111">
        <v>0.125</v>
      </c>
      <c r="K94" s="111">
        <v>0.112</v>
      </c>
      <c r="L94" s="111">
        <v>9.9000000000000005E-2</v>
      </c>
      <c r="M94" s="111">
        <v>0.22500000000000001</v>
      </c>
      <c r="N94" s="111">
        <v>0.33600000000000002</v>
      </c>
      <c r="O94" s="60">
        <v>2</v>
      </c>
    </row>
    <row r="95" spans="1:15" x14ac:dyDescent="0.25">
      <c r="A95" t="s">
        <v>491</v>
      </c>
      <c r="B95" s="112">
        <v>45658</v>
      </c>
      <c r="C95" s="111">
        <v>4.4999999999999998E-2</v>
      </c>
      <c r="D95">
        <v>8.9</v>
      </c>
      <c r="E95" s="111">
        <v>0.51300000000000001</v>
      </c>
      <c r="F95" s="111">
        <v>2.7E-2</v>
      </c>
      <c r="G95" s="111">
        <v>5.7000000000000002E-2</v>
      </c>
      <c r="H95" s="111">
        <v>7.4999999999999997E-2</v>
      </c>
      <c r="I95" s="111">
        <v>5.8999999999999997E-2</v>
      </c>
      <c r="J95" s="111">
        <v>9.9000000000000005E-2</v>
      </c>
      <c r="K95" s="111">
        <v>0.10199999999999999</v>
      </c>
      <c r="L95" s="111">
        <v>9.4E-2</v>
      </c>
      <c r="M95" s="111">
        <v>0.218</v>
      </c>
      <c r="N95" s="111">
        <v>0.29499999999999998</v>
      </c>
      <c r="O95" s="60">
        <v>2</v>
      </c>
    </row>
    <row r="96" spans="1:15" x14ac:dyDescent="0.25">
      <c r="A96" t="s">
        <v>490</v>
      </c>
      <c r="B96" s="112">
        <v>45658</v>
      </c>
      <c r="C96" s="111">
        <v>-4.8000000000000001E-2</v>
      </c>
      <c r="D96">
        <v>8.1999999999999993</v>
      </c>
      <c r="E96" s="111">
        <v>0.371</v>
      </c>
      <c r="F96" s="111">
        <v>1.2E-2</v>
      </c>
      <c r="G96" s="111">
        <v>2.7E-2</v>
      </c>
      <c r="H96" s="111">
        <v>3.9E-2</v>
      </c>
      <c r="I96" s="111">
        <v>0.03</v>
      </c>
      <c r="J96" s="111">
        <v>8.1000000000000003E-2</v>
      </c>
      <c r="K96" s="111">
        <v>8.7999999999999995E-2</v>
      </c>
      <c r="L96" s="111">
        <v>9.4E-2</v>
      </c>
      <c r="M96" s="111">
        <v>0.108</v>
      </c>
      <c r="N96" s="111">
        <v>0.26300000000000001</v>
      </c>
      <c r="O96" s="60">
        <v>2</v>
      </c>
    </row>
    <row r="97" spans="1:15" x14ac:dyDescent="0.25">
      <c r="A97" t="s">
        <v>363</v>
      </c>
      <c r="O97" s="60">
        <v>3</v>
      </c>
    </row>
    <row r="98" spans="1:15" x14ac:dyDescent="0.25">
      <c r="A98" t="s">
        <v>444</v>
      </c>
      <c r="B98" t="s">
        <v>445</v>
      </c>
      <c r="C98" t="s">
        <v>446</v>
      </c>
      <c r="D98" t="s">
        <v>447</v>
      </c>
      <c r="E98" t="s">
        <v>448</v>
      </c>
      <c r="F98" t="s">
        <v>449</v>
      </c>
      <c r="G98" t="s">
        <v>450</v>
      </c>
      <c r="H98" t="s">
        <v>451</v>
      </c>
      <c r="I98" t="s">
        <v>452</v>
      </c>
      <c r="J98" t="s">
        <v>453</v>
      </c>
      <c r="K98" t="s">
        <v>454</v>
      </c>
      <c r="L98" t="s">
        <v>455</v>
      </c>
      <c r="M98" t="s">
        <v>456</v>
      </c>
      <c r="N98" t="s">
        <v>457</v>
      </c>
      <c r="O98" s="60">
        <v>3</v>
      </c>
    </row>
    <row r="99" spans="1:15" x14ac:dyDescent="0.25">
      <c r="A99" t="s">
        <v>459</v>
      </c>
      <c r="B99" s="110">
        <v>36586</v>
      </c>
      <c r="C99" s="111">
        <v>0.121</v>
      </c>
      <c r="D99">
        <v>10.7</v>
      </c>
      <c r="E99" s="111">
        <v>0.73699999999999999</v>
      </c>
      <c r="F99" s="111">
        <v>0.14499999999999999</v>
      </c>
      <c r="G99" s="111">
        <v>0.127</v>
      </c>
      <c r="H99" s="111">
        <v>0.13400000000000001</v>
      </c>
      <c r="I99" s="111">
        <v>9.8000000000000004E-2</v>
      </c>
      <c r="J99" s="111">
        <v>8.2000000000000003E-2</v>
      </c>
      <c r="K99" s="111">
        <v>7.9000000000000001E-2</v>
      </c>
      <c r="L99" s="111">
        <v>7.3999999999999996E-2</v>
      </c>
      <c r="M99" s="111">
        <v>0.503</v>
      </c>
      <c r="N99" s="111">
        <v>0.23499999999999999</v>
      </c>
      <c r="O99" s="60">
        <v>3</v>
      </c>
    </row>
    <row r="100" spans="1:15" x14ac:dyDescent="0.25">
      <c r="A100" t="s">
        <v>458</v>
      </c>
      <c r="B100" s="112">
        <v>45689</v>
      </c>
      <c r="C100" s="111">
        <v>0.155</v>
      </c>
      <c r="D100">
        <v>10.3</v>
      </c>
      <c r="E100" s="111">
        <v>0.67500000000000004</v>
      </c>
      <c r="F100" s="111">
        <v>9.1999999999999998E-2</v>
      </c>
      <c r="G100" s="111">
        <v>0.112</v>
      </c>
      <c r="H100" s="111">
        <v>0.13100000000000001</v>
      </c>
      <c r="I100" s="111">
        <v>0.10199999999999999</v>
      </c>
      <c r="J100" s="111">
        <v>0.08</v>
      </c>
      <c r="K100" s="111">
        <v>8.2000000000000003E-2</v>
      </c>
      <c r="L100" s="111">
        <v>7.5999999999999998E-2</v>
      </c>
      <c r="M100" s="111">
        <v>0.437</v>
      </c>
      <c r="N100" s="111">
        <v>0.23799999999999999</v>
      </c>
      <c r="O100" s="60">
        <v>3</v>
      </c>
    </row>
    <row r="101" spans="1:15" x14ac:dyDescent="0.25">
      <c r="A101" t="s">
        <v>460</v>
      </c>
      <c r="B101" s="112">
        <v>45659</v>
      </c>
      <c r="C101" s="111">
        <v>-3.3000000000000002E-2</v>
      </c>
      <c r="D101">
        <v>7.1</v>
      </c>
      <c r="E101" s="111">
        <v>0.14599999999999999</v>
      </c>
      <c r="F101" s="111">
        <v>3.0000000000000001E-3</v>
      </c>
      <c r="G101" s="111">
        <v>8.9999999999999993E-3</v>
      </c>
      <c r="H101" s="111">
        <v>1.7000000000000001E-2</v>
      </c>
      <c r="I101" s="111">
        <v>2.3E-2</v>
      </c>
      <c r="J101" s="111">
        <v>0.02</v>
      </c>
      <c r="K101" s="111">
        <v>3.1E-2</v>
      </c>
      <c r="L101" s="111">
        <v>4.2999999999999997E-2</v>
      </c>
      <c r="M101" s="111">
        <v>5.1999999999999998E-2</v>
      </c>
      <c r="N101" s="111">
        <v>9.4E-2</v>
      </c>
      <c r="O101" s="60">
        <v>3</v>
      </c>
    </row>
    <row r="102" spans="1:15" x14ac:dyDescent="0.25">
      <c r="A102" t="s">
        <v>462</v>
      </c>
      <c r="B102" t="s">
        <v>493</v>
      </c>
      <c r="C102" s="111">
        <v>-0.124</v>
      </c>
      <c r="D102">
        <v>5.0999999999999996</v>
      </c>
      <c r="E102" s="111">
        <v>0.03</v>
      </c>
      <c r="F102" s="111">
        <v>0</v>
      </c>
      <c r="G102" s="111">
        <v>1E-3</v>
      </c>
      <c r="H102" s="111">
        <v>3.0000000000000001E-3</v>
      </c>
      <c r="I102" s="111">
        <v>4.0000000000000001E-3</v>
      </c>
      <c r="J102" s="111">
        <v>4.0000000000000001E-3</v>
      </c>
      <c r="K102" s="111">
        <v>6.0000000000000001E-3</v>
      </c>
      <c r="L102" s="111">
        <v>1.2E-2</v>
      </c>
      <c r="M102" s="111">
        <v>8.0000000000000002E-3</v>
      </c>
      <c r="N102" s="111">
        <v>2.1999999999999999E-2</v>
      </c>
      <c r="O102" s="60">
        <v>3</v>
      </c>
    </row>
    <row r="103" spans="1:15" x14ac:dyDescent="0.25">
      <c r="A103" t="s">
        <v>357</v>
      </c>
      <c r="O103" s="60">
        <v>3</v>
      </c>
    </row>
    <row r="104" spans="1:15" x14ac:dyDescent="0.25">
      <c r="A104" t="s">
        <v>444</v>
      </c>
      <c r="B104" t="s">
        <v>445</v>
      </c>
      <c r="C104" t="s">
        <v>446</v>
      </c>
      <c r="D104" t="s">
        <v>447</v>
      </c>
      <c r="E104" t="s">
        <v>448</v>
      </c>
      <c r="F104" t="s">
        <v>449</v>
      </c>
      <c r="G104" t="s">
        <v>450</v>
      </c>
      <c r="H104" t="s">
        <v>451</v>
      </c>
      <c r="I104" t="s">
        <v>452</v>
      </c>
      <c r="J104" t="s">
        <v>453</v>
      </c>
      <c r="K104" t="s">
        <v>454</v>
      </c>
      <c r="L104" t="s">
        <v>455</v>
      </c>
      <c r="M104" t="s">
        <v>456</v>
      </c>
      <c r="N104" t="s">
        <v>457</v>
      </c>
      <c r="O104" s="60">
        <v>3</v>
      </c>
    </row>
    <row r="105" spans="1:15" x14ac:dyDescent="0.25">
      <c r="A105" t="s">
        <v>464</v>
      </c>
      <c r="B105" s="112">
        <v>45689</v>
      </c>
      <c r="C105" s="111">
        <v>0.23599999999999999</v>
      </c>
      <c r="D105">
        <v>11.6</v>
      </c>
      <c r="E105" s="111">
        <v>0.84899999999999998</v>
      </c>
      <c r="F105" s="111">
        <v>0.215</v>
      </c>
      <c r="G105" s="111">
        <v>0.17499999999999999</v>
      </c>
      <c r="H105" s="111">
        <v>0.14499999999999999</v>
      </c>
      <c r="I105" s="111">
        <v>6.9000000000000006E-2</v>
      </c>
      <c r="J105" s="111">
        <v>0.1</v>
      </c>
      <c r="K105" s="111">
        <v>7.8E-2</v>
      </c>
      <c r="L105" s="111">
        <v>6.5000000000000002E-2</v>
      </c>
      <c r="M105" s="111">
        <v>0.60499999999999998</v>
      </c>
      <c r="N105" s="111">
        <v>0.24399999999999999</v>
      </c>
      <c r="O105" s="60">
        <v>3</v>
      </c>
    </row>
    <row r="106" spans="1:15" x14ac:dyDescent="0.25">
      <c r="A106" t="s">
        <v>463</v>
      </c>
      <c r="B106" s="112">
        <v>45689</v>
      </c>
      <c r="C106" s="111">
        <v>9.8000000000000004E-2</v>
      </c>
      <c r="D106">
        <v>10.1</v>
      </c>
      <c r="E106" s="111">
        <v>0.64900000000000002</v>
      </c>
      <c r="F106" s="111">
        <v>8.5000000000000006E-2</v>
      </c>
      <c r="G106" s="111">
        <v>7.8E-2</v>
      </c>
      <c r="H106" s="111">
        <v>7.0999999999999994E-2</v>
      </c>
      <c r="I106" s="111">
        <v>3.9E-2</v>
      </c>
      <c r="J106" s="111">
        <v>0.154</v>
      </c>
      <c r="K106" s="111">
        <v>0.12</v>
      </c>
      <c r="L106" s="111">
        <v>0.10299999999999999</v>
      </c>
      <c r="M106" s="111">
        <v>0.27300000000000002</v>
      </c>
      <c r="N106" s="111">
        <v>0.376</v>
      </c>
      <c r="O106" s="60">
        <v>3</v>
      </c>
    </row>
    <row r="107" spans="1:15" x14ac:dyDescent="0.25">
      <c r="A107" t="s">
        <v>465</v>
      </c>
      <c r="B107" s="112">
        <v>45689</v>
      </c>
      <c r="C107" s="111">
        <v>1E-3</v>
      </c>
      <c r="D107">
        <v>7.9</v>
      </c>
      <c r="E107" s="111">
        <v>0.24399999999999999</v>
      </c>
      <c r="F107" s="111">
        <v>1.2999999999999999E-2</v>
      </c>
      <c r="G107" s="111">
        <v>0.02</v>
      </c>
      <c r="H107" s="111">
        <v>2.8000000000000001E-2</v>
      </c>
      <c r="I107" s="111">
        <v>2.1999999999999999E-2</v>
      </c>
      <c r="J107" s="111">
        <v>3.9E-2</v>
      </c>
      <c r="K107" s="111">
        <v>5.3999999999999999E-2</v>
      </c>
      <c r="L107" s="111">
        <v>6.9000000000000006E-2</v>
      </c>
      <c r="M107" s="111">
        <v>8.3000000000000004E-2</v>
      </c>
      <c r="N107" s="111">
        <v>0.16200000000000001</v>
      </c>
      <c r="O107" s="60">
        <v>3</v>
      </c>
    </row>
    <row r="108" spans="1:15" x14ac:dyDescent="0.25">
      <c r="A108" t="s">
        <v>467</v>
      </c>
      <c r="B108" s="112">
        <v>45659</v>
      </c>
      <c r="C108" s="111">
        <v>-6.0000000000000001E-3</v>
      </c>
      <c r="D108">
        <v>7.6</v>
      </c>
      <c r="E108" s="111">
        <v>0.17799999999999999</v>
      </c>
      <c r="F108" s="111">
        <v>4.0000000000000001E-3</v>
      </c>
      <c r="G108" s="111">
        <v>0.01</v>
      </c>
      <c r="H108" s="111">
        <v>1.2999999999999999E-2</v>
      </c>
      <c r="I108" s="111">
        <v>1.2E-2</v>
      </c>
      <c r="J108" s="111">
        <v>3.1E-2</v>
      </c>
      <c r="K108" s="111">
        <v>4.4999999999999998E-2</v>
      </c>
      <c r="L108" s="111">
        <v>6.2E-2</v>
      </c>
      <c r="M108" s="111">
        <v>3.9E-2</v>
      </c>
      <c r="N108" s="111">
        <v>0.13800000000000001</v>
      </c>
      <c r="O108" s="60">
        <v>3</v>
      </c>
    </row>
    <row r="109" spans="1:15" x14ac:dyDescent="0.25">
      <c r="A109" t="s">
        <v>383</v>
      </c>
      <c r="O109" s="60">
        <v>3</v>
      </c>
    </row>
    <row r="110" spans="1:15" x14ac:dyDescent="0.25">
      <c r="A110" t="s">
        <v>444</v>
      </c>
      <c r="B110" t="s">
        <v>445</v>
      </c>
      <c r="C110" t="s">
        <v>446</v>
      </c>
      <c r="D110" t="s">
        <v>447</v>
      </c>
      <c r="E110" t="s">
        <v>448</v>
      </c>
      <c r="F110" t="s">
        <v>449</v>
      </c>
      <c r="G110" t="s">
        <v>450</v>
      </c>
      <c r="H110" t="s">
        <v>451</v>
      </c>
      <c r="I110" t="s">
        <v>452</v>
      </c>
      <c r="J110" t="s">
        <v>453</v>
      </c>
      <c r="K110" t="s">
        <v>454</v>
      </c>
      <c r="L110" t="s">
        <v>455</v>
      </c>
      <c r="M110" t="s">
        <v>456</v>
      </c>
      <c r="N110" t="s">
        <v>457</v>
      </c>
      <c r="O110" s="60">
        <v>3</v>
      </c>
    </row>
    <row r="111" spans="1:15" x14ac:dyDescent="0.25">
      <c r="A111" t="s">
        <v>468</v>
      </c>
      <c r="B111" s="110">
        <v>36586</v>
      </c>
      <c r="C111" s="111">
        <v>3.4000000000000002E-2</v>
      </c>
      <c r="D111">
        <v>10.7</v>
      </c>
      <c r="E111" s="111">
        <v>0.84399999999999997</v>
      </c>
      <c r="F111" s="111">
        <v>0.11600000000000001</v>
      </c>
      <c r="G111" s="111">
        <v>0.13700000000000001</v>
      </c>
      <c r="H111" s="111">
        <v>0.193</v>
      </c>
      <c r="I111" s="111">
        <v>0.36899999999999999</v>
      </c>
      <c r="J111" s="111">
        <v>6.0000000000000001E-3</v>
      </c>
      <c r="K111" s="111">
        <v>0.01</v>
      </c>
      <c r="L111" s="111">
        <v>1.4E-2</v>
      </c>
      <c r="M111" s="111">
        <v>0.81399999999999995</v>
      </c>
      <c r="N111" s="111">
        <v>2.9000000000000001E-2</v>
      </c>
      <c r="O111" s="60">
        <v>3</v>
      </c>
    </row>
    <row r="112" spans="1:15" x14ac:dyDescent="0.25">
      <c r="A112" t="s">
        <v>469</v>
      </c>
      <c r="B112" s="112">
        <v>45659</v>
      </c>
      <c r="C112" s="111">
        <v>-8.5000000000000006E-2</v>
      </c>
      <c r="D112">
        <v>7.3</v>
      </c>
      <c r="E112" s="111">
        <v>0.19900000000000001</v>
      </c>
      <c r="F112" s="111">
        <v>4.0000000000000001E-3</v>
      </c>
      <c r="G112" s="111">
        <v>1.0999999999999999E-2</v>
      </c>
      <c r="H112" s="111">
        <v>2.1999999999999999E-2</v>
      </c>
      <c r="I112" s="111">
        <v>6.5000000000000002E-2</v>
      </c>
      <c r="J112" s="111">
        <v>0.02</v>
      </c>
      <c r="K112" s="111">
        <v>3.1E-2</v>
      </c>
      <c r="L112" s="111">
        <v>4.5999999999999999E-2</v>
      </c>
      <c r="M112" s="111">
        <v>0.10199999999999999</v>
      </c>
      <c r="N112" s="111">
        <v>9.7000000000000003E-2</v>
      </c>
      <c r="O112" s="60">
        <v>3</v>
      </c>
    </row>
    <row r="113" spans="1:15" x14ac:dyDescent="0.25">
      <c r="A113" t="s">
        <v>470</v>
      </c>
      <c r="B113" t="s">
        <v>493</v>
      </c>
      <c r="C113" s="111">
        <v>-0.17899999999999999</v>
      </c>
      <c r="D113">
        <v>5.6</v>
      </c>
      <c r="E113" s="111">
        <v>5.8000000000000003E-2</v>
      </c>
      <c r="F113" s="111">
        <v>0</v>
      </c>
      <c r="G113" s="111">
        <v>1E-3</v>
      </c>
      <c r="H113" s="111">
        <v>4.0000000000000001E-3</v>
      </c>
      <c r="I113" s="111">
        <v>0.04</v>
      </c>
      <c r="J113" s="111">
        <v>1E-3</v>
      </c>
      <c r="K113" s="111">
        <v>3.0000000000000001E-3</v>
      </c>
      <c r="L113" s="111">
        <v>8.9999999999999993E-3</v>
      </c>
      <c r="M113" s="111">
        <v>4.4999999999999998E-2</v>
      </c>
      <c r="N113" s="111">
        <v>1.2999999999999999E-2</v>
      </c>
      <c r="O113" s="60">
        <v>3</v>
      </c>
    </row>
    <row r="114" spans="1:15" x14ac:dyDescent="0.25">
      <c r="A114" t="s">
        <v>471</v>
      </c>
      <c r="B114" s="112">
        <v>45659</v>
      </c>
      <c r="C114" s="111">
        <v>-0.23300000000000001</v>
      </c>
      <c r="D114">
        <v>5.4</v>
      </c>
      <c r="E114" s="111">
        <v>5.7000000000000002E-2</v>
      </c>
      <c r="F114" s="111">
        <v>0</v>
      </c>
      <c r="G114" s="111">
        <v>2E-3</v>
      </c>
      <c r="H114" s="111">
        <v>6.0000000000000001E-3</v>
      </c>
      <c r="I114" s="111">
        <v>3.2000000000000001E-2</v>
      </c>
      <c r="J114" s="111">
        <v>2E-3</v>
      </c>
      <c r="K114" s="111">
        <v>6.0000000000000001E-3</v>
      </c>
      <c r="L114" s="111">
        <v>0.01</v>
      </c>
      <c r="M114" s="111">
        <v>3.9E-2</v>
      </c>
      <c r="N114" s="111">
        <v>1.7000000000000001E-2</v>
      </c>
      <c r="O114" s="60">
        <v>3</v>
      </c>
    </row>
    <row r="115" spans="1:15" x14ac:dyDescent="0.25">
      <c r="A115" t="s">
        <v>355</v>
      </c>
      <c r="O115" s="60">
        <v>3</v>
      </c>
    </row>
    <row r="116" spans="1:15" x14ac:dyDescent="0.25">
      <c r="A116" t="s">
        <v>444</v>
      </c>
      <c r="B116" t="s">
        <v>445</v>
      </c>
      <c r="C116" t="s">
        <v>446</v>
      </c>
      <c r="D116" t="s">
        <v>447</v>
      </c>
      <c r="E116" t="s">
        <v>448</v>
      </c>
      <c r="F116" t="s">
        <v>449</v>
      </c>
      <c r="G116" t="s">
        <v>450</v>
      </c>
      <c r="H116" t="s">
        <v>451</v>
      </c>
      <c r="I116" t="s">
        <v>452</v>
      </c>
      <c r="J116" t="s">
        <v>453</v>
      </c>
      <c r="K116" t="s">
        <v>454</v>
      </c>
      <c r="L116" t="s">
        <v>455</v>
      </c>
      <c r="M116" t="s">
        <v>456</v>
      </c>
      <c r="N116" t="s">
        <v>457</v>
      </c>
      <c r="O116" s="60">
        <v>3</v>
      </c>
    </row>
    <row r="117" spans="1:15" x14ac:dyDescent="0.25">
      <c r="A117" t="s">
        <v>472</v>
      </c>
      <c r="B117" s="110">
        <v>36586</v>
      </c>
      <c r="C117" s="111">
        <v>8.6999999999999994E-2</v>
      </c>
      <c r="D117">
        <v>11</v>
      </c>
      <c r="E117" s="111">
        <v>0.77100000000000002</v>
      </c>
      <c r="F117" s="111">
        <v>0.151</v>
      </c>
      <c r="G117" s="111">
        <v>0.126</v>
      </c>
      <c r="H117" s="111">
        <v>8.5000000000000006E-2</v>
      </c>
      <c r="I117" s="111">
        <v>4.7E-2</v>
      </c>
      <c r="J117" s="111">
        <v>0.14599999999999999</v>
      </c>
      <c r="K117" s="111">
        <v>0.122</v>
      </c>
      <c r="L117" s="111">
        <v>9.4E-2</v>
      </c>
      <c r="M117" s="111">
        <v>0.40799999999999997</v>
      </c>
      <c r="N117" s="111">
        <v>0.36299999999999999</v>
      </c>
      <c r="O117" s="60">
        <v>3</v>
      </c>
    </row>
    <row r="118" spans="1:15" x14ac:dyDescent="0.25">
      <c r="A118" t="s">
        <v>473</v>
      </c>
      <c r="B118" s="112">
        <v>45689</v>
      </c>
      <c r="C118" s="111">
        <v>0.124</v>
      </c>
      <c r="D118">
        <v>10.3</v>
      </c>
      <c r="E118" s="111">
        <v>0.64</v>
      </c>
      <c r="F118" s="111">
        <v>9.0999999999999998E-2</v>
      </c>
      <c r="G118" s="111">
        <v>0.10100000000000001</v>
      </c>
      <c r="H118" s="111">
        <v>7.8E-2</v>
      </c>
      <c r="I118" s="111">
        <v>4.1000000000000002E-2</v>
      </c>
      <c r="J118" s="111">
        <v>0.112</v>
      </c>
      <c r="K118" s="111">
        <v>0.111</v>
      </c>
      <c r="L118" s="111">
        <v>0.106</v>
      </c>
      <c r="M118" s="111">
        <v>0.311</v>
      </c>
      <c r="N118" s="111">
        <v>0.32900000000000001</v>
      </c>
      <c r="O118" s="60">
        <v>3</v>
      </c>
    </row>
    <row r="119" spans="1:15" x14ac:dyDescent="0.25">
      <c r="A119" t="s">
        <v>475</v>
      </c>
      <c r="B119" s="112">
        <v>45689</v>
      </c>
      <c r="C119" s="111">
        <v>5.5E-2</v>
      </c>
      <c r="D119">
        <v>9.6</v>
      </c>
      <c r="E119" s="111">
        <v>0.498</v>
      </c>
      <c r="F119" s="111">
        <v>4.5999999999999999E-2</v>
      </c>
      <c r="G119" s="111">
        <v>5.2999999999999999E-2</v>
      </c>
      <c r="H119" s="111">
        <v>0.04</v>
      </c>
      <c r="I119" s="111">
        <v>1.9E-2</v>
      </c>
      <c r="J119" s="111">
        <v>0.113</v>
      </c>
      <c r="K119" s="111">
        <v>0.11600000000000001</v>
      </c>
      <c r="L119" s="111">
        <v>0.111</v>
      </c>
      <c r="M119" s="111">
        <v>0.159</v>
      </c>
      <c r="N119" s="111">
        <v>0.33900000000000002</v>
      </c>
      <c r="O119" s="60">
        <v>3</v>
      </c>
    </row>
    <row r="120" spans="1:15" x14ac:dyDescent="0.25">
      <c r="A120" t="s">
        <v>474</v>
      </c>
      <c r="B120" s="112">
        <v>45689</v>
      </c>
      <c r="C120" s="111">
        <v>1.0999999999999999E-2</v>
      </c>
      <c r="D120">
        <v>9.1</v>
      </c>
      <c r="E120" s="111">
        <v>0.42599999999999999</v>
      </c>
      <c r="F120" s="111">
        <v>3.5000000000000003E-2</v>
      </c>
      <c r="G120" s="111">
        <v>3.9E-2</v>
      </c>
      <c r="H120" s="111">
        <v>3.2000000000000001E-2</v>
      </c>
      <c r="I120" s="111">
        <v>1.7000000000000001E-2</v>
      </c>
      <c r="J120" s="111">
        <v>9.1999999999999998E-2</v>
      </c>
      <c r="K120" s="111">
        <v>0.106</v>
      </c>
      <c r="L120" s="111">
        <v>0.106</v>
      </c>
      <c r="M120" s="111">
        <v>0.122</v>
      </c>
      <c r="N120" s="111">
        <v>0.30399999999999999</v>
      </c>
      <c r="O120" s="60">
        <v>3</v>
      </c>
    </row>
    <row r="121" spans="1:15" x14ac:dyDescent="0.25">
      <c r="A121" t="s">
        <v>359</v>
      </c>
      <c r="O121" s="60">
        <v>3</v>
      </c>
    </row>
    <row r="122" spans="1:15" x14ac:dyDescent="0.25">
      <c r="A122" t="s">
        <v>444</v>
      </c>
      <c r="B122" t="s">
        <v>445</v>
      </c>
      <c r="C122" t="s">
        <v>446</v>
      </c>
      <c r="D122" t="s">
        <v>447</v>
      </c>
      <c r="E122" t="s">
        <v>448</v>
      </c>
      <c r="F122" t="s">
        <v>449</v>
      </c>
      <c r="G122" t="s">
        <v>450</v>
      </c>
      <c r="H122" t="s">
        <v>451</v>
      </c>
      <c r="I122" t="s">
        <v>452</v>
      </c>
      <c r="J122" t="s">
        <v>453</v>
      </c>
      <c r="K122" t="s">
        <v>454</v>
      </c>
      <c r="L122" t="s">
        <v>455</v>
      </c>
      <c r="M122" t="s">
        <v>456</v>
      </c>
      <c r="N122" t="s">
        <v>457</v>
      </c>
      <c r="O122" s="60">
        <v>3</v>
      </c>
    </row>
    <row r="123" spans="1:15" x14ac:dyDescent="0.25">
      <c r="A123" t="s">
        <v>476</v>
      </c>
      <c r="B123" s="110">
        <v>36586</v>
      </c>
      <c r="C123" s="111">
        <v>0.23200000000000001</v>
      </c>
      <c r="D123">
        <v>13.5</v>
      </c>
      <c r="E123" s="111">
        <v>0.98899999999999999</v>
      </c>
      <c r="F123" s="111">
        <v>0.60799999999999998</v>
      </c>
      <c r="G123" s="111">
        <v>0.20100000000000001</v>
      </c>
      <c r="H123" s="111">
        <v>9.7000000000000003E-2</v>
      </c>
      <c r="I123" s="111">
        <v>4.3999999999999997E-2</v>
      </c>
      <c r="J123" s="111">
        <v>1.9E-2</v>
      </c>
      <c r="K123" s="111">
        <v>1.2E-2</v>
      </c>
      <c r="L123" s="111">
        <v>7.0000000000000001E-3</v>
      </c>
      <c r="M123" s="111">
        <v>0.95099999999999996</v>
      </c>
      <c r="N123" s="111">
        <v>3.7999999999999999E-2</v>
      </c>
      <c r="O123" s="60">
        <v>3</v>
      </c>
    </row>
    <row r="124" spans="1:15" x14ac:dyDescent="0.25">
      <c r="A124" t="s">
        <v>477</v>
      </c>
      <c r="B124" s="112">
        <v>45659</v>
      </c>
      <c r="C124" s="111">
        <v>-7.9000000000000001E-2</v>
      </c>
      <c r="D124">
        <v>7.9</v>
      </c>
      <c r="E124" s="111">
        <v>0.29599999999999999</v>
      </c>
      <c r="F124" s="111">
        <v>6.0000000000000001E-3</v>
      </c>
      <c r="G124" s="111">
        <v>8.9999999999999993E-3</v>
      </c>
      <c r="H124" s="111">
        <v>1.0999999999999999E-2</v>
      </c>
      <c r="I124" s="111">
        <v>1.2E-2</v>
      </c>
      <c r="J124" s="111">
        <v>7.0999999999999994E-2</v>
      </c>
      <c r="K124" s="111">
        <v>9.0999999999999998E-2</v>
      </c>
      <c r="L124" s="111">
        <v>9.7000000000000003E-2</v>
      </c>
      <c r="M124" s="111">
        <v>3.6999999999999998E-2</v>
      </c>
      <c r="N124" s="111">
        <v>0.25900000000000001</v>
      </c>
      <c r="O124" s="60">
        <v>3</v>
      </c>
    </row>
    <row r="125" spans="1:15" x14ac:dyDescent="0.25">
      <c r="A125" t="s">
        <v>479</v>
      </c>
      <c r="B125" t="s">
        <v>493</v>
      </c>
      <c r="C125" s="111">
        <v>-9.0999999999999998E-2</v>
      </c>
      <c r="D125">
        <v>6.5</v>
      </c>
      <c r="E125" s="111">
        <v>0.13900000000000001</v>
      </c>
      <c r="F125" s="111">
        <v>1E-3</v>
      </c>
      <c r="G125" s="111">
        <v>2E-3</v>
      </c>
      <c r="H125" s="111">
        <v>3.0000000000000001E-3</v>
      </c>
      <c r="I125" s="111">
        <v>2E-3</v>
      </c>
      <c r="J125" s="111">
        <v>3.3000000000000002E-2</v>
      </c>
      <c r="K125" s="111">
        <v>4.5999999999999999E-2</v>
      </c>
      <c r="L125" s="111">
        <v>5.1999999999999998E-2</v>
      </c>
      <c r="M125" s="111">
        <v>8.0000000000000002E-3</v>
      </c>
      <c r="N125" s="111">
        <v>0.13100000000000001</v>
      </c>
      <c r="O125" s="60">
        <v>3</v>
      </c>
    </row>
    <row r="126" spans="1:15" x14ac:dyDescent="0.25">
      <c r="A126" t="s">
        <v>478</v>
      </c>
      <c r="B126" t="s">
        <v>493</v>
      </c>
      <c r="C126" s="111">
        <v>-0.16300000000000001</v>
      </c>
      <c r="D126">
        <v>5.8</v>
      </c>
      <c r="E126" s="111">
        <v>7.6999999999999999E-2</v>
      </c>
      <c r="F126" s="111">
        <v>0</v>
      </c>
      <c r="G126" s="111">
        <v>1E-3</v>
      </c>
      <c r="H126" s="111">
        <v>1E-3</v>
      </c>
      <c r="I126" s="111">
        <v>2E-3</v>
      </c>
      <c r="J126" s="111">
        <v>1.4E-2</v>
      </c>
      <c r="K126" s="111">
        <v>2.5000000000000001E-2</v>
      </c>
      <c r="L126" s="111">
        <v>3.4000000000000002E-2</v>
      </c>
      <c r="M126" s="111">
        <v>4.0000000000000001E-3</v>
      </c>
      <c r="N126" s="111">
        <v>7.2999999999999995E-2</v>
      </c>
      <c r="O126" s="60">
        <v>3</v>
      </c>
    </row>
    <row r="127" spans="1:15" x14ac:dyDescent="0.25">
      <c r="A127" t="s">
        <v>352</v>
      </c>
      <c r="O127" s="60">
        <v>3</v>
      </c>
    </row>
    <row r="128" spans="1:15" x14ac:dyDescent="0.25">
      <c r="A128" t="s">
        <v>444</v>
      </c>
      <c r="B128" t="s">
        <v>445</v>
      </c>
      <c r="C128" t="s">
        <v>446</v>
      </c>
      <c r="D128" t="s">
        <v>447</v>
      </c>
      <c r="E128" t="s">
        <v>448</v>
      </c>
      <c r="F128" t="s">
        <v>449</v>
      </c>
      <c r="G128" t="s">
        <v>450</v>
      </c>
      <c r="H128" t="s">
        <v>451</v>
      </c>
      <c r="I128" t="s">
        <v>452</v>
      </c>
      <c r="J128" t="s">
        <v>453</v>
      </c>
      <c r="K128" t="s">
        <v>454</v>
      </c>
      <c r="L128" t="s">
        <v>455</v>
      </c>
      <c r="M128" t="s">
        <v>456</v>
      </c>
      <c r="N128" t="s">
        <v>457</v>
      </c>
      <c r="O128" s="60">
        <v>3</v>
      </c>
    </row>
    <row r="129" spans="1:15" x14ac:dyDescent="0.25">
      <c r="A129" t="s">
        <v>480</v>
      </c>
      <c r="B129" s="112">
        <v>45659</v>
      </c>
      <c r="C129" s="111">
        <v>0.23799999999999999</v>
      </c>
      <c r="D129">
        <v>11.2</v>
      </c>
      <c r="E129" s="111">
        <v>0.91300000000000003</v>
      </c>
      <c r="F129" s="111">
        <v>8.8999999999999996E-2</v>
      </c>
      <c r="G129" s="111">
        <v>0.24099999999999999</v>
      </c>
      <c r="H129" s="111">
        <v>0.25700000000000001</v>
      </c>
      <c r="I129" s="111">
        <v>0.19500000000000001</v>
      </c>
      <c r="J129" s="111">
        <v>4.5999999999999999E-2</v>
      </c>
      <c r="K129" s="111">
        <v>4.5999999999999999E-2</v>
      </c>
      <c r="L129" s="111">
        <v>3.9E-2</v>
      </c>
      <c r="M129" s="111">
        <v>0.78300000000000003</v>
      </c>
      <c r="N129" s="111">
        <v>0.13</v>
      </c>
      <c r="O129" s="60">
        <v>3</v>
      </c>
    </row>
    <row r="130" spans="1:15" x14ac:dyDescent="0.25">
      <c r="A130" t="s">
        <v>482</v>
      </c>
      <c r="B130" s="112">
        <v>45689</v>
      </c>
      <c r="C130" s="111">
        <v>-5.1999999999999998E-2</v>
      </c>
      <c r="D130">
        <v>8.3000000000000007</v>
      </c>
      <c r="E130" s="111">
        <v>0.45600000000000002</v>
      </c>
      <c r="F130" s="111">
        <v>1.4999999999999999E-2</v>
      </c>
      <c r="G130" s="111">
        <v>3.4000000000000002E-2</v>
      </c>
      <c r="H130" s="111">
        <v>0.05</v>
      </c>
      <c r="I130" s="111">
        <v>5.1999999999999998E-2</v>
      </c>
      <c r="J130" s="111">
        <v>9.5000000000000001E-2</v>
      </c>
      <c r="K130" s="111">
        <v>0.105</v>
      </c>
      <c r="L130" s="111">
        <v>0.105</v>
      </c>
      <c r="M130" s="111">
        <v>0.151</v>
      </c>
      <c r="N130" s="111">
        <v>0.30499999999999999</v>
      </c>
      <c r="O130" s="60">
        <v>3</v>
      </c>
    </row>
    <row r="131" spans="1:15" x14ac:dyDescent="0.25">
      <c r="A131" t="s">
        <v>481</v>
      </c>
      <c r="B131" s="112">
        <v>45689</v>
      </c>
      <c r="C131" s="111">
        <v>-0.188</v>
      </c>
      <c r="D131">
        <v>6.6</v>
      </c>
      <c r="E131" s="111">
        <v>0.155</v>
      </c>
      <c r="F131" s="111">
        <v>1E-3</v>
      </c>
      <c r="G131" s="111">
        <v>5.0000000000000001E-3</v>
      </c>
      <c r="H131" s="111">
        <v>1.2E-2</v>
      </c>
      <c r="I131" s="111">
        <v>1.9E-2</v>
      </c>
      <c r="J131" s="111">
        <v>2.5000000000000001E-2</v>
      </c>
      <c r="K131" s="111">
        <v>4.1000000000000002E-2</v>
      </c>
      <c r="L131" s="111">
        <v>5.1999999999999998E-2</v>
      </c>
      <c r="M131" s="111">
        <v>3.6999999999999998E-2</v>
      </c>
      <c r="N131" s="111">
        <v>0.11799999999999999</v>
      </c>
      <c r="O131" s="60">
        <v>3</v>
      </c>
    </row>
    <row r="132" spans="1:15" x14ac:dyDescent="0.25">
      <c r="A132" t="s">
        <v>483</v>
      </c>
      <c r="B132" s="112">
        <v>45659</v>
      </c>
      <c r="C132" s="111">
        <v>-0.13600000000000001</v>
      </c>
      <c r="D132">
        <v>6.6</v>
      </c>
      <c r="E132" s="111">
        <v>0.14399999999999999</v>
      </c>
      <c r="F132" s="111">
        <v>1E-3</v>
      </c>
      <c r="G132" s="111">
        <v>4.0000000000000001E-3</v>
      </c>
      <c r="H132" s="111">
        <v>0.01</v>
      </c>
      <c r="I132" s="111">
        <v>1.4E-2</v>
      </c>
      <c r="J132" s="111">
        <v>2.5000000000000001E-2</v>
      </c>
      <c r="K132" s="111">
        <v>3.6999999999999998E-2</v>
      </c>
      <c r="L132" s="111">
        <v>5.2999999999999999E-2</v>
      </c>
      <c r="M132" s="111">
        <v>2.9000000000000001E-2</v>
      </c>
      <c r="N132" s="111">
        <v>0.11600000000000001</v>
      </c>
      <c r="O132" s="60">
        <v>3</v>
      </c>
    </row>
    <row r="133" spans="1:15" x14ac:dyDescent="0.25">
      <c r="A133" t="s">
        <v>368</v>
      </c>
      <c r="O133" s="60">
        <v>3</v>
      </c>
    </row>
    <row r="134" spans="1:15" x14ac:dyDescent="0.25">
      <c r="A134" t="s">
        <v>444</v>
      </c>
      <c r="B134" t="s">
        <v>445</v>
      </c>
      <c r="C134" t="s">
        <v>446</v>
      </c>
      <c r="D134" t="s">
        <v>447</v>
      </c>
      <c r="E134" t="s">
        <v>448</v>
      </c>
      <c r="F134" t="s">
        <v>449</v>
      </c>
      <c r="G134" t="s">
        <v>450</v>
      </c>
      <c r="H134" t="s">
        <v>451</v>
      </c>
      <c r="I134" t="s">
        <v>452</v>
      </c>
      <c r="J134" t="s">
        <v>453</v>
      </c>
      <c r="K134" t="s">
        <v>454</v>
      </c>
      <c r="L134" t="s">
        <v>455</v>
      </c>
      <c r="M134" t="s">
        <v>456</v>
      </c>
      <c r="N134" t="s">
        <v>457</v>
      </c>
      <c r="O134" s="60">
        <v>3</v>
      </c>
    </row>
    <row r="135" spans="1:15" x14ac:dyDescent="0.25">
      <c r="A135" t="s">
        <v>485</v>
      </c>
      <c r="B135" s="110">
        <v>36586</v>
      </c>
      <c r="C135" s="111">
        <v>1.7000000000000001E-2</v>
      </c>
      <c r="D135">
        <v>10.199999999999999</v>
      </c>
      <c r="E135" s="111">
        <v>0.77600000000000002</v>
      </c>
      <c r="F135" s="111">
        <v>6.6000000000000003E-2</v>
      </c>
      <c r="G135" s="111">
        <v>0.12</v>
      </c>
      <c r="H135" s="111">
        <v>0.14599999999999999</v>
      </c>
      <c r="I135" s="111">
        <v>0.19600000000000001</v>
      </c>
      <c r="J135" s="111">
        <v>0.09</v>
      </c>
      <c r="K135" s="111">
        <v>8.4000000000000005E-2</v>
      </c>
      <c r="L135" s="111">
        <v>7.3999999999999996E-2</v>
      </c>
      <c r="M135" s="111">
        <v>0.52900000000000003</v>
      </c>
      <c r="N135" s="111">
        <v>0.248</v>
      </c>
      <c r="O135" s="60">
        <v>3</v>
      </c>
    </row>
    <row r="136" spans="1:15" x14ac:dyDescent="0.25">
      <c r="A136" t="s">
        <v>484</v>
      </c>
      <c r="B136" s="112">
        <v>45689</v>
      </c>
      <c r="C136" s="111">
        <v>2.1999999999999999E-2</v>
      </c>
      <c r="D136">
        <v>9.6</v>
      </c>
      <c r="E136" s="111">
        <v>0.66200000000000003</v>
      </c>
      <c r="F136" s="111">
        <v>3.4000000000000002E-2</v>
      </c>
      <c r="G136" s="111">
        <v>8.4000000000000005E-2</v>
      </c>
      <c r="H136" s="111">
        <v>0.113</v>
      </c>
      <c r="I136" s="111">
        <v>0.187</v>
      </c>
      <c r="J136" s="111">
        <v>8.3000000000000004E-2</v>
      </c>
      <c r="K136" s="111">
        <v>0.08</v>
      </c>
      <c r="L136" s="111">
        <v>0.08</v>
      </c>
      <c r="M136" s="111">
        <v>0.41899999999999998</v>
      </c>
      <c r="N136" s="111">
        <v>0.24299999999999999</v>
      </c>
      <c r="O136" s="60">
        <v>3</v>
      </c>
    </row>
    <row r="137" spans="1:15" x14ac:dyDescent="0.25">
      <c r="A137" t="s">
        <v>486</v>
      </c>
      <c r="B137" t="s">
        <v>493</v>
      </c>
      <c r="C137" s="111">
        <v>-5.8000000000000003E-2</v>
      </c>
      <c r="D137">
        <v>6.2</v>
      </c>
      <c r="E137" s="111">
        <v>0.14799999999999999</v>
      </c>
      <c r="F137" s="111">
        <v>1E-3</v>
      </c>
      <c r="G137" s="111">
        <v>6.0000000000000001E-3</v>
      </c>
      <c r="H137" s="111">
        <v>1.0999999999999999E-2</v>
      </c>
      <c r="I137" s="111">
        <v>0.03</v>
      </c>
      <c r="J137" s="111">
        <v>2.1000000000000001E-2</v>
      </c>
      <c r="K137" s="111">
        <v>3.3000000000000002E-2</v>
      </c>
      <c r="L137" s="111">
        <v>4.5999999999999999E-2</v>
      </c>
      <c r="M137" s="111">
        <v>4.8000000000000001E-2</v>
      </c>
      <c r="N137" s="111">
        <v>0.1</v>
      </c>
      <c r="O137" s="60">
        <v>3</v>
      </c>
    </row>
    <row r="138" spans="1:15" x14ac:dyDescent="0.25">
      <c r="A138" t="s">
        <v>487</v>
      </c>
      <c r="B138" t="s">
        <v>493</v>
      </c>
      <c r="C138" s="111">
        <v>-0.26200000000000001</v>
      </c>
      <c r="D138">
        <v>4.0999999999999996</v>
      </c>
      <c r="E138" s="111">
        <v>1.9E-2</v>
      </c>
      <c r="F138" s="111">
        <v>0</v>
      </c>
      <c r="G138" s="111">
        <v>0</v>
      </c>
      <c r="H138" s="111">
        <v>1E-3</v>
      </c>
      <c r="I138" s="111">
        <v>4.0000000000000001E-3</v>
      </c>
      <c r="J138" s="111">
        <v>2E-3</v>
      </c>
      <c r="K138" s="111">
        <v>4.0000000000000001E-3</v>
      </c>
      <c r="L138" s="111">
        <v>8.0000000000000002E-3</v>
      </c>
      <c r="M138" s="111">
        <v>5.0000000000000001E-3</v>
      </c>
      <c r="N138" s="111">
        <v>1.4E-2</v>
      </c>
      <c r="O138" s="60">
        <v>3</v>
      </c>
    </row>
    <row r="139" spans="1:15" x14ac:dyDescent="0.25">
      <c r="A139" t="s">
        <v>367</v>
      </c>
      <c r="O139" s="60">
        <v>3</v>
      </c>
    </row>
    <row r="140" spans="1:15" x14ac:dyDescent="0.25">
      <c r="A140" t="s">
        <v>444</v>
      </c>
      <c r="B140" t="s">
        <v>445</v>
      </c>
      <c r="C140" t="s">
        <v>446</v>
      </c>
      <c r="D140" t="s">
        <v>447</v>
      </c>
      <c r="E140" t="s">
        <v>448</v>
      </c>
      <c r="F140" t="s">
        <v>449</v>
      </c>
      <c r="G140" t="s">
        <v>450</v>
      </c>
      <c r="H140" t="s">
        <v>451</v>
      </c>
      <c r="I140" t="s">
        <v>452</v>
      </c>
      <c r="J140" t="s">
        <v>453</v>
      </c>
      <c r="K140" t="s">
        <v>454</v>
      </c>
      <c r="L140" t="s">
        <v>455</v>
      </c>
      <c r="M140" t="s">
        <v>456</v>
      </c>
      <c r="N140" t="s">
        <v>457</v>
      </c>
      <c r="O140" s="60">
        <v>3</v>
      </c>
    </row>
    <row r="141" spans="1:15" x14ac:dyDescent="0.25">
      <c r="A141" t="s">
        <v>489</v>
      </c>
      <c r="B141" s="110">
        <v>36586</v>
      </c>
      <c r="C141" s="111">
        <v>6.5000000000000002E-2</v>
      </c>
      <c r="D141">
        <v>11</v>
      </c>
      <c r="E141" s="111">
        <v>0.85899999999999999</v>
      </c>
      <c r="F141" s="111">
        <v>0.122</v>
      </c>
      <c r="G141" s="111">
        <v>0.17799999999999999</v>
      </c>
      <c r="H141" s="111">
        <v>0.157</v>
      </c>
      <c r="I141" s="111">
        <v>0.121</v>
      </c>
      <c r="J141" s="111">
        <v>0.13400000000000001</v>
      </c>
      <c r="K141" s="111">
        <v>8.5000000000000006E-2</v>
      </c>
      <c r="L141" s="111">
        <v>6.3E-2</v>
      </c>
      <c r="M141" s="111">
        <v>0.57699999999999996</v>
      </c>
      <c r="N141" s="111">
        <v>0.28199999999999997</v>
      </c>
      <c r="O141" s="60">
        <v>3</v>
      </c>
    </row>
    <row r="142" spans="1:15" x14ac:dyDescent="0.25">
      <c r="A142" t="s">
        <v>488</v>
      </c>
      <c r="B142" s="112">
        <v>45659</v>
      </c>
      <c r="C142" s="111">
        <v>0.14299999999999999</v>
      </c>
      <c r="D142">
        <v>9.5</v>
      </c>
      <c r="E142" s="111">
        <v>0.65300000000000002</v>
      </c>
      <c r="F142" s="111">
        <v>3.9E-2</v>
      </c>
      <c r="G142" s="111">
        <v>7.1999999999999995E-2</v>
      </c>
      <c r="H142" s="111">
        <v>7.1999999999999995E-2</v>
      </c>
      <c r="I142" s="111">
        <v>5.7000000000000002E-2</v>
      </c>
      <c r="J142" s="111">
        <v>0.17399999999999999</v>
      </c>
      <c r="K142" s="111">
        <v>0.13200000000000001</v>
      </c>
      <c r="L142" s="111">
        <v>0.105</v>
      </c>
      <c r="M142" s="111">
        <v>0.24099999999999999</v>
      </c>
      <c r="N142" s="111">
        <v>0.41199999999999998</v>
      </c>
      <c r="O142" s="60">
        <v>3</v>
      </c>
    </row>
    <row r="143" spans="1:15" x14ac:dyDescent="0.25">
      <c r="A143" t="s">
        <v>491</v>
      </c>
      <c r="B143" s="112">
        <v>45659</v>
      </c>
      <c r="C143" s="111">
        <v>5.2999999999999999E-2</v>
      </c>
      <c r="D143">
        <v>8.8000000000000007</v>
      </c>
      <c r="E143" s="111">
        <v>0.50800000000000001</v>
      </c>
      <c r="F143" s="111">
        <v>1.2999999999999999E-2</v>
      </c>
      <c r="G143" s="111">
        <v>3.5999999999999997E-2</v>
      </c>
      <c r="H143" s="111">
        <v>4.7E-2</v>
      </c>
      <c r="I143" s="111">
        <v>0.05</v>
      </c>
      <c r="J143" s="111">
        <v>0.125</v>
      </c>
      <c r="K143" s="111">
        <v>0.121</v>
      </c>
      <c r="L143" s="111">
        <v>0.11600000000000001</v>
      </c>
      <c r="M143" s="111">
        <v>0.14599999999999999</v>
      </c>
      <c r="N143" s="111">
        <v>0.36199999999999999</v>
      </c>
      <c r="O143" s="60">
        <v>3</v>
      </c>
    </row>
    <row r="144" spans="1:15" x14ac:dyDescent="0.25">
      <c r="A144" t="s">
        <v>490</v>
      </c>
      <c r="B144" s="112">
        <v>45659</v>
      </c>
      <c r="C144" s="111">
        <v>-9.6000000000000002E-2</v>
      </c>
      <c r="D144">
        <v>7</v>
      </c>
      <c r="E144" s="111">
        <v>0.20599999999999999</v>
      </c>
      <c r="F144" s="111">
        <v>2E-3</v>
      </c>
      <c r="G144" s="111">
        <v>8.0000000000000002E-3</v>
      </c>
      <c r="H144" s="111">
        <v>1.2E-2</v>
      </c>
      <c r="I144" s="111">
        <v>1.4E-2</v>
      </c>
      <c r="J144" s="111">
        <v>4.2999999999999997E-2</v>
      </c>
      <c r="K144" s="111">
        <v>5.8999999999999997E-2</v>
      </c>
      <c r="L144" s="111">
        <v>6.8000000000000005E-2</v>
      </c>
      <c r="M144" s="111">
        <v>3.5999999999999997E-2</v>
      </c>
      <c r="N144" s="111">
        <v>0.17</v>
      </c>
      <c r="O144" s="60">
        <v>3</v>
      </c>
    </row>
    <row r="145" spans="1:15" x14ac:dyDescent="0.25">
      <c r="A145" t="s">
        <v>363</v>
      </c>
      <c r="O145" s="60">
        <v>4</v>
      </c>
    </row>
    <row r="146" spans="1:15" x14ac:dyDescent="0.25">
      <c r="A146" t="s">
        <v>444</v>
      </c>
      <c r="B146" t="s">
        <v>445</v>
      </c>
      <c r="C146" t="s">
        <v>446</v>
      </c>
      <c r="D146" t="s">
        <v>447</v>
      </c>
      <c r="E146" t="s">
        <v>448</v>
      </c>
      <c r="F146" t="s">
        <v>449</v>
      </c>
      <c r="G146" t="s">
        <v>450</v>
      </c>
      <c r="H146" t="s">
        <v>451</v>
      </c>
      <c r="I146" t="s">
        <v>452</v>
      </c>
      <c r="J146" t="s">
        <v>453</v>
      </c>
      <c r="K146" t="s">
        <v>454</v>
      </c>
      <c r="L146" t="s">
        <v>455</v>
      </c>
      <c r="M146" t="s">
        <v>456</v>
      </c>
      <c r="N146" t="s">
        <v>457</v>
      </c>
      <c r="O146" s="60">
        <v>4</v>
      </c>
    </row>
    <row r="147" spans="1:15" x14ac:dyDescent="0.25">
      <c r="A147" t="s">
        <v>459</v>
      </c>
      <c r="B147" s="110">
        <v>36617</v>
      </c>
      <c r="C147" s="111">
        <v>0.112</v>
      </c>
      <c r="D147">
        <v>11.2</v>
      </c>
      <c r="E147" s="111">
        <v>0.82</v>
      </c>
      <c r="F147" s="111">
        <v>0.20100000000000001</v>
      </c>
      <c r="G147" s="111">
        <v>0.16600000000000001</v>
      </c>
      <c r="H147" s="111">
        <v>0.186</v>
      </c>
      <c r="I147" s="111">
        <v>6.8000000000000005E-2</v>
      </c>
      <c r="J147" s="111">
        <v>6.7000000000000004E-2</v>
      </c>
      <c r="K147" s="111">
        <v>6.7000000000000004E-2</v>
      </c>
      <c r="L147" s="111">
        <v>6.5000000000000002E-2</v>
      </c>
      <c r="M147" s="111">
        <v>0.622</v>
      </c>
      <c r="N147" s="111">
        <v>0.19800000000000001</v>
      </c>
      <c r="O147" s="60">
        <v>4</v>
      </c>
    </row>
    <row r="148" spans="1:15" x14ac:dyDescent="0.25">
      <c r="A148" t="s">
        <v>458</v>
      </c>
      <c r="B148" s="112">
        <v>45690</v>
      </c>
      <c r="C148" s="111">
        <v>0.13200000000000001</v>
      </c>
      <c r="D148">
        <v>9.6</v>
      </c>
      <c r="E148" s="111">
        <v>0.54</v>
      </c>
      <c r="F148" s="111">
        <v>4.8000000000000001E-2</v>
      </c>
      <c r="G148" s="111">
        <v>7.3999999999999996E-2</v>
      </c>
      <c r="H148" s="111">
        <v>0.111</v>
      </c>
      <c r="I148" s="111">
        <v>7.2999999999999995E-2</v>
      </c>
      <c r="J148" s="111">
        <v>6.5000000000000002E-2</v>
      </c>
      <c r="K148" s="111">
        <v>0.08</v>
      </c>
      <c r="L148" s="111">
        <v>8.8999999999999996E-2</v>
      </c>
      <c r="M148" s="111">
        <v>0.30599999999999999</v>
      </c>
      <c r="N148" s="111">
        <v>0.23400000000000001</v>
      </c>
      <c r="O148" s="60">
        <v>4</v>
      </c>
    </row>
    <row r="149" spans="1:15" x14ac:dyDescent="0.25">
      <c r="A149" t="s">
        <v>460</v>
      </c>
      <c r="B149" s="122">
        <v>36893</v>
      </c>
      <c r="C149" s="111">
        <v>-6.0000000000000001E-3</v>
      </c>
      <c r="D149">
        <v>7.5</v>
      </c>
      <c r="E149" s="111">
        <v>0.17299999999999999</v>
      </c>
      <c r="F149" s="111">
        <v>3.0000000000000001E-3</v>
      </c>
      <c r="G149" s="111">
        <v>1.2E-2</v>
      </c>
      <c r="H149" s="111">
        <v>2.7E-2</v>
      </c>
      <c r="I149" s="111">
        <v>2.1999999999999999E-2</v>
      </c>
      <c r="J149" s="111">
        <v>1.9E-2</v>
      </c>
      <c r="K149" s="111">
        <v>3.5999999999999997E-2</v>
      </c>
      <c r="L149" s="111">
        <v>5.3999999999999999E-2</v>
      </c>
      <c r="M149" s="111">
        <v>6.4000000000000001E-2</v>
      </c>
      <c r="N149" s="111">
        <v>0.109</v>
      </c>
      <c r="O149" s="60">
        <v>4</v>
      </c>
    </row>
    <row r="150" spans="1:15" x14ac:dyDescent="0.25">
      <c r="A150" t="s">
        <v>462</v>
      </c>
      <c r="B150" s="112">
        <v>45660</v>
      </c>
      <c r="C150" s="111">
        <v>-0.153</v>
      </c>
      <c r="D150">
        <v>5.4</v>
      </c>
      <c r="E150" s="111">
        <v>3.1E-2</v>
      </c>
      <c r="F150" s="111">
        <v>0</v>
      </c>
      <c r="G150" s="111">
        <v>1E-3</v>
      </c>
      <c r="H150" s="111">
        <v>3.0000000000000001E-3</v>
      </c>
      <c r="I150" s="111">
        <v>4.0000000000000001E-3</v>
      </c>
      <c r="J150" s="111">
        <v>3.0000000000000001E-3</v>
      </c>
      <c r="K150" s="111">
        <v>6.0000000000000001E-3</v>
      </c>
      <c r="L150" s="111">
        <v>1.2E-2</v>
      </c>
      <c r="M150" s="111">
        <v>8.9999999999999993E-3</v>
      </c>
      <c r="N150" s="111">
        <v>2.1999999999999999E-2</v>
      </c>
      <c r="O150" s="60">
        <v>4</v>
      </c>
    </row>
    <row r="151" spans="1:15" x14ac:dyDescent="0.25">
      <c r="A151" t="s">
        <v>357</v>
      </c>
      <c r="O151" s="60">
        <v>4</v>
      </c>
    </row>
    <row r="152" spans="1:15" x14ac:dyDescent="0.25">
      <c r="A152" t="s">
        <v>444</v>
      </c>
      <c r="B152" t="s">
        <v>445</v>
      </c>
      <c r="C152" t="s">
        <v>446</v>
      </c>
      <c r="D152" t="s">
        <v>447</v>
      </c>
      <c r="E152" t="s">
        <v>448</v>
      </c>
      <c r="F152" t="s">
        <v>449</v>
      </c>
      <c r="G152" t="s">
        <v>450</v>
      </c>
      <c r="H152" t="s">
        <v>451</v>
      </c>
      <c r="I152" t="s">
        <v>452</v>
      </c>
      <c r="J152" t="s">
        <v>453</v>
      </c>
      <c r="K152" t="s">
        <v>454</v>
      </c>
      <c r="L152" t="s">
        <v>455</v>
      </c>
      <c r="M152" t="s">
        <v>456</v>
      </c>
      <c r="N152" t="s">
        <v>457</v>
      </c>
      <c r="O152" s="60">
        <v>4</v>
      </c>
    </row>
    <row r="153" spans="1:15" x14ac:dyDescent="0.25">
      <c r="A153" t="s">
        <v>464</v>
      </c>
      <c r="B153" s="112">
        <v>45717</v>
      </c>
      <c r="C153" s="111">
        <v>0.24099999999999999</v>
      </c>
      <c r="D153">
        <v>11.9</v>
      </c>
      <c r="E153" s="111">
        <v>0.88100000000000001</v>
      </c>
      <c r="F153" s="111">
        <v>0.26100000000000001</v>
      </c>
      <c r="G153" s="111">
        <v>0.20100000000000001</v>
      </c>
      <c r="H153" s="111">
        <v>0.154</v>
      </c>
      <c r="I153" s="111">
        <v>5.3999999999999999E-2</v>
      </c>
      <c r="J153" s="111">
        <v>8.6999999999999994E-2</v>
      </c>
      <c r="K153" s="111">
        <v>6.9000000000000006E-2</v>
      </c>
      <c r="L153" s="111">
        <v>5.3999999999999999E-2</v>
      </c>
      <c r="M153" s="111">
        <v>0.67</v>
      </c>
      <c r="N153" s="111">
        <v>0.21099999999999999</v>
      </c>
      <c r="O153" s="60">
        <v>4</v>
      </c>
    </row>
    <row r="154" spans="1:15" x14ac:dyDescent="0.25">
      <c r="A154" t="s">
        <v>463</v>
      </c>
      <c r="B154" s="122">
        <v>36923</v>
      </c>
      <c r="C154" s="111">
        <v>0.108</v>
      </c>
      <c r="D154">
        <v>10.3</v>
      </c>
      <c r="E154" s="111">
        <v>0.66900000000000004</v>
      </c>
      <c r="F154" s="111">
        <v>7.3999999999999996E-2</v>
      </c>
      <c r="G154" s="111">
        <v>8.2000000000000003E-2</v>
      </c>
      <c r="H154" s="111">
        <v>7.0000000000000007E-2</v>
      </c>
      <c r="I154" s="111">
        <v>3.3000000000000002E-2</v>
      </c>
      <c r="J154" s="111">
        <v>0.16200000000000001</v>
      </c>
      <c r="K154" s="111">
        <v>0.13300000000000001</v>
      </c>
      <c r="L154" s="111">
        <v>0.114</v>
      </c>
      <c r="M154" s="111">
        <v>0.26</v>
      </c>
      <c r="N154" s="111">
        <v>0.40899999999999997</v>
      </c>
      <c r="O154" s="60">
        <v>4</v>
      </c>
    </row>
    <row r="155" spans="1:15" x14ac:dyDescent="0.25">
      <c r="A155" t="s">
        <v>467</v>
      </c>
      <c r="B155" s="112">
        <v>45690</v>
      </c>
      <c r="C155" s="111">
        <v>-4.4999999999999998E-2</v>
      </c>
      <c r="D155">
        <v>7.8</v>
      </c>
      <c r="E155" s="111">
        <v>0.186</v>
      </c>
      <c r="F155" s="111">
        <v>5.0000000000000001E-3</v>
      </c>
      <c r="G155" s="111">
        <v>8.9999999999999993E-3</v>
      </c>
      <c r="H155" s="111">
        <v>1.2E-2</v>
      </c>
      <c r="I155" s="111">
        <v>8.0000000000000002E-3</v>
      </c>
      <c r="J155" s="111">
        <v>3.5999999999999997E-2</v>
      </c>
      <c r="K155" s="111">
        <v>4.9000000000000002E-2</v>
      </c>
      <c r="L155" s="111">
        <v>6.7000000000000004E-2</v>
      </c>
      <c r="M155" s="111">
        <v>3.4000000000000002E-2</v>
      </c>
      <c r="N155" s="111">
        <v>0.152</v>
      </c>
      <c r="O155" s="60">
        <v>4</v>
      </c>
    </row>
    <row r="156" spans="1:15" x14ac:dyDescent="0.25">
      <c r="A156" t="s">
        <v>465</v>
      </c>
      <c r="B156" s="112">
        <v>45690</v>
      </c>
      <c r="C156" s="111">
        <v>-4.4999999999999998E-2</v>
      </c>
      <c r="D156">
        <v>7.1</v>
      </c>
      <c r="E156" s="111">
        <v>0.13700000000000001</v>
      </c>
      <c r="F156" s="111">
        <v>5.0000000000000001E-3</v>
      </c>
      <c r="G156" s="111">
        <v>8.9999999999999993E-3</v>
      </c>
      <c r="H156" s="111">
        <v>1.2E-2</v>
      </c>
      <c r="I156" s="111">
        <v>8.9999999999999993E-3</v>
      </c>
      <c r="J156" s="111">
        <v>1.9E-2</v>
      </c>
      <c r="K156" s="111">
        <v>3.5000000000000003E-2</v>
      </c>
      <c r="L156" s="111">
        <v>4.8000000000000001E-2</v>
      </c>
      <c r="M156" s="111">
        <v>3.5000000000000003E-2</v>
      </c>
      <c r="N156" s="111">
        <v>0.10199999999999999</v>
      </c>
      <c r="O156" s="60">
        <v>4</v>
      </c>
    </row>
    <row r="157" spans="1:15" x14ac:dyDescent="0.25">
      <c r="A157" t="s">
        <v>383</v>
      </c>
      <c r="O157" s="60">
        <v>4</v>
      </c>
    </row>
    <row r="158" spans="1:15" x14ac:dyDescent="0.25">
      <c r="A158" t="s">
        <v>444</v>
      </c>
      <c r="B158" t="s">
        <v>445</v>
      </c>
      <c r="C158" t="s">
        <v>446</v>
      </c>
      <c r="D158" t="s">
        <v>447</v>
      </c>
      <c r="E158" t="s">
        <v>448</v>
      </c>
      <c r="F158" t="s">
        <v>449</v>
      </c>
      <c r="G158" t="s">
        <v>450</v>
      </c>
      <c r="H158" t="s">
        <v>451</v>
      </c>
      <c r="I158" t="s">
        <v>452</v>
      </c>
      <c r="J158" t="s">
        <v>453</v>
      </c>
      <c r="K158" t="s">
        <v>454</v>
      </c>
      <c r="L158" t="s">
        <v>455</v>
      </c>
      <c r="M158" t="s">
        <v>456</v>
      </c>
      <c r="N158" t="s">
        <v>457</v>
      </c>
      <c r="O158" s="60">
        <v>4</v>
      </c>
    </row>
    <row r="159" spans="1:15" x14ac:dyDescent="0.25">
      <c r="A159" t="s">
        <v>468</v>
      </c>
      <c r="B159" s="112">
        <v>45717</v>
      </c>
      <c r="C159" s="111">
        <v>1.0999999999999999E-2</v>
      </c>
      <c r="D159">
        <v>9.8000000000000007</v>
      </c>
      <c r="E159" s="111">
        <v>0.72799999999999998</v>
      </c>
      <c r="F159" s="111">
        <v>4.1000000000000002E-2</v>
      </c>
      <c r="G159" s="111">
        <v>7.8E-2</v>
      </c>
      <c r="H159" s="111">
        <v>0.14199999999999999</v>
      </c>
      <c r="I159" s="111">
        <v>0.42599999999999999</v>
      </c>
      <c r="J159" s="111">
        <v>6.0000000000000001E-3</v>
      </c>
      <c r="K159" s="111">
        <v>1.4999999999999999E-2</v>
      </c>
      <c r="L159" s="111">
        <v>2.1000000000000001E-2</v>
      </c>
      <c r="M159" s="111">
        <v>0.68600000000000005</v>
      </c>
      <c r="N159" s="111">
        <v>4.2000000000000003E-2</v>
      </c>
      <c r="O159" s="60">
        <v>4</v>
      </c>
    </row>
    <row r="160" spans="1:15" x14ac:dyDescent="0.25">
      <c r="A160" t="s">
        <v>469</v>
      </c>
      <c r="B160" s="112">
        <v>45690</v>
      </c>
      <c r="C160" s="111">
        <v>-4.1000000000000002E-2</v>
      </c>
      <c r="D160">
        <v>8.3000000000000007</v>
      </c>
      <c r="E160" s="111">
        <v>0.35499999999999998</v>
      </c>
      <c r="F160" s="111">
        <v>1.0999999999999999E-2</v>
      </c>
      <c r="G160" s="111">
        <v>2.5999999999999999E-2</v>
      </c>
      <c r="H160" s="111">
        <v>5.6000000000000001E-2</v>
      </c>
      <c r="I160" s="111">
        <v>0.14000000000000001</v>
      </c>
      <c r="J160" s="111">
        <v>2.5999999999999999E-2</v>
      </c>
      <c r="K160" s="111">
        <v>0.04</v>
      </c>
      <c r="L160" s="111">
        <v>5.6000000000000001E-2</v>
      </c>
      <c r="M160" s="111">
        <v>0.23300000000000001</v>
      </c>
      <c r="N160" s="111">
        <v>0.122</v>
      </c>
      <c r="O160" s="60">
        <v>4</v>
      </c>
    </row>
    <row r="161" spans="1:15" x14ac:dyDescent="0.25">
      <c r="A161" t="s">
        <v>470</v>
      </c>
      <c r="B161" t="s">
        <v>494</v>
      </c>
      <c r="C161" s="111">
        <v>-0.17899999999999999</v>
      </c>
      <c r="D161">
        <v>5.4</v>
      </c>
      <c r="E161" s="111">
        <v>5.7000000000000002E-2</v>
      </c>
      <c r="F161" s="111">
        <v>0</v>
      </c>
      <c r="G161" s="111">
        <v>1E-3</v>
      </c>
      <c r="H161" s="111">
        <v>4.0000000000000001E-3</v>
      </c>
      <c r="I161" s="111">
        <v>4.4999999999999998E-2</v>
      </c>
      <c r="J161" s="111">
        <v>0</v>
      </c>
      <c r="K161" s="111">
        <v>2E-3</v>
      </c>
      <c r="L161" s="111">
        <v>5.0000000000000001E-3</v>
      </c>
      <c r="M161" s="111">
        <v>0.05</v>
      </c>
      <c r="N161" s="111">
        <v>7.0000000000000001E-3</v>
      </c>
      <c r="O161" s="60">
        <v>4</v>
      </c>
    </row>
    <row r="162" spans="1:15" x14ac:dyDescent="0.25">
      <c r="A162" t="s">
        <v>471</v>
      </c>
      <c r="B162" s="112">
        <v>45660</v>
      </c>
      <c r="C162" s="111">
        <v>-0.24</v>
      </c>
      <c r="D162">
        <v>5</v>
      </c>
      <c r="E162" s="111">
        <v>3.9E-2</v>
      </c>
      <c r="F162" s="111">
        <v>0</v>
      </c>
      <c r="G162" s="111">
        <v>1E-3</v>
      </c>
      <c r="H162" s="111">
        <v>3.0000000000000001E-3</v>
      </c>
      <c r="I162" s="111">
        <v>2.7E-2</v>
      </c>
      <c r="J162" s="111">
        <v>1E-3</v>
      </c>
      <c r="K162" s="111">
        <v>2E-3</v>
      </c>
      <c r="L162" s="111">
        <v>5.0000000000000001E-3</v>
      </c>
      <c r="M162" s="111">
        <v>3.1E-2</v>
      </c>
      <c r="N162" s="111">
        <v>8.0000000000000002E-3</v>
      </c>
      <c r="O162" s="60">
        <v>4</v>
      </c>
    </row>
    <row r="163" spans="1:15" x14ac:dyDescent="0.25">
      <c r="A163" t="s">
        <v>355</v>
      </c>
      <c r="O163" s="60">
        <v>4</v>
      </c>
    </row>
    <row r="164" spans="1:15" x14ac:dyDescent="0.25">
      <c r="A164" t="s">
        <v>444</v>
      </c>
      <c r="B164" t="s">
        <v>445</v>
      </c>
      <c r="C164" t="s">
        <v>446</v>
      </c>
      <c r="D164" t="s">
        <v>447</v>
      </c>
      <c r="E164" t="s">
        <v>448</v>
      </c>
      <c r="F164" t="s">
        <v>449</v>
      </c>
      <c r="G164" t="s">
        <v>450</v>
      </c>
      <c r="H164" t="s">
        <v>451</v>
      </c>
      <c r="I164" t="s">
        <v>452</v>
      </c>
      <c r="J164" t="s">
        <v>453</v>
      </c>
      <c r="K164" t="s">
        <v>454</v>
      </c>
      <c r="L164" t="s">
        <v>455</v>
      </c>
      <c r="M164" t="s">
        <v>456</v>
      </c>
      <c r="N164" t="s">
        <v>457</v>
      </c>
      <c r="O164" s="60">
        <v>4</v>
      </c>
    </row>
    <row r="165" spans="1:15" x14ac:dyDescent="0.25">
      <c r="A165" t="s">
        <v>473</v>
      </c>
      <c r="B165" s="112">
        <v>45717</v>
      </c>
      <c r="C165" s="111">
        <v>0.157</v>
      </c>
      <c r="D165">
        <v>11.1</v>
      </c>
      <c r="E165" s="111">
        <v>0.76700000000000002</v>
      </c>
      <c r="F165" s="111">
        <v>0.157</v>
      </c>
      <c r="G165" s="111">
        <v>0.14599999999999999</v>
      </c>
      <c r="H165" s="111">
        <v>9.4E-2</v>
      </c>
      <c r="I165" s="111">
        <v>3.7999999999999999E-2</v>
      </c>
      <c r="J165" s="111">
        <v>0.129</v>
      </c>
      <c r="K165" s="111">
        <v>0.11</v>
      </c>
      <c r="L165" s="111">
        <v>9.2999999999999999E-2</v>
      </c>
      <c r="M165" s="111">
        <v>0.434</v>
      </c>
      <c r="N165" s="111">
        <v>0.33200000000000002</v>
      </c>
      <c r="O165" s="60">
        <v>4</v>
      </c>
    </row>
    <row r="166" spans="1:15" x14ac:dyDescent="0.25">
      <c r="A166" t="s">
        <v>475</v>
      </c>
      <c r="B166" s="112">
        <v>45717</v>
      </c>
      <c r="C166" s="111">
        <v>9.0999999999999998E-2</v>
      </c>
      <c r="D166">
        <v>10.6</v>
      </c>
      <c r="E166" s="111">
        <v>0.68500000000000005</v>
      </c>
      <c r="F166" s="111">
        <v>9.5000000000000001E-2</v>
      </c>
      <c r="G166" s="111">
        <v>9.1999999999999998E-2</v>
      </c>
      <c r="H166" s="111">
        <v>5.8999999999999997E-2</v>
      </c>
      <c r="I166" s="111">
        <v>2.1000000000000001E-2</v>
      </c>
      <c r="J166" s="111">
        <v>0.16400000000000001</v>
      </c>
      <c r="K166" s="111">
        <v>0.14099999999999999</v>
      </c>
      <c r="L166" s="111">
        <v>0.113</v>
      </c>
      <c r="M166" s="111">
        <v>0.26700000000000002</v>
      </c>
      <c r="N166" s="111">
        <v>0.41799999999999998</v>
      </c>
      <c r="O166" s="60">
        <v>4</v>
      </c>
    </row>
    <row r="167" spans="1:15" x14ac:dyDescent="0.25">
      <c r="A167" t="s">
        <v>472</v>
      </c>
      <c r="B167" s="112">
        <v>45717</v>
      </c>
      <c r="C167" s="111">
        <v>6.5000000000000002E-2</v>
      </c>
      <c r="D167">
        <v>10.3</v>
      </c>
      <c r="E167" s="111">
        <v>0.67800000000000005</v>
      </c>
      <c r="F167" s="111">
        <v>8.8999999999999996E-2</v>
      </c>
      <c r="G167" s="111">
        <v>8.7999999999999995E-2</v>
      </c>
      <c r="H167" s="111">
        <v>5.3999999999999999E-2</v>
      </c>
      <c r="I167" s="111">
        <v>2.5000000000000001E-2</v>
      </c>
      <c r="J167" s="111">
        <v>0.16300000000000001</v>
      </c>
      <c r="K167" s="111">
        <v>0.14000000000000001</v>
      </c>
      <c r="L167" s="111">
        <v>0.12</v>
      </c>
      <c r="M167" s="111">
        <v>0.25600000000000001</v>
      </c>
      <c r="N167" s="111">
        <v>0.42299999999999999</v>
      </c>
      <c r="O167" s="60">
        <v>4</v>
      </c>
    </row>
    <row r="168" spans="1:15" x14ac:dyDescent="0.25">
      <c r="A168" t="s">
        <v>474</v>
      </c>
      <c r="B168" s="112">
        <v>45690</v>
      </c>
      <c r="C168" s="111">
        <v>-0.01</v>
      </c>
      <c r="D168">
        <v>8.1999999999999993</v>
      </c>
      <c r="E168" s="111">
        <v>0.253</v>
      </c>
      <c r="F168" s="111">
        <v>0.01</v>
      </c>
      <c r="G168" s="111">
        <v>1.4E-2</v>
      </c>
      <c r="H168" s="111">
        <v>1.2999999999999999E-2</v>
      </c>
      <c r="I168" s="111">
        <v>7.0000000000000001E-3</v>
      </c>
      <c r="J168" s="111">
        <v>5.1999999999999998E-2</v>
      </c>
      <c r="K168" s="111">
        <v>7.2999999999999995E-2</v>
      </c>
      <c r="L168" s="111">
        <v>8.5000000000000006E-2</v>
      </c>
      <c r="M168" s="111">
        <v>4.2999999999999997E-2</v>
      </c>
      <c r="N168" s="111">
        <v>0.21</v>
      </c>
      <c r="O168" s="60">
        <v>4</v>
      </c>
    </row>
    <row r="169" spans="1:15" x14ac:dyDescent="0.25">
      <c r="A169" t="s">
        <v>359</v>
      </c>
      <c r="O169" s="60">
        <v>4</v>
      </c>
    </row>
    <row r="170" spans="1:15" x14ac:dyDescent="0.25">
      <c r="A170" t="s">
        <v>444</v>
      </c>
      <c r="B170" t="s">
        <v>445</v>
      </c>
      <c r="C170" t="s">
        <v>446</v>
      </c>
      <c r="D170" t="s">
        <v>447</v>
      </c>
      <c r="E170" t="s">
        <v>448</v>
      </c>
      <c r="F170" t="s">
        <v>449</v>
      </c>
      <c r="G170" t="s">
        <v>450</v>
      </c>
      <c r="H170" t="s">
        <v>451</v>
      </c>
      <c r="I170" t="s">
        <v>452</v>
      </c>
      <c r="J170" t="s">
        <v>453</v>
      </c>
      <c r="K170" t="s">
        <v>454</v>
      </c>
      <c r="L170" t="s">
        <v>455</v>
      </c>
      <c r="M170" t="s">
        <v>456</v>
      </c>
      <c r="N170" t="s">
        <v>457</v>
      </c>
      <c r="O170" s="60">
        <v>4</v>
      </c>
    </row>
    <row r="171" spans="1:15" x14ac:dyDescent="0.25">
      <c r="A171" t="s">
        <v>476</v>
      </c>
      <c r="B171" s="110">
        <v>36617</v>
      </c>
      <c r="C171" s="111">
        <v>0.224</v>
      </c>
      <c r="D171">
        <v>13.4</v>
      </c>
      <c r="E171" s="111">
        <v>0.98599999999999999</v>
      </c>
      <c r="F171" s="111">
        <v>0.63400000000000001</v>
      </c>
      <c r="G171" s="111">
        <v>0.182</v>
      </c>
      <c r="H171" s="111">
        <v>7.8E-2</v>
      </c>
      <c r="I171" s="111">
        <v>3.4000000000000002E-2</v>
      </c>
      <c r="J171" s="111">
        <v>3.1E-2</v>
      </c>
      <c r="K171" s="111">
        <v>1.6E-2</v>
      </c>
      <c r="L171" s="111">
        <v>1.0999999999999999E-2</v>
      </c>
      <c r="M171" s="111">
        <v>0.92800000000000005</v>
      </c>
      <c r="N171" s="111">
        <v>5.8000000000000003E-2</v>
      </c>
      <c r="O171" s="60">
        <v>4</v>
      </c>
    </row>
    <row r="172" spans="1:15" x14ac:dyDescent="0.25">
      <c r="A172" t="s">
        <v>477</v>
      </c>
      <c r="B172" s="112">
        <v>45690</v>
      </c>
      <c r="C172" s="111">
        <v>-3.7999999999999999E-2</v>
      </c>
      <c r="D172">
        <v>8.6999999999999993</v>
      </c>
      <c r="E172" s="111">
        <v>0.41199999999999998</v>
      </c>
      <c r="F172" s="111">
        <v>1.4999999999999999E-2</v>
      </c>
      <c r="G172" s="111">
        <v>1.7999999999999999E-2</v>
      </c>
      <c r="H172" s="111">
        <v>1.7000000000000001E-2</v>
      </c>
      <c r="I172" s="111">
        <v>1.2999999999999999E-2</v>
      </c>
      <c r="J172" s="111">
        <v>0.113</v>
      </c>
      <c r="K172" s="111">
        <v>0.11799999999999999</v>
      </c>
      <c r="L172" s="111">
        <v>0.11799999999999999</v>
      </c>
      <c r="M172" s="111">
        <v>6.3E-2</v>
      </c>
      <c r="N172" s="111">
        <v>0.34899999999999998</v>
      </c>
      <c r="O172" s="60">
        <v>4</v>
      </c>
    </row>
    <row r="173" spans="1:15" x14ac:dyDescent="0.25">
      <c r="A173" t="s">
        <v>479</v>
      </c>
      <c r="B173" s="112">
        <v>45660</v>
      </c>
      <c r="C173" s="111">
        <v>-0.108</v>
      </c>
      <c r="D173">
        <v>6.7</v>
      </c>
      <c r="E173" s="111">
        <v>0.13100000000000001</v>
      </c>
      <c r="F173" s="111">
        <v>1E-3</v>
      </c>
      <c r="G173" s="111">
        <v>2E-3</v>
      </c>
      <c r="H173" s="111">
        <v>2E-3</v>
      </c>
      <c r="I173" s="111">
        <v>2E-3</v>
      </c>
      <c r="J173" s="111">
        <v>3.1E-2</v>
      </c>
      <c r="K173" s="111">
        <v>4.2000000000000003E-2</v>
      </c>
      <c r="L173" s="111">
        <v>5.1999999999999998E-2</v>
      </c>
      <c r="M173" s="111">
        <v>6.0000000000000001E-3</v>
      </c>
      <c r="N173" s="111">
        <v>0.124</v>
      </c>
      <c r="O173" s="60">
        <v>4</v>
      </c>
    </row>
    <row r="174" spans="1:15" x14ac:dyDescent="0.25">
      <c r="A174" t="s">
        <v>478</v>
      </c>
      <c r="B174" t="s">
        <v>494</v>
      </c>
      <c r="C174" s="111">
        <v>-0.115</v>
      </c>
      <c r="D174">
        <v>5.8</v>
      </c>
      <c r="E174" s="111">
        <v>5.8000000000000003E-2</v>
      </c>
      <c r="F174" s="111">
        <v>0</v>
      </c>
      <c r="G174" s="111">
        <v>1E-3</v>
      </c>
      <c r="H174" s="111">
        <v>1E-3</v>
      </c>
      <c r="I174" s="111">
        <v>1E-3</v>
      </c>
      <c r="J174" s="111">
        <v>1.0999999999999999E-2</v>
      </c>
      <c r="K174" s="111">
        <v>1.7999999999999999E-2</v>
      </c>
      <c r="L174" s="111">
        <v>2.5999999999999999E-2</v>
      </c>
      <c r="M174" s="111">
        <v>3.0000000000000001E-3</v>
      </c>
      <c r="N174" s="111">
        <v>5.6000000000000001E-2</v>
      </c>
      <c r="O174" s="60">
        <v>4</v>
      </c>
    </row>
    <row r="175" spans="1:15" x14ac:dyDescent="0.25">
      <c r="A175" t="s">
        <v>352</v>
      </c>
      <c r="O175" s="60">
        <v>4</v>
      </c>
    </row>
    <row r="176" spans="1:15" x14ac:dyDescent="0.25">
      <c r="A176" t="s">
        <v>444</v>
      </c>
      <c r="B176" t="s">
        <v>445</v>
      </c>
      <c r="C176" t="s">
        <v>446</v>
      </c>
      <c r="D176" t="s">
        <v>447</v>
      </c>
      <c r="E176" t="s">
        <v>448</v>
      </c>
      <c r="F176" t="s">
        <v>449</v>
      </c>
      <c r="G176" t="s">
        <v>450</v>
      </c>
      <c r="H176" t="s">
        <v>451</v>
      </c>
      <c r="I176" t="s">
        <v>452</v>
      </c>
      <c r="J176" t="s">
        <v>453</v>
      </c>
      <c r="K176" t="s">
        <v>454</v>
      </c>
      <c r="L176" t="s">
        <v>455</v>
      </c>
      <c r="M176" t="s">
        <v>456</v>
      </c>
      <c r="N176" t="s">
        <v>457</v>
      </c>
      <c r="O176" s="60">
        <v>4</v>
      </c>
    </row>
    <row r="177" spans="1:15" x14ac:dyDescent="0.25">
      <c r="A177" t="s">
        <v>480</v>
      </c>
      <c r="B177" s="112">
        <v>45660</v>
      </c>
      <c r="C177" s="111">
        <v>0.14599999999999999</v>
      </c>
      <c r="D177">
        <v>9.6</v>
      </c>
      <c r="E177" s="111">
        <v>0.70399999999999996</v>
      </c>
      <c r="F177" s="111">
        <v>2.1000000000000001E-2</v>
      </c>
      <c r="G177" s="111">
        <v>9.2999999999999999E-2</v>
      </c>
      <c r="H177" s="111">
        <v>0.17799999999999999</v>
      </c>
      <c r="I177" s="111">
        <v>0.215</v>
      </c>
      <c r="J177" s="111">
        <v>5.2999999999999999E-2</v>
      </c>
      <c r="K177" s="111">
        <v>7.0000000000000007E-2</v>
      </c>
      <c r="L177" s="111">
        <v>7.3999999999999996E-2</v>
      </c>
      <c r="M177" s="111">
        <v>0.50700000000000001</v>
      </c>
      <c r="N177" s="111">
        <v>0.19800000000000001</v>
      </c>
      <c r="O177" s="60">
        <v>4</v>
      </c>
    </row>
    <row r="178" spans="1:15" x14ac:dyDescent="0.25">
      <c r="A178" t="s">
        <v>482</v>
      </c>
      <c r="B178" s="112">
        <v>45717</v>
      </c>
      <c r="C178" s="111">
        <v>-3.0000000000000001E-3</v>
      </c>
      <c r="D178">
        <v>9.6</v>
      </c>
      <c r="E178" s="111">
        <v>0.66800000000000004</v>
      </c>
      <c r="F178" s="111">
        <v>4.9000000000000002E-2</v>
      </c>
      <c r="G178" s="111">
        <v>9.9000000000000005E-2</v>
      </c>
      <c r="H178" s="111">
        <v>0.13200000000000001</v>
      </c>
      <c r="I178" s="111">
        <v>0.14199999999999999</v>
      </c>
      <c r="J178" s="111">
        <v>7.3999999999999996E-2</v>
      </c>
      <c r="K178" s="111">
        <v>8.5000000000000006E-2</v>
      </c>
      <c r="L178" s="111">
        <v>8.5999999999999993E-2</v>
      </c>
      <c r="M178" s="111">
        <v>0.42199999999999999</v>
      </c>
      <c r="N178" s="111">
        <v>0.246</v>
      </c>
      <c r="O178" s="60">
        <v>4</v>
      </c>
    </row>
    <row r="179" spans="1:15" x14ac:dyDescent="0.25">
      <c r="A179" t="s">
        <v>481</v>
      </c>
      <c r="B179" s="112">
        <v>45690</v>
      </c>
      <c r="C179" s="111">
        <v>-0.218</v>
      </c>
      <c r="D179">
        <v>6.1</v>
      </c>
      <c r="E179" s="111">
        <v>9.1999999999999998E-2</v>
      </c>
      <c r="F179" s="111">
        <v>0</v>
      </c>
      <c r="G179" s="111">
        <v>3.0000000000000001E-3</v>
      </c>
      <c r="H179" s="111">
        <v>0.01</v>
      </c>
      <c r="I179" s="111">
        <v>2.7E-2</v>
      </c>
      <c r="J179" s="111">
        <v>7.0000000000000001E-3</v>
      </c>
      <c r="K179" s="111">
        <v>1.6E-2</v>
      </c>
      <c r="L179" s="111">
        <v>2.9000000000000001E-2</v>
      </c>
      <c r="M179" s="111">
        <v>4.1000000000000002E-2</v>
      </c>
      <c r="N179" s="111">
        <v>5.1999999999999998E-2</v>
      </c>
      <c r="O179" s="60">
        <v>4</v>
      </c>
    </row>
    <row r="180" spans="1:15" x14ac:dyDescent="0.25">
      <c r="A180" t="s">
        <v>483</v>
      </c>
      <c r="B180" s="112">
        <v>45660</v>
      </c>
      <c r="C180" s="111">
        <v>-0.17199999999999999</v>
      </c>
      <c r="D180">
        <v>6.1</v>
      </c>
      <c r="E180" s="111">
        <v>8.5000000000000006E-2</v>
      </c>
      <c r="F180" s="111">
        <v>1E-3</v>
      </c>
      <c r="G180" s="111">
        <v>3.0000000000000001E-3</v>
      </c>
      <c r="H180" s="111">
        <v>8.0000000000000002E-3</v>
      </c>
      <c r="I180" s="111">
        <v>1.9E-2</v>
      </c>
      <c r="J180" s="111">
        <v>8.0000000000000002E-3</v>
      </c>
      <c r="K180" s="111">
        <v>1.9E-2</v>
      </c>
      <c r="L180" s="111">
        <v>2.8000000000000001E-2</v>
      </c>
      <c r="M180" s="111">
        <v>0.03</v>
      </c>
      <c r="N180" s="111">
        <v>5.5E-2</v>
      </c>
      <c r="O180" s="60">
        <v>4</v>
      </c>
    </row>
    <row r="181" spans="1:15" x14ac:dyDescent="0.25">
      <c r="A181" t="s">
        <v>368</v>
      </c>
      <c r="O181" s="60">
        <v>4</v>
      </c>
    </row>
    <row r="182" spans="1:15" x14ac:dyDescent="0.25">
      <c r="A182" t="s">
        <v>444</v>
      </c>
      <c r="B182" t="s">
        <v>445</v>
      </c>
      <c r="C182" t="s">
        <v>446</v>
      </c>
      <c r="D182" t="s">
        <v>447</v>
      </c>
      <c r="E182" t="s">
        <v>448</v>
      </c>
      <c r="F182" t="s">
        <v>449</v>
      </c>
      <c r="G182" t="s">
        <v>450</v>
      </c>
      <c r="H182" t="s">
        <v>451</v>
      </c>
      <c r="I182" t="s">
        <v>452</v>
      </c>
      <c r="J182" t="s">
        <v>453</v>
      </c>
      <c r="K182" t="s">
        <v>454</v>
      </c>
      <c r="L182" t="s">
        <v>455</v>
      </c>
      <c r="M182" t="s">
        <v>456</v>
      </c>
      <c r="N182" t="s">
        <v>457</v>
      </c>
      <c r="O182" s="60">
        <v>4</v>
      </c>
    </row>
    <row r="183" spans="1:15" x14ac:dyDescent="0.25">
      <c r="A183" t="s">
        <v>484</v>
      </c>
      <c r="B183" s="112">
        <v>45717</v>
      </c>
      <c r="C183" s="111">
        <v>0.04</v>
      </c>
      <c r="D183">
        <v>10.199999999999999</v>
      </c>
      <c r="E183" s="111">
        <v>0.72599999999999998</v>
      </c>
      <c r="F183" s="111">
        <v>5.7000000000000002E-2</v>
      </c>
      <c r="G183" s="111">
        <v>0.14399999999999999</v>
      </c>
      <c r="H183" s="111">
        <v>0.14299999999999999</v>
      </c>
      <c r="I183" s="111">
        <v>0.185</v>
      </c>
      <c r="J183" s="111">
        <v>6.5000000000000002E-2</v>
      </c>
      <c r="K183" s="111">
        <v>6.6000000000000003E-2</v>
      </c>
      <c r="L183" s="111">
        <v>6.6000000000000003E-2</v>
      </c>
      <c r="M183" s="111">
        <v>0.53</v>
      </c>
      <c r="N183" s="111">
        <v>0.19600000000000001</v>
      </c>
      <c r="O183" s="60">
        <v>4</v>
      </c>
    </row>
    <row r="184" spans="1:15" x14ac:dyDescent="0.25">
      <c r="A184" t="s">
        <v>485</v>
      </c>
      <c r="B184" s="112">
        <v>45717</v>
      </c>
      <c r="C184" s="111">
        <v>1E-3</v>
      </c>
      <c r="D184">
        <v>9.5</v>
      </c>
      <c r="E184" s="111">
        <v>0.64900000000000002</v>
      </c>
      <c r="F184" s="111">
        <v>0.04</v>
      </c>
      <c r="G184" s="111">
        <v>9.1999999999999998E-2</v>
      </c>
      <c r="H184" s="111">
        <v>0.113</v>
      </c>
      <c r="I184" s="111">
        <v>0.123</v>
      </c>
      <c r="J184" s="111">
        <v>9.5000000000000001E-2</v>
      </c>
      <c r="K184" s="111">
        <v>9.1999999999999998E-2</v>
      </c>
      <c r="L184" s="111">
        <v>9.4E-2</v>
      </c>
      <c r="M184" s="111">
        <v>0.36699999999999999</v>
      </c>
      <c r="N184" s="111">
        <v>0.28100000000000003</v>
      </c>
      <c r="O184" s="60">
        <v>4</v>
      </c>
    </row>
    <row r="185" spans="1:15" x14ac:dyDescent="0.25">
      <c r="A185" t="s">
        <v>486</v>
      </c>
      <c r="B185" s="112">
        <v>45660</v>
      </c>
      <c r="C185" s="111">
        <v>0</v>
      </c>
      <c r="D185">
        <v>7.3</v>
      </c>
      <c r="E185" s="111">
        <v>0.26</v>
      </c>
      <c r="F185" s="111">
        <v>6.0000000000000001E-3</v>
      </c>
      <c r="G185" s="111">
        <v>1.6E-2</v>
      </c>
      <c r="H185" s="111">
        <v>3.2000000000000001E-2</v>
      </c>
      <c r="I185" s="111">
        <v>4.7E-2</v>
      </c>
      <c r="J185" s="111">
        <v>3.9E-2</v>
      </c>
      <c r="K185" s="111">
        <v>5.3999999999999999E-2</v>
      </c>
      <c r="L185" s="111">
        <v>6.6000000000000003E-2</v>
      </c>
      <c r="M185" s="111">
        <v>0.10100000000000001</v>
      </c>
      <c r="N185" s="111">
        <v>0.159</v>
      </c>
      <c r="O185" s="60">
        <v>4</v>
      </c>
    </row>
    <row r="186" spans="1:15" x14ac:dyDescent="0.25">
      <c r="A186" t="s">
        <v>487</v>
      </c>
      <c r="B186" t="s">
        <v>494</v>
      </c>
      <c r="C186" s="111">
        <v>-0.27300000000000002</v>
      </c>
      <c r="D186">
        <v>3.6</v>
      </c>
      <c r="E186" s="111">
        <v>8.0000000000000002E-3</v>
      </c>
      <c r="F186" s="111">
        <v>0</v>
      </c>
      <c r="G186" s="111">
        <v>0</v>
      </c>
      <c r="H186" s="111">
        <v>0</v>
      </c>
      <c r="I186" s="111">
        <v>2E-3</v>
      </c>
      <c r="J186" s="111">
        <v>1E-3</v>
      </c>
      <c r="K186" s="111">
        <v>2E-3</v>
      </c>
      <c r="L186" s="111">
        <v>3.0000000000000001E-3</v>
      </c>
      <c r="M186" s="111">
        <v>2E-3</v>
      </c>
      <c r="N186" s="111">
        <v>6.0000000000000001E-3</v>
      </c>
      <c r="O186" s="60">
        <v>4</v>
      </c>
    </row>
    <row r="187" spans="1:15" x14ac:dyDescent="0.25">
      <c r="A187" t="s">
        <v>367</v>
      </c>
      <c r="O187" s="60">
        <v>4</v>
      </c>
    </row>
    <row r="188" spans="1:15" x14ac:dyDescent="0.25">
      <c r="A188" t="s">
        <v>444</v>
      </c>
      <c r="B188" t="s">
        <v>445</v>
      </c>
      <c r="C188" t="s">
        <v>446</v>
      </c>
      <c r="D188" t="s">
        <v>447</v>
      </c>
      <c r="E188" t="s">
        <v>448</v>
      </c>
      <c r="F188" t="s">
        <v>449</v>
      </c>
      <c r="G188" t="s">
        <v>450</v>
      </c>
      <c r="H188" t="s">
        <v>451</v>
      </c>
      <c r="I188" t="s">
        <v>452</v>
      </c>
      <c r="J188" t="s">
        <v>453</v>
      </c>
      <c r="K188" t="s">
        <v>454</v>
      </c>
      <c r="L188" t="s">
        <v>455</v>
      </c>
      <c r="M188" t="s">
        <v>456</v>
      </c>
      <c r="N188" t="s">
        <v>457</v>
      </c>
      <c r="O188" s="60">
        <v>4</v>
      </c>
    </row>
    <row r="189" spans="1:15" x14ac:dyDescent="0.25">
      <c r="A189" t="s">
        <v>489</v>
      </c>
      <c r="B189" s="112">
        <v>45717</v>
      </c>
      <c r="C189" s="111">
        <v>5.1999999999999998E-2</v>
      </c>
      <c r="D189">
        <v>10.199999999999999</v>
      </c>
      <c r="E189" s="111">
        <v>0.76300000000000001</v>
      </c>
      <c r="F189" s="111">
        <v>7.8E-2</v>
      </c>
      <c r="G189" s="111">
        <v>0.14599999999999999</v>
      </c>
      <c r="H189" s="111">
        <v>0.115</v>
      </c>
      <c r="I189" s="111">
        <v>7.2999999999999995E-2</v>
      </c>
      <c r="J189" s="111">
        <v>0.151</v>
      </c>
      <c r="K189" s="111">
        <v>0.113</v>
      </c>
      <c r="L189" s="111">
        <v>8.6999999999999994E-2</v>
      </c>
      <c r="M189" s="111">
        <v>0.41099999999999998</v>
      </c>
      <c r="N189" s="111">
        <v>0.35199999999999998</v>
      </c>
      <c r="O189" s="60">
        <v>4</v>
      </c>
    </row>
    <row r="190" spans="1:15" x14ac:dyDescent="0.25">
      <c r="A190" t="s">
        <v>488</v>
      </c>
      <c r="B190" s="112">
        <v>45690</v>
      </c>
      <c r="C190" s="111">
        <v>0.16600000000000001</v>
      </c>
      <c r="D190">
        <v>10.1</v>
      </c>
      <c r="E190" s="111">
        <v>0.73799999999999999</v>
      </c>
      <c r="F190" s="111">
        <v>7.0000000000000007E-2</v>
      </c>
      <c r="G190" s="111">
        <v>0.127</v>
      </c>
      <c r="H190" s="111">
        <v>9.6000000000000002E-2</v>
      </c>
      <c r="I190" s="111">
        <v>5.3999999999999999E-2</v>
      </c>
      <c r="J190" s="111">
        <v>0.17</v>
      </c>
      <c r="K190" s="111">
        <v>0.124</v>
      </c>
      <c r="L190" s="111">
        <v>9.7000000000000003E-2</v>
      </c>
      <c r="M190" s="111">
        <v>0.34699999999999998</v>
      </c>
      <c r="N190" s="111">
        <v>0.39100000000000001</v>
      </c>
      <c r="O190" s="60">
        <v>4</v>
      </c>
    </row>
    <row r="191" spans="1:15" x14ac:dyDescent="0.25">
      <c r="A191" t="s">
        <v>491</v>
      </c>
      <c r="B191" s="112">
        <v>45690</v>
      </c>
      <c r="C191" s="111">
        <v>9.2999999999999999E-2</v>
      </c>
      <c r="D191">
        <v>9.3000000000000007</v>
      </c>
      <c r="E191" s="111">
        <v>0.57599999999999996</v>
      </c>
      <c r="F191" s="111">
        <v>2.5999999999999999E-2</v>
      </c>
      <c r="G191" s="111">
        <v>6.9000000000000006E-2</v>
      </c>
      <c r="H191" s="111">
        <v>6.6000000000000003E-2</v>
      </c>
      <c r="I191" s="111">
        <v>5.1999999999999998E-2</v>
      </c>
      <c r="J191" s="111">
        <v>0.125</v>
      </c>
      <c r="K191" s="111">
        <v>0.125</v>
      </c>
      <c r="L191" s="111">
        <v>0.113</v>
      </c>
      <c r="M191" s="111">
        <v>0.21299999999999999</v>
      </c>
      <c r="N191" s="111">
        <v>0.36299999999999999</v>
      </c>
      <c r="O191" s="60">
        <v>4</v>
      </c>
    </row>
    <row r="192" spans="1:15" x14ac:dyDescent="0.25">
      <c r="A192" t="s">
        <v>490</v>
      </c>
      <c r="B192" s="112">
        <v>45660</v>
      </c>
      <c r="C192" s="111">
        <v>-7.5999999999999998E-2</v>
      </c>
      <c r="D192">
        <v>6.6</v>
      </c>
      <c r="E192" s="111">
        <v>0.14399999999999999</v>
      </c>
      <c r="F192" s="111">
        <v>1E-3</v>
      </c>
      <c r="G192" s="111">
        <v>7.0000000000000001E-3</v>
      </c>
      <c r="H192" s="111">
        <v>8.9999999999999993E-3</v>
      </c>
      <c r="I192" s="111">
        <v>1.0999999999999999E-2</v>
      </c>
      <c r="J192" s="111">
        <v>2.5999999999999999E-2</v>
      </c>
      <c r="K192" s="111">
        <v>3.9E-2</v>
      </c>
      <c r="L192" s="111">
        <v>0.05</v>
      </c>
      <c r="M192" s="111">
        <v>2.8000000000000001E-2</v>
      </c>
      <c r="N192" s="111">
        <v>0.115</v>
      </c>
      <c r="O192" s="60">
        <v>4</v>
      </c>
    </row>
    <row r="193" spans="1:15" x14ac:dyDescent="0.25">
      <c r="A193" t="s">
        <v>363</v>
      </c>
      <c r="O193" s="60">
        <v>5</v>
      </c>
    </row>
    <row r="194" spans="1:15" x14ac:dyDescent="0.25">
      <c r="A194" t="s">
        <v>444</v>
      </c>
      <c r="B194" t="s">
        <v>445</v>
      </c>
      <c r="C194" t="s">
        <v>446</v>
      </c>
      <c r="D194" t="s">
        <v>447</v>
      </c>
      <c r="E194" t="s">
        <v>448</v>
      </c>
      <c r="F194" t="s">
        <v>449</v>
      </c>
      <c r="G194" t="s">
        <v>450</v>
      </c>
      <c r="H194" t="s">
        <v>451</v>
      </c>
      <c r="I194" t="s">
        <v>452</v>
      </c>
      <c r="J194" t="s">
        <v>453</v>
      </c>
      <c r="K194" t="s">
        <v>454</v>
      </c>
      <c r="L194" t="s">
        <v>455</v>
      </c>
      <c r="M194" t="s">
        <v>456</v>
      </c>
      <c r="N194" t="s">
        <v>457</v>
      </c>
      <c r="O194" s="60">
        <v>5</v>
      </c>
    </row>
    <row r="195" spans="1:15" x14ac:dyDescent="0.25">
      <c r="A195" t="s">
        <v>459</v>
      </c>
      <c r="B195" s="112">
        <v>45748</v>
      </c>
      <c r="C195" s="111">
        <v>0.121</v>
      </c>
      <c r="D195">
        <v>10.7</v>
      </c>
      <c r="E195" s="111">
        <v>0.74299999999999999</v>
      </c>
      <c r="F195" s="111">
        <v>0.124</v>
      </c>
      <c r="G195" s="111">
        <v>0.125</v>
      </c>
      <c r="H195" s="111">
        <v>0.13800000000000001</v>
      </c>
      <c r="I195" s="111">
        <v>6.8000000000000005E-2</v>
      </c>
      <c r="J195" s="111">
        <v>9.9000000000000005E-2</v>
      </c>
      <c r="K195" s="111">
        <v>9.6000000000000002E-2</v>
      </c>
      <c r="L195" s="111">
        <v>9.1999999999999998E-2</v>
      </c>
      <c r="M195" s="111">
        <v>0.45600000000000002</v>
      </c>
      <c r="N195" s="111">
        <v>0.28699999999999998</v>
      </c>
      <c r="O195" s="60">
        <v>5</v>
      </c>
    </row>
    <row r="196" spans="1:15" x14ac:dyDescent="0.25">
      <c r="A196" t="s">
        <v>458</v>
      </c>
      <c r="B196" s="112">
        <v>45718</v>
      </c>
      <c r="C196" s="111">
        <v>0.17799999999999999</v>
      </c>
      <c r="D196">
        <v>10.4</v>
      </c>
      <c r="E196" s="111">
        <v>0.66900000000000004</v>
      </c>
      <c r="F196" s="111">
        <v>7.9000000000000001E-2</v>
      </c>
      <c r="G196" s="111">
        <v>0.108</v>
      </c>
      <c r="H196" s="111">
        <v>0.13600000000000001</v>
      </c>
      <c r="I196" s="111">
        <v>0.111</v>
      </c>
      <c r="J196" s="111">
        <v>7.0000000000000007E-2</v>
      </c>
      <c r="K196" s="111">
        <v>7.8E-2</v>
      </c>
      <c r="L196" s="111">
        <v>8.6999999999999994E-2</v>
      </c>
      <c r="M196" s="111">
        <v>0.434</v>
      </c>
      <c r="N196" s="111">
        <v>0.23499999999999999</v>
      </c>
      <c r="O196" s="60">
        <v>5</v>
      </c>
    </row>
    <row r="197" spans="1:15" x14ac:dyDescent="0.25">
      <c r="A197" t="s">
        <v>460</v>
      </c>
      <c r="B197" s="122">
        <v>36924</v>
      </c>
      <c r="C197" s="111">
        <v>3.3000000000000002E-2</v>
      </c>
      <c r="D197">
        <v>8.4</v>
      </c>
      <c r="E197" s="111">
        <v>0.27800000000000002</v>
      </c>
      <c r="F197" s="111">
        <v>8.9999999999999993E-3</v>
      </c>
      <c r="G197" s="111">
        <v>1.9E-2</v>
      </c>
      <c r="H197" s="111">
        <v>3.9E-2</v>
      </c>
      <c r="I197" s="111">
        <v>0.04</v>
      </c>
      <c r="J197" s="111">
        <v>3.1E-2</v>
      </c>
      <c r="K197" s="111">
        <v>5.8000000000000003E-2</v>
      </c>
      <c r="L197" s="111">
        <v>8.2000000000000003E-2</v>
      </c>
      <c r="M197" s="111">
        <v>0.107</v>
      </c>
      <c r="N197" s="111">
        <v>0.17100000000000001</v>
      </c>
      <c r="O197" s="60">
        <v>5</v>
      </c>
    </row>
    <row r="198" spans="1:15" x14ac:dyDescent="0.25">
      <c r="A198" t="s">
        <v>462</v>
      </c>
      <c r="B198" s="112">
        <v>45661</v>
      </c>
      <c r="C198" s="111">
        <v>-0.155</v>
      </c>
      <c r="D198">
        <v>4.8</v>
      </c>
      <c r="E198" s="111">
        <v>1.0999999999999999E-2</v>
      </c>
      <c r="F198" s="111">
        <v>0</v>
      </c>
      <c r="G198" s="111">
        <v>0</v>
      </c>
      <c r="H198" s="111">
        <v>1E-3</v>
      </c>
      <c r="I198" s="111">
        <v>2E-3</v>
      </c>
      <c r="J198" s="111">
        <v>1E-3</v>
      </c>
      <c r="K198" s="111">
        <v>3.0000000000000001E-3</v>
      </c>
      <c r="L198" s="111">
        <v>4.0000000000000001E-3</v>
      </c>
      <c r="M198" s="111">
        <v>3.0000000000000001E-3</v>
      </c>
      <c r="N198" s="111">
        <v>8.0000000000000002E-3</v>
      </c>
      <c r="O198" s="60">
        <v>5</v>
      </c>
    </row>
    <row r="199" spans="1:15" x14ac:dyDescent="0.25">
      <c r="A199" t="s">
        <v>357</v>
      </c>
      <c r="O199" s="60">
        <v>5</v>
      </c>
    </row>
    <row r="200" spans="1:15" x14ac:dyDescent="0.25">
      <c r="A200" t="s">
        <v>444</v>
      </c>
      <c r="B200" t="s">
        <v>445</v>
      </c>
      <c r="C200" t="s">
        <v>446</v>
      </c>
      <c r="D200" t="s">
        <v>447</v>
      </c>
      <c r="E200" t="s">
        <v>448</v>
      </c>
      <c r="F200" t="s">
        <v>449</v>
      </c>
      <c r="G200" t="s">
        <v>450</v>
      </c>
      <c r="H200" t="s">
        <v>451</v>
      </c>
      <c r="I200" t="s">
        <v>452</v>
      </c>
      <c r="J200" t="s">
        <v>453</v>
      </c>
      <c r="K200" t="s">
        <v>454</v>
      </c>
      <c r="L200" t="s">
        <v>455</v>
      </c>
      <c r="M200" t="s">
        <v>456</v>
      </c>
      <c r="N200" t="s">
        <v>457</v>
      </c>
      <c r="O200" s="60">
        <v>5</v>
      </c>
    </row>
    <row r="201" spans="1:15" x14ac:dyDescent="0.25">
      <c r="A201" t="s">
        <v>464</v>
      </c>
      <c r="B201" s="112">
        <v>45748</v>
      </c>
      <c r="C201" s="111">
        <v>0.27900000000000003</v>
      </c>
      <c r="D201">
        <v>12.3</v>
      </c>
      <c r="E201" s="111">
        <v>0.91400000000000003</v>
      </c>
      <c r="F201" s="111">
        <v>0.33500000000000002</v>
      </c>
      <c r="G201" s="111">
        <v>0.188</v>
      </c>
      <c r="H201" s="111">
        <v>0.13</v>
      </c>
      <c r="I201" s="111">
        <v>5.8000000000000003E-2</v>
      </c>
      <c r="J201" s="111">
        <v>9.4E-2</v>
      </c>
      <c r="K201" s="111">
        <v>6.0999999999999999E-2</v>
      </c>
      <c r="L201" s="111">
        <v>4.7E-2</v>
      </c>
      <c r="M201" s="111">
        <v>0.71199999999999997</v>
      </c>
      <c r="N201" s="111">
        <v>0.20200000000000001</v>
      </c>
      <c r="O201" s="60">
        <v>5</v>
      </c>
    </row>
    <row r="202" spans="1:15" x14ac:dyDescent="0.25">
      <c r="A202" t="s">
        <v>463</v>
      </c>
      <c r="B202" s="122">
        <v>36923</v>
      </c>
      <c r="C202" s="111">
        <v>0.115</v>
      </c>
      <c r="D202">
        <v>10.4</v>
      </c>
      <c r="E202" s="111">
        <v>0.67600000000000005</v>
      </c>
      <c r="F202" s="111">
        <v>0.08</v>
      </c>
      <c r="G202" s="111">
        <v>6.7000000000000004E-2</v>
      </c>
      <c r="H202" s="111">
        <v>5.1999999999999998E-2</v>
      </c>
      <c r="I202" s="111">
        <v>0.03</v>
      </c>
      <c r="J202" s="111">
        <v>0.20100000000000001</v>
      </c>
      <c r="K202" s="111">
        <v>0.13600000000000001</v>
      </c>
      <c r="L202" s="111">
        <v>0.111</v>
      </c>
      <c r="M202" s="111">
        <v>0.22800000000000001</v>
      </c>
      <c r="N202" s="111">
        <v>0.44700000000000001</v>
      </c>
      <c r="O202" s="60">
        <v>5</v>
      </c>
    </row>
    <row r="203" spans="1:15" x14ac:dyDescent="0.25">
      <c r="A203" t="s">
        <v>467</v>
      </c>
      <c r="B203" s="112">
        <v>45690</v>
      </c>
      <c r="C203" s="111">
        <v>-0.05</v>
      </c>
      <c r="D203">
        <v>7.7</v>
      </c>
      <c r="E203" s="111">
        <v>0.161</v>
      </c>
      <c r="F203" s="111">
        <v>5.0000000000000001E-3</v>
      </c>
      <c r="G203" s="111">
        <v>5.0000000000000001E-3</v>
      </c>
      <c r="H203" s="111">
        <v>8.0000000000000002E-3</v>
      </c>
      <c r="I203" s="111">
        <v>5.0000000000000001E-3</v>
      </c>
      <c r="J203" s="111">
        <v>3.5000000000000003E-2</v>
      </c>
      <c r="K203" s="111">
        <v>4.4999999999999998E-2</v>
      </c>
      <c r="L203" s="111">
        <v>5.7000000000000002E-2</v>
      </c>
      <c r="M203" s="111">
        <v>2.4E-2</v>
      </c>
      <c r="N203" s="111">
        <v>0.13700000000000001</v>
      </c>
      <c r="O203" s="60">
        <v>5</v>
      </c>
    </row>
    <row r="204" spans="1:15" x14ac:dyDescent="0.25">
      <c r="A204" t="s">
        <v>465</v>
      </c>
      <c r="B204" s="112">
        <v>45718</v>
      </c>
      <c r="C204" s="111">
        <v>-3.5999999999999997E-2</v>
      </c>
      <c r="D204">
        <v>7.6</v>
      </c>
      <c r="E204" s="111">
        <v>0.157</v>
      </c>
      <c r="F204" s="111">
        <v>6.0000000000000001E-3</v>
      </c>
      <c r="G204" s="111">
        <v>8.9999999999999993E-3</v>
      </c>
      <c r="H204" s="111">
        <v>1.0999999999999999E-2</v>
      </c>
      <c r="I204" s="111">
        <v>0.01</v>
      </c>
      <c r="J204" s="111">
        <v>2.5999999999999999E-2</v>
      </c>
      <c r="K204" s="111">
        <v>4.2000000000000003E-2</v>
      </c>
      <c r="L204" s="111">
        <v>5.3999999999999999E-2</v>
      </c>
      <c r="M204" s="111">
        <v>3.5999999999999997E-2</v>
      </c>
      <c r="N204" s="111">
        <v>0.121</v>
      </c>
      <c r="O204" s="60">
        <v>5</v>
      </c>
    </row>
    <row r="205" spans="1:15" x14ac:dyDescent="0.25">
      <c r="A205" t="s">
        <v>383</v>
      </c>
      <c r="O205" s="60">
        <v>5</v>
      </c>
    </row>
    <row r="206" spans="1:15" x14ac:dyDescent="0.25">
      <c r="A206" t="s">
        <v>444</v>
      </c>
      <c r="B206" t="s">
        <v>445</v>
      </c>
      <c r="C206" t="s">
        <v>446</v>
      </c>
      <c r="D206" t="s">
        <v>447</v>
      </c>
      <c r="E206" t="s">
        <v>448</v>
      </c>
      <c r="F206" t="s">
        <v>449</v>
      </c>
      <c r="G206" t="s">
        <v>450</v>
      </c>
      <c r="H206" t="s">
        <v>451</v>
      </c>
      <c r="I206" t="s">
        <v>452</v>
      </c>
      <c r="J206" t="s">
        <v>453</v>
      </c>
      <c r="K206" t="s">
        <v>454</v>
      </c>
      <c r="L206" t="s">
        <v>455</v>
      </c>
      <c r="M206" t="s">
        <v>456</v>
      </c>
      <c r="N206" t="s">
        <v>457</v>
      </c>
      <c r="O206" s="60">
        <v>5</v>
      </c>
    </row>
    <row r="207" spans="1:15" x14ac:dyDescent="0.25">
      <c r="A207" t="s">
        <v>468</v>
      </c>
      <c r="B207" s="112">
        <v>45748</v>
      </c>
      <c r="C207" s="111">
        <v>0.03</v>
      </c>
      <c r="D207">
        <v>10.7</v>
      </c>
      <c r="E207" s="111">
        <v>0.83699999999999997</v>
      </c>
      <c r="F207" s="111">
        <v>9.0999999999999998E-2</v>
      </c>
      <c r="G207" s="111">
        <v>0.13400000000000001</v>
      </c>
      <c r="H207" s="111">
        <v>0.186</v>
      </c>
      <c r="I207" s="111">
        <v>0.377</v>
      </c>
      <c r="J207" s="111">
        <v>0.01</v>
      </c>
      <c r="K207" s="111">
        <v>1.7000000000000001E-2</v>
      </c>
      <c r="L207" s="111">
        <v>2.1999999999999999E-2</v>
      </c>
      <c r="M207" s="111">
        <v>0.78800000000000003</v>
      </c>
      <c r="N207" s="111">
        <v>4.9000000000000002E-2</v>
      </c>
      <c r="O207" s="60">
        <v>5</v>
      </c>
    </row>
    <row r="208" spans="1:15" x14ac:dyDescent="0.25">
      <c r="A208" t="s">
        <v>469</v>
      </c>
      <c r="B208" s="112">
        <v>45690</v>
      </c>
      <c r="C208" s="111">
        <v>-4.4999999999999998E-2</v>
      </c>
      <c r="D208">
        <v>8.1999999999999993</v>
      </c>
      <c r="E208" s="111">
        <v>0.29299999999999998</v>
      </c>
      <c r="F208" s="111">
        <v>0.01</v>
      </c>
      <c r="G208" s="111">
        <v>2.3E-2</v>
      </c>
      <c r="H208" s="111">
        <v>3.5999999999999997E-2</v>
      </c>
      <c r="I208" s="111">
        <v>7.8E-2</v>
      </c>
      <c r="J208" s="111">
        <v>3.5000000000000003E-2</v>
      </c>
      <c r="K208" s="111">
        <v>0.05</v>
      </c>
      <c r="L208" s="111">
        <v>6.2E-2</v>
      </c>
      <c r="M208" s="111">
        <v>0.14699999999999999</v>
      </c>
      <c r="N208" s="111">
        <v>0.14599999999999999</v>
      </c>
      <c r="O208" s="60">
        <v>5</v>
      </c>
    </row>
    <row r="209" spans="1:15" x14ac:dyDescent="0.25">
      <c r="A209" t="s">
        <v>470</v>
      </c>
      <c r="B209" s="112">
        <v>45661</v>
      </c>
      <c r="C209" s="111">
        <v>-0.187</v>
      </c>
      <c r="D209">
        <v>5.7</v>
      </c>
      <c r="E209" s="111">
        <v>4.7E-2</v>
      </c>
      <c r="F209" s="111">
        <v>0</v>
      </c>
      <c r="G209" s="111">
        <v>1E-3</v>
      </c>
      <c r="H209" s="111">
        <v>3.0000000000000001E-3</v>
      </c>
      <c r="I209" s="111">
        <v>3.2000000000000001E-2</v>
      </c>
      <c r="J209" s="111">
        <v>1E-3</v>
      </c>
      <c r="K209" s="111">
        <v>3.0000000000000001E-3</v>
      </c>
      <c r="L209" s="111">
        <v>7.0000000000000001E-3</v>
      </c>
      <c r="M209" s="111">
        <v>3.5999999999999997E-2</v>
      </c>
      <c r="N209" s="111">
        <v>1.0999999999999999E-2</v>
      </c>
      <c r="O209" s="60">
        <v>5</v>
      </c>
    </row>
    <row r="210" spans="1:15" x14ac:dyDescent="0.25">
      <c r="A210" t="s">
        <v>471</v>
      </c>
      <c r="B210" s="112">
        <v>45691</v>
      </c>
      <c r="C210" s="111">
        <v>-0.22500000000000001</v>
      </c>
      <c r="D210">
        <v>5.6</v>
      </c>
      <c r="E210" s="111">
        <v>4.3999999999999997E-2</v>
      </c>
      <c r="F210" s="111">
        <v>0</v>
      </c>
      <c r="G210" s="111">
        <v>1E-3</v>
      </c>
      <c r="H210" s="111">
        <v>4.0000000000000001E-3</v>
      </c>
      <c r="I210" s="111">
        <v>2.4E-2</v>
      </c>
      <c r="J210" s="111">
        <v>1E-3</v>
      </c>
      <c r="K210" s="111">
        <v>5.0000000000000001E-3</v>
      </c>
      <c r="L210" s="111">
        <v>8.0000000000000002E-3</v>
      </c>
      <c r="M210" s="111">
        <v>2.9000000000000001E-2</v>
      </c>
      <c r="N210" s="111">
        <v>1.4999999999999999E-2</v>
      </c>
      <c r="O210" s="60">
        <v>5</v>
      </c>
    </row>
    <row r="211" spans="1:15" x14ac:dyDescent="0.25">
      <c r="A211" t="s">
        <v>355</v>
      </c>
      <c r="O211" s="60">
        <v>5</v>
      </c>
    </row>
    <row r="212" spans="1:15" x14ac:dyDescent="0.25">
      <c r="A212" t="s">
        <v>444</v>
      </c>
      <c r="B212" t="s">
        <v>445</v>
      </c>
      <c r="C212" t="s">
        <v>446</v>
      </c>
      <c r="D212" t="s">
        <v>447</v>
      </c>
      <c r="E212" t="s">
        <v>448</v>
      </c>
      <c r="F212" t="s">
        <v>449</v>
      </c>
      <c r="G212" t="s">
        <v>450</v>
      </c>
      <c r="H212" t="s">
        <v>451</v>
      </c>
      <c r="I212" t="s">
        <v>452</v>
      </c>
      <c r="J212" t="s">
        <v>453</v>
      </c>
      <c r="K212" t="s">
        <v>454</v>
      </c>
      <c r="L212" t="s">
        <v>455</v>
      </c>
      <c r="M212" t="s">
        <v>456</v>
      </c>
      <c r="N212" t="s">
        <v>457</v>
      </c>
      <c r="O212" s="60">
        <v>5</v>
      </c>
    </row>
    <row r="213" spans="1:15" x14ac:dyDescent="0.25">
      <c r="A213" t="s">
        <v>472</v>
      </c>
      <c r="B213" s="112">
        <v>45748</v>
      </c>
      <c r="C213" s="111">
        <v>4.2000000000000003E-2</v>
      </c>
      <c r="D213">
        <v>10.6</v>
      </c>
      <c r="E213" s="111">
        <v>0.74</v>
      </c>
      <c r="F213" s="111">
        <v>0.109</v>
      </c>
      <c r="G213" s="111">
        <v>0.124</v>
      </c>
      <c r="H213" s="111">
        <v>8.7999999999999995E-2</v>
      </c>
      <c r="I213" s="111">
        <v>5.8999999999999997E-2</v>
      </c>
      <c r="J213" s="111">
        <v>0.13700000000000001</v>
      </c>
      <c r="K213" s="111">
        <v>0.125</v>
      </c>
      <c r="L213" s="111">
        <v>9.9000000000000005E-2</v>
      </c>
      <c r="M213" s="111">
        <v>0.38</v>
      </c>
      <c r="N213" s="111">
        <v>0.36</v>
      </c>
      <c r="O213" s="60">
        <v>5</v>
      </c>
    </row>
    <row r="214" spans="1:15" x14ac:dyDescent="0.25">
      <c r="A214" t="s">
        <v>473</v>
      </c>
      <c r="B214" s="112">
        <v>45718</v>
      </c>
      <c r="C214" s="111">
        <v>0.185</v>
      </c>
      <c r="D214">
        <v>10.7</v>
      </c>
      <c r="E214" s="111">
        <v>0.7</v>
      </c>
      <c r="F214" s="111">
        <v>9.9000000000000005E-2</v>
      </c>
      <c r="G214" s="111">
        <v>0.111</v>
      </c>
      <c r="H214" s="111">
        <v>8.7999999999999995E-2</v>
      </c>
      <c r="I214" s="111">
        <v>4.9000000000000002E-2</v>
      </c>
      <c r="J214" s="111">
        <v>0.124</v>
      </c>
      <c r="K214" s="111">
        <v>0.122</v>
      </c>
      <c r="L214" s="111">
        <v>0.107</v>
      </c>
      <c r="M214" s="111">
        <v>0.34699999999999998</v>
      </c>
      <c r="N214" s="111">
        <v>0.35299999999999998</v>
      </c>
      <c r="O214" s="60">
        <v>5</v>
      </c>
    </row>
    <row r="215" spans="1:15" x14ac:dyDescent="0.25">
      <c r="A215" t="s">
        <v>475</v>
      </c>
      <c r="B215" s="112">
        <v>45718</v>
      </c>
      <c r="C215" s="111">
        <v>0.15</v>
      </c>
      <c r="D215">
        <v>10.3</v>
      </c>
      <c r="E215" s="111">
        <v>0.625</v>
      </c>
      <c r="F215" s="111">
        <v>5.0999999999999997E-2</v>
      </c>
      <c r="G215" s="111">
        <v>8.1000000000000003E-2</v>
      </c>
      <c r="H215" s="111">
        <v>7.2999999999999995E-2</v>
      </c>
      <c r="I215" s="111">
        <v>5.1999999999999998E-2</v>
      </c>
      <c r="J215" s="111">
        <v>0.121</v>
      </c>
      <c r="K215" s="111">
        <v>0.13</v>
      </c>
      <c r="L215" s="111">
        <v>0.11799999999999999</v>
      </c>
      <c r="M215" s="111">
        <v>0.25700000000000001</v>
      </c>
      <c r="N215" s="111">
        <v>0.36799999999999999</v>
      </c>
      <c r="O215" s="60">
        <v>5</v>
      </c>
    </row>
    <row r="216" spans="1:15" x14ac:dyDescent="0.25">
      <c r="A216" t="s">
        <v>474</v>
      </c>
      <c r="B216" s="112">
        <v>45691</v>
      </c>
      <c r="C216" s="111">
        <v>-3.3000000000000002E-2</v>
      </c>
      <c r="D216">
        <v>7</v>
      </c>
      <c r="E216" s="111">
        <v>0.105</v>
      </c>
      <c r="F216" s="111">
        <v>2E-3</v>
      </c>
      <c r="G216" s="111">
        <v>4.0000000000000001E-3</v>
      </c>
      <c r="H216" s="111">
        <v>6.0000000000000001E-3</v>
      </c>
      <c r="I216" s="111">
        <v>4.0000000000000001E-3</v>
      </c>
      <c r="J216" s="111">
        <v>1.7000000000000001E-2</v>
      </c>
      <c r="K216" s="111">
        <v>0.03</v>
      </c>
      <c r="L216" s="111">
        <v>4.2999999999999997E-2</v>
      </c>
      <c r="M216" s="111">
        <v>1.6E-2</v>
      </c>
      <c r="N216" s="111">
        <v>0.09</v>
      </c>
      <c r="O216" s="60">
        <v>5</v>
      </c>
    </row>
    <row r="217" spans="1:15" x14ac:dyDescent="0.25">
      <c r="A217" t="s">
        <v>359</v>
      </c>
      <c r="O217" s="60">
        <v>5</v>
      </c>
    </row>
    <row r="218" spans="1:15" x14ac:dyDescent="0.25">
      <c r="A218" t="s">
        <v>444</v>
      </c>
      <c r="B218" t="s">
        <v>445</v>
      </c>
      <c r="C218" t="s">
        <v>446</v>
      </c>
      <c r="D218" t="s">
        <v>447</v>
      </c>
      <c r="E218" t="s">
        <v>448</v>
      </c>
      <c r="F218" t="s">
        <v>449</v>
      </c>
      <c r="G218" t="s">
        <v>450</v>
      </c>
      <c r="H218" t="s">
        <v>451</v>
      </c>
      <c r="I218" t="s">
        <v>452</v>
      </c>
      <c r="J218" t="s">
        <v>453</v>
      </c>
      <c r="K218" t="s">
        <v>454</v>
      </c>
      <c r="L218" t="s">
        <v>455</v>
      </c>
      <c r="M218" t="s">
        <v>456</v>
      </c>
      <c r="N218" t="s">
        <v>457</v>
      </c>
      <c r="O218" s="60">
        <v>5</v>
      </c>
    </row>
    <row r="219" spans="1:15" x14ac:dyDescent="0.25">
      <c r="A219" t="s">
        <v>476</v>
      </c>
      <c r="B219" s="112">
        <v>45748</v>
      </c>
      <c r="C219" s="111">
        <v>0.19400000000000001</v>
      </c>
      <c r="D219">
        <v>12.3</v>
      </c>
      <c r="E219" s="111">
        <v>0.95699999999999996</v>
      </c>
      <c r="F219" s="111">
        <v>0.42899999999999999</v>
      </c>
      <c r="G219" s="111">
        <v>0.21199999999999999</v>
      </c>
      <c r="H219" s="111">
        <v>0.111</v>
      </c>
      <c r="I219" s="111">
        <v>4.8000000000000001E-2</v>
      </c>
      <c r="J219" s="111">
        <v>8.4000000000000005E-2</v>
      </c>
      <c r="K219" s="111">
        <v>4.3999999999999997E-2</v>
      </c>
      <c r="L219" s="111">
        <v>2.8000000000000001E-2</v>
      </c>
      <c r="M219" s="111">
        <v>0.80100000000000005</v>
      </c>
      <c r="N219" s="111">
        <v>0.156</v>
      </c>
      <c r="O219" s="60">
        <v>5</v>
      </c>
    </row>
    <row r="220" spans="1:15" x14ac:dyDescent="0.25">
      <c r="A220" t="s">
        <v>477</v>
      </c>
      <c r="B220" s="112">
        <v>45718</v>
      </c>
      <c r="C220" s="111">
        <v>-3.9E-2</v>
      </c>
      <c r="D220">
        <v>9.6999999999999993</v>
      </c>
      <c r="E220" s="111">
        <v>0.61099999999999999</v>
      </c>
      <c r="F220" s="111">
        <v>4.4999999999999998E-2</v>
      </c>
      <c r="G220" s="111">
        <v>5.3999999999999999E-2</v>
      </c>
      <c r="H220" s="111">
        <v>4.9000000000000002E-2</v>
      </c>
      <c r="I220" s="111">
        <v>4.2999999999999997E-2</v>
      </c>
      <c r="J220" s="111">
        <v>0.158</v>
      </c>
      <c r="K220" s="111">
        <v>0.14199999999999999</v>
      </c>
      <c r="L220" s="111">
        <v>0.12</v>
      </c>
      <c r="M220" s="111">
        <v>0.191</v>
      </c>
      <c r="N220" s="111">
        <v>0.42</v>
      </c>
      <c r="O220" s="60">
        <v>5</v>
      </c>
    </row>
    <row r="221" spans="1:15" x14ac:dyDescent="0.25">
      <c r="A221" t="s">
        <v>479</v>
      </c>
      <c r="B221" s="112">
        <v>45661</v>
      </c>
      <c r="C221" s="111">
        <v>-0.122</v>
      </c>
      <c r="D221">
        <v>6.2</v>
      </c>
      <c r="E221" s="111">
        <v>7.8E-2</v>
      </c>
      <c r="F221" s="111">
        <v>1E-3</v>
      </c>
      <c r="G221" s="111">
        <v>2E-3</v>
      </c>
      <c r="H221" s="111">
        <v>2E-3</v>
      </c>
      <c r="I221" s="111">
        <v>2E-3</v>
      </c>
      <c r="J221" s="111">
        <v>1.0999999999999999E-2</v>
      </c>
      <c r="K221" s="111">
        <v>2.5000000000000001E-2</v>
      </c>
      <c r="L221" s="111">
        <v>3.5000000000000003E-2</v>
      </c>
      <c r="M221" s="111">
        <v>6.0000000000000001E-3</v>
      </c>
      <c r="N221" s="111">
        <v>7.0999999999999994E-2</v>
      </c>
      <c r="O221" s="60">
        <v>5</v>
      </c>
    </row>
    <row r="222" spans="1:15" x14ac:dyDescent="0.25">
      <c r="A222" t="s">
        <v>478</v>
      </c>
      <c r="B222" t="s">
        <v>495</v>
      </c>
      <c r="C222" s="111">
        <v>-0.16400000000000001</v>
      </c>
      <c r="D222">
        <v>4.9000000000000004</v>
      </c>
      <c r="E222" s="111">
        <v>2.1000000000000001E-2</v>
      </c>
      <c r="F222" s="111">
        <v>0</v>
      </c>
      <c r="G222" s="111">
        <v>0</v>
      </c>
      <c r="H222" s="111">
        <v>1E-3</v>
      </c>
      <c r="I222" s="111">
        <v>1E-3</v>
      </c>
      <c r="J222" s="111">
        <v>3.0000000000000001E-3</v>
      </c>
      <c r="K222" s="111">
        <v>6.0000000000000001E-3</v>
      </c>
      <c r="L222" s="111">
        <v>1.0999999999999999E-2</v>
      </c>
      <c r="M222" s="111">
        <v>2E-3</v>
      </c>
      <c r="N222" s="111">
        <v>1.9E-2</v>
      </c>
      <c r="O222" s="60">
        <v>5</v>
      </c>
    </row>
    <row r="223" spans="1:15" x14ac:dyDescent="0.25">
      <c r="A223" t="s">
        <v>352</v>
      </c>
      <c r="O223" s="60">
        <v>5</v>
      </c>
    </row>
    <row r="224" spans="1:15" x14ac:dyDescent="0.25">
      <c r="A224" t="s">
        <v>444</v>
      </c>
      <c r="B224" t="s">
        <v>445</v>
      </c>
      <c r="C224" t="s">
        <v>446</v>
      </c>
      <c r="D224" t="s">
        <v>447</v>
      </c>
      <c r="E224" t="s">
        <v>448</v>
      </c>
      <c r="F224" t="s">
        <v>449</v>
      </c>
      <c r="G224" t="s">
        <v>450</v>
      </c>
      <c r="H224" t="s">
        <v>451</v>
      </c>
      <c r="I224" t="s">
        <v>452</v>
      </c>
      <c r="J224" t="s">
        <v>453</v>
      </c>
      <c r="K224" t="s">
        <v>454</v>
      </c>
      <c r="L224" t="s">
        <v>455</v>
      </c>
      <c r="M224" t="s">
        <v>456</v>
      </c>
      <c r="N224" t="s">
        <v>457</v>
      </c>
      <c r="O224" s="60">
        <v>5</v>
      </c>
    </row>
    <row r="225" spans="1:15" x14ac:dyDescent="0.25">
      <c r="A225" t="s">
        <v>482</v>
      </c>
      <c r="B225" s="112">
        <v>45717</v>
      </c>
      <c r="C225" s="111">
        <v>-1.4999999999999999E-2</v>
      </c>
      <c r="D225">
        <v>9.5</v>
      </c>
      <c r="E225" s="111">
        <v>0.66300000000000003</v>
      </c>
      <c r="F225" s="111">
        <v>7.0999999999999994E-2</v>
      </c>
      <c r="G225" s="111">
        <v>9.9000000000000005E-2</v>
      </c>
      <c r="H225" s="111">
        <v>0.13800000000000001</v>
      </c>
      <c r="I225" s="111">
        <v>0.20100000000000001</v>
      </c>
      <c r="J225" s="111">
        <v>3.5999999999999997E-2</v>
      </c>
      <c r="K225" s="111">
        <v>5.0999999999999997E-2</v>
      </c>
      <c r="L225" s="111">
        <v>6.7000000000000004E-2</v>
      </c>
      <c r="M225" s="111">
        <v>0.50900000000000001</v>
      </c>
      <c r="N225" s="111">
        <v>0.155</v>
      </c>
      <c r="O225" s="60">
        <v>5</v>
      </c>
    </row>
    <row r="226" spans="1:15" x14ac:dyDescent="0.25">
      <c r="A226" t="s">
        <v>480</v>
      </c>
      <c r="B226" s="112">
        <v>45661</v>
      </c>
      <c r="C226" s="111">
        <v>0.128</v>
      </c>
      <c r="D226">
        <v>8.8000000000000007</v>
      </c>
      <c r="E226" s="111">
        <v>0.55600000000000005</v>
      </c>
      <c r="F226" s="111">
        <v>0.01</v>
      </c>
      <c r="G226" s="111">
        <v>3.6999999999999998E-2</v>
      </c>
      <c r="H226" s="111">
        <v>0.10100000000000001</v>
      </c>
      <c r="I226" s="111">
        <v>0.27800000000000002</v>
      </c>
      <c r="J226" s="111">
        <v>2.1999999999999999E-2</v>
      </c>
      <c r="K226" s="111">
        <v>4.4999999999999998E-2</v>
      </c>
      <c r="L226" s="111">
        <v>6.3E-2</v>
      </c>
      <c r="M226" s="111">
        <v>0.42599999999999999</v>
      </c>
      <c r="N226" s="111">
        <v>0.13</v>
      </c>
      <c r="O226" s="60">
        <v>5</v>
      </c>
    </row>
    <row r="227" spans="1:15" x14ac:dyDescent="0.25">
      <c r="A227" t="s">
        <v>483</v>
      </c>
      <c r="B227" s="112">
        <v>45661</v>
      </c>
      <c r="C227" s="111">
        <v>-0.17100000000000001</v>
      </c>
      <c r="D227">
        <v>5.8</v>
      </c>
      <c r="E227" s="111">
        <v>7.0000000000000007E-2</v>
      </c>
      <c r="F227" s="111">
        <v>1E-3</v>
      </c>
      <c r="G227" s="111">
        <v>2E-3</v>
      </c>
      <c r="H227" s="111">
        <v>6.0000000000000001E-3</v>
      </c>
      <c r="I227" s="111">
        <v>2.5999999999999999E-2</v>
      </c>
      <c r="J227" s="111">
        <v>4.0000000000000001E-3</v>
      </c>
      <c r="K227" s="111">
        <v>0.01</v>
      </c>
      <c r="L227" s="111">
        <v>2.1000000000000001E-2</v>
      </c>
      <c r="M227" s="111">
        <v>3.5000000000000003E-2</v>
      </c>
      <c r="N227" s="111">
        <v>3.5000000000000003E-2</v>
      </c>
      <c r="O227" s="60">
        <v>5</v>
      </c>
    </row>
    <row r="228" spans="1:15" x14ac:dyDescent="0.25">
      <c r="A228" t="s">
        <v>481</v>
      </c>
      <c r="B228" s="112">
        <v>45691</v>
      </c>
      <c r="C228" s="111">
        <v>-0.26100000000000001</v>
      </c>
      <c r="D228">
        <v>5.6</v>
      </c>
      <c r="E228" s="111">
        <v>5.6000000000000001E-2</v>
      </c>
      <c r="F228" s="111">
        <v>0</v>
      </c>
      <c r="G228" s="111">
        <v>1E-3</v>
      </c>
      <c r="H228" s="111">
        <v>4.0000000000000001E-3</v>
      </c>
      <c r="I228" s="111">
        <v>2.5000000000000001E-2</v>
      </c>
      <c r="J228" s="111">
        <v>3.0000000000000001E-3</v>
      </c>
      <c r="K228" s="111">
        <v>7.0000000000000001E-3</v>
      </c>
      <c r="L228" s="111">
        <v>1.6E-2</v>
      </c>
      <c r="M228" s="111">
        <v>3.1E-2</v>
      </c>
      <c r="N228" s="111">
        <v>2.5999999999999999E-2</v>
      </c>
      <c r="O228" s="60">
        <v>5</v>
      </c>
    </row>
    <row r="229" spans="1:15" x14ac:dyDescent="0.25">
      <c r="A229" t="s">
        <v>368</v>
      </c>
      <c r="O229" s="60">
        <v>5</v>
      </c>
    </row>
    <row r="230" spans="1:15" x14ac:dyDescent="0.25">
      <c r="A230" t="s">
        <v>444</v>
      </c>
      <c r="B230" t="s">
        <v>445</v>
      </c>
      <c r="C230" t="s">
        <v>446</v>
      </c>
      <c r="D230" t="s">
        <v>447</v>
      </c>
      <c r="E230" t="s">
        <v>448</v>
      </c>
      <c r="F230" t="s">
        <v>449</v>
      </c>
      <c r="G230" t="s">
        <v>450</v>
      </c>
      <c r="H230" t="s">
        <v>451</v>
      </c>
      <c r="I230" t="s">
        <v>452</v>
      </c>
      <c r="J230" t="s">
        <v>453</v>
      </c>
      <c r="K230" t="s">
        <v>454</v>
      </c>
      <c r="L230" t="s">
        <v>455</v>
      </c>
      <c r="M230" t="s">
        <v>456</v>
      </c>
      <c r="N230" t="s">
        <v>457</v>
      </c>
      <c r="O230" s="60">
        <v>5</v>
      </c>
    </row>
    <row r="231" spans="1:15" x14ac:dyDescent="0.25">
      <c r="A231" t="s">
        <v>485</v>
      </c>
      <c r="B231" s="112">
        <v>45748</v>
      </c>
      <c r="C231" s="111">
        <v>6.6000000000000003E-2</v>
      </c>
      <c r="D231">
        <v>10.5</v>
      </c>
      <c r="E231" s="111">
        <v>0.79900000000000004</v>
      </c>
      <c r="F231" s="111">
        <v>0.13700000000000001</v>
      </c>
      <c r="G231" s="111">
        <v>0.14399999999999999</v>
      </c>
      <c r="H231" s="111">
        <v>0.10199999999999999</v>
      </c>
      <c r="I231" s="111">
        <v>5.6000000000000001E-2</v>
      </c>
      <c r="J231" s="111">
        <v>0.156</v>
      </c>
      <c r="K231" s="111">
        <v>0.11600000000000001</v>
      </c>
      <c r="L231" s="111">
        <v>8.8999999999999996E-2</v>
      </c>
      <c r="M231" s="111">
        <v>0.438</v>
      </c>
      <c r="N231" s="111">
        <v>0.36099999999999999</v>
      </c>
      <c r="O231" s="60">
        <v>5</v>
      </c>
    </row>
    <row r="232" spans="1:15" x14ac:dyDescent="0.25">
      <c r="A232" t="s">
        <v>484</v>
      </c>
      <c r="B232" s="112">
        <v>45748</v>
      </c>
      <c r="C232" s="111">
        <v>3.2000000000000001E-2</v>
      </c>
      <c r="D232">
        <v>10.5</v>
      </c>
      <c r="E232" s="111">
        <v>0.78</v>
      </c>
      <c r="F232" s="111">
        <v>0.123</v>
      </c>
      <c r="G232" s="111">
        <v>0.15</v>
      </c>
      <c r="H232" s="111">
        <v>0.104</v>
      </c>
      <c r="I232" s="111">
        <v>6.3E-2</v>
      </c>
      <c r="J232" s="111">
        <v>0.13800000000000001</v>
      </c>
      <c r="K232" s="111">
        <v>0.112</v>
      </c>
      <c r="L232" s="111">
        <v>8.7999999999999995E-2</v>
      </c>
      <c r="M232" s="111">
        <v>0.441</v>
      </c>
      <c r="N232" s="111">
        <v>0.33800000000000002</v>
      </c>
      <c r="O232" s="60">
        <v>5</v>
      </c>
    </row>
    <row r="233" spans="1:15" x14ac:dyDescent="0.25">
      <c r="A233" t="s">
        <v>486</v>
      </c>
      <c r="B233" s="112">
        <v>45691</v>
      </c>
      <c r="C233" s="111">
        <v>5.2999999999999999E-2</v>
      </c>
      <c r="D233">
        <v>8.4</v>
      </c>
      <c r="E233" s="111">
        <v>0.441</v>
      </c>
      <c r="F233" s="111">
        <v>2.3E-2</v>
      </c>
      <c r="G233" s="111">
        <v>3.5999999999999997E-2</v>
      </c>
      <c r="H233" s="111">
        <v>3.6999999999999998E-2</v>
      </c>
      <c r="I233" s="111">
        <v>2.3E-2</v>
      </c>
      <c r="J233" s="111">
        <v>9.8000000000000004E-2</v>
      </c>
      <c r="K233" s="111">
        <v>0.11</v>
      </c>
      <c r="L233" s="111">
        <v>0.113</v>
      </c>
      <c r="M233" s="111">
        <v>0.12</v>
      </c>
      <c r="N233" s="111">
        <v>0.32100000000000001</v>
      </c>
      <c r="O233" s="60">
        <v>5</v>
      </c>
    </row>
    <row r="234" spans="1:15" x14ac:dyDescent="0.25">
      <c r="A234" t="s">
        <v>487</v>
      </c>
      <c r="B234" s="112">
        <v>45661</v>
      </c>
      <c r="C234" s="111">
        <v>-0.27</v>
      </c>
      <c r="D234">
        <v>4.4000000000000004</v>
      </c>
      <c r="E234" s="111">
        <v>0.01</v>
      </c>
      <c r="F234" s="111">
        <v>0</v>
      </c>
      <c r="G234" s="111">
        <v>0</v>
      </c>
      <c r="H234" s="111">
        <v>0</v>
      </c>
      <c r="I234" s="111">
        <v>1E-3</v>
      </c>
      <c r="J234" s="111">
        <v>1E-3</v>
      </c>
      <c r="K234" s="111">
        <v>3.0000000000000001E-3</v>
      </c>
      <c r="L234" s="111">
        <v>5.0000000000000001E-3</v>
      </c>
      <c r="M234" s="111">
        <v>1E-3</v>
      </c>
      <c r="N234" s="111">
        <v>8.9999999999999993E-3</v>
      </c>
      <c r="O234" s="60">
        <v>5</v>
      </c>
    </row>
    <row r="235" spans="1:15" x14ac:dyDescent="0.25">
      <c r="A235" t="s">
        <v>367</v>
      </c>
      <c r="O235" s="60">
        <v>5</v>
      </c>
    </row>
    <row r="236" spans="1:15" x14ac:dyDescent="0.25">
      <c r="A236" t="s">
        <v>444</v>
      </c>
      <c r="B236" t="s">
        <v>445</v>
      </c>
      <c r="C236" t="s">
        <v>446</v>
      </c>
      <c r="D236" t="s">
        <v>447</v>
      </c>
      <c r="E236" t="s">
        <v>448</v>
      </c>
      <c r="F236" t="s">
        <v>449</v>
      </c>
      <c r="G236" t="s">
        <v>450</v>
      </c>
      <c r="H236" t="s">
        <v>451</v>
      </c>
      <c r="I236" t="s">
        <v>452</v>
      </c>
      <c r="J236" t="s">
        <v>453</v>
      </c>
      <c r="K236" t="s">
        <v>454</v>
      </c>
      <c r="L236" t="s">
        <v>455</v>
      </c>
      <c r="M236" t="s">
        <v>456</v>
      </c>
      <c r="N236" t="s">
        <v>457</v>
      </c>
      <c r="O236" s="60">
        <v>5</v>
      </c>
    </row>
    <row r="237" spans="1:15" x14ac:dyDescent="0.25">
      <c r="A237" t="s">
        <v>488</v>
      </c>
      <c r="B237" s="112">
        <v>45691</v>
      </c>
      <c r="C237" s="111">
        <v>0.19</v>
      </c>
      <c r="D237">
        <v>9.6999999999999993</v>
      </c>
      <c r="E237" s="111">
        <v>0.68400000000000005</v>
      </c>
      <c r="F237" s="111">
        <v>0.06</v>
      </c>
      <c r="G237" s="111">
        <v>9.9000000000000005E-2</v>
      </c>
      <c r="H237" s="111">
        <v>0.13500000000000001</v>
      </c>
      <c r="I237" s="111">
        <v>8.3000000000000004E-2</v>
      </c>
      <c r="J237" s="111">
        <v>9.0999999999999998E-2</v>
      </c>
      <c r="K237" s="111">
        <v>0.109</v>
      </c>
      <c r="L237" s="111">
        <v>0.106</v>
      </c>
      <c r="M237" s="111">
        <v>0.377</v>
      </c>
      <c r="N237" s="111">
        <v>0.307</v>
      </c>
      <c r="O237" s="60">
        <v>5</v>
      </c>
    </row>
    <row r="238" spans="1:15" x14ac:dyDescent="0.25">
      <c r="A238" t="s">
        <v>491</v>
      </c>
      <c r="B238" s="112">
        <v>45718</v>
      </c>
      <c r="C238" s="111">
        <v>8.3000000000000004E-2</v>
      </c>
      <c r="D238">
        <v>9.9</v>
      </c>
      <c r="E238" s="111">
        <v>0.65600000000000003</v>
      </c>
      <c r="F238" s="111">
        <v>5.8000000000000003E-2</v>
      </c>
      <c r="G238" s="111">
        <v>9.5000000000000001E-2</v>
      </c>
      <c r="H238" s="111">
        <v>0.12</v>
      </c>
      <c r="I238" s="111">
        <v>8.7999999999999995E-2</v>
      </c>
      <c r="J238" s="111">
        <v>9.0999999999999998E-2</v>
      </c>
      <c r="K238" s="111">
        <v>0.10199999999999999</v>
      </c>
      <c r="L238" s="111">
        <v>0.10299999999999999</v>
      </c>
      <c r="M238" s="111">
        <v>0.36</v>
      </c>
      <c r="N238" s="111">
        <v>0.29599999999999999</v>
      </c>
      <c r="O238" s="60">
        <v>5</v>
      </c>
    </row>
    <row r="239" spans="1:15" x14ac:dyDescent="0.25">
      <c r="A239" t="s">
        <v>489</v>
      </c>
      <c r="B239" s="112">
        <v>45718</v>
      </c>
      <c r="C239" s="111">
        <v>1E-3</v>
      </c>
      <c r="D239">
        <v>9</v>
      </c>
      <c r="E239" s="111">
        <v>0.56799999999999995</v>
      </c>
      <c r="F239" s="111">
        <v>4.2000000000000003E-2</v>
      </c>
      <c r="G239" s="111">
        <v>6.7000000000000004E-2</v>
      </c>
      <c r="H239" s="111">
        <v>8.5999999999999993E-2</v>
      </c>
      <c r="I239" s="111">
        <v>5.5E-2</v>
      </c>
      <c r="J239" s="111">
        <v>9.7000000000000003E-2</v>
      </c>
      <c r="K239" s="111">
        <v>0.107</v>
      </c>
      <c r="L239" s="111">
        <v>0.114</v>
      </c>
      <c r="M239" s="111">
        <v>0.251</v>
      </c>
      <c r="N239" s="111">
        <v>0.318</v>
      </c>
      <c r="O239" s="60">
        <v>5</v>
      </c>
    </row>
    <row r="240" spans="1:15" x14ac:dyDescent="0.25">
      <c r="A240" t="s">
        <v>490</v>
      </c>
      <c r="B240" s="112">
        <v>45661</v>
      </c>
      <c r="C240" s="111">
        <v>-0.13800000000000001</v>
      </c>
      <c r="D240">
        <v>5.6</v>
      </c>
      <c r="E240" s="111">
        <v>0.05</v>
      </c>
      <c r="F240" s="111">
        <v>0</v>
      </c>
      <c r="G240" s="111">
        <v>1E-3</v>
      </c>
      <c r="H240" s="111">
        <v>4.0000000000000001E-3</v>
      </c>
      <c r="I240" s="111">
        <v>7.0000000000000001E-3</v>
      </c>
      <c r="J240" s="111">
        <v>5.0000000000000001E-3</v>
      </c>
      <c r="K240" s="111">
        <v>1.0999999999999999E-2</v>
      </c>
      <c r="L240" s="111">
        <v>2.1999999999999999E-2</v>
      </c>
      <c r="M240" s="111">
        <v>1.2E-2</v>
      </c>
      <c r="N240" s="111">
        <v>3.7999999999999999E-2</v>
      </c>
      <c r="O240" s="60">
        <v>5</v>
      </c>
    </row>
    <row r="241" spans="1:15" x14ac:dyDescent="0.25">
      <c r="A241" t="s">
        <v>363</v>
      </c>
      <c r="O241" s="60">
        <v>6</v>
      </c>
    </row>
    <row r="242" spans="1:15" x14ac:dyDescent="0.25">
      <c r="A242" t="s">
        <v>444</v>
      </c>
      <c r="B242" t="s">
        <v>445</v>
      </c>
      <c r="C242" t="s">
        <v>446</v>
      </c>
      <c r="D242" t="s">
        <v>447</v>
      </c>
      <c r="E242" t="s">
        <v>448</v>
      </c>
      <c r="F242" t="s">
        <v>449</v>
      </c>
      <c r="G242" t="s">
        <v>450</v>
      </c>
      <c r="H242" t="s">
        <v>451</v>
      </c>
      <c r="I242" t="s">
        <v>452</v>
      </c>
      <c r="J242" t="s">
        <v>453</v>
      </c>
      <c r="K242" t="s">
        <v>454</v>
      </c>
      <c r="L242" t="s">
        <v>455</v>
      </c>
      <c r="M242" t="s">
        <v>456</v>
      </c>
      <c r="N242" t="s">
        <v>457</v>
      </c>
      <c r="O242" s="60">
        <v>6</v>
      </c>
    </row>
    <row r="243" spans="1:15" x14ac:dyDescent="0.25">
      <c r="A243" t="s">
        <v>459</v>
      </c>
      <c r="B243" s="112">
        <v>45749</v>
      </c>
      <c r="C243" s="111">
        <v>8.7999999999999995E-2</v>
      </c>
      <c r="D243">
        <v>9.6999999999999993</v>
      </c>
      <c r="E243" s="111">
        <v>0.60599999999999998</v>
      </c>
      <c r="F243" s="111">
        <v>5.8000000000000003E-2</v>
      </c>
      <c r="G243" s="111">
        <v>8.4000000000000005E-2</v>
      </c>
      <c r="H243" s="111">
        <v>0.128</v>
      </c>
      <c r="I243" s="111">
        <v>0.17100000000000001</v>
      </c>
      <c r="J243" s="111">
        <v>0.04</v>
      </c>
      <c r="K243" s="111">
        <v>5.5E-2</v>
      </c>
      <c r="L243" s="111">
        <v>7.0999999999999994E-2</v>
      </c>
      <c r="M243" s="111">
        <v>0.441</v>
      </c>
      <c r="N243" s="111">
        <v>0.16600000000000001</v>
      </c>
      <c r="O243" s="60">
        <v>6</v>
      </c>
    </row>
    <row r="244" spans="1:15" x14ac:dyDescent="0.25">
      <c r="A244" t="s">
        <v>458</v>
      </c>
      <c r="B244" s="112">
        <v>45719</v>
      </c>
      <c r="C244" s="111">
        <v>0.152</v>
      </c>
      <c r="D244">
        <v>9.3000000000000007</v>
      </c>
      <c r="E244" s="111">
        <v>0.51800000000000002</v>
      </c>
      <c r="F244" s="111">
        <v>2.8000000000000001E-2</v>
      </c>
      <c r="G244" s="111">
        <v>5.5E-2</v>
      </c>
      <c r="H244" s="111">
        <v>0.108</v>
      </c>
      <c r="I244" s="111">
        <v>0.23200000000000001</v>
      </c>
      <c r="J244" s="111">
        <v>1.7000000000000001E-2</v>
      </c>
      <c r="K244" s="111">
        <v>3.1E-2</v>
      </c>
      <c r="L244" s="111">
        <v>4.8000000000000001E-2</v>
      </c>
      <c r="M244" s="111">
        <v>0.42199999999999999</v>
      </c>
      <c r="N244" s="111">
        <v>9.6000000000000002E-2</v>
      </c>
      <c r="O244" s="60">
        <v>6</v>
      </c>
    </row>
    <row r="245" spans="1:15" x14ac:dyDescent="0.25">
      <c r="A245" t="s">
        <v>460</v>
      </c>
      <c r="B245" s="122">
        <v>36925</v>
      </c>
      <c r="C245" s="111">
        <v>2.1000000000000001E-2</v>
      </c>
      <c r="D245">
        <v>7.7</v>
      </c>
      <c r="E245" s="111">
        <v>0.192</v>
      </c>
      <c r="F245" s="111">
        <v>2E-3</v>
      </c>
      <c r="G245" s="111">
        <v>8.9999999999999993E-3</v>
      </c>
      <c r="H245" s="111">
        <v>2.7E-2</v>
      </c>
      <c r="I245" s="111">
        <v>0.08</v>
      </c>
      <c r="J245" s="111">
        <v>8.9999999999999993E-3</v>
      </c>
      <c r="K245" s="111">
        <v>2.3E-2</v>
      </c>
      <c r="L245" s="111">
        <v>4.2000000000000003E-2</v>
      </c>
      <c r="M245" s="111">
        <v>0.11799999999999999</v>
      </c>
      <c r="N245" s="111">
        <v>7.3999999999999996E-2</v>
      </c>
      <c r="O245" s="60">
        <v>6</v>
      </c>
    </row>
    <row r="246" spans="1:15" x14ac:dyDescent="0.25">
      <c r="A246" t="s">
        <v>462</v>
      </c>
      <c r="B246" s="112">
        <v>45692</v>
      </c>
      <c r="C246" s="111">
        <v>-0.121</v>
      </c>
      <c r="D246">
        <v>5.9</v>
      </c>
      <c r="E246" s="111">
        <v>0.04</v>
      </c>
      <c r="F246" s="111">
        <v>0</v>
      </c>
      <c r="G246" s="111">
        <v>1E-3</v>
      </c>
      <c r="H246" s="111">
        <v>4.0000000000000001E-3</v>
      </c>
      <c r="I246" s="111">
        <v>1.4E-2</v>
      </c>
      <c r="J246" s="111">
        <v>2E-3</v>
      </c>
      <c r="K246" s="111">
        <v>7.0000000000000001E-3</v>
      </c>
      <c r="L246" s="111">
        <v>1.2E-2</v>
      </c>
      <c r="M246" s="111">
        <v>1.9E-2</v>
      </c>
      <c r="N246" s="111">
        <v>2.1000000000000001E-2</v>
      </c>
      <c r="O246" s="60">
        <v>6</v>
      </c>
    </row>
    <row r="247" spans="1:15" x14ac:dyDescent="0.25">
      <c r="A247" t="s">
        <v>357</v>
      </c>
      <c r="O247" s="60">
        <v>6</v>
      </c>
    </row>
    <row r="248" spans="1:15" x14ac:dyDescent="0.25">
      <c r="A248" t="s">
        <v>444</v>
      </c>
      <c r="B248" t="s">
        <v>445</v>
      </c>
      <c r="C248" t="s">
        <v>446</v>
      </c>
      <c r="D248" t="s">
        <v>447</v>
      </c>
      <c r="E248" t="s">
        <v>448</v>
      </c>
      <c r="F248" t="s">
        <v>449</v>
      </c>
      <c r="G248" t="s">
        <v>450</v>
      </c>
      <c r="H248" t="s">
        <v>451</v>
      </c>
      <c r="I248" t="s">
        <v>452</v>
      </c>
      <c r="J248" t="s">
        <v>453</v>
      </c>
      <c r="K248" t="s">
        <v>454</v>
      </c>
      <c r="L248" t="s">
        <v>455</v>
      </c>
      <c r="M248" t="s">
        <v>456</v>
      </c>
      <c r="N248" t="s">
        <v>457</v>
      </c>
      <c r="O248" s="60">
        <v>6</v>
      </c>
    </row>
    <row r="249" spans="1:15" x14ac:dyDescent="0.25">
      <c r="A249" t="s">
        <v>464</v>
      </c>
      <c r="B249" s="112">
        <v>45749</v>
      </c>
      <c r="C249" s="111">
        <v>0.26300000000000001</v>
      </c>
      <c r="D249">
        <v>11.6</v>
      </c>
      <c r="E249" s="111">
        <v>0.872</v>
      </c>
      <c r="F249" s="111">
        <v>0.26100000000000001</v>
      </c>
      <c r="G249" s="111">
        <v>0.16900000000000001</v>
      </c>
      <c r="H249" s="111">
        <v>0.104</v>
      </c>
      <c r="I249" s="111">
        <v>5.2999999999999999E-2</v>
      </c>
      <c r="J249" s="111">
        <v>0.13200000000000001</v>
      </c>
      <c r="K249" s="111">
        <v>0.09</v>
      </c>
      <c r="L249" s="111">
        <v>6.4000000000000001E-2</v>
      </c>
      <c r="M249" s="111">
        <v>0.58699999999999997</v>
      </c>
      <c r="N249" s="111">
        <v>0.28499999999999998</v>
      </c>
      <c r="O249" s="60">
        <v>6</v>
      </c>
    </row>
    <row r="250" spans="1:15" x14ac:dyDescent="0.25">
      <c r="A250" t="s">
        <v>463</v>
      </c>
      <c r="B250" s="122">
        <v>36951</v>
      </c>
      <c r="C250" s="111">
        <v>0.127</v>
      </c>
      <c r="D250">
        <v>10.6</v>
      </c>
      <c r="E250" s="111">
        <v>0.71599999999999997</v>
      </c>
      <c r="F250" s="111">
        <v>0.108</v>
      </c>
      <c r="G250" s="111">
        <v>9.5000000000000001E-2</v>
      </c>
      <c r="H250" s="111">
        <v>6.3E-2</v>
      </c>
      <c r="I250" s="111">
        <v>3.5000000000000003E-2</v>
      </c>
      <c r="J250" s="111">
        <v>0.17799999999999999</v>
      </c>
      <c r="K250" s="111">
        <v>0.13500000000000001</v>
      </c>
      <c r="L250" s="111">
        <v>0.10199999999999999</v>
      </c>
      <c r="M250" s="111">
        <v>0.30099999999999999</v>
      </c>
      <c r="N250" s="111">
        <v>0.41499999999999998</v>
      </c>
      <c r="O250" s="60">
        <v>6</v>
      </c>
    </row>
    <row r="251" spans="1:15" x14ac:dyDescent="0.25">
      <c r="A251" t="s">
        <v>467</v>
      </c>
      <c r="B251" s="112">
        <v>45718</v>
      </c>
      <c r="C251" s="111">
        <v>-2.8000000000000001E-2</v>
      </c>
      <c r="D251">
        <v>8.8000000000000007</v>
      </c>
      <c r="E251" s="111">
        <v>0.33600000000000002</v>
      </c>
      <c r="F251" s="111">
        <v>1.7000000000000001E-2</v>
      </c>
      <c r="G251" s="111">
        <v>2.1000000000000001E-2</v>
      </c>
      <c r="H251" s="111">
        <v>0.02</v>
      </c>
      <c r="I251" s="111">
        <v>1.0999999999999999E-2</v>
      </c>
      <c r="J251" s="111">
        <v>7.8E-2</v>
      </c>
      <c r="K251" s="111">
        <v>0.09</v>
      </c>
      <c r="L251" s="111">
        <v>9.9000000000000005E-2</v>
      </c>
      <c r="M251" s="111">
        <v>6.9000000000000006E-2</v>
      </c>
      <c r="N251" s="111">
        <v>0.26700000000000002</v>
      </c>
      <c r="O251" s="60">
        <v>6</v>
      </c>
    </row>
    <row r="252" spans="1:15" x14ac:dyDescent="0.25">
      <c r="A252" t="s">
        <v>465</v>
      </c>
      <c r="B252" s="112">
        <v>45718</v>
      </c>
      <c r="C252" s="111">
        <v>-3.4000000000000002E-2</v>
      </c>
      <c r="D252">
        <v>7.6</v>
      </c>
      <c r="E252" s="111">
        <v>0.16300000000000001</v>
      </c>
      <c r="F252" s="111">
        <v>7.0000000000000001E-3</v>
      </c>
      <c r="G252" s="111">
        <v>1.0999999999999999E-2</v>
      </c>
      <c r="H252" s="111">
        <v>1.2999999999999999E-2</v>
      </c>
      <c r="I252" s="111">
        <v>1.2E-2</v>
      </c>
      <c r="J252" s="111">
        <v>2.5999999999999999E-2</v>
      </c>
      <c r="K252" s="111">
        <v>0.04</v>
      </c>
      <c r="L252" s="111">
        <v>5.3999999999999999E-2</v>
      </c>
      <c r="M252" s="111">
        <v>4.2999999999999997E-2</v>
      </c>
      <c r="N252" s="111">
        <v>0.12</v>
      </c>
      <c r="O252" s="60">
        <v>6</v>
      </c>
    </row>
    <row r="253" spans="1:15" x14ac:dyDescent="0.25">
      <c r="A253" t="s">
        <v>383</v>
      </c>
      <c r="O253" s="60">
        <v>6</v>
      </c>
    </row>
    <row r="254" spans="1:15" x14ac:dyDescent="0.25">
      <c r="A254" t="s">
        <v>444</v>
      </c>
      <c r="B254" t="s">
        <v>445</v>
      </c>
      <c r="C254" t="s">
        <v>446</v>
      </c>
      <c r="D254" t="s">
        <v>447</v>
      </c>
      <c r="E254" t="s">
        <v>448</v>
      </c>
      <c r="F254" t="s">
        <v>449</v>
      </c>
      <c r="G254" t="s">
        <v>450</v>
      </c>
      <c r="H254" t="s">
        <v>451</v>
      </c>
      <c r="I254" t="s">
        <v>452</v>
      </c>
      <c r="J254" t="s">
        <v>453</v>
      </c>
      <c r="K254" t="s">
        <v>454</v>
      </c>
      <c r="L254" t="s">
        <v>455</v>
      </c>
      <c r="M254" t="s">
        <v>456</v>
      </c>
      <c r="N254" t="s">
        <v>457</v>
      </c>
      <c r="O254" s="60">
        <v>6</v>
      </c>
    </row>
    <row r="255" spans="1:15" x14ac:dyDescent="0.25">
      <c r="A255" t="s">
        <v>468</v>
      </c>
      <c r="B255" s="112">
        <v>45778</v>
      </c>
      <c r="C255" s="111">
        <v>7.0999999999999994E-2</v>
      </c>
      <c r="D255">
        <v>11.3</v>
      </c>
      <c r="E255" s="111">
        <v>0.88900000000000001</v>
      </c>
      <c r="F255" s="111">
        <v>0.185</v>
      </c>
      <c r="G255" s="111">
        <v>0.189</v>
      </c>
      <c r="H255" s="111">
        <v>0.22800000000000001</v>
      </c>
      <c r="I255" s="111">
        <v>0.19800000000000001</v>
      </c>
      <c r="J255" s="111">
        <v>2.5999999999999999E-2</v>
      </c>
      <c r="K255" s="111">
        <v>3.2000000000000001E-2</v>
      </c>
      <c r="L255" s="111">
        <v>3.2000000000000001E-2</v>
      </c>
      <c r="M255" s="111">
        <v>0.79900000000000004</v>
      </c>
      <c r="N255" s="111">
        <v>0.09</v>
      </c>
      <c r="O255" s="60">
        <v>6</v>
      </c>
    </row>
    <row r="256" spans="1:15" x14ac:dyDescent="0.25">
      <c r="A256" t="s">
        <v>469</v>
      </c>
      <c r="B256" s="112">
        <v>45718</v>
      </c>
      <c r="C256" s="111">
        <v>-1.2E-2</v>
      </c>
      <c r="D256">
        <v>9.1</v>
      </c>
      <c r="E256" s="111">
        <v>0.433</v>
      </c>
      <c r="F256" s="111">
        <v>2.7E-2</v>
      </c>
      <c r="G256" s="111">
        <v>0.04</v>
      </c>
      <c r="H256" s="111">
        <v>5.0999999999999997E-2</v>
      </c>
      <c r="I256" s="111">
        <v>4.2999999999999997E-2</v>
      </c>
      <c r="J256" s="111">
        <v>8.1000000000000003E-2</v>
      </c>
      <c r="K256" s="111">
        <v>9.1999999999999998E-2</v>
      </c>
      <c r="L256" s="111">
        <v>9.9000000000000005E-2</v>
      </c>
      <c r="M256" s="111">
        <v>0.161</v>
      </c>
      <c r="N256" s="111">
        <v>0.27200000000000002</v>
      </c>
      <c r="O256" s="60">
        <v>6</v>
      </c>
    </row>
    <row r="257" spans="1:15" x14ac:dyDescent="0.25">
      <c r="A257" t="s">
        <v>471</v>
      </c>
      <c r="B257" s="112">
        <v>45719</v>
      </c>
      <c r="C257" s="111">
        <v>-0.18099999999999999</v>
      </c>
      <c r="D257">
        <v>6.6</v>
      </c>
      <c r="E257" s="111">
        <v>7.3999999999999996E-2</v>
      </c>
      <c r="F257" s="111">
        <v>1E-3</v>
      </c>
      <c r="G257" s="111">
        <v>4.0000000000000001E-3</v>
      </c>
      <c r="H257" s="111">
        <v>8.9999999999999993E-3</v>
      </c>
      <c r="I257" s="111">
        <v>1.7999999999999999E-2</v>
      </c>
      <c r="J257" s="111">
        <v>6.0000000000000001E-3</v>
      </c>
      <c r="K257" s="111">
        <v>1.2E-2</v>
      </c>
      <c r="L257" s="111">
        <v>2.3E-2</v>
      </c>
      <c r="M257" s="111">
        <v>3.2000000000000001E-2</v>
      </c>
      <c r="N257" s="111">
        <v>4.2000000000000003E-2</v>
      </c>
      <c r="O257" s="60">
        <v>6</v>
      </c>
    </row>
    <row r="258" spans="1:15" x14ac:dyDescent="0.25">
      <c r="A258" t="s">
        <v>470</v>
      </c>
      <c r="B258" s="112">
        <v>45662</v>
      </c>
      <c r="C258" s="111">
        <v>-0.19400000000000001</v>
      </c>
      <c r="D258">
        <v>5.0999999999999996</v>
      </c>
      <c r="E258" s="111">
        <v>1.4999999999999999E-2</v>
      </c>
      <c r="F258" s="111">
        <v>0</v>
      </c>
      <c r="G258" s="111">
        <v>0</v>
      </c>
      <c r="H258" s="111">
        <v>2E-3</v>
      </c>
      <c r="I258" s="111">
        <v>7.0000000000000001E-3</v>
      </c>
      <c r="J258" s="111">
        <v>1E-3</v>
      </c>
      <c r="K258" s="111">
        <v>2E-3</v>
      </c>
      <c r="L258" s="111">
        <v>4.0000000000000001E-3</v>
      </c>
      <c r="M258" s="111">
        <v>8.9999999999999993E-3</v>
      </c>
      <c r="N258" s="111">
        <v>6.0000000000000001E-3</v>
      </c>
      <c r="O258" s="60">
        <v>6</v>
      </c>
    </row>
    <row r="259" spans="1:15" x14ac:dyDescent="0.25">
      <c r="A259" t="s">
        <v>355</v>
      </c>
      <c r="O259" s="60">
        <v>6</v>
      </c>
    </row>
    <row r="260" spans="1:15" x14ac:dyDescent="0.25">
      <c r="A260" t="s">
        <v>444</v>
      </c>
      <c r="B260" t="s">
        <v>445</v>
      </c>
      <c r="C260" t="s">
        <v>446</v>
      </c>
      <c r="D260" t="s">
        <v>447</v>
      </c>
      <c r="E260" t="s">
        <v>448</v>
      </c>
      <c r="F260" t="s">
        <v>449</v>
      </c>
      <c r="G260" t="s">
        <v>450</v>
      </c>
      <c r="H260" t="s">
        <v>451</v>
      </c>
      <c r="I260" t="s">
        <v>452</v>
      </c>
      <c r="J260" t="s">
        <v>453</v>
      </c>
      <c r="K260" t="s">
        <v>454</v>
      </c>
      <c r="L260" t="s">
        <v>455</v>
      </c>
      <c r="M260" t="s">
        <v>456</v>
      </c>
      <c r="N260" t="s">
        <v>457</v>
      </c>
      <c r="O260" s="60">
        <v>6</v>
      </c>
    </row>
    <row r="261" spans="1:15" x14ac:dyDescent="0.25">
      <c r="A261" t="s">
        <v>475</v>
      </c>
      <c r="B261" s="112">
        <v>45749</v>
      </c>
      <c r="C261" s="111">
        <v>0.19600000000000001</v>
      </c>
      <c r="D261">
        <v>11.2</v>
      </c>
      <c r="E261" s="111">
        <v>0.8</v>
      </c>
      <c r="F261" s="111">
        <v>0.124</v>
      </c>
      <c r="G261" s="111">
        <v>0.15</v>
      </c>
      <c r="H261" s="111">
        <v>0.115</v>
      </c>
      <c r="I261" s="111">
        <v>5.8999999999999997E-2</v>
      </c>
      <c r="J261" s="111">
        <v>0.14199999999999999</v>
      </c>
      <c r="K261" s="111">
        <v>0.11600000000000001</v>
      </c>
      <c r="L261" s="111">
        <v>9.5000000000000001E-2</v>
      </c>
      <c r="M261" s="111">
        <v>0.44700000000000001</v>
      </c>
      <c r="N261" s="111">
        <v>0.35299999999999998</v>
      </c>
      <c r="O261" s="60">
        <v>6</v>
      </c>
    </row>
    <row r="262" spans="1:15" x14ac:dyDescent="0.25">
      <c r="A262" t="s">
        <v>473</v>
      </c>
      <c r="B262" s="112">
        <v>45749</v>
      </c>
      <c r="C262" s="111">
        <v>0.19</v>
      </c>
      <c r="D262">
        <v>10.9</v>
      </c>
      <c r="E262" s="111">
        <v>0.753</v>
      </c>
      <c r="F262" s="111">
        <v>0.14799999999999999</v>
      </c>
      <c r="G262" s="111">
        <v>0.122</v>
      </c>
      <c r="H262" s="111">
        <v>7.9000000000000001E-2</v>
      </c>
      <c r="I262" s="111">
        <v>0.04</v>
      </c>
      <c r="J262" s="111">
        <v>0.14299999999999999</v>
      </c>
      <c r="K262" s="111">
        <v>0.124</v>
      </c>
      <c r="L262" s="111">
        <v>9.6000000000000002E-2</v>
      </c>
      <c r="M262" s="111">
        <v>0.39</v>
      </c>
      <c r="N262" s="111">
        <v>0.36299999999999999</v>
      </c>
      <c r="O262" s="60">
        <v>6</v>
      </c>
    </row>
    <row r="263" spans="1:15" x14ac:dyDescent="0.25">
      <c r="A263" t="s">
        <v>472</v>
      </c>
      <c r="B263" s="112">
        <v>45749</v>
      </c>
      <c r="C263" s="111">
        <v>-3.6999999999999998E-2</v>
      </c>
      <c r="D263">
        <v>9.4</v>
      </c>
      <c r="E263" s="111">
        <v>0.504</v>
      </c>
      <c r="F263" s="111">
        <v>3.2000000000000001E-2</v>
      </c>
      <c r="G263" s="111">
        <v>4.9000000000000002E-2</v>
      </c>
      <c r="H263" s="111">
        <v>4.7E-2</v>
      </c>
      <c r="I263" s="111">
        <v>2.5000000000000001E-2</v>
      </c>
      <c r="J263" s="111">
        <v>0.104</v>
      </c>
      <c r="K263" s="111">
        <v>0.126</v>
      </c>
      <c r="L263" s="111">
        <v>0.121</v>
      </c>
      <c r="M263" s="111">
        <v>0.152</v>
      </c>
      <c r="N263" s="111">
        <v>0.35099999999999998</v>
      </c>
      <c r="O263" s="60">
        <v>6</v>
      </c>
    </row>
    <row r="264" spans="1:15" x14ac:dyDescent="0.25">
      <c r="A264" t="s">
        <v>474</v>
      </c>
      <c r="B264" s="112">
        <v>45692</v>
      </c>
      <c r="C264" s="111">
        <v>-1.7000000000000001E-2</v>
      </c>
      <c r="D264">
        <v>6.7</v>
      </c>
      <c r="E264" s="111">
        <v>8.7999999999999995E-2</v>
      </c>
      <c r="F264" s="111">
        <v>1E-3</v>
      </c>
      <c r="G264" s="111">
        <v>3.0000000000000001E-3</v>
      </c>
      <c r="H264" s="111">
        <v>4.0000000000000001E-3</v>
      </c>
      <c r="I264" s="111">
        <v>2E-3</v>
      </c>
      <c r="J264" s="111">
        <v>1.4999999999999999E-2</v>
      </c>
      <c r="K264" s="111">
        <v>2.5999999999999999E-2</v>
      </c>
      <c r="L264" s="111">
        <v>3.6999999999999998E-2</v>
      </c>
      <c r="M264" s="111">
        <v>0.01</v>
      </c>
      <c r="N264" s="111">
        <v>7.8E-2</v>
      </c>
      <c r="O264" s="60">
        <v>6</v>
      </c>
    </row>
    <row r="265" spans="1:15" x14ac:dyDescent="0.25">
      <c r="A265" t="s">
        <v>359</v>
      </c>
      <c r="O265" s="60">
        <v>6</v>
      </c>
    </row>
    <row r="266" spans="1:15" x14ac:dyDescent="0.25">
      <c r="A266" t="s">
        <v>444</v>
      </c>
      <c r="B266" t="s">
        <v>445</v>
      </c>
      <c r="C266" t="s">
        <v>446</v>
      </c>
      <c r="D266" t="s">
        <v>447</v>
      </c>
      <c r="E266" t="s">
        <v>448</v>
      </c>
      <c r="F266" t="s">
        <v>449</v>
      </c>
      <c r="G266" t="s">
        <v>450</v>
      </c>
      <c r="H266" t="s">
        <v>451</v>
      </c>
      <c r="I266" t="s">
        <v>452</v>
      </c>
      <c r="J266" t="s">
        <v>453</v>
      </c>
      <c r="K266" t="s">
        <v>454</v>
      </c>
      <c r="L266" t="s">
        <v>455</v>
      </c>
      <c r="M266" t="s">
        <v>456</v>
      </c>
      <c r="N266" t="s">
        <v>457</v>
      </c>
      <c r="O266" s="60">
        <v>6</v>
      </c>
    </row>
    <row r="267" spans="1:15" x14ac:dyDescent="0.25">
      <c r="A267" t="s">
        <v>476</v>
      </c>
      <c r="B267" s="112">
        <v>45749</v>
      </c>
      <c r="C267" s="111">
        <v>0.16800000000000001</v>
      </c>
      <c r="D267">
        <v>11.4</v>
      </c>
      <c r="E267" s="111">
        <v>0.89600000000000002</v>
      </c>
      <c r="F267" s="111">
        <v>0.22</v>
      </c>
      <c r="G267" s="111">
        <v>0.18099999999999999</v>
      </c>
      <c r="H267" s="111">
        <v>0.14499999999999999</v>
      </c>
      <c r="I267" s="111">
        <v>8.4000000000000005E-2</v>
      </c>
      <c r="J267" s="111">
        <v>0.122</v>
      </c>
      <c r="K267" s="111">
        <v>8.4000000000000005E-2</v>
      </c>
      <c r="L267" s="111">
        <v>6.0999999999999999E-2</v>
      </c>
      <c r="M267" s="111">
        <v>0.63</v>
      </c>
      <c r="N267" s="111">
        <v>0.26700000000000002</v>
      </c>
      <c r="O267" s="60">
        <v>6</v>
      </c>
    </row>
    <row r="268" spans="1:15" x14ac:dyDescent="0.25">
      <c r="A268" t="s">
        <v>477</v>
      </c>
      <c r="B268" s="112">
        <v>45749</v>
      </c>
      <c r="C268" s="111">
        <v>-2.1999999999999999E-2</v>
      </c>
      <c r="D268">
        <v>10.3</v>
      </c>
      <c r="E268" s="111">
        <v>0.70799999999999996</v>
      </c>
      <c r="F268" s="111">
        <v>6.6000000000000003E-2</v>
      </c>
      <c r="G268" s="111">
        <v>9.8000000000000004E-2</v>
      </c>
      <c r="H268" s="111">
        <v>0.104</v>
      </c>
      <c r="I268" s="111">
        <v>9.6000000000000002E-2</v>
      </c>
      <c r="J268" s="111">
        <v>0.115</v>
      </c>
      <c r="K268" s="111">
        <v>0.11899999999999999</v>
      </c>
      <c r="L268" s="111">
        <v>0.109</v>
      </c>
      <c r="M268" s="111">
        <v>0.36399999999999999</v>
      </c>
      <c r="N268" s="111">
        <v>0.34399999999999997</v>
      </c>
      <c r="O268" s="60">
        <v>6</v>
      </c>
    </row>
    <row r="269" spans="1:15" x14ac:dyDescent="0.25">
      <c r="A269" t="s">
        <v>479</v>
      </c>
      <c r="B269" s="112">
        <v>45662</v>
      </c>
      <c r="C269" s="111">
        <v>-0.122</v>
      </c>
      <c r="D269">
        <v>5.7</v>
      </c>
      <c r="E269" s="111">
        <v>2.9000000000000001E-2</v>
      </c>
      <c r="F269" s="111">
        <v>0</v>
      </c>
      <c r="G269" s="111">
        <v>0</v>
      </c>
      <c r="H269" s="111">
        <v>2E-3</v>
      </c>
      <c r="I269" s="111">
        <v>3.0000000000000001E-3</v>
      </c>
      <c r="J269" s="111">
        <v>2E-3</v>
      </c>
      <c r="K269" s="111">
        <v>6.0000000000000001E-3</v>
      </c>
      <c r="L269" s="111">
        <v>1.4999999999999999E-2</v>
      </c>
      <c r="M269" s="111">
        <v>5.0000000000000001E-3</v>
      </c>
      <c r="N269" s="111">
        <v>2.4E-2</v>
      </c>
      <c r="O269" s="60">
        <v>6</v>
      </c>
    </row>
    <row r="270" spans="1:15" x14ac:dyDescent="0.25">
      <c r="A270" t="s">
        <v>478</v>
      </c>
      <c r="B270" t="s">
        <v>496</v>
      </c>
      <c r="C270" s="111">
        <v>-0.189</v>
      </c>
      <c r="D270">
        <v>4.3</v>
      </c>
      <c r="E270" s="111">
        <v>5.0000000000000001E-3</v>
      </c>
      <c r="F270" s="111">
        <v>0</v>
      </c>
      <c r="G270" s="111">
        <v>0</v>
      </c>
      <c r="H270" s="111">
        <v>0</v>
      </c>
      <c r="I270" s="111">
        <v>1E-3</v>
      </c>
      <c r="J270" s="111">
        <v>0</v>
      </c>
      <c r="K270" s="111">
        <v>1E-3</v>
      </c>
      <c r="L270" s="111">
        <v>3.0000000000000001E-3</v>
      </c>
      <c r="M270" s="111">
        <v>1E-3</v>
      </c>
      <c r="N270" s="111">
        <v>4.0000000000000001E-3</v>
      </c>
      <c r="O270" s="60">
        <v>6</v>
      </c>
    </row>
    <row r="271" spans="1:15" x14ac:dyDescent="0.25">
      <c r="A271" t="s">
        <v>352</v>
      </c>
      <c r="O271" s="60">
        <v>6</v>
      </c>
    </row>
    <row r="272" spans="1:15" x14ac:dyDescent="0.25">
      <c r="A272" t="s">
        <v>444</v>
      </c>
      <c r="B272" t="s">
        <v>445</v>
      </c>
      <c r="C272" t="s">
        <v>446</v>
      </c>
      <c r="D272" t="s">
        <v>447</v>
      </c>
      <c r="E272" t="s">
        <v>448</v>
      </c>
      <c r="F272" t="s">
        <v>449</v>
      </c>
      <c r="G272" t="s">
        <v>450</v>
      </c>
      <c r="H272" t="s">
        <v>451</v>
      </c>
      <c r="I272" t="s">
        <v>452</v>
      </c>
      <c r="J272" t="s">
        <v>453</v>
      </c>
      <c r="K272" t="s">
        <v>454</v>
      </c>
      <c r="L272" t="s">
        <v>455</v>
      </c>
      <c r="M272" t="s">
        <v>456</v>
      </c>
      <c r="N272" t="s">
        <v>457</v>
      </c>
      <c r="O272" s="60">
        <v>6</v>
      </c>
    </row>
    <row r="273" spans="1:15" x14ac:dyDescent="0.25">
      <c r="A273" t="s">
        <v>482</v>
      </c>
      <c r="B273" s="112">
        <v>45748</v>
      </c>
      <c r="C273" s="111">
        <v>3.4000000000000002E-2</v>
      </c>
      <c r="D273">
        <v>10.3</v>
      </c>
      <c r="E273" s="111">
        <v>0.79300000000000004</v>
      </c>
      <c r="F273" s="111">
        <v>0.13400000000000001</v>
      </c>
      <c r="G273" s="111">
        <v>0.13400000000000001</v>
      </c>
      <c r="H273" s="111">
        <v>0.16900000000000001</v>
      </c>
      <c r="I273" s="111">
        <v>0.26300000000000001</v>
      </c>
      <c r="J273" s="111">
        <v>1.7999999999999999E-2</v>
      </c>
      <c r="K273" s="111">
        <v>3.2000000000000001E-2</v>
      </c>
      <c r="L273" s="111">
        <v>4.2999999999999997E-2</v>
      </c>
      <c r="M273" s="111">
        <v>0.7</v>
      </c>
      <c r="N273" s="111">
        <v>9.2999999999999999E-2</v>
      </c>
      <c r="O273" s="60">
        <v>6</v>
      </c>
    </row>
    <row r="274" spans="1:15" x14ac:dyDescent="0.25">
      <c r="A274" t="s">
        <v>480</v>
      </c>
      <c r="B274" s="112">
        <v>45662</v>
      </c>
      <c r="C274" s="111">
        <v>0.108</v>
      </c>
      <c r="D274">
        <v>8.1</v>
      </c>
      <c r="E274" s="111">
        <v>0.376</v>
      </c>
      <c r="F274" s="111">
        <v>2E-3</v>
      </c>
      <c r="G274" s="111">
        <v>1.2999999999999999E-2</v>
      </c>
      <c r="H274" s="111">
        <v>4.2999999999999997E-2</v>
      </c>
      <c r="I274" s="111">
        <v>0.20300000000000001</v>
      </c>
      <c r="J274" s="111">
        <v>1.2999999999999999E-2</v>
      </c>
      <c r="K274" s="111">
        <v>3.7999999999999999E-2</v>
      </c>
      <c r="L274" s="111">
        <v>6.5000000000000002E-2</v>
      </c>
      <c r="M274" s="111">
        <v>0.26</v>
      </c>
      <c r="N274" s="111">
        <v>0.11600000000000001</v>
      </c>
      <c r="O274" s="60">
        <v>6</v>
      </c>
    </row>
    <row r="275" spans="1:15" x14ac:dyDescent="0.25">
      <c r="A275" t="s">
        <v>481</v>
      </c>
      <c r="B275" s="112">
        <v>45692</v>
      </c>
      <c r="C275" s="111">
        <v>-0.22900000000000001</v>
      </c>
      <c r="D275">
        <v>5.7</v>
      </c>
      <c r="E275" s="111">
        <v>5.3999999999999999E-2</v>
      </c>
      <c r="F275" s="111">
        <v>0</v>
      </c>
      <c r="G275" s="111">
        <v>1E-3</v>
      </c>
      <c r="H275" s="111">
        <v>4.0000000000000001E-3</v>
      </c>
      <c r="I275" s="111">
        <v>2.5000000000000001E-2</v>
      </c>
      <c r="J275" s="111">
        <v>2E-3</v>
      </c>
      <c r="K275" s="111">
        <v>7.0000000000000001E-3</v>
      </c>
      <c r="L275" s="111">
        <v>1.4999999999999999E-2</v>
      </c>
      <c r="M275" s="111">
        <v>0.03</v>
      </c>
      <c r="N275" s="111">
        <v>2.4E-2</v>
      </c>
      <c r="O275" s="60">
        <v>6</v>
      </c>
    </row>
    <row r="276" spans="1:15" x14ac:dyDescent="0.25">
      <c r="A276" t="s">
        <v>483</v>
      </c>
      <c r="B276" s="112">
        <v>45662</v>
      </c>
      <c r="C276" s="111">
        <v>-0.20499999999999999</v>
      </c>
      <c r="D276">
        <v>5.3</v>
      </c>
      <c r="E276" s="111">
        <v>2.4E-2</v>
      </c>
      <c r="F276" s="111">
        <v>0</v>
      </c>
      <c r="G276" s="111">
        <v>0</v>
      </c>
      <c r="H276" s="111">
        <v>1E-3</v>
      </c>
      <c r="I276" s="111">
        <v>7.0000000000000001E-3</v>
      </c>
      <c r="J276" s="111">
        <v>1E-3</v>
      </c>
      <c r="K276" s="111">
        <v>4.0000000000000001E-3</v>
      </c>
      <c r="L276" s="111">
        <v>8.9999999999999993E-3</v>
      </c>
      <c r="M276" s="111">
        <v>8.9999999999999993E-3</v>
      </c>
      <c r="N276" s="111">
        <v>1.4999999999999999E-2</v>
      </c>
      <c r="O276" s="60">
        <v>6</v>
      </c>
    </row>
    <row r="277" spans="1:15" x14ac:dyDescent="0.25">
      <c r="A277" t="s">
        <v>368</v>
      </c>
      <c r="O277" s="60">
        <v>6</v>
      </c>
    </row>
    <row r="278" spans="1:15" x14ac:dyDescent="0.25">
      <c r="A278" t="s">
        <v>444</v>
      </c>
      <c r="B278" t="s">
        <v>445</v>
      </c>
      <c r="C278" t="s">
        <v>446</v>
      </c>
      <c r="D278" t="s">
        <v>447</v>
      </c>
      <c r="E278" t="s">
        <v>448</v>
      </c>
      <c r="F278" t="s">
        <v>449</v>
      </c>
      <c r="G278" t="s">
        <v>450</v>
      </c>
      <c r="H278" t="s">
        <v>451</v>
      </c>
      <c r="I278" t="s">
        <v>452</v>
      </c>
      <c r="J278" t="s">
        <v>453</v>
      </c>
      <c r="K278" t="s">
        <v>454</v>
      </c>
      <c r="L278" t="s">
        <v>455</v>
      </c>
      <c r="M278" t="s">
        <v>456</v>
      </c>
      <c r="N278" t="s">
        <v>457</v>
      </c>
      <c r="O278" s="60">
        <v>6</v>
      </c>
    </row>
    <row r="279" spans="1:15" x14ac:dyDescent="0.25">
      <c r="A279" t="s">
        <v>485</v>
      </c>
      <c r="B279" s="112">
        <v>45778</v>
      </c>
      <c r="C279" s="111">
        <v>0.115</v>
      </c>
      <c r="D279">
        <v>11.2</v>
      </c>
      <c r="E279" s="111">
        <v>0.878</v>
      </c>
      <c r="F279" s="111">
        <v>0.23699999999999999</v>
      </c>
      <c r="G279" s="111">
        <v>0.16500000000000001</v>
      </c>
      <c r="H279" s="111">
        <v>0.125</v>
      </c>
      <c r="I279" s="111">
        <v>7.2999999999999995E-2</v>
      </c>
      <c r="J279" s="111">
        <v>0.11600000000000001</v>
      </c>
      <c r="K279" s="111">
        <v>8.8999999999999996E-2</v>
      </c>
      <c r="L279" s="111">
        <v>7.2999999999999995E-2</v>
      </c>
      <c r="M279" s="111">
        <v>0.6</v>
      </c>
      <c r="N279" s="111">
        <v>0.27800000000000002</v>
      </c>
      <c r="O279" s="60">
        <v>6</v>
      </c>
    </row>
    <row r="280" spans="1:15" x14ac:dyDescent="0.25">
      <c r="A280" t="s">
        <v>484</v>
      </c>
      <c r="B280" s="112">
        <v>45749</v>
      </c>
      <c r="C280" s="111">
        <v>1.4E-2</v>
      </c>
      <c r="D280">
        <v>9.9</v>
      </c>
      <c r="E280" s="111">
        <v>0.66900000000000004</v>
      </c>
      <c r="F280" s="111">
        <v>7.0999999999999994E-2</v>
      </c>
      <c r="G280" s="111">
        <v>8.5999999999999993E-2</v>
      </c>
      <c r="H280" s="111">
        <v>7.4999999999999997E-2</v>
      </c>
      <c r="I280" s="111">
        <v>5.0999999999999997E-2</v>
      </c>
      <c r="J280" s="111">
        <v>0.14000000000000001</v>
      </c>
      <c r="K280" s="111">
        <v>0.126</v>
      </c>
      <c r="L280" s="111">
        <v>0.121</v>
      </c>
      <c r="M280" s="111">
        <v>0.28199999999999997</v>
      </c>
      <c r="N280" s="111">
        <v>0.38700000000000001</v>
      </c>
      <c r="O280" s="60">
        <v>6</v>
      </c>
    </row>
    <row r="281" spans="1:15" x14ac:dyDescent="0.25">
      <c r="A281" t="s">
        <v>486</v>
      </c>
      <c r="B281" s="112">
        <v>45691</v>
      </c>
      <c r="C281" s="111">
        <v>0.06</v>
      </c>
      <c r="D281">
        <v>8.5</v>
      </c>
      <c r="E281" s="111">
        <v>0.41599999999999998</v>
      </c>
      <c r="F281" s="111">
        <v>2.5999999999999999E-2</v>
      </c>
      <c r="G281" s="111">
        <v>3.3000000000000002E-2</v>
      </c>
      <c r="H281" s="111">
        <v>3.5000000000000003E-2</v>
      </c>
      <c r="I281" s="111">
        <v>2.5000000000000001E-2</v>
      </c>
      <c r="J281" s="111">
        <v>8.4000000000000005E-2</v>
      </c>
      <c r="K281" s="111">
        <v>0.10199999999999999</v>
      </c>
      <c r="L281" s="111">
        <v>0.113</v>
      </c>
      <c r="M281" s="111">
        <v>0.11799999999999999</v>
      </c>
      <c r="N281" s="111">
        <v>0.29899999999999999</v>
      </c>
      <c r="O281" s="60">
        <v>6</v>
      </c>
    </row>
    <row r="282" spans="1:15" x14ac:dyDescent="0.25">
      <c r="A282" t="s">
        <v>487</v>
      </c>
      <c r="B282" s="112">
        <v>45662</v>
      </c>
      <c r="C282" s="111">
        <v>-0.30299999999999999</v>
      </c>
      <c r="D282">
        <v>3.9</v>
      </c>
      <c r="E282" s="111">
        <v>2E-3</v>
      </c>
      <c r="F282" s="111">
        <v>0</v>
      </c>
      <c r="G282" s="111">
        <v>0</v>
      </c>
      <c r="H282" s="111">
        <v>0</v>
      </c>
      <c r="I282" s="111">
        <v>0</v>
      </c>
      <c r="J282" s="111">
        <v>0</v>
      </c>
      <c r="K282" s="111">
        <v>1E-3</v>
      </c>
      <c r="L282" s="111">
        <v>1E-3</v>
      </c>
      <c r="M282" s="111">
        <v>0</v>
      </c>
      <c r="N282" s="111">
        <v>2E-3</v>
      </c>
      <c r="O282" s="60">
        <v>6</v>
      </c>
    </row>
    <row r="283" spans="1:15" x14ac:dyDescent="0.25">
      <c r="A283" t="s">
        <v>367</v>
      </c>
      <c r="O283" s="60">
        <v>6</v>
      </c>
    </row>
    <row r="284" spans="1:15" x14ac:dyDescent="0.25">
      <c r="A284" t="s">
        <v>444</v>
      </c>
      <c r="B284" t="s">
        <v>445</v>
      </c>
      <c r="C284" t="s">
        <v>446</v>
      </c>
      <c r="D284" t="s">
        <v>447</v>
      </c>
      <c r="E284" t="s">
        <v>448</v>
      </c>
      <c r="F284" t="s">
        <v>449</v>
      </c>
      <c r="G284" t="s">
        <v>450</v>
      </c>
      <c r="H284" t="s">
        <v>451</v>
      </c>
      <c r="I284" t="s">
        <v>452</v>
      </c>
      <c r="J284" t="s">
        <v>453</v>
      </c>
      <c r="K284" t="s">
        <v>454</v>
      </c>
      <c r="L284" t="s">
        <v>455</v>
      </c>
      <c r="M284" t="s">
        <v>456</v>
      </c>
      <c r="N284" t="s">
        <v>457</v>
      </c>
      <c r="O284" s="60">
        <v>6</v>
      </c>
    </row>
    <row r="285" spans="1:15" x14ac:dyDescent="0.25">
      <c r="A285" t="s">
        <v>488</v>
      </c>
      <c r="B285" s="112">
        <v>45719</v>
      </c>
      <c r="C285" s="111">
        <v>0.22</v>
      </c>
      <c r="D285">
        <v>10.6</v>
      </c>
      <c r="E285" s="111">
        <v>0.79500000000000004</v>
      </c>
      <c r="F285" s="111">
        <v>0.123</v>
      </c>
      <c r="G285" s="111">
        <v>0.13600000000000001</v>
      </c>
      <c r="H285" s="111">
        <v>0.13</v>
      </c>
      <c r="I285" s="111">
        <v>7.0000000000000007E-2</v>
      </c>
      <c r="J285" s="111">
        <v>0.126</v>
      </c>
      <c r="K285" s="111">
        <v>0.112</v>
      </c>
      <c r="L285" s="111">
        <v>9.9000000000000005E-2</v>
      </c>
      <c r="M285" s="111">
        <v>0.45900000000000002</v>
      </c>
      <c r="N285" s="111">
        <v>0.33600000000000002</v>
      </c>
      <c r="O285" s="60">
        <v>6</v>
      </c>
    </row>
    <row r="286" spans="1:15" x14ac:dyDescent="0.25">
      <c r="A286" t="s">
        <v>491</v>
      </c>
      <c r="B286" s="112">
        <v>45749</v>
      </c>
      <c r="C286" s="111">
        <v>6.9000000000000006E-2</v>
      </c>
      <c r="D286">
        <v>10</v>
      </c>
      <c r="E286" s="111">
        <v>0.66900000000000004</v>
      </c>
      <c r="F286" s="111">
        <v>5.7000000000000002E-2</v>
      </c>
      <c r="G286" s="111">
        <v>8.2000000000000003E-2</v>
      </c>
      <c r="H286" s="111">
        <v>9.0999999999999998E-2</v>
      </c>
      <c r="I286" s="111">
        <v>5.5E-2</v>
      </c>
      <c r="J286" s="111">
        <v>0.123</v>
      </c>
      <c r="K286" s="111">
        <v>0.13500000000000001</v>
      </c>
      <c r="L286" s="111">
        <v>0.125</v>
      </c>
      <c r="M286" s="111">
        <v>0.28599999999999998</v>
      </c>
      <c r="N286" s="111">
        <v>0.38400000000000001</v>
      </c>
      <c r="O286" s="60">
        <v>6</v>
      </c>
    </row>
    <row r="287" spans="1:15" x14ac:dyDescent="0.25">
      <c r="A287" t="s">
        <v>489</v>
      </c>
      <c r="B287" s="112">
        <v>45749</v>
      </c>
      <c r="C287" s="111">
        <v>4.0000000000000001E-3</v>
      </c>
      <c r="D287">
        <v>9.5</v>
      </c>
      <c r="E287" s="111">
        <v>0.63300000000000001</v>
      </c>
      <c r="F287" s="111">
        <v>6.5000000000000002E-2</v>
      </c>
      <c r="G287" s="111">
        <v>6.9000000000000006E-2</v>
      </c>
      <c r="H287" s="111">
        <v>7.1999999999999995E-2</v>
      </c>
      <c r="I287" s="111">
        <v>0.04</v>
      </c>
      <c r="J287" s="111">
        <v>0.13100000000000001</v>
      </c>
      <c r="K287" s="111">
        <v>0.13</v>
      </c>
      <c r="L287" s="111">
        <v>0.126</v>
      </c>
      <c r="M287" s="111">
        <v>0.246</v>
      </c>
      <c r="N287" s="111">
        <v>0.38800000000000001</v>
      </c>
      <c r="O287" s="60">
        <v>6</v>
      </c>
    </row>
    <row r="288" spans="1:15" x14ac:dyDescent="0.25">
      <c r="A288" t="s">
        <v>490</v>
      </c>
      <c r="B288" s="112">
        <v>45692</v>
      </c>
      <c r="C288" s="111">
        <v>-0.14299999999999999</v>
      </c>
      <c r="D288">
        <v>5.9</v>
      </c>
      <c r="E288" s="111">
        <v>5.1999999999999998E-2</v>
      </c>
      <c r="F288" s="111">
        <v>0</v>
      </c>
      <c r="G288" s="111">
        <v>1E-3</v>
      </c>
      <c r="H288" s="111">
        <v>4.0000000000000001E-3</v>
      </c>
      <c r="I288" s="111">
        <v>5.0000000000000001E-3</v>
      </c>
      <c r="J288" s="111">
        <v>6.0000000000000001E-3</v>
      </c>
      <c r="K288" s="111">
        <v>1.4E-2</v>
      </c>
      <c r="L288" s="111">
        <v>2.1999999999999999E-2</v>
      </c>
      <c r="M288" s="111">
        <v>0.01</v>
      </c>
      <c r="N288" s="111">
        <v>4.2000000000000003E-2</v>
      </c>
      <c r="O288" s="60">
        <v>6</v>
      </c>
    </row>
    <row r="289" spans="1:15" x14ac:dyDescent="0.25">
      <c r="A289" t="s">
        <v>363</v>
      </c>
      <c r="O289" s="60">
        <v>7</v>
      </c>
    </row>
    <row r="290" spans="1:15" x14ac:dyDescent="0.25">
      <c r="A290" t="s">
        <v>444</v>
      </c>
      <c r="B290" t="s">
        <v>445</v>
      </c>
      <c r="C290" t="s">
        <v>446</v>
      </c>
      <c r="D290" t="s">
        <v>447</v>
      </c>
      <c r="E290" t="s">
        <v>448</v>
      </c>
      <c r="F290" t="s">
        <v>449</v>
      </c>
      <c r="G290" t="s">
        <v>450</v>
      </c>
      <c r="H290" t="s">
        <v>451</v>
      </c>
      <c r="I290" t="s">
        <v>452</v>
      </c>
      <c r="J290" t="s">
        <v>453</v>
      </c>
      <c r="K290" t="s">
        <v>454</v>
      </c>
      <c r="L290" t="s">
        <v>455</v>
      </c>
      <c r="M290" t="s">
        <v>456</v>
      </c>
      <c r="N290" t="s">
        <v>457</v>
      </c>
      <c r="O290" s="60">
        <v>7</v>
      </c>
    </row>
    <row r="291" spans="1:15" x14ac:dyDescent="0.25">
      <c r="A291" t="s">
        <v>459</v>
      </c>
      <c r="B291" s="112">
        <v>45779</v>
      </c>
      <c r="C291" s="111">
        <v>0.11</v>
      </c>
      <c r="D291">
        <v>10.4</v>
      </c>
      <c r="E291" s="111">
        <v>0.72899999999999998</v>
      </c>
      <c r="F291" s="111">
        <v>8.7999999999999995E-2</v>
      </c>
      <c r="G291" s="111">
        <v>0.121</v>
      </c>
      <c r="H291" s="111">
        <v>0.214</v>
      </c>
      <c r="I291" s="111">
        <v>0.183</v>
      </c>
      <c r="J291" s="111">
        <v>2.1999999999999999E-2</v>
      </c>
      <c r="K291" s="111">
        <v>4.1000000000000002E-2</v>
      </c>
      <c r="L291" s="111">
        <v>0.06</v>
      </c>
      <c r="M291" s="111">
        <v>0.60599999999999998</v>
      </c>
      <c r="N291" s="111">
        <v>0.123</v>
      </c>
      <c r="O291" s="60">
        <v>7</v>
      </c>
    </row>
    <row r="292" spans="1:15" x14ac:dyDescent="0.25">
      <c r="A292" t="s">
        <v>460</v>
      </c>
      <c r="B292" s="122">
        <v>36953</v>
      </c>
      <c r="C292" s="111">
        <v>6.9000000000000006E-2</v>
      </c>
      <c r="D292">
        <v>8.8000000000000007</v>
      </c>
      <c r="E292" s="111">
        <v>0.32100000000000001</v>
      </c>
      <c r="F292" s="111">
        <v>5.0000000000000001E-3</v>
      </c>
      <c r="G292" s="111">
        <v>1.9E-2</v>
      </c>
      <c r="H292" s="111">
        <v>6.9000000000000006E-2</v>
      </c>
      <c r="I292" s="111">
        <v>0.109</v>
      </c>
      <c r="J292" s="111">
        <v>1.2999999999999999E-2</v>
      </c>
      <c r="K292" s="111">
        <v>3.6999999999999998E-2</v>
      </c>
      <c r="L292" s="111">
        <v>6.8000000000000005E-2</v>
      </c>
      <c r="M292" s="111">
        <v>0.20200000000000001</v>
      </c>
      <c r="N292" s="111">
        <v>0.11899999999999999</v>
      </c>
      <c r="O292" s="60">
        <v>7</v>
      </c>
    </row>
    <row r="293" spans="1:15" x14ac:dyDescent="0.25">
      <c r="A293" t="s">
        <v>458</v>
      </c>
      <c r="B293" s="112">
        <v>45720</v>
      </c>
      <c r="C293" s="111">
        <v>9.9000000000000005E-2</v>
      </c>
      <c r="D293">
        <v>8.3000000000000007</v>
      </c>
      <c r="E293" s="111">
        <v>0.246</v>
      </c>
      <c r="F293" s="111">
        <v>4.0000000000000001E-3</v>
      </c>
      <c r="G293" s="111">
        <v>1.2E-2</v>
      </c>
      <c r="H293" s="111">
        <v>4.7E-2</v>
      </c>
      <c r="I293" s="111">
        <v>0.115</v>
      </c>
      <c r="J293" s="111">
        <v>8.0000000000000002E-3</v>
      </c>
      <c r="K293" s="111">
        <v>0.02</v>
      </c>
      <c r="L293" s="111">
        <v>0.04</v>
      </c>
      <c r="M293" s="111">
        <v>0.17899999999999999</v>
      </c>
      <c r="N293" s="111">
        <v>6.7000000000000004E-2</v>
      </c>
      <c r="O293" s="60">
        <v>7</v>
      </c>
    </row>
    <row r="294" spans="1:15" x14ac:dyDescent="0.25">
      <c r="A294" t="s">
        <v>462</v>
      </c>
      <c r="B294" s="112">
        <v>45693</v>
      </c>
      <c r="C294" s="111">
        <v>-9.8000000000000004E-2</v>
      </c>
      <c r="D294">
        <v>5.8</v>
      </c>
      <c r="E294" s="111">
        <v>2.7E-2</v>
      </c>
      <c r="F294" s="111">
        <v>0</v>
      </c>
      <c r="G294" s="111">
        <v>0</v>
      </c>
      <c r="H294" s="111">
        <v>3.0000000000000001E-3</v>
      </c>
      <c r="I294" s="111">
        <v>0.01</v>
      </c>
      <c r="J294" s="111">
        <v>1E-3</v>
      </c>
      <c r="K294" s="111">
        <v>4.0000000000000001E-3</v>
      </c>
      <c r="L294" s="111">
        <v>8.0000000000000002E-3</v>
      </c>
      <c r="M294" s="111">
        <v>1.4E-2</v>
      </c>
      <c r="N294" s="111">
        <v>1.2999999999999999E-2</v>
      </c>
      <c r="O294" s="60">
        <v>7</v>
      </c>
    </row>
    <row r="295" spans="1:15" x14ac:dyDescent="0.25">
      <c r="A295" t="s">
        <v>357</v>
      </c>
      <c r="O295" s="60">
        <v>7</v>
      </c>
    </row>
    <row r="296" spans="1:15" x14ac:dyDescent="0.25">
      <c r="A296" t="s">
        <v>444</v>
      </c>
      <c r="B296" t="s">
        <v>445</v>
      </c>
      <c r="C296" t="s">
        <v>446</v>
      </c>
      <c r="D296" t="s">
        <v>447</v>
      </c>
      <c r="E296" t="s">
        <v>448</v>
      </c>
      <c r="F296" t="s">
        <v>449</v>
      </c>
      <c r="G296" t="s">
        <v>450</v>
      </c>
      <c r="H296" t="s">
        <v>451</v>
      </c>
      <c r="I296" t="s">
        <v>452</v>
      </c>
      <c r="J296" t="s">
        <v>453</v>
      </c>
      <c r="K296" t="s">
        <v>454</v>
      </c>
      <c r="L296" t="s">
        <v>455</v>
      </c>
      <c r="M296" t="s">
        <v>456</v>
      </c>
      <c r="N296" t="s">
        <v>457</v>
      </c>
      <c r="O296" s="60">
        <v>7</v>
      </c>
    </row>
    <row r="297" spans="1:15" x14ac:dyDescent="0.25">
      <c r="A297" t="s">
        <v>464</v>
      </c>
      <c r="B297" s="112">
        <v>45779</v>
      </c>
      <c r="C297" s="111">
        <v>0.28399999999999997</v>
      </c>
      <c r="D297">
        <v>12</v>
      </c>
      <c r="E297" s="111">
        <v>0.91</v>
      </c>
      <c r="F297" s="111">
        <v>0.29899999999999999</v>
      </c>
      <c r="G297" s="111">
        <v>0.19</v>
      </c>
      <c r="H297" s="111">
        <v>8.7999999999999995E-2</v>
      </c>
      <c r="I297" s="111">
        <v>3.5000000000000003E-2</v>
      </c>
      <c r="J297" s="111">
        <v>0.14299999999999999</v>
      </c>
      <c r="K297" s="111">
        <v>9.4E-2</v>
      </c>
      <c r="L297" s="111">
        <v>0.06</v>
      </c>
      <c r="M297" s="111">
        <v>0.61199999999999999</v>
      </c>
      <c r="N297" s="111">
        <v>0.29699999999999999</v>
      </c>
      <c r="O297" s="60">
        <v>7</v>
      </c>
    </row>
    <row r="298" spans="1:15" x14ac:dyDescent="0.25">
      <c r="A298" t="s">
        <v>463</v>
      </c>
      <c r="B298" s="122">
        <v>36982</v>
      </c>
      <c r="C298" s="111">
        <v>0.13800000000000001</v>
      </c>
      <c r="D298">
        <v>11</v>
      </c>
      <c r="E298" s="111">
        <v>0.78200000000000003</v>
      </c>
      <c r="F298" s="111">
        <v>0.13100000000000001</v>
      </c>
      <c r="G298" s="111">
        <v>0.111</v>
      </c>
      <c r="H298" s="111">
        <v>5.5E-2</v>
      </c>
      <c r="I298" s="111">
        <v>2.3E-2</v>
      </c>
      <c r="J298" s="111">
        <v>0.2</v>
      </c>
      <c r="K298" s="111">
        <v>0.14899999999999999</v>
      </c>
      <c r="L298" s="111">
        <v>0.113</v>
      </c>
      <c r="M298" s="111">
        <v>0.32100000000000001</v>
      </c>
      <c r="N298" s="111">
        <v>0.46200000000000002</v>
      </c>
      <c r="O298" s="60">
        <v>7</v>
      </c>
    </row>
    <row r="299" spans="1:15" x14ac:dyDescent="0.25">
      <c r="A299" t="s">
        <v>467</v>
      </c>
      <c r="B299" s="112">
        <v>45749</v>
      </c>
      <c r="C299" s="111">
        <v>-1.6E-2</v>
      </c>
      <c r="D299">
        <v>8.9</v>
      </c>
      <c r="E299" s="111">
        <v>0.33200000000000002</v>
      </c>
      <c r="F299" s="111">
        <v>1.4999999999999999E-2</v>
      </c>
      <c r="G299" s="111">
        <v>1.9E-2</v>
      </c>
      <c r="H299" s="111">
        <v>1.2999999999999999E-2</v>
      </c>
      <c r="I299" s="111">
        <v>6.0000000000000001E-3</v>
      </c>
      <c r="J299" s="111">
        <v>7.5999999999999998E-2</v>
      </c>
      <c r="K299" s="111">
        <v>9.0999999999999998E-2</v>
      </c>
      <c r="L299" s="111">
        <v>0.112</v>
      </c>
      <c r="M299" s="111">
        <v>5.2999999999999999E-2</v>
      </c>
      <c r="N299" s="111">
        <v>0.27900000000000003</v>
      </c>
      <c r="O299" s="60">
        <v>7</v>
      </c>
    </row>
    <row r="300" spans="1:15" x14ac:dyDescent="0.25">
      <c r="A300" t="s">
        <v>465</v>
      </c>
      <c r="B300" s="112">
        <v>45719</v>
      </c>
      <c r="C300" s="111">
        <v>-4.4999999999999998E-2</v>
      </c>
      <c r="D300">
        <v>7</v>
      </c>
      <c r="E300" s="111">
        <v>7.0000000000000007E-2</v>
      </c>
      <c r="F300" s="111">
        <v>1E-3</v>
      </c>
      <c r="G300" s="111">
        <v>3.0000000000000001E-3</v>
      </c>
      <c r="H300" s="111">
        <v>4.0000000000000001E-3</v>
      </c>
      <c r="I300" s="111">
        <v>6.0000000000000001E-3</v>
      </c>
      <c r="J300" s="111">
        <v>8.9999999999999993E-3</v>
      </c>
      <c r="K300" s="111">
        <v>1.7999999999999999E-2</v>
      </c>
      <c r="L300" s="111">
        <v>0.03</v>
      </c>
      <c r="M300" s="111">
        <v>1.4E-2</v>
      </c>
      <c r="N300" s="111">
        <v>5.6000000000000001E-2</v>
      </c>
      <c r="O300" s="60">
        <v>7</v>
      </c>
    </row>
    <row r="301" spans="1:15" x14ac:dyDescent="0.25">
      <c r="A301" t="s">
        <v>383</v>
      </c>
      <c r="O301" s="60">
        <v>7</v>
      </c>
    </row>
    <row r="302" spans="1:15" x14ac:dyDescent="0.25">
      <c r="A302" t="s">
        <v>444</v>
      </c>
      <c r="B302" t="s">
        <v>445</v>
      </c>
      <c r="C302" t="s">
        <v>446</v>
      </c>
      <c r="D302" t="s">
        <v>447</v>
      </c>
      <c r="E302" t="s">
        <v>448</v>
      </c>
      <c r="F302" t="s">
        <v>449</v>
      </c>
      <c r="G302" t="s">
        <v>450</v>
      </c>
      <c r="H302" t="s">
        <v>451</v>
      </c>
      <c r="I302" t="s">
        <v>452</v>
      </c>
      <c r="J302" t="s">
        <v>453</v>
      </c>
      <c r="K302" t="s">
        <v>454</v>
      </c>
      <c r="L302" t="s">
        <v>455</v>
      </c>
      <c r="M302" t="s">
        <v>456</v>
      </c>
      <c r="N302" t="s">
        <v>457</v>
      </c>
      <c r="O302" s="60">
        <v>7</v>
      </c>
    </row>
    <row r="303" spans="1:15" x14ac:dyDescent="0.25">
      <c r="A303" t="s">
        <v>468</v>
      </c>
      <c r="B303" s="112">
        <v>45779</v>
      </c>
      <c r="C303" s="111">
        <v>2.5999999999999999E-2</v>
      </c>
      <c r="D303">
        <v>10.8</v>
      </c>
      <c r="E303" s="111">
        <v>0.82799999999999996</v>
      </c>
      <c r="F303" s="111">
        <v>7.3999999999999996E-2</v>
      </c>
      <c r="G303" s="111">
        <v>0.13900000000000001</v>
      </c>
      <c r="H303" s="111">
        <v>0.24399999999999999</v>
      </c>
      <c r="I303" s="111">
        <v>0.309</v>
      </c>
      <c r="J303" s="111">
        <v>8.9999999999999993E-3</v>
      </c>
      <c r="K303" s="111">
        <v>0.02</v>
      </c>
      <c r="L303" s="111">
        <v>3.2000000000000001E-2</v>
      </c>
      <c r="M303" s="111">
        <v>0.76600000000000001</v>
      </c>
      <c r="N303" s="111">
        <v>6.2E-2</v>
      </c>
      <c r="O303" s="60">
        <v>7</v>
      </c>
    </row>
    <row r="304" spans="1:15" x14ac:dyDescent="0.25">
      <c r="A304" t="s">
        <v>469</v>
      </c>
      <c r="B304" s="112">
        <v>45719</v>
      </c>
      <c r="C304" s="111">
        <v>-2.1999999999999999E-2</v>
      </c>
      <c r="D304">
        <v>8.6</v>
      </c>
      <c r="E304" s="111">
        <v>0.27900000000000003</v>
      </c>
      <c r="F304" s="111">
        <v>6.0000000000000001E-3</v>
      </c>
      <c r="G304" s="111">
        <v>1.7999999999999999E-2</v>
      </c>
      <c r="H304" s="111">
        <v>4.5999999999999999E-2</v>
      </c>
      <c r="I304" s="111">
        <v>6.5000000000000002E-2</v>
      </c>
      <c r="J304" s="111">
        <v>2.4E-2</v>
      </c>
      <c r="K304" s="111">
        <v>4.8000000000000001E-2</v>
      </c>
      <c r="L304" s="111">
        <v>7.2999999999999995E-2</v>
      </c>
      <c r="M304" s="111">
        <v>0.13500000000000001</v>
      </c>
      <c r="N304" s="111">
        <v>0.14499999999999999</v>
      </c>
      <c r="O304" s="60">
        <v>7</v>
      </c>
    </row>
    <row r="305" spans="1:15" x14ac:dyDescent="0.25">
      <c r="A305" t="s">
        <v>471</v>
      </c>
      <c r="B305" s="112">
        <v>45750</v>
      </c>
      <c r="C305" s="111">
        <v>-0.14899999999999999</v>
      </c>
      <c r="D305">
        <v>7.5</v>
      </c>
      <c r="E305" s="111">
        <v>0.14699999999999999</v>
      </c>
      <c r="F305" s="111">
        <v>3.0000000000000001E-3</v>
      </c>
      <c r="G305" s="111">
        <v>8.0000000000000002E-3</v>
      </c>
      <c r="H305" s="111">
        <v>2.3E-2</v>
      </c>
      <c r="I305" s="111">
        <v>5.8000000000000003E-2</v>
      </c>
      <c r="J305" s="111">
        <v>7.0000000000000001E-3</v>
      </c>
      <c r="K305" s="111">
        <v>1.7999999999999999E-2</v>
      </c>
      <c r="L305" s="111">
        <v>0.03</v>
      </c>
      <c r="M305" s="111">
        <v>9.1999999999999998E-2</v>
      </c>
      <c r="N305" s="111">
        <v>5.5E-2</v>
      </c>
      <c r="O305" s="60">
        <v>7</v>
      </c>
    </row>
    <row r="306" spans="1:15" x14ac:dyDescent="0.25">
      <c r="A306" t="s">
        <v>470</v>
      </c>
      <c r="B306" s="112">
        <v>45663</v>
      </c>
      <c r="C306" s="111">
        <v>-0.221</v>
      </c>
      <c r="D306">
        <v>4.7</v>
      </c>
      <c r="E306" s="111">
        <v>8.9999999999999993E-3</v>
      </c>
      <c r="F306" s="111">
        <v>0</v>
      </c>
      <c r="G306" s="111">
        <v>0</v>
      </c>
      <c r="H306" s="111">
        <v>1E-3</v>
      </c>
      <c r="I306" s="111">
        <v>7.0000000000000001E-3</v>
      </c>
      <c r="J306" s="111">
        <v>0</v>
      </c>
      <c r="K306" s="111">
        <v>0</v>
      </c>
      <c r="L306" s="111">
        <v>1E-3</v>
      </c>
      <c r="M306" s="111">
        <v>8.0000000000000002E-3</v>
      </c>
      <c r="N306" s="111">
        <v>1E-3</v>
      </c>
      <c r="O306" s="60">
        <v>7</v>
      </c>
    </row>
    <row r="307" spans="1:15" x14ac:dyDescent="0.25">
      <c r="A307" t="s">
        <v>355</v>
      </c>
      <c r="O307" s="60">
        <v>7</v>
      </c>
    </row>
    <row r="308" spans="1:15" x14ac:dyDescent="0.25">
      <c r="A308" t="s">
        <v>444</v>
      </c>
      <c r="B308" t="s">
        <v>445</v>
      </c>
      <c r="C308" t="s">
        <v>446</v>
      </c>
      <c r="D308" t="s">
        <v>447</v>
      </c>
      <c r="E308" t="s">
        <v>448</v>
      </c>
      <c r="F308" t="s">
        <v>449</v>
      </c>
      <c r="G308" t="s">
        <v>450</v>
      </c>
      <c r="H308" t="s">
        <v>451</v>
      </c>
      <c r="I308" t="s">
        <v>452</v>
      </c>
      <c r="J308" t="s">
        <v>453</v>
      </c>
      <c r="K308" t="s">
        <v>454</v>
      </c>
      <c r="L308" t="s">
        <v>455</v>
      </c>
      <c r="M308" t="s">
        <v>456</v>
      </c>
      <c r="N308" t="s">
        <v>457</v>
      </c>
      <c r="O308" s="60">
        <v>7</v>
      </c>
    </row>
    <row r="309" spans="1:15" x14ac:dyDescent="0.25">
      <c r="A309" t="s">
        <v>473</v>
      </c>
      <c r="B309" s="112">
        <v>45779</v>
      </c>
      <c r="C309" s="111">
        <v>0.20899999999999999</v>
      </c>
      <c r="D309">
        <v>11.5</v>
      </c>
      <c r="E309" s="111">
        <v>0.82299999999999995</v>
      </c>
      <c r="F309" s="111">
        <v>0.188</v>
      </c>
      <c r="G309" s="111">
        <v>0.14199999999999999</v>
      </c>
      <c r="H309" s="111">
        <v>6.6000000000000003E-2</v>
      </c>
      <c r="I309" s="111">
        <v>2.3E-2</v>
      </c>
      <c r="J309" s="111">
        <v>0.16700000000000001</v>
      </c>
      <c r="K309" s="111">
        <v>0.13500000000000001</v>
      </c>
      <c r="L309" s="111">
        <v>0.1</v>
      </c>
      <c r="M309" s="111">
        <v>0.42</v>
      </c>
      <c r="N309" s="111">
        <v>0.40300000000000002</v>
      </c>
      <c r="O309" s="60">
        <v>7</v>
      </c>
    </row>
    <row r="310" spans="1:15" x14ac:dyDescent="0.25">
      <c r="A310" t="s">
        <v>475</v>
      </c>
      <c r="B310" s="112">
        <v>45779</v>
      </c>
      <c r="C310" s="111">
        <v>0.19900000000000001</v>
      </c>
      <c r="D310">
        <v>11.4</v>
      </c>
      <c r="E310" s="111">
        <v>0.81699999999999995</v>
      </c>
      <c r="F310" s="111">
        <v>0.13100000000000001</v>
      </c>
      <c r="G310" s="111">
        <v>0.14499999999999999</v>
      </c>
      <c r="H310" s="111">
        <v>8.2000000000000003E-2</v>
      </c>
      <c r="I310" s="111">
        <v>3.2000000000000001E-2</v>
      </c>
      <c r="J310" s="111">
        <v>0.17199999999999999</v>
      </c>
      <c r="K310" s="111">
        <v>0.14699999999999999</v>
      </c>
      <c r="L310" s="111">
        <v>0.108</v>
      </c>
      <c r="M310" s="111">
        <v>0.39</v>
      </c>
      <c r="N310" s="111">
        <v>0.42699999999999999</v>
      </c>
      <c r="O310" s="60">
        <v>7</v>
      </c>
    </row>
    <row r="311" spans="1:15" x14ac:dyDescent="0.25">
      <c r="A311" t="s">
        <v>472</v>
      </c>
      <c r="B311" s="112">
        <v>45779</v>
      </c>
      <c r="C311" s="111">
        <v>2E-3</v>
      </c>
      <c r="D311">
        <v>10.1</v>
      </c>
      <c r="E311" s="111">
        <v>0.64800000000000002</v>
      </c>
      <c r="F311" s="111">
        <v>5.2999999999999999E-2</v>
      </c>
      <c r="G311" s="111">
        <v>7.0999999999999994E-2</v>
      </c>
      <c r="H311" s="111">
        <v>4.3999999999999997E-2</v>
      </c>
      <c r="I311" s="111">
        <v>1.9E-2</v>
      </c>
      <c r="J311" s="111">
        <v>0.14599999999999999</v>
      </c>
      <c r="K311" s="111">
        <v>0.16700000000000001</v>
      </c>
      <c r="L311" s="111">
        <v>0.14799999999999999</v>
      </c>
      <c r="M311" s="111">
        <v>0.187</v>
      </c>
      <c r="N311" s="111">
        <v>0.46100000000000002</v>
      </c>
      <c r="O311" s="60">
        <v>7</v>
      </c>
    </row>
    <row r="312" spans="1:15" x14ac:dyDescent="0.25">
      <c r="A312" t="s">
        <v>474</v>
      </c>
      <c r="B312" s="112">
        <v>45693</v>
      </c>
      <c r="C312" s="111">
        <v>-1.0999999999999999E-2</v>
      </c>
      <c r="D312">
        <v>6.1</v>
      </c>
      <c r="E312" s="111">
        <v>3.2000000000000001E-2</v>
      </c>
      <c r="F312" s="111">
        <v>0</v>
      </c>
      <c r="G312" s="111">
        <v>1E-3</v>
      </c>
      <c r="H312" s="111">
        <v>1E-3</v>
      </c>
      <c r="I312" s="111">
        <v>1E-3</v>
      </c>
      <c r="J312" s="111">
        <v>3.0000000000000001E-3</v>
      </c>
      <c r="K312" s="111">
        <v>8.9999999999999993E-3</v>
      </c>
      <c r="L312" s="111">
        <v>1.7000000000000001E-2</v>
      </c>
      <c r="M312" s="111">
        <v>2E-3</v>
      </c>
      <c r="N312" s="111">
        <v>2.9000000000000001E-2</v>
      </c>
      <c r="O312" s="60">
        <v>7</v>
      </c>
    </row>
    <row r="313" spans="1:15" x14ac:dyDescent="0.25">
      <c r="A313" t="s">
        <v>359</v>
      </c>
      <c r="O313" s="60">
        <v>7</v>
      </c>
    </row>
    <row r="314" spans="1:15" x14ac:dyDescent="0.25">
      <c r="A314" t="s">
        <v>444</v>
      </c>
      <c r="B314" t="s">
        <v>445</v>
      </c>
      <c r="C314" t="s">
        <v>446</v>
      </c>
      <c r="D314" t="s">
        <v>447</v>
      </c>
      <c r="E314" t="s">
        <v>448</v>
      </c>
      <c r="F314" t="s">
        <v>449</v>
      </c>
      <c r="G314" t="s">
        <v>450</v>
      </c>
      <c r="H314" t="s">
        <v>451</v>
      </c>
      <c r="I314" t="s">
        <v>452</v>
      </c>
      <c r="J314" t="s">
        <v>453</v>
      </c>
      <c r="K314" t="s">
        <v>454</v>
      </c>
      <c r="L314" t="s">
        <v>455</v>
      </c>
      <c r="M314" t="s">
        <v>456</v>
      </c>
      <c r="N314" t="s">
        <v>457</v>
      </c>
      <c r="O314" s="60">
        <v>7</v>
      </c>
    </row>
    <row r="315" spans="1:15" x14ac:dyDescent="0.25">
      <c r="A315" t="s">
        <v>476</v>
      </c>
      <c r="B315" s="112">
        <v>45749</v>
      </c>
      <c r="C315" s="111">
        <v>0.154</v>
      </c>
      <c r="D315">
        <v>11.2</v>
      </c>
      <c r="E315" s="111">
        <v>0.88</v>
      </c>
      <c r="F315" s="111">
        <v>0.16700000000000001</v>
      </c>
      <c r="G315" s="111">
        <v>0.186</v>
      </c>
      <c r="H315" s="111">
        <v>0.14599999999999999</v>
      </c>
      <c r="I315" s="111">
        <v>7.3999999999999996E-2</v>
      </c>
      <c r="J315" s="111">
        <v>0.14199999999999999</v>
      </c>
      <c r="K315" s="111">
        <v>9.4E-2</v>
      </c>
      <c r="L315" s="111">
        <v>7.0000000000000007E-2</v>
      </c>
      <c r="M315" s="111">
        <v>0.57399999999999995</v>
      </c>
      <c r="N315" s="111">
        <v>0.307</v>
      </c>
      <c r="O315" s="60">
        <v>7</v>
      </c>
    </row>
    <row r="316" spans="1:15" x14ac:dyDescent="0.25">
      <c r="A316" t="s">
        <v>477</v>
      </c>
      <c r="B316" s="112">
        <v>45779</v>
      </c>
      <c r="C316" s="111">
        <v>-1.7999999999999999E-2</v>
      </c>
      <c r="D316">
        <v>10.6</v>
      </c>
      <c r="E316" s="111">
        <v>0.78400000000000003</v>
      </c>
      <c r="F316" s="111">
        <v>6.7000000000000004E-2</v>
      </c>
      <c r="G316" s="111">
        <v>0.11899999999999999</v>
      </c>
      <c r="H316" s="111">
        <v>0.13500000000000001</v>
      </c>
      <c r="I316" s="111">
        <v>0.10299999999999999</v>
      </c>
      <c r="J316" s="111">
        <v>0.13700000000000001</v>
      </c>
      <c r="K316" s="111">
        <v>0.122</v>
      </c>
      <c r="L316" s="111">
        <v>9.9000000000000005E-2</v>
      </c>
      <c r="M316" s="111">
        <v>0.42499999999999999</v>
      </c>
      <c r="N316" s="111">
        <v>0.35899999999999999</v>
      </c>
      <c r="O316" s="60">
        <v>7</v>
      </c>
    </row>
    <row r="317" spans="1:15" x14ac:dyDescent="0.25">
      <c r="A317" t="s">
        <v>479</v>
      </c>
      <c r="B317" s="112">
        <v>45663</v>
      </c>
      <c r="C317" s="111">
        <v>-0.20200000000000001</v>
      </c>
      <c r="D317">
        <v>4.4000000000000004</v>
      </c>
      <c r="E317" s="111">
        <v>3.0000000000000001E-3</v>
      </c>
      <c r="F317" s="111">
        <v>0</v>
      </c>
      <c r="G317" s="111">
        <v>0</v>
      </c>
      <c r="H317" s="111">
        <v>0</v>
      </c>
      <c r="I317" s="111">
        <v>0</v>
      </c>
      <c r="J317" s="111">
        <v>0</v>
      </c>
      <c r="K317" s="111">
        <v>1E-3</v>
      </c>
      <c r="L317" s="111">
        <v>2E-3</v>
      </c>
      <c r="M317" s="111">
        <v>1E-3</v>
      </c>
      <c r="N317" s="111">
        <v>3.0000000000000001E-3</v>
      </c>
      <c r="O317" s="60">
        <v>7</v>
      </c>
    </row>
    <row r="318" spans="1:15" x14ac:dyDescent="0.25">
      <c r="A318" t="s">
        <v>478</v>
      </c>
      <c r="B318" t="s">
        <v>497</v>
      </c>
      <c r="C318" s="111">
        <v>-0.216</v>
      </c>
      <c r="D318">
        <v>3.4</v>
      </c>
      <c r="E318" s="111">
        <v>1E-3</v>
      </c>
      <c r="F318" s="111">
        <v>0</v>
      </c>
      <c r="G318" s="111">
        <v>0</v>
      </c>
      <c r="H318" s="111">
        <v>0</v>
      </c>
      <c r="I318" s="111">
        <v>0</v>
      </c>
      <c r="J318" s="111">
        <v>0</v>
      </c>
      <c r="K318" s="111">
        <v>0</v>
      </c>
      <c r="L318" s="111">
        <v>1E-3</v>
      </c>
      <c r="M318" s="111">
        <v>0</v>
      </c>
      <c r="N318" s="111">
        <v>1E-3</v>
      </c>
      <c r="O318" s="60">
        <v>7</v>
      </c>
    </row>
    <row r="319" spans="1:15" x14ac:dyDescent="0.25">
      <c r="A319" t="s">
        <v>352</v>
      </c>
      <c r="O319" s="60">
        <v>7</v>
      </c>
    </row>
    <row r="320" spans="1:15" x14ac:dyDescent="0.25">
      <c r="A320" t="s">
        <v>444</v>
      </c>
      <c r="B320" t="s">
        <v>445</v>
      </c>
      <c r="C320" t="s">
        <v>446</v>
      </c>
      <c r="D320" t="s">
        <v>447</v>
      </c>
      <c r="E320" t="s">
        <v>448</v>
      </c>
      <c r="F320" t="s">
        <v>449</v>
      </c>
      <c r="G320" t="s">
        <v>450</v>
      </c>
      <c r="H320" t="s">
        <v>451</v>
      </c>
      <c r="I320" t="s">
        <v>452</v>
      </c>
      <c r="J320" t="s">
        <v>453</v>
      </c>
      <c r="K320" t="s">
        <v>454</v>
      </c>
      <c r="L320" t="s">
        <v>455</v>
      </c>
      <c r="M320" t="s">
        <v>456</v>
      </c>
      <c r="N320" t="s">
        <v>457</v>
      </c>
      <c r="O320" s="60">
        <v>7</v>
      </c>
    </row>
    <row r="321" spans="1:15" x14ac:dyDescent="0.25">
      <c r="A321" t="s">
        <v>482</v>
      </c>
      <c r="B321" s="112">
        <v>45749</v>
      </c>
      <c r="C321" s="111">
        <v>0.04</v>
      </c>
      <c r="D321">
        <v>9.5</v>
      </c>
      <c r="E321" s="111">
        <v>0.64200000000000002</v>
      </c>
      <c r="F321" s="111">
        <v>5.2999999999999999E-2</v>
      </c>
      <c r="G321" s="111">
        <v>8.1000000000000003E-2</v>
      </c>
      <c r="H321" s="111">
        <v>0.128</v>
      </c>
      <c r="I321" s="111">
        <v>0.23400000000000001</v>
      </c>
      <c r="J321" s="111">
        <v>2.8000000000000001E-2</v>
      </c>
      <c r="K321" s="111">
        <v>4.9000000000000002E-2</v>
      </c>
      <c r="L321" s="111">
        <v>7.0999999999999994E-2</v>
      </c>
      <c r="M321" s="111">
        <v>0.495</v>
      </c>
      <c r="N321" s="111">
        <v>0.14699999999999999</v>
      </c>
      <c r="O321" s="60">
        <v>7</v>
      </c>
    </row>
    <row r="322" spans="1:15" x14ac:dyDescent="0.25">
      <c r="A322" t="s">
        <v>481</v>
      </c>
      <c r="B322" s="112">
        <v>45720</v>
      </c>
      <c r="C322" s="111">
        <v>-5.2999999999999999E-2</v>
      </c>
      <c r="D322">
        <v>8.1</v>
      </c>
      <c r="E322" s="111">
        <v>0.36499999999999999</v>
      </c>
      <c r="F322" s="111">
        <v>5.0000000000000001E-3</v>
      </c>
      <c r="G322" s="111">
        <v>0.02</v>
      </c>
      <c r="H322" s="111">
        <v>4.2000000000000003E-2</v>
      </c>
      <c r="I322" s="111">
        <v>0.154</v>
      </c>
      <c r="J322" s="111">
        <v>2.3E-2</v>
      </c>
      <c r="K322" s="111">
        <v>4.7E-2</v>
      </c>
      <c r="L322" s="111">
        <v>7.3999999999999996E-2</v>
      </c>
      <c r="M322" s="111">
        <v>0.22</v>
      </c>
      <c r="N322" s="111">
        <v>0.14399999999999999</v>
      </c>
      <c r="O322" s="60">
        <v>7</v>
      </c>
    </row>
    <row r="323" spans="1:15" x14ac:dyDescent="0.25">
      <c r="A323" t="s">
        <v>480</v>
      </c>
      <c r="B323" s="112">
        <v>45662</v>
      </c>
      <c r="C323" s="111">
        <v>0.127</v>
      </c>
      <c r="D323">
        <v>8</v>
      </c>
      <c r="E323" s="111">
        <v>0.36</v>
      </c>
      <c r="F323" s="111">
        <v>1E-3</v>
      </c>
      <c r="G323" s="111">
        <v>0.01</v>
      </c>
      <c r="H323" s="111">
        <v>4.4999999999999998E-2</v>
      </c>
      <c r="I323" s="111">
        <v>0.216</v>
      </c>
      <c r="J323" s="111">
        <v>8.9999999999999993E-3</v>
      </c>
      <c r="K323" s="111">
        <v>2.5999999999999999E-2</v>
      </c>
      <c r="L323" s="111">
        <v>5.2999999999999999E-2</v>
      </c>
      <c r="M323" s="111">
        <v>0.27200000000000002</v>
      </c>
      <c r="N323" s="111">
        <v>8.7999999999999995E-2</v>
      </c>
      <c r="O323" s="60">
        <v>7</v>
      </c>
    </row>
    <row r="324" spans="1:15" x14ac:dyDescent="0.25">
      <c r="A324" t="s">
        <v>483</v>
      </c>
      <c r="B324" s="112">
        <v>45693</v>
      </c>
      <c r="C324" s="111">
        <v>-0.187</v>
      </c>
      <c r="D324">
        <v>5.7</v>
      </c>
      <c r="E324" s="111">
        <v>3.3000000000000002E-2</v>
      </c>
      <c r="F324" s="111">
        <v>0</v>
      </c>
      <c r="G324" s="111">
        <v>0</v>
      </c>
      <c r="H324" s="111">
        <v>2E-3</v>
      </c>
      <c r="I324" s="111">
        <v>1.0999999999999999E-2</v>
      </c>
      <c r="J324" s="111">
        <v>2E-3</v>
      </c>
      <c r="K324" s="111">
        <v>5.0000000000000001E-3</v>
      </c>
      <c r="L324" s="111">
        <v>1.2999999999999999E-2</v>
      </c>
      <c r="M324" s="111">
        <v>1.2999999999999999E-2</v>
      </c>
      <c r="N324" s="111">
        <v>0.02</v>
      </c>
      <c r="O324" s="60">
        <v>7</v>
      </c>
    </row>
    <row r="325" spans="1:15" x14ac:dyDescent="0.25">
      <c r="A325" t="s">
        <v>368</v>
      </c>
      <c r="O325" s="60">
        <v>7</v>
      </c>
    </row>
    <row r="326" spans="1:15" x14ac:dyDescent="0.25">
      <c r="A326" t="s">
        <v>444</v>
      </c>
      <c r="B326" t="s">
        <v>445</v>
      </c>
      <c r="C326" t="s">
        <v>446</v>
      </c>
      <c r="D326" t="s">
        <v>447</v>
      </c>
      <c r="E326" t="s">
        <v>448</v>
      </c>
      <c r="F326" t="s">
        <v>449</v>
      </c>
      <c r="G326" t="s">
        <v>450</v>
      </c>
      <c r="H326" t="s">
        <v>451</v>
      </c>
      <c r="I326" t="s">
        <v>452</v>
      </c>
      <c r="J326" t="s">
        <v>453</v>
      </c>
      <c r="K326" t="s">
        <v>454</v>
      </c>
      <c r="L326" t="s">
        <v>455</v>
      </c>
      <c r="M326" t="s">
        <v>456</v>
      </c>
      <c r="N326" t="s">
        <v>457</v>
      </c>
      <c r="O326" s="60">
        <v>7</v>
      </c>
    </row>
    <row r="327" spans="1:15" x14ac:dyDescent="0.25">
      <c r="A327" t="s">
        <v>485</v>
      </c>
      <c r="B327" s="112">
        <v>45809</v>
      </c>
      <c r="C327" s="111">
        <v>0.186</v>
      </c>
      <c r="D327">
        <v>12.3</v>
      </c>
      <c r="E327" s="111">
        <v>0.96899999999999997</v>
      </c>
      <c r="F327" s="111">
        <v>0.437</v>
      </c>
      <c r="G327" s="111">
        <v>0.214</v>
      </c>
      <c r="H327" s="111">
        <v>0.11799999999999999</v>
      </c>
      <c r="I327" s="111">
        <v>4.3999999999999997E-2</v>
      </c>
      <c r="J327" s="111">
        <v>0.08</v>
      </c>
      <c r="K327" s="111">
        <v>4.7E-2</v>
      </c>
      <c r="L327" s="111">
        <v>2.7E-2</v>
      </c>
      <c r="M327" s="111">
        <v>0.81499999999999995</v>
      </c>
      <c r="N327" s="111">
        <v>0.154</v>
      </c>
      <c r="O327" s="60">
        <v>7</v>
      </c>
    </row>
    <row r="328" spans="1:15" x14ac:dyDescent="0.25">
      <c r="A328" t="s">
        <v>484</v>
      </c>
      <c r="B328" s="112">
        <v>45750</v>
      </c>
      <c r="C328" s="111">
        <v>1.2E-2</v>
      </c>
      <c r="D328">
        <v>9.5</v>
      </c>
      <c r="E328" s="111">
        <v>0.6</v>
      </c>
      <c r="F328" s="111">
        <v>4.1000000000000002E-2</v>
      </c>
      <c r="G328" s="111">
        <v>4.5999999999999999E-2</v>
      </c>
      <c r="H328" s="111">
        <v>3.9E-2</v>
      </c>
      <c r="I328" s="111">
        <v>2.1999999999999999E-2</v>
      </c>
      <c r="J328" s="111">
        <v>0.159</v>
      </c>
      <c r="K328" s="111">
        <v>0.154</v>
      </c>
      <c r="L328" s="111">
        <v>0.13900000000000001</v>
      </c>
      <c r="M328" s="111">
        <v>0.14799999999999999</v>
      </c>
      <c r="N328" s="111">
        <v>0.45200000000000001</v>
      </c>
      <c r="O328" s="60">
        <v>7</v>
      </c>
    </row>
    <row r="329" spans="1:15" x14ac:dyDescent="0.25">
      <c r="A329" t="s">
        <v>486</v>
      </c>
      <c r="B329" s="112">
        <v>45692</v>
      </c>
      <c r="C329" s="111">
        <v>2.1000000000000001E-2</v>
      </c>
      <c r="D329">
        <v>7.7</v>
      </c>
      <c r="E329" s="111">
        <v>0.27100000000000002</v>
      </c>
      <c r="F329" s="111">
        <v>7.0000000000000001E-3</v>
      </c>
      <c r="G329" s="111">
        <v>1.0999999999999999E-2</v>
      </c>
      <c r="H329" s="111">
        <v>1.2E-2</v>
      </c>
      <c r="I329" s="111">
        <v>8.0000000000000002E-3</v>
      </c>
      <c r="J329" s="111">
        <v>0.06</v>
      </c>
      <c r="K329" s="111">
        <v>0.08</v>
      </c>
      <c r="L329" s="111">
        <v>9.4E-2</v>
      </c>
      <c r="M329" s="111">
        <v>3.6999999999999998E-2</v>
      </c>
      <c r="N329" s="111">
        <v>0.23300000000000001</v>
      </c>
      <c r="O329" s="60">
        <v>7</v>
      </c>
    </row>
    <row r="330" spans="1:15" x14ac:dyDescent="0.25">
      <c r="A330" t="s">
        <v>487</v>
      </c>
      <c r="B330" s="112">
        <v>45663</v>
      </c>
      <c r="C330" s="111">
        <v>-0.32600000000000001</v>
      </c>
      <c r="D330">
        <v>3.4</v>
      </c>
      <c r="E330" s="111">
        <v>0</v>
      </c>
      <c r="F330" s="111">
        <v>0</v>
      </c>
      <c r="G330" s="111">
        <v>0</v>
      </c>
      <c r="H330" s="111">
        <v>0</v>
      </c>
      <c r="I330" s="111">
        <v>0</v>
      </c>
      <c r="J330" s="111">
        <v>0</v>
      </c>
      <c r="K330" s="111">
        <v>0</v>
      </c>
      <c r="L330" s="111">
        <v>0</v>
      </c>
      <c r="M330" s="111">
        <v>0</v>
      </c>
      <c r="N330" s="111">
        <v>0</v>
      </c>
      <c r="O330" s="60">
        <v>7</v>
      </c>
    </row>
    <row r="331" spans="1:15" x14ac:dyDescent="0.25">
      <c r="A331" t="s">
        <v>367</v>
      </c>
      <c r="O331" s="60">
        <v>7</v>
      </c>
    </row>
    <row r="332" spans="1:15" x14ac:dyDescent="0.25">
      <c r="A332" t="s">
        <v>444</v>
      </c>
      <c r="B332" t="s">
        <v>445</v>
      </c>
      <c r="C332" t="s">
        <v>446</v>
      </c>
      <c r="D332" t="s">
        <v>447</v>
      </c>
      <c r="E332" t="s">
        <v>448</v>
      </c>
      <c r="F332" t="s">
        <v>449</v>
      </c>
      <c r="G332" t="s">
        <v>450</v>
      </c>
      <c r="H332" t="s">
        <v>451</v>
      </c>
      <c r="I332" t="s">
        <v>452</v>
      </c>
      <c r="J332" t="s">
        <v>453</v>
      </c>
      <c r="K332" t="s">
        <v>454</v>
      </c>
      <c r="L332" t="s">
        <v>455</v>
      </c>
      <c r="M332" t="s">
        <v>456</v>
      </c>
      <c r="N332" t="s">
        <v>457</v>
      </c>
      <c r="O332" s="60">
        <v>7</v>
      </c>
    </row>
    <row r="333" spans="1:15" x14ac:dyDescent="0.25">
      <c r="A333" t="s">
        <v>488</v>
      </c>
      <c r="B333" s="112">
        <v>45750</v>
      </c>
      <c r="C333" s="111">
        <v>0.24299999999999999</v>
      </c>
      <c r="D333">
        <v>11</v>
      </c>
      <c r="E333" s="111">
        <v>0.872</v>
      </c>
      <c r="F333" s="111">
        <v>0.16</v>
      </c>
      <c r="G333" s="111">
        <v>0.18099999999999999</v>
      </c>
      <c r="H333" s="111">
        <v>0.17299999999999999</v>
      </c>
      <c r="I333" s="111">
        <v>6.8000000000000005E-2</v>
      </c>
      <c r="J333" s="111">
        <v>0.11</v>
      </c>
      <c r="K333" s="111">
        <v>9.9000000000000005E-2</v>
      </c>
      <c r="L333" s="111">
        <v>7.9000000000000001E-2</v>
      </c>
      <c r="M333" s="111">
        <v>0.58299999999999996</v>
      </c>
      <c r="N333" s="111">
        <v>0.28799999999999998</v>
      </c>
      <c r="O333" s="60">
        <v>7</v>
      </c>
    </row>
    <row r="334" spans="1:15" x14ac:dyDescent="0.25">
      <c r="A334" t="s">
        <v>491</v>
      </c>
      <c r="B334" s="112">
        <v>45779</v>
      </c>
      <c r="C334" s="111">
        <v>4.3999999999999997E-2</v>
      </c>
      <c r="D334">
        <v>10.199999999999999</v>
      </c>
      <c r="E334" s="111">
        <v>0.71299999999999997</v>
      </c>
      <c r="F334" s="111">
        <v>4.8000000000000001E-2</v>
      </c>
      <c r="G334" s="111">
        <v>9.5000000000000001E-2</v>
      </c>
      <c r="H334" s="111">
        <v>0.106</v>
      </c>
      <c r="I334" s="111">
        <v>4.2000000000000003E-2</v>
      </c>
      <c r="J334" s="111">
        <v>0.15</v>
      </c>
      <c r="K334" s="111">
        <v>0.14399999999999999</v>
      </c>
      <c r="L334" s="111">
        <v>0.127</v>
      </c>
      <c r="M334" s="111">
        <v>0.29099999999999998</v>
      </c>
      <c r="N334" s="111">
        <v>0.42099999999999999</v>
      </c>
      <c r="O334" s="60">
        <v>7</v>
      </c>
    </row>
    <row r="335" spans="1:15" x14ac:dyDescent="0.25">
      <c r="A335" t="s">
        <v>489</v>
      </c>
      <c r="B335" s="112">
        <v>45750</v>
      </c>
      <c r="C335" s="111">
        <v>-2.9000000000000001E-2</v>
      </c>
      <c r="D335">
        <v>8.8000000000000007</v>
      </c>
      <c r="E335" s="111">
        <v>0.48299999999999998</v>
      </c>
      <c r="F335" s="111">
        <v>1.2E-2</v>
      </c>
      <c r="G335" s="111">
        <v>3.6999999999999998E-2</v>
      </c>
      <c r="H335" s="111">
        <v>5.1999999999999998E-2</v>
      </c>
      <c r="I335" s="111">
        <v>2.1999999999999999E-2</v>
      </c>
      <c r="J335" s="111">
        <v>9.7000000000000003E-2</v>
      </c>
      <c r="K335" s="111">
        <v>0.124</v>
      </c>
      <c r="L335" s="111">
        <v>0.13800000000000001</v>
      </c>
      <c r="M335" s="111">
        <v>0.123</v>
      </c>
      <c r="N335" s="111">
        <v>0.36</v>
      </c>
      <c r="O335" s="60">
        <v>7</v>
      </c>
    </row>
    <row r="336" spans="1:15" x14ac:dyDescent="0.25">
      <c r="A336" t="s">
        <v>490</v>
      </c>
      <c r="B336" s="112">
        <v>45693</v>
      </c>
      <c r="C336" s="111">
        <v>-0.18099999999999999</v>
      </c>
      <c r="D336">
        <v>5.4</v>
      </c>
      <c r="E336" s="111">
        <v>2.4E-2</v>
      </c>
      <c r="F336" s="111">
        <v>0</v>
      </c>
      <c r="G336" s="111">
        <v>0</v>
      </c>
      <c r="H336" s="111">
        <v>1E-3</v>
      </c>
      <c r="I336" s="111">
        <v>1E-3</v>
      </c>
      <c r="J336" s="111">
        <v>2E-3</v>
      </c>
      <c r="K336" s="111">
        <v>7.0000000000000001E-3</v>
      </c>
      <c r="L336" s="111">
        <v>1.2E-2</v>
      </c>
      <c r="M336" s="111">
        <v>2E-3</v>
      </c>
      <c r="N336" s="111">
        <v>2.1999999999999999E-2</v>
      </c>
      <c r="O336" s="60">
        <v>7</v>
      </c>
    </row>
    <row r="337" spans="1:15" x14ac:dyDescent="0.25">
      <c r="A337" t="s">
        <v>363</v>
      </c>
      <c r="O337" s="60">
        <v>8</v>
      </c>
    </row>
    <row r="338" spans="1:15" x14ac:dyDescent="0.25">
      <c r="A338" t="s">
        <v>333</v>
      </c>
      <c r="B338" t="s">
        <v>498</v>
      </c>
      <c r="C338" t="s">
        <v>499</v>
      </c>
      <c r="D338" t="s">
        <v>500</v>
      </c>
      <c r="E338" t="s">
        <v>501</v>
      </c>
      <c r="F338" t="s">
        <v>502</v>
      </c>
      <c r="G338" t="s">
        <v>503</v>
      </c>
      <c r="H338" t="s">
        <v>504</v>
      </c>
      <c r="I338" t="s">
        <v>505</v>
      </c>
      <c r="J338" t="s">
        <v>506</v>
      </c>
      <c r="K338" t="s">
        <v>507</v>
      </c>
      <c r="L338" t="s">
        <v>508</v>
      </c>
      <c r="M338" t="s">
        <v>509</v>
      </c>
      <c r="N338" t="s">
        <v>457</v>
      </c>
      <c r="O338" s="60">
        <v>8</v>
      </c>
    </row>
    <row r="339" spans="1:15" x14ac:dyDescent="0.25">
      <c r="A339" t="s">
        <v>38</v>
      </c>
      <c r="B339" s="112">
        <v>45810</v>
      </c>
      <c r="C339" s="111">
        <v>0.13100000000000001</v>
      </c>
      <c r="D339">
        <v>11</v>
      </c>
      <c r="E339" s="111">
        <v>0.88200000000000001</v>
      </c>
      <c r="F339" s="111">
        <v>0.11700000000000001</v>
      </c>
      <c r="G339" s="111">
        <v>0.159</v>
      </c>
      <c r="H339" s="111">
        <v>0.30599999999999999</v>
      </c>
      <c r="I339" s="111">
        <v>0.24199999999999999</v>
      </c>
      <c r="J339" s="111">
        <v>6.0000000000000001E-3</v>
      </c>
      <c r="K339" s="111">
        <v>1.9E-2</v>
      </c>
      <c r="L339" s="111">
        <v>3.3000000000000002E-2</v>
      </c>
      <c r="M339" s="111">
        <v>0.82399999999999995</v>
      </c>
      <c r="N339" s="111">
        <v>5.8000000000000003E-2</v>
      </c>
      <c r="O339" s="60">
        <v>8</v>
      </c>
    </row>
    <row r="340" spans="1:15" x14ac:dyDescent="0.25">
      <c r="A340" t="s">
        <v>14</v>
      </c>
      <c r="B340" s="122">
        <v>36954</v>
      </c>
      <c r="C340" s="111">
        <v>-5.0000000000000001E-3</v>
      </c>
      <c r="D340">
        <v>7.8</v>
      </c>
      <c r="E340" s="111">
        <v>0.17299999999999999</v>
      </c>
      <c r="F340" s="111">
        <v>0</v>
      </c>
      <c r="G340" s="111">
        <v>2E-3</v>
      </c>
      <c r="H340" s="111">
        <v>2.1000000000000001E-2</v>
      </c>
      <c r="I340" s="111">
        <v>5.2999999999999999E-2</v>
      </c>
      <c r="J340" s="111">
        <v>5.0000000000000001E-3</v>
      </c>
      <c r="K340" s="111">
        <v>2.1999999999999999E-2</v>
      </c>
      <c r="L340" s="111">
        <v>7.0000000000000007E-2</v>
      </c>
      <c r="M340" s="111">
        <v>7.5999999999999998E-2</v>
      </c>
      <c r="N340" s="111">
        <v>9.7000000000000003E-2</v>
      </c>
      <c r="O340" s="60">
        <v>8</v>
      </c>
    </row>
    <row r="341" spans="1:15" x14ac:dyDescent="0.25">
      <c r="A341" t="s">
        <v>41</v>
      </c>
      <c r="B341" s="112">
        <v>45721</v>
      </c>
      <c r="C341" s="111">
        <v>3.9E-2</v>
      </c>
      <c r="D341">
        <v>7.5</v>
      </c>
      <c r="E341" s="111">
        <v>0.14499999999999999</v>
      </c>
      <c r="F341" s="111">
        <v>0</v>
      </c>
      <c r="G341" s="111">
        <v>4.0000000000000001E-3</v>
      </c>
      <c r="H341" s="111">
        <v>2.1000000000000001E-2</v>
      </c>
      <c r="I341" s="111">
        <v>7.0000000000000007E-2</v>
      </c>
      <c r="J341" s="111">
        <v>3.0000000000000001E-3</v>
      </c>
      <c r="K341" s="111">
        <v>1.2999999999999999E-2</v>
      </c>
      <c r="L341" s="111">
        <v>3.3000000000000002E-2</v>
      </c>
      <c r="M341" s="111">
        <v>9.5000000000000001E-2</v>
      </c>
      <c r="N341" s="111">
        <v>4.9000000000000002E-2</v>
      </c>
      <c r="O341" s="60">
        <v>8</v>
      </c>
    </row>
    <row r="342" spans="1:15" x14ac:dyDescent="0.25">
      <c r="A342" t="s">
        <v>95</v>
      </c>
      <c r="B342" s="112">
        <v>45694</v>
      </c>
      <c r="C342" s="111">
        <v>-0.09</v>
      </c>
      <c r="D342">
        <v>5.8</v>
      </c>
      <c r="E342" s="111">
        <v>2.3E-2</v>
      </c>
      <c r="F342" s="111">
        <v>0</v>
      </c>
      <c r="G342" s="111">
        <v>0</v>
      </c>
      <c r="H342" s="111">
        <v>1E-3</v>
      </c>
      <c r="I342" s="111">
        <v>4.0000000000000001E-3</v>
      </c>
      <c r="J342" s="111">
        <v>1E-3</v>
      </c>
      <c r="K342" s="111">
        <v>4.0000000000000001E-3</v>
      </c>
      <c r="L342" s="111">
        <v>1.4E-2</v>
      </c>
      <c r="M342" s="111">
        <v>4.0000000000000001E-3</v>
      </c>
      <c r="N342" s="111">
        <v>1.9E-2</v>
      </c>
      <c r="O342" s="60">
        <v>8</v>
      </c>
    </row>
    <row r="343" spans="1:15" x14ac:dyDescent="0.25">
      <c r="A343" t="s">
        <v>357</v>
      </c>
      <c r="O343" s="60">
        <v>8</v>
      </c>
    </row>
    <row r="344" spans="1:15" x14ac:dyDescent="0.25">
      <c r="A344" t="s">
        <v>333</v>
      </c>
      <c r="B344" t="s">
        <v>498</v>
      </c>
      <c r="C344" t="s">
        <v>499</v>
      </c>
      <c r="D344" t="s">
        <v>500</v>
      </c>
      <c r="E344" t="s">
        <v>501</v>
      </c>
      <c r="F344" t="s">
        <v>502</v>
      </c>
      <c r="G344" t="s">
        <v>503</v>
      </c>
      <c r="H344" t="s">
        <v>504</v>
      </c>
      <c r="I344" t="s">
        <v>505</v>
      </c>
      <c r="J344" t="s">
        <v>506</v>
      </c>
      <c r="K344" t="s">
        <v>507</v>
      </c>
      <c r="L344" t="s">
        <v>508</v>
      </c>
      <c r="M344" t="s">
        <v>509</v>
      </c>
      <c r="N344" t="s">
        <v>457</v>
      </c>
      <c r="O344" s="60">
        <v>8</v>
      </c>
    </row>
    <row r="345" spans="1:15" x14ac:dyDescent="0.25">
      <c r="A345" t="s">
        <v>10</v>
      </c>
      <c r="B345" s="112">
        <v>45779</v>
      </c>
      <c r="C345" s="111">
        <v>0.29599999999999999</v>
      </c>
      <c r="D345">
        <v>12.3</v>
      </c>
      <c r="E345" s="111">
        <v>0.95499999999999996</v>
      </c>
      <c r="F345" s="111">
        <v>0.309</v>
      </c>
      <c r="G345" s="111">
        <v>0.16600000000000001</v>
      </c>
      <c r="H345" s="111">
        <v>7.3999999999999996E-2</v>
      </c>
      <c r="I345" s="111">
        <v>2.3E-2</v>
      </c>
      <c r="J345" s="111">
        <v>0.222</v>
      </c>
      <c r="K345" s="111">
        <v>0.108</v>
      </c>
      <c r="L345" s="111">
        <v>5.2999999999999999E-2</v>
      </c>
      <c r="M345" s="111">
        <v>0.57199999999999995</v>
      </c>
      <c r="N345" s="111">
        <v>0.38300000000000001</v>
      </c>
      <c r="O345" s="60">
        <v>8</v>
      </c>
    </row>
    <row r="346" spans="1:15" x14ac:dyDescent="0.25">
      <c r="A346" t="s">
        <v>400</v>
      </c>
      <c r="B346" s="122">
        <v>37012</v>
      </c>
      <c r="C346" s="111">
        <v>0.156</v>
      </c>
      <c r="D346">
        <v>11.8</v>
      </c>
      <c r="E346" s="111">
        <v>0.93100000000000005</v>
      </c>
      <c r="F346" s="111">
        <v>0.20399999999999999</v>
      </c>
      <c r="G346" s="111">
        <v>0.13100000000000001</v>
      </c>
      <c r="H346" s="111">
        <v>5.8000000000000003E-2</v>
      </c>
      <c r="I346" s="111">
        <v>0.02</v>
      </c>
      <c r="J346" s="111">
        <v>0.28100000000000003</v>
      </c>
      <c r="K346" s="111">
        <v>0.157</v>
      </c>
      <c r="L346" s="111">
        <v>8.1000000000000003E-2</v>
      </c>
      <c r="M346" s="111">
        <v>0.41199999999999998</v>
      </c>
      <c r="N346" s="111">
        <v>0.51900000000000002</v>
      </c>
      <c r="O346" s="60">
        <v>8</v>
      </c>
    </row>
    <row r="347" spans="1:15" x14ac:dyDescent="0.25">
      <c r="A347" t="s">
        <v>72</v>
      </c>
      <c r="B347" s="112">
        <v>45750</v>
      </c>
      <c r="C347" s="111">
        <v>-7.0999999999999994E-2</v>
      </c>
      <c r="D347">
        <v>8.1</v>
      </c>
      <c r="E347" s="111">
        <v>0.23</v>
      </c>
      <c r="F347" s="111">
        <v>3.0000000000000001E-3</v>
      </c>
      <c r="G347" s="111">
        <v>5.0000000000000001E-3</v>
      </c>
      <c r="H347" s="111">
        <v>4.0000000000000001E-3</v>
      </c>
      <c r="I347" s="111">
        <v>3.0000000000000001E-3</v>
      </c>
      <c r="J347" s="111">
        <v>3.7999999999999999E-2</v>
      </c>
      <c r="K347" s="111">
        <v>6.7000000000000004E-2</v>
      </c>
      <c r="L347" s="111">
        <v>0.112</v>
      </c>
      <c r="M347" s="111">
        <v>1.4E-2</v>
      </c>
      <c r="N347" s="111">
        <v>0.216</v>
      </c>
      <c r="O347" s="60">
        <v>8</v>
      </c>
    </row>
    <row r="348" spans="1:15" x14ac:dyDescent="0.25">
      <c r="A348" t="s">
        <v>75</v>
      </c>
      <c r="B348" s="112">
        <v>45720</v>
      </c>
      <c r="C348" s="111">
        <v>-0.13</v>
      </c>
      <c r="D348">
        <v>6</v>
      </c>
      <c r="E348" s="111">
        <v>2.4E-2</v>
      </c>
      <c r="F348" s="111">
        <v>0</v>
      </c>
      <c r="G348" s="111">
        <v>0</v>
      </c>
      <c r="H348" s="111">
        <v>1E-3</v>
      </c>
      <c r="I348" s="111">
        <v>1E-3</v>
      </c>
      <c r="J348" s="111">
        <v>2E-3</v>
      </c>
      <c r="K348" s="111">
        <v>6.0000000000000001E-3</v>
      </c>
      <c r="L348" s="111">
        <v>1.4E-2</v>
      </c>
      <c r="M348" s="111">
        <v>2E-3</v>
      </c>
      <c r="N348" s="111">
        <v>2.1999999999999999E-2</v>
      </c>
      <c r="O348" s="60">
        <v>8</v>
      </c>
    </row>
    <row r="349" spans="1:15" x14ac:dyDescent="0.25">
      <c r="A349" t="s">
        <v>383</v>
      </c>
      <c r="O349" s="60">
        <v>8</v>
      </c>
    </row>
    <row r="350" spans="1:15" x14ac:dyDescent="0.25">
      <c r="A350" t="s">
        <v>333</v>
      </c>
      <c r="B350" t="s">
        <v>498</v>
      </c>
      <c r="C350" t="s">
        <v>499</v>
      </c>
      <c r="D350" t="s">
        <v>500</v>
      </c>
      <c r="E350" t="s">
        <v>501</v>
      </c>
      <c r="F350" t="s">
        <v>502</v>
      </c>
      <c r="G350" t="s">
        <v>503</v>
      </c>
      <c r="H350" t="s">
        <v>504</v>
      </c>
      <c r="I350" t="s">
        <v>505</v>
      </c>
      <c r="J350" t="s">
        <v>506</v>
      </c>
      <c r="K350" t="s">
        <v>507</v>
      </c>
      <c r="L350" t="s">
        <v>508</v>
      </c>
      <c r="M350" t="s">
        <v>509</v>
      </c>
      <c r="N350" t="s">
        <v>457</v>
      </c>
      <c r="O350" s="60">
        <v>8</v>
      </c>
    </row>
    <row r="351" spans="1:15" x14ac:dyDescent="0.25">
      <c r="A351" t="s">
        <v>402</v>
      </c>
      <c r="B351" s="112">
        <v>45810</v>
      </c>
      <c r="C351" s="111">
        <v>5.0000000000000001E-3</v>
      </c>
      <c r="D351">
        <v>10.9</v>
      </c>
      <c r="E351" s="111">
        <v>0.91100000000000003</v>
      </c>
      <c r="F351" s="111">
        <v>5.6000000000000001E-2</v>
      </c>
      <c r="G351" s="111">
        <v>0.14299999999999999</v>
      </c>
      <c r="H351" s="111">
        <v>0.26400000000000001</v>
      </c>
      <c r="I351" s="111">
        <v>0.41499999999999998</v>
      </c>
      <c r="J351" s="111">
        <v>3.0000000000000001E-3</v>
      </c>
      <c r="K351" s="111">
        <v>1.0999999999999999E-2</v>
      </c>
      <c r="L351" s="111">
        <v>2.1000000000000001E-2</v>
      </c>
      <c r="M351" s="111">
        <v>0.877</v>
      </c>
      <c r="N351" s="111">
        <v>3.4000000000000002E-2</v>
      </c>
      <c r="O351" s="60">
        <v>8</v>
      </c>
    </row>
    <row r="352" spans="1:15" x14ac:dyDescent="0.25">
      <c r="A352" t="s">
        <v>69</v>
      </c>
      <c r="B352" s="112">
        <v>45720</v>
      </c>
      <c r="C352" s="111">
        <v>-3.2000000000000001E-2</v>
      </c>
      <c r="D352">
        <v>7.8</v>
      </c>
      <c r="E352" s="111">
        <v>0.17199999999999999</v>
      </c>
      <c r="F352" s="111">
        <v>1E-3</v>
      </c>
      <c r="G352" s="111">
        <v>5.0000000000000001E-3</v>
      </c>
      <c r="H352" s="111">
        <v>1.7999999999999999E-2</v>
      </c>
      <c r="I352" s="111">
        <v>3.9E-2</v>
      </c>
      <c r="J352" s="111">
        <v>0.01</v>
      </c>
      <c r="K352" s="111">
        <v>2.9000000000000001E-2</v>
      </c>
      <c r="L352" s="111">
        <v>7.0000000000000007E-2</v>
      </c>
      <c r="M352" s="111">
        <v>6.3E-2</v>
      </c>
      <c r="N352" s="111">
        <v>0.109</v>
      </c>
      <c r="O352" s="60">
        <v>8</v>
      </c>
    </row>
    <row r="353" spans="1:15" x14ac:dyDescent="0.25">
      <c r="A353" t="s">
        <v>67</v>
      </c>
      <c r="B353" s="112">
        <v>45751</v>
      </c>
      <c r="C353" s="111">
        <v>-0.19</v>
      </c>
      <c r="D353">
        <v>7</v>
      </c>
      <c r="E353" s="111">
        <v>0.10299999999999999</v>
      </c>
      <c r="F353" s="111">
        <v>0</v>
      </c>
      <c r="G353" s="111">
        <v>2E-3</v>
      </c>
      <c r="H353" s="111">
        <v>1.0999999999999999E-2</v>
      </c>
      <c r="I353" s="111">
        <v>4.3999999999999997E-2</v>
      </c>
      <c r="J353" s="111">
        <v>3.0000000000000001E-3</v>
      </c>
      <c r="K353" s="111">
        <v>1.0999999999999999E-2</v>
      </c>
      <c r="L353" s="111">
        <v>3.1E-2</v>
      </c>
      <c r="M353" s="111">
        <v>5.8000000000000003E-2</v>
      </c>
      <c r="N353" s="111">
        <v>4.4999999999999998E-2</v>
      </c>
      <c r="O353" s="60">
        <v>8</v>
      </c>
    </row>
    <row r="354" spans="1:15" x14ac:dyDescent="0.25">
      <c r="A354" t="s">
        <v>403</v>
      </c>
      <c r="B354" s="112">
        <v>45664</v>
      </c>
      <c r="C354" s="111">
        <v>-0.252</v>
      </c>
      <c r="D354">
        <v>4.2</v>
      </c>
      <c r="E354" s="111">
        <v>1E-3</v>
      </c>
      <c r="F354" s="111">
        <v>0</v>
      </c>
      <c r="G354" s="111">
        <v>0</v>
      </c>
      <c r="H354" s="111">
        <v>0</v>
      </c>
      <c r="I354" s="111">
        <v>1E-3</v>
      </c>
      <c r="J354" s="111">
        <v>0</v>
      </c>
      <c r="K354" s="111">
        <v>0</v>
      </c>
      <c r="L354" s="111">
        <v>0</v>
      </c>
      <c r="M354" s="111">
        <v>1E-3</v>
      </c>
      <c r="N354" s="111">
        <v>0</v>
      </c>
      <c r="O354" s="60">
        <v>8</v>
      </c>
    </row>
    <row r="355" spans="1:15" x14ac:dyDescent="0.25">
      <c r="A355" t="s">
        <v>355</v>
      </c>
      <c r="O355" s="60">
        <v>8</v>
      </c>
    </row>
    <row r="356" spans="1:15" x14ac:dyDescent="0.25">
      <c r="A356" t="s">
        <v>333</v>
      </c>
      <c r="B356" t="s">
        <v>498</v>
      </c>
      <c r="C356" t="s">
        <v>499</v>
      </c>
      <c r="D356" t="s">
        <v>500</v>
      </c>
      <c r="E356" t="s">
        <v>501</v>
      </c>
      <c r="F356" t="s">
        <v>502</v>
      </c>
      <c r="G356" t="s">
        <v>503</v>
      </c>
      <c r="H356" t="s">
        <v>504</v>
      </c>
      <c r="I356" t="s">
        <v>505</v>
      </c>
      <c r="J356" t="s">
        <v>506</v>
      </c>
      <c r="K356" t="s">
        <v>507</v>
      </c>
      <c r="L356" t="s">
        <v>508</v>
      </c>
      <c r="M356" t="s">
        <v>509</v>
      </c>
      <c r="N356" t="s">
        <v>457</v>
      </c>
      <c r="O356" s="60">
        <v>8</v>
      </c>
    </row>
    <row r="357" spans="1:15" x14ac:dyDescent="0.25">
      <c r="A357" t="s">
        <v>21</v>
      </c>
      <c r="B357" s="112">
        <v>45779</v>
      </c>
      <c r="C357" s="111">
        <v>0.219</v>
      </c>
      <c r="D357">
        <v>11.6</v>
      </c>
      <c r="E357" s="111">
        <v>0.88700000000000001</v>
      </c>
      <c r="F357" s="111">
        <v>0.17399999999999999</v>
      </c>
      <c r="G357" s="111">
        <v>0.17499999999999999</v>
      </c>
      <c r="H357" s="111">
        <v>8.5000000000000006E-2</v>
      </c>
      <c r="I357" s="111">
        <v>2.5999999999999999E-2</v>
      </c>
      <c r="J357" s="111">
        <v>0.159</v>
      </c>
      <c r="K357" s="111">
        <v>0.161</v>
      </c>
      <c r="L357" s="111">
        <v>0.106</v>
      </c>
      <c r="M357" s="111">
        <v>0.46</v>
      </c>
      <c r="N357" s="111">
        <v>0.42699999999999999</v>
      </c>
      <c r="O357" s="60">
        <v>8</v>
      </c>
    </row>
    <row r="358" spans="1:15" x14ac:dyDescent="0.25">
      <c r="A358" t="s">
        <v>55</v>
      </c>
      <c r="B358" s="112">
        <v>45779</v>
      </c>
      <c r="C358" s="111">
        <v>0.20799999999999999</v>
      </c>
      <c r="D358">
        <v>11.5</v>
      </c>
      <c r="E358" s="111">
        <v>0.876</v>
      </c>
      <c r="F358" s="111">
        <v>0.115</v>
      </c>
      <c r="G358" s="111">
        <v>0.16400000000000001</v>
      </c>
      <c r="H358" s="111">
        <v>0.10100000000000001</v>
      </c>
      <c r="I358" s="111">
        <v>3.9E-2</v>
      </c>
      <c r="J358" s="111">
        <v>0.16</v>
      </c>
      <c r="K358" s="111">
        <v>0.18099999999999999</v>
      </c>
      <c r="L358" s="111">
        <v>0.11700000000000001</v>
      </c>
      <c r="M358" s="111">
        <v>0.41899999999999998</v>
      </c>
      <c r="N358" s="111">
        <v>0.45700000000000002</v>
      </c>
      <c r="O358" s="60">
        <v>8</v>
      </c>
    </row>
    <row r="359" spans="1:15" x14ac:dyDescent="0.25">
      <c r="A359" t="s">
        <v>405</v>
      </c>
      <c r="B359" s="112">
        <v>45780</v>
      </c>
      <c r="C359" s="111">
        <v>-7.0000000000000001E-3</v>
      </c>
      <c r="D359">
        <v>9.6999999999999993</v>
      </c>
      <c r="E359" s="111">
        <v>0.64300000000000002</v>
      </c>
      <c r="F359" s="111">
        <v>0.02</v>
      </c>
      <c r="G359" s="111">
        <v>4.2999999999999997E-2</v>
      </c>
      <c r="H359" s="111">
        <v>3.5999999999999997E-2</v>
      </c>
      <c r="I359" s="111">
        <v>1.9E-2</v>
      </c>
      <c r="J359" s="111">
        <v>0.107</v>
      </c>
      <c r="K359" s="111">
        <v>0.19800000000000001</v>
      </c>
      <c r="L359" s="111">
        <v>0.22</v>
      </c>
      <c r="M359" s="111">
        <v>0.11799999999999999</v>
      </c>
      <c r="N359" s="111">
        <v>0.52500000000000002</v>
      </c>
      <c r="O359" s="60">
        <v>8</v>
      </c>
    </row>
    <row r="360" spans="1:15" x14ac:dyDescent="0.25">
      <c r="A360" t="s">
        <v>93</v>
      </c>
      <c r="B360" s="112">
        <v>45693</v>
      </c>
      <c r="C360" s="111">
        <v>-1.0999999999999999E-2</v>
      </c>
      <c r="D360">
        <v>6.1</v>
      </c>
      <c r="E360" s="111">
        <v>4.2999999999999997E-2</v>
      </c>
      <c r="F360" s="111">
        <v>0</v>
      </c>
      <c r="G360" s="111">
        <v>1E-3</v>
      </c>
      <c r="H360" s="111">
        <v>1E-3</v>
      </c>
      <c r="I360" s="111">
        <v>1E-3</v>
      </c>
      <c r="J360" s="111">
        <v>2E-3</v>
      </c>
      <c r="K360" s="111">
        <v>1.2E-2</v>
      </c>
      <c r="L360" s="111">
        <v>2.5999999999999999E-2</v>
      </c>
      <c r="M360" s="111">
        <v>2E-3</v>
      </c>
      <c r="N360" s="111">
        <v>0.04</v>
      </c>
      <c r="O360" s="60">
        <v>8</v>
      </c>
    </row>
    <row r="361" spans="1:15" x14ac:dyDescent="0.25">
      <c r="A361" t="s">
        <v>359</v>
      </c>
      <c r="O361" s="60">
        <v>8</v>
      </c>
    </row>
    <row r="362" spans="1:15" x14ac:dyDescent="0.25">
      <c r="A362" t="s">
        <v>333</v>
      </c>
      <c r="B362" t="s">
        <v>498</v>
      </c>
      <c r="C362" t="s">
        <v>499</v>
      </c>
      <c r="D362" t="s">
        <v>500</v>
      </c>
      <c r="E362" t="s">
        <v>501</v>
      </c>
      <c r="F362" t="s">
        <v>502</v>
      </c>
      <c r="G362" t="s">
        <v>503</v>
      </c>
      <c r="H362" t="s">
        <v>504</v>
      </c>
      <c r="I362" t="s">
        <v>505</v>
      </c>
      <c r="J362" t="s">
        <v>506</v>
      </c>
      <c r="K362" t="s">
        <v>507</v>
      </c>
      <c r="L362" t="s">
        <v>508</v>
      </c>
      <c r="M362" t="s">
        <v>509</v>
      </c>
      <c r="N362" t="s">
        <v>457</v>
      </c>
      <c r="O362" s="60">
        <v>8</v>
      </c>
    </row>
    <row r="363" spans="1:15" x14ac:dyDescent="0.25">
      <c r="A363" t="s">
        <v>25</v>
      </c>
      <c r="B363" s="112">
        <v>45779</v>
      </c>
      <c r="C363" s="111">
        <v>0.19500000000000001</v>
      </c>
      <c r="D363">
        <v>11.7</v>
      </c>
      <c r="E363" s="111">
        <v>0.91300000000000003</v>
      </c>
      <c r="F363" s="111">
        <v>0.16600000000000001</v>
      </c>
      <c r="G363" s="111">
        <v>0.217</v>
      </c>
      <c r="H363" s="111">
        <v>0.18099999999999999</v>
      </c>
      <c r="I363" s="111">
        <v>3.4000000000000002E-2</v>
      </c>
      <c r="J363" s="111">
        <v>0.14899999999999999</v>
      </c>
      <c r="K363" s="111">
        <v>0.1</v>
      </c>
      <c r="L363" s="111">
        <v>6.6000000000000003E-2</v>
      </c>
      <c r="M363" s="111">
        <v>0.59799999999999998</v>
      </c>
      <c r="N363" s="111">
        <v>0.316</v>
      </c>
      <c r="O363" s="60">
        <v>8</v>
      </c>
    </row>
    <row r="364" spans="1:15" x14ac:dyDescent="0.25">
      <c r="A364" t="s">
        <v>404</v>
      </c>
      <c r="B364" s="112">
        <v>45810</v>
      </c>
      <c r="C364" s="111">
        <v>1.2E-2</v>
      </c>
      <c r="D364">
        <v>11</v>
      </c>
      <c r="E364" s="111">
        <v>0.81899999999999995</v>
      </c>
      <c r="F364" s="111">
        <v>0.06</v>
      </c>
      <c r="G364" s="111">
        <v>0.123</v>
      </c>
      <c r="H364" s="111">
        <v>0.16600000000000001</v>
      </c>
      <c r="I364" s="111">
        <v>5.0999999999999997E-2</v>
      </c>
      <c r="J364" s="111">
        <v>0.15</v>
      </c>
      <c r="K364" s="111">
        <v>0.15</v>
      </c>
      <c r="L364" s="111">
        <v>0.11899999999999999</v>
      </c>
      <c r="M364" s="111">
        <v>0.40100000000000002</v>
      </c>
      <c r="N364" s="111">
        <v>0.41899999999999998</v>
      </c>
      <c r="O364" s="60">
        <v>8</v>
      </c>
    </row>
    <row r="365" spans="1:15" x14ac:dyDescent="0.25">
      <c r="A365" t="s">
        <v>2</v>
      </c>
      <c r="B365" s="112">
        <v>45694</v>
      </c>
      <c r="C365" s="111">
        <v>-0.14099999999999999</v>
      </c>
      <c r="D365">
        <v>5.7</v>
      </c>
      <c r="E365" s="111">
        <v>1.0999999999999999E-2</v>
      </c>
      <c r="F365" s="111">
        <v>0</v>
      </c>
      <c r="G365" s="111">
        <v>0</v>
      </c>
      <c r="H365" s="111">
        <v>1E-3</v>
      </c>
      <c r="I365" s="111">
        <v>1E-3</v>
      </c>
      <c r="J365" s="111">
        <v>1E-3</v>
      </c>
      <c r="K365" s="111">
        <v>2E-3</v>
      </c>
      <c r="L365" s="111">
        <v>7.0000000000000001E-3</v>
      </c>
      <c r="M365" s="111">
        <v>2E-3</v>
      </c>
      <c r="N365" s="111">
        <v>8.9999999999999993E-3</v>
      </c>
      <c r="O365" s="60">
        <v>8</v>
      </c>
    </row>
    <row r="366" spans="1:15" x14ac:dyDescent="0.25">
      <c r="A366" t="s">
        <v>79</v>
      </c>
      <c r="B366" s="112">
        <v>45664</v>
      </c>
      <c r="C366" s="111">
        <v>-0.19800000000000001</v>
      </c>
      <c r="D366">
        <v>4.2</v>
      </c>
      <c r="E366" s="111">
        <v>2E-3</v>
      </c>
      <c r="F366" s="111">
        <v>0</v>
      </c>
      <c r="G366" s="111">
        <v>0</v>
      </c>
      <c r="H366" s="111">
        <v>0</v>
      </c>
      <c r="I366" s="111">
        <v>0</v>
      </c>
      <c r="J366" s="111">
        <v>0</v>
      </c>
      <c r="K366" s="111">
        <v>0</v>
      </c>
      <c r="L366" s="111">
        <v>1E-3</v>
      </c>
      <c r="M366" s="111">
        <v>0</v>
      </c>
      <c r="N366" s="111">
        <v>1E-3</v>
      </c>
      <c r="O366" s="60">
        <v>8</v>
      </c>
    </row>
    <row r="367" spans="1:15" x14ac:dyDescent="0.25">
      <c r="A367" t="s">
        <v>352</v>
      </c>
      <c r="O367" s="60">
        <v>8</v>
      </c>
    </row>
    <row r="368" spans="1:15" x14ac:dyDescent="0.25">
      <c r="A368" t="s">
        <v>333</v>
      </c>
      <c r="B368" t="s">
        <v>498</v>
      </c>
      <c r="C368" t="s">
        <v>499</v>
      </c>
      <c r="D368" t="s">
        <v>500</v>
      </c>
      <c r="E368" t="s">
        <v>501</v>
      </c>
      <c r="F368" t="s">
        <v>502</v>
      </c>
      <c r="G368" t="s">
        <v>503</v>
      </c>
      <c r="H368" t="s">
        <v>504</v>
      </c>
      <c r="I368" t="s">
        <v>505</v>
      </c>
      <c r="J368" t="s">
        <v>506</v>
      </c>
      <c r="K368" t="s">
        <v>507</v>
      </c>
      <c r="L368" t="s">
        <v>508</v>
      </c>
      <c r="M368" t="s">
        <v>509</v>
      </c>
      <c r="N368" t="s">
        <v>457</v>
      </c>
      <c r="O368" s="60">
        <v>8</v>
      </c>
    </row>
    <row r="369" spans="1:15" x14ac:dyDescent="0.25">
      <c r="A369" t="s">
        <v>85</v>
      </c>
      <c r="B369" s="112">
        <v>45750</v>
      </c>
      <c r="C369" s="111">
        <v>2.8000000000000001E-2</v>
      </c>
      <c r="D369">
        <v>8.6999999999999993</v>
      </c>
      <c r="E369" s="111">
        <v>0.47899999999999998</v>
      </c>
      <c r="F369" s="111">
        <v>1.2999999999999999E-2</v>
      </c>
      <c r="G369" s="111">
        <v>0.03</v>
      </c>
      <c r="H369" s="111">
        <v>6.9000000000000006E-2</v>
      </c>
      <c r="I369" s="111">
        <v>0.26800000000000002</v>
      </c>
      <c r="J369" s="111">
        <v>1.0999999999999999E-2</v>
      </c>
      <c r="K369" s="111">
        <v>2.9000000000000001E-2</v>
      </c>
      <c r="L369" s="111">
        <v>0.06</v>
      </c>
      <c r="M369" s="111">
        <v>0.379</v>
      </c>
      <c r="N369" s="111">
        <v>0.1</v>
      </c>
      <c r="O369" s="60">
        <v>8</v>
      </c>
    </row>
    <row r="370" spans="1:15" x14ac:dyDescent="0.25">
      <c r="A370" t="s">
        <v>47</v>
      </c>
      <c r="B370" s="112">
        <v>45693</v>
      </c>
      <c r="C370" s="111">
        <v>0.151</v>
      </c>
      <c r="D370">
        <v>8.5</v>
      </c>
      <c r="E370" s="111">
        <v>0.47099999999999997</v>
      </c>
      <c r="F370" s="111">
        <v>1E-3</v>
      </c>
      <c r="G370" s="111">
        <v>8.0000000000000002E-3</v>
      </c>
      <c r="H370" s="111">
        <v>3.7999999999999999E-2</v>
      </c>
      <c r="I370" s="111">
        <v>0.38600000000000001</v>
      </c>
      <c r="J370" s="111">
        <v>2E-3</v>
      </c>
      <c r="K370" s="111">
        <v>0.01</v>
      </c>
      <c r="L370" s="111">
        <v>2.5999999999999999E-2</v>
      </c>
      <c r="M370" s="111">
        <v>0.432</v>
      </c>
      <c r="N370" s="111">
        <v>3.9E-2</v>
      </c>
      <c r="O370" s="60">
        <v>8</v>
      </c>
    </row>
    <row r="371" spans="1:15" x14ac:dyDescent="0.25">
      <c r="A371" t="s">
        <v>77</v>
      </c>
      <c r="B371" s="112">
        <v>45721</v>
      </c>
      <c r="C371" s="111">
        <v>-2.8000000000000001E-2</v>
      </c>
      <c r="D371">
        <v>7.5</v>
      </c>
      <c r="E371" s="111">
        <v>0.23400000000000001</v>
      </c>
      <c r="F371" s="111">
        <v>1E-3</v>
      </c>
      <c r="G371" s="111">
        <v>4.0000000000000001E-3</v>
      </c>
      <c r="H371" s="111">
        <v>1.6E-2</v>
      </c>
      <c r="I371" s="111">
        <v>0.161</v>
      </c>
      <c r="J371" s="111">
        <v>3.0000000000000001E-3</v>
      </c>
      <c r="K371" s="111">
        <v>1.2999999999999999E-2</v>
      </c>
      <c r="L371" s="111">
        <v>3.5999999999999997E-2</v>
      </c>
      <c r="M371" s="111">
        <v>0.182</v>
      </c>
      <c r="N371" s="111">
        <v>5.1999999999999998E-2</v>
      </c>
      <c r="O371" s="60">
        <v>8</v>
      </c>
    </row>
    <row r="372" spans="1:15" x14ac:dyDescent="0.25">
      <c r="A372" t="s">
        <v>91</v>
      </c>
      <c r="B372" s="112">
        <v>45694</v>
      </c>
      <c r="C372" s="111">
        <v>-0.223</v>
      </c>
      <c r="D372">
        <v>5.2</v>
      </c>
      <c r="E372" s="111">
        <v>8.9999999999999993E-3</v>
      </c>
      <c r="F372" s="111">
        <v>0</v>
      </c>
      <c r="G372" s="111">
        <v>0</v>
      </c>
      <c r="H372" s="111">
        <v>0</v>
      </c>
      <c r="I372" s="111">
        <v>7.0000000000000001E-3</v>
      </c>
      <c r="J372" s="111">
        <v>0</v>
      </c>
      <c r="K372" s="111">
        <v>0</v>
      </c>
      <c r="L372" s="111">
        <v>2E-3</v>
      </c>
      <c r="M372" s="111">
        <v>7.0000000000000001E-3</v>
      </c>
      <c r="N372" s="111">
        <v>3.0000000000000001E-3</v>
      </c>
      <c r="O372" s="60">
        <v>8</v>
      </c>
    </row>
    <row r="373" spans="1:15" x14ac:dyDescent="0.25">
      <c r="A373" t="s">
        <v>368</v>
      </c>
      <c r="O373" s="60">
        <v>8</v>
      </c>
    </row>
    <row r="374" spans="1:15" x14ac:dyDescent="0.25">
      <c r="A374" t="s">
        <v>333</v>
      </c>
      <c r="B374" t="s">
        <v>498</v>
      </c>
      <c r="C374" t="s">
        <v>499</v>
      </c>
      <c r="D374" t="s">
        <v>500</v>
      </c>
      <c r="E374" t="s">
        <v>501</v>
      </c>
      <c r="F374" t="s">
        <v>502</v>
      </c>
      <c r="G374" t="s">
        <v>503</v>
      </c>
      <c r="H374" t="s">
        <v>504</v>
      </c>
      <c r="I374" t="s">
        <v>505</v>
      </c>
      <c r="J374" t="s">
        <v>506</v>
      </c>
      <c r="K374" t="s">
        <v>507</v>
      </c>
      <c r="L374" t="s">
        <v>508</v>
      </c>
      <c r="M374" t="s">
        <v>509</v>
      </c>
      <c r="N374" t="s">
        <v>457</v>
      </c>
      <c r="O374" s="60">
        <v>8</v>
      </c>
    </row>
    <row r="375" spans="1:15" x14ac:dyDescent="0.25">
      <c r="A375" t="s">
        <v>57</v>
      </c>
      <c r="B375" s="112">
        <v>45839</v>
      </c>
      <c r="C375" s="111">
        <v>0.254</v>
      </c>
      <c r="D375">
        <v>12.8</v>
      </c>
      <c r="E375" s="111">
        <v>0.98199999999999998</v>
      </c>
      <c r="F375" s="111">
        <v>0.51</v>
      </c>
      <c r="G375" s="111">
        <v>0.222</v>
      </c>
      <c r="H375" s="111">
        <v>0.121</v>
      </c>
      <c r="I375" s="111">
        <v>2.5000000000000001E-2</v>
      </c>
      <c r="J375" s="111">
        <v>5.0999999999999997E-2</v>
      </c>
      <c r="K375" s="111">
        <v>3.4000000000000002E-2</v>
      </c>
      <c r="L375" s="111">
        <v>0.02</v>
      </c>
      <c r="M375" s="111">
        <v>0.878</v>
      </c>
      <c r="N375" s="111">
        <v>0.104</v>
      </c>
      <c r="O375" s="60">
        <v>8</v>
      </c>
    </row>
    <row r="376" spans="1:15" x14ac:dyDescent="0.25">
      <c r="A376" t="s">
        <v>44</v>
      </c>
      <c r="B376" s="112">
        <v>45750</v>
      </c>
      <c r="C376" s="111">
        <v>4.0000000000000001E-3</v>
      </c>
      <c r="D376">
        <v>9.1</v>
      </c>
      <c r="E376" s="111">
        <v>0.47199999999999998</v>
      </c>
      <c r="F376" s="111">
        <v>0.02</v>
      </c>
      <c r="G376" s="111">
        <v>2.5999999999999999E-2</v>
      </c>
      <c r="H376" s="111">
        <v>2.8000000000000001E-2</v>
      </c>
      <c r="I376" s="111">
        <v>8.0000000000000002E-3</v>
      </c>
      <c r="J376" s="111">
        <v>0.106</v>
      </c>
      <c r="K376" s="111">
        <v>0.13200000000000001</v>
      </c>
      <c r="L376" s="111">
        <v>0.151</v>
      </c>
      <c r="M376" s="111">
        <v>8.3000000000000004E-2</v>
      </c>
      <c r="N376" s="111">
        <v>0.38900000000000001</v>
      </c>
      <c r="O376" s="60">
        <v>8</v>
      </c>
    </row>
    <row r="377" spans="1:15" x14ac:dyDescent="0.25">
      <c r="A377" t="s">
        <v>31</v>
      </c>
      <c r="B377" s="112">
        <v>45720</v>
      </c>
      <c r="C377" s="111">
        <v>7.3999999999999996E-2</v>
      </c>
      <c r="D377">
        <v>8.3000000000000007</v>
      </c>
      <c r="E377" s="111">
        <v>0.32</v>
      </c>
      <c r="F377" s="111">
        <v>8.0000000000000002E-3</v>
      </c>
      <c r="G377" s="111">
        <v>1.0999999999999999E-2</v>
      </c>
      <c r="H377" s="111">
        <v>1.6E-2</v>
      </c>
      <c r="I377" s="111">
        <v>4.0000000000000001E-3</v>
      </c>
      <c r="J377" s="111">
        <v>6.6000000000000003E-2</v>
      </c>
      <c r="K377" s="111">
        <v>0.09</v>
      </c>
      <c r="L377" s="111">
        <v>0.124</v>
      </c>
      <c r="M377" s="111">
        <v>0.04</v>
      </c>
      <c r="N377" s="111">
        <v>0.28100000000000003</v>
      </c>
      <c r="O377" s="60">
        <v>8</v>
      </c>
    </row>
    <row r="378" spans="1:15" x14ac:dyDescent="0.25">
      <c r="A378" t="s">
        <v>89</v>
      </c>
      <c r="B378" s="112">
        <v>45664</v>
      </c>
      <c r="C378" s="111">
        <v>-0.317</v>
      </c>
      <c r="D378">
        <v>3.3</v>
      </c>
      <c r="E378" s="111">
        <v>0</v>
      </c>
      <c r="F378" s="111">
        <v>0</v>
      </c>
      <c r="G378" s="111">
        <v>0</v>
      </c>
      <c r="H378" s="111">
        <v>0</v>
      </c>
      <c r="I378" s="111">
        <v>0</v>
      </c>
      <c r="J378" s="111">
        <v>0</v>
      </c>
      <c r="K378" s="111">
        <v>0</v>
      </c>
      <c r="L378" s="111">
        <v>0</v>
      </c>
      <c r="M378" s="111">
        <v>0</v>
      </c>
      <c r="N378" s="111">
        <v>0</v>
      </c>
      <c r="O378" s="60">
        <v>8</v>
      </c>
    </row>
    <row r="379" spans="1:15" x14ac:dyDescent="0.25">
      <c r="A379" t="s">
        <v>367</v>
      </c>
      <c r="O379" s="60">
        <v>8</v>
      </c>
    </row>
    <row r="380" spans="1:15" x14ac:dyDescent="0.25">
      <c r="A380" t="s">
        <v>333</v>
      </c>
      <c r="B380" t="s">
        <v>498</v>
      </c>
      <c r="C380" t="s">
        <v>499</v>
      </c>
      <c r="D380" t="s">
        <v>500</v>
      </c>
      <c r="E380" t="s">
        <v>501</v>
      </c>
      <c r="F380" t="s">
        <v>502</v>
      </c>
      <c r="G380" t="s">
        <v>503</v>
      </c>
      <c r="H380" t="s">
        <v>504</v>
      </c>
      <c r="I380" t="s">
        <v>505</v>
      </c>
      <c r="J380" t="s">
        <v>506</v>
      </c>
      <c r="K380" t="s">
        <v>507</v>
      </c>
      <c r="L380" t="s">
        <v>508</v>
      </c>
      <c r="M380" t="s">
        <v>509</v>
      </c>
      <c r="N380" t="s">
        <v>457</v>
      </c>
      <c r="O380" s="60">
        <v>8</v>
      </c>
    </row>
    <row r="381" spans="1:15" x14ac:dyDescent="0.25">
      <c r="A381" t="s">
        <v>399</v>
      </c>
      <c r="B381" s="112">
        <v>45780</v>
      </c>
      <c r="C381" s="111">
        <v>0.27700000000000002</v>
      </c>
      <c r="D381">
        <v>11.3</v>
      </c>
      <c r="E381" s="111">
        <v>0.88300000000000001</v>
      </c>
      <c r="F381" s="111">
        <v>0.14599999999999999</v>
      </c>
      <c r="G381" s="111">
        <v>0.183</v>
      </c>
      <c r="H381" s="111">
        <v>0.16500000000000001</v>
      </c>
      <c r="I381" s="111">
        <v>2.5999999999999999E-2</v>
      </c>
      <c r="J381" s="111">
        <v>0.14799999999999999</v>
      </c>
      <c r="K381" s="111">
        <v>0.121</v>
      </c>
      <c r="L381" s="111">
        <v>9.4E-2</v>
      </c>
      <c r="M381" s="111">
        <v>0.52</v>
      </c>
      <c r="N381" s="111">
        <v>0.36199999999999999</v>
      </c>
      <c r="O381" s="60">
        <v>8</v>
      </c>
    </row>
    <row r="382" spans="1:15" x14ac:dyDescent="0.25">
      <c r="A382" t="s">
        <v>63</v>
      </c>
      <c r="B382" s="112">
        <v>45810</v>
      </c>
      <c r="C382" s="111">
        <v>0.107</v>
      </c>
      <c r="D382">
        <v>11</v>
      </c>
      <c r="E382" s="111">
        <v>0.82299999999999995</v>
      </c>
      <c r="F382" s="111">
        <v>6.3E-2</v>
      </c>
      <c r="G382" s="111">
        <v>0.13100000000000001</v>
      </c>
      <c r="H382" s="111">
        <v>0.13700000000000001</v>
      </c>
      <c r="I382" s="111">
        <v>1.9E-2</v>
      </c>
      <c r="J382" s="111">
        <v>0.19</v>
      </c>
      <c r="K382" s="111">
        <v>0.161</v>
      </c>
      <c r="L382" s="111">
        <v>0.122</v>
      </c>
      <c r="M382" s="111">
        <v>0.35</v>
      </c>
      <c r="N382" s="111">
        <v>0.47199999999999998</v>
      </c>
      <c r="O382" s="60">
        <v>8</v>
      </c>
    </row>
    <row r="383" spans="1:15" x14ac:dyDescent="0.25">
      <c r="A383" t="s">
        <v>60</v>
      </c>
      <c r="B383" s="112">
        <v>45780</v>
      </c>
      <c r="C383" s="111">
        <v>1.0999999999999999E-2</v>
      </c>
      <c r="D383">
        <v>9.4</v>
      </c>
      <c r="E383" s="111">
        <v>0.56899999999999995</v>
      </c>
      <c r="F383" s="111">
        <v>1.2999999999999999E-2</v>
      </c>
      <c r="G383" s="111">
        <v>4.4999999999999998E-2</v>
      </c>
      <c r="H383" s="111">
        <v>6.2E-2</v>
      </c>
      <c r="I383" s="111">
        <v>8.9999999999999993E-3</v>
      </c>
      <c r="J383" s="111">
        <v>0.123</v>
      </c>
      <c r="K383" s="111">
        <v>0.154</v>
      </c>
      <c r="L383" s="111">
        <v>0.16300000000000001</v>
      </c>
      <c r="M383" s="111">
        <v>0.129</v>
      </c>
      <c r="N383" s="111">
        <v>0.44</v>
      </c>
      <c r="O383" s="60">
        <v>8</v>
      </c>
    </row>
    <row r="384" spans="1:15" x14ac:dyDescent="0.25">
      <c r="A384" t="s">
        <v>423</v>
      </c>
      <c r="B384" s="112">
        <v>45693</v>
      </c>
      <c r="C384" s="111">
        <v>-0.186</v>
      </c>
      <c r="D384">
        <v>5.3</v>
      </c>
      <c r="E384" s="111">
        <v>1.4E-2</v>
      </c>
      <c r="F384" s="111">
        <v>0</v>
      </c>
      <c r="G384" s="111">
        <v>0</v>
      </c>
      <c r="H384" s="111">
        <v>0</v>
      </c>
      <c r="I384" s="111">
        <v>0</v>
      </c>
      <c r="J384" s="111">
        <v>1E-3</v>
      </c>
      <c r="K384" s="111">
        <v>3.0000000000000001E-3</v>
      </c>
      <c r="L384" s="111">
        <v>8.9999999999999993E-3</v>
      </c>
      <c r="M384" s="111">
        <v>1E-3</v>
      </c>
      <c r="N384" s="111">
        <v>1.2999999999999999E-2</v>
      </c>
      <c r="O384" s="60">
        <v>8</v>
      </c>
    </row>
    <row r="385" spans="1:15" x14ac:dyDescent="0.25">
      <c r="A385" t="s">
        <v>363</v>
      </c>
      <c r="O385" s="60">
        <v>9</v>
      </c>
    </row>
    <row r="386" spans="1:15" x14ac:dyDescent="0.25">
      <c r="A386" t="s">
        <v>444</v>
      </c>
      <c r="B386" t="s">
        <v>445</v>
      </c>
      <c r="C386" t="s">
        <v>446</v>
      </c>
      <c r="D386" t="s">
        <v>447</v>
      </c>
      <c r="E386" t="s">
        <v>448</v>
      </c>
      <c r="F386" t="s">
        <v>449</v>
      </c>
      <c r="G386" t="s">
        <v>450</v>
      </c>
      <c r="H386" t="s">
        <v>451</v>
      </c>
      <c r="I386" t="s">
        <v>452</v>
      </c>
      <c r="J386" t="s">
        <v>453</v>
      </c>
      <c r="K386" t="s">
        <v>454</v>
      </c>
      <c r="L386" t="s">
        <v>455</v>
      </c>
      <c r="M386" t="s">
        <v>456</v>
      </c>
      <c r="N386" t="s">
        <v>457</v>
      </c>
      <c r="O386" s="60">
        <v>9</v>
      </c>
    </row>
    <row r="387" spans="1:15" x14ac:dyDescent="0.25">
      <c r="A387" t="s">
        <v>459</v>
      </c>
      <c r="B387" s="112">
        <v>45810</v>
      </c>
      <c r="C387" s="111">
        <v>0.124</v>
      </c>
      <c r="D387">
        <v>11.2</v>
      </c>
      <c r="E387" s="111">
        <v>0.94699999999999995</v>
      </c>
      <c r="F387" s="111">
        <v>0.154</v>
      </c>
      <c r="G387" s="111">
        <v>0.19500000000000001</v>
      </c>
      <c r="H387" s="111">
        <v>0.29899999999999999</v>
      </c>
      <c r="I387" s="111">
        <v>0.28999999999999998</v>
      </c>
      <c r="J387" s="111">
        <v>1E-3</v>
      </c>
      <c r="K387" s="111">
        <v>3.0000000000000001E-3</v>
      </c>
      <c r="L387" s="111">
        <v>6.0000000000000001E-3</v>
      </c>
      <c r="M387" s="111">
        <v>0.93700000000000006</v>
      </c>
      <c r="N387" s="111">
        <v>0.01</v>
      </c>
      <c r="O387" s="60">
        <v>9</v>
      </c>
    </row>
    <row r="388" spans="1:15" x14ac:dyDescent="0.25">
      <c r="A388" t="s">
        <v>460</v>
      </c>
      <c r="B388" s="122">
        <v>36955</v>
      </c>
      <c r="C388" s="111">
        <v>-4.1000000000000002E-2</v>
      </c>
      <c r="D388">
        <v>7.1</v>
      </c>
      <c r="E388" s="111">
        <v>6.9000000000000006E-2</v>
      </c>
      <c r="F388" s="111">
        <v>0</v>
      </c>
      <c r="G388" s="111">
        <v>1E-3</v>
      </c>
      <c r="H388" s="111">
        <v>5.0000000000000001E-3</v>
      </c>
      <c r="I388" s="111">
        <v>2.5999999999999999E-2</v>
      </c>
      <c r="J388" s="111">
        <v>2E-3</v>
      </c>
      <c r="K388" s="111">
        <v>8.9999999999999993E-3</v>
      </c>
      <c r="L388" s="111">
        <v>2.5999999999999999E-2</v>
      </c>
      <c r="M388" s="111">
        <v>3.2000000000000001E-2</v>
      </c>
      <c r="N388" s="111">
        <v>3.6999999999999998E-2</v>
      </c>
      <c r="O388" s="60">
        <v>9</v>
      </c>
    </row>
    <row r="389" spans="1:15" x14ac:dyDescent="0.25">
      <c r="A389" t="s">
        <v>458</v>
      </c>
      <c r="B389" s="112">
        <v>45722</v>
      </c>
      <c r="C389" s="111">
        <v>-0.10199999999999999</v>
      </c>
      <c r="D389">
        <v>6.1</v>
      </c>
      <c r="E389" s="111">
        <v>3.5000000000000003E-2</v>
      </c>
      <c r="F389" s="111">
        <v>0</v>
      </c>
      <c r="G389" s="111">
        <v>0</v>
      </c>
      <c r="H389" s="111">
        <v>2E-3</v>
      </c>
      <c r="I389" s="111">
        <v>2.5999999999999999E-2</v>
      </c>
      <c r="J389" s="111">
        <v>0</v>
      </c>
      <c r="K389" s="111">
        <v>1E-3</v>
      </c>
      <c r="L389" s="111">
        <v>5.0000000000000001E-3</v>
      </c>
      <c r="M389" s="111">
        <v>2.9000000000000001E-2</v>
      </c>
      <c r="N389" s="111">
        <v>6.0000000000000001E-3</v>
      </c>
      <c r="O389" s="60">
        <v>9</v>
      </c>
    </row>
    <row r="390" spans="1:15" x14ac:dyDescent="0.25">
      <c r="A390" t="s">
        <v>462</v>
      </c>
      <c r="B390" s="112">
        <v>45695</v>
      </c>
      <c r="C390" s="111">
        <v>-0.113</v>
      </c>
      <c r="D390">
        <v>5.2</v>
      </c>
      <c r="E390" s="111">
        <v>5.0000000000000001E-3</v>
      </c>
      <c r="F390" s="111">
        <v>0</v>
      </c>
      <c r="G390" s="111">
        <v>0</v>
      </c>
      <c r="H390" s="111">
        <v>0</v>
      </c>
      <c r="I390" s="111">
        <v>2E-3</v>
      </c>
      <c r="J390" s="111">
        <v>0</v>
      </c>
      <c r="K390" s="111">
        <v>0</v>
      </c>
      <c r="L390" s="111">
        <v>3.0000000000000001E-3</v>
      </c>
      <c r="M390" s="111">
        <v>2E-3</v>
      </c>
      <c r="N390" s="111">
        <v>3.0000000000000001E-3</v>
      </c>
      <c r="O390" s="60">
        <v>9</v>
      </c>
    </row>
    <row r="391" spans="1:15" x14ac:dyDescent="0.25">
      <c r="A391" t="s">
        <v>357</v>
      </c>
      <c r="O391" s="60">
        <v>9</v>
      </c>
    </row>
    <row r="392" spans="1:15" x14ac:dyDescent="0.25">
      <c r="A392" t="s">
        <v>444</v>
      </c>
      <c r="B392" t="s">
        <v>445</v>
      </c>
      <c r="C392" t="s">
        <v>446</v>
      </c>
      <c r="D392" t="s">
        <v>447</v>
      </c>
      <c r="E392" t="s">
        <v>448</v>
      </c>
      <c r="F392" t="s">
        <v>449</v>
      </c>
      <c r="G392" t="s">
        <v>450</v>
      </c>
      <c r="H392" t="s">
        <v>451</v>
      </c>
      <c r="I392" t="s">
        <v>452</v>
      </c>
      <c r="J392" t="s">
        <v>453</v>
      </c>
      <c r="K392" t="s">
        <v>454</v>
      </c>
      <c r="L392" t="s">
        <v>455</v>
      </c>
      <c r="M392" t="s">
        <v>456</v>
      </c>
      <c r="N392" t="s">
        <v>457</v>
      </c>
      <c r="O392" s="60">
        <v>9</v>
      </c>
    </row>
    <row r="393" spans="1:15" x14ac:dyDescent="0.25">
      <c r="A393" t="s">
        <v>464</v>
      </c>
      <c r="B393" s="112">
        <v>45780</v>
      </c>
      <c r="C393" s="111">
        <v>0.23699999999999999</v>
      </c>
      <c r="D393">
        <v>11.1</v>
      </c>
      <c r="E393" s="111">
        <v>0.84299999999999997</v>
      </c>
      <c r="F393" s="111">
        <v>0.109</v>
      </c>
      <c r="G393" s="111">
        <v>0.191</v>
      </c>
      <c r="H393" s="111">
        <v>0.13200000000000001</v>
      </c>
      <c r="I393" s="111">
        <v>5.8000000000000003E-2</v>
      </c>
      <c r="J393" s="111">
        <v>8.3000000000000004E-2</v>
      </c>
      <c r="K393" s="111">
        <v>0.13400000000000001</v>
      </c>
      <c r="L393" s="111">
        <v>0.13500000000000001</v>
      </c>
      <c r="M393" s="111">
        <v>0.49099999999999999</v>
      </c>
      <c r="N393" s="111">
        <v>0.35199999999999998</v>
      </c>
      <c r="O393" s="60">
        <v>9</v>
      </c>
    </row>
    <row r="394" spans="1:15" x14ac:dyDescent="0.25">
      <c r="A394" t="s">
        <v>463</v>
      </c>
      <c r="B394" s="122">
        <v>37013</v>
      </c>
      <c r="C394" s="111">
        <v>0.14599999999999999</v>
      </c>
      <c r="D394">
        <v>10.9</v>
      </c>
      <c r="E394" s="111">
        <v>0.81899999999999995</v>
      </c>
      <c r="F394" s="111">
        <v>7.5999999999999998E-2</v>
      </c>
      <c r="G394" s="111">
        <v>0.16</v>
      </c>
      <c r="H394" s="111">
        <v>0.121</v>
      </c>
      <c r="I394" s="111">
        <v>0.06</v>
      </c>
      <c r="J394" s="111">
        <v>9.5000000000000001E-2</v>
      </c>
      <c r="K394" s="111">
        <v>0.16200000000000001</v>
      </c>
      <c r="L394" s="111">
        <v>0.14499999999999999</v>
      </c>
      <c r="M394" s="111">
        <v>0.41699999999999998</v>
      </c>
      <c r="N394" s="111">
        <v>0.40200000000000002</v>
      </c>
      <c r="O394" s="60">
        <v>9</v>
      </c>
    </row>
    <row r="395" spans="1:15" x14ac:dyDescent="0.25">
      <c r="A395" t="s">
        <v>467</v>
      </c>
      <c r="B395" s="112">
        <v>45780</v>
      </c>
      <c r="C395" s="111">
        <v>-5.6000000000000001E-2</v>
      </c>
      <c r="D395">
        <v>8.8000000000000007</v>
      </c>
      <c r="E395" s="111">
        <v>0.312</v>
      </c>
      <c r="F395" s="111">
        <v>8.0000000000000002E-3</v>
      </c>
      <c r="G395" s="111">
        <v>0.02</v>
      </c>
      <c r="H395" s="111">
        <v>2.3E-2</v>
      </c>
      <c r="I395" s="111">
        <v>1.7000000000000001E-2</v>
      </c>
      <c r="J395" s="111">
        <v>3.6999999999999998E-2</v>
      </c>
      <c r="K395" s="111">
        <v>8.5000000000000006E-2</v>
      </c>
      <c r="L395" s="111">
        <v>0.122</v>
      </c>
      <c r="M395" s="111">
        <v>6.7000000000000004E-2</v>
      </c>
      <c r="N395" s="111">
        <v>0.24399999999999999</v>
      </c>
      <c r="O395" s="60">
        <v>9</v>
      </c>
    </row>
    <row r="396" spans="1:15" x14ac:dyDescent="0.25">
      <c r="A396" t="s">
        <v>465</v>
      </c>
      <c r="B396" s="112">
        <v>45751</v>
      </c>
      <c r="C396" s="111">
        <v>-8.3000000000000004E-2</v>
      </c>
      <c r="D396">
        <v>7.4</v>
      </c>
      <c r="E396" s="111">
        <v>0.104</v>
      </c>
      <c r="F396" s="111">
        <v>1E-3</v>
      </c>
      <c r="G396" s="111">
        <v>4.0000000000000001E-3</v>
      </c>
      <c r="H396" s="111">
        <v>8.9999999999999993E-3</v>
      </c>
      <c r="I396" s="111">
        <v>1.0999999999999999E-2</v>
      </c>
      <c r="J396" s="111">
        <v>7.0000000000000001E-3</v>
      </c>
      <c r="K396" s="111">
        <v>2.3E-2</v>
      </c>
      <c r="L396" s="111">
        <v>0.05</v>
      </c>
      <c r="M396" s="111">
        <v>2.5000000000000001E-2</v>
      </c>
      <c r="N396" s="111">
        <v>0.08</v>
      </c>
      <c r="O396" s="60">
        <v>9</v>
      </c>
    </row>
    <row r="397" spans="1:15" x14ac:dyDescent="0.25">
      <c r="A397" t="s">
        <v>383</v>
      </c>
      <c r="O397" s="60">
        <v>9</v>
      </c>
    </row>
    <row r="398" spans="1:15" x14ac:dyDescent="0.25">
      <c r="A398" t="s">
        <v>444</v>
      </c>
      <c r="B398" t="s">
        <v>445</v>
      </c>
      <c r="C398" t="s">
        <v>446</v>
      </c>
      <c r="D398" t="s">
        <v>447</v>
      </c>
      <c r="E398" t="s">
        <v>448</v>
      </c>
      <c r="F398" t="s">
        <v>449</v>
      </c>
      <c r="G398" t="s">
        <v>450</v>
      </c>
      <c r="H398" t="s">
        <v>451</v>
      </c>
      <c r="I398" t="s">
        <v>452</v>
      </c>
      <c r="J398" t="s">
        <v>453</v>
      </c>
      <c r="K398" t="s">
        <v>454</v>
      </c>
      <c r="L398" t="s">
        <v>455</v>
      </c>
      <c r="M398" t="s">
        <v>456</v>
      </c>
      <c r="N398" t="s">
        <v>457</v>
      </c>
      <c r="O398" s="60">
        <v>9</v>
      </c>
    </row>
    <row r="399" spans="1:15" x14ac:dyDescent="0.25">
      <c r="A399" t="s">
        <v>468</v>
      </c>
      <c r="B399" s="112">
        <v>45810</v>
      </c>
      <c r="C399" s="111">
        <v>1.4999999999999999E-2</v>
      </c>
      <c r="D399">
        <v>11</v>
      </c>
      <c r="E399" s="111">
        <v>0.90600000000000003</v>
      </c>
      <c r="F399" s="111">
        <v>8.5000000000000006E-2</v>
      </c>
      <c r="G399" s="111">
        <v>0.13400000000000001</v>
      </c>
      <c r="H399" s="111">
        <v>0.26100000000000001</v>
      </c>
      <c r="I399" s="111">
        <v>0.39400000000000002</v>
      </c>
      <c r="J399" s="111">
        <v>3.0000000000000001E-3</v>
      </c>
      <c r="K399" s="111">
        <v>8.9999999999999993E-3</v>
      </c>
      <c r="L399" s="111">
        <v>0.02</v>
      </c>
      <c r="M399" s="111">
        <v>0.875</v>
      </c>
      <c r="N399" s="111">
        <v>3.2000000000000001E-2</v>
      </c>
      <c r="O399" s="60">
        <v>9</v>
      </c>
    </row>
    <row r="400" spans="1:15" x14ac:dyDescent="0.25">
      <c r="A400" t="s">
        <v>471</v>
      </c>
      <c r="B400" s="112">
        <v>45781</v>
      </c>
      <c r="C400" s="111">
        <v>-0.18099999999999999</v>
      </c>
      <c r="D400">
        <v>7.8</v>
      </c>
      <c r="E400" s="111">
        <v>0.17699999999999999</v>
      </c>
      <c r="F400" s="111">
        <v>1E-3</v>
      </c>
      <c r="G400" s="111">
        <v>5.0000000000000001E-3</v>
      </c>
      <c r="H400" s="111">
        <v>2.4E-2</v>
      </c>
      <c r="I400" s="111">
        <v>0.06</v>
      </c>
      <c r="J400" s="111">
        <v>7.0000000000000001E-3</v>
      </c>
      <c r="K400" s="111">
        <v>2.1999999999999999E-2</v>
      </c>
      <c r="L400" s="111">
        <v>5.7000000000000002E-2</v>
      </c>
      <c r="M400" s="111">
        <v>9.0999999999999998E-2</v>
      </c>
      <c r="N400" s="111">
        <v>8.5999999999999993E-2</v>
      </c>
      <c r="O400" s="60">
        <v>9</v>
      </c>
    </row>
    <row r="401" spans="1:15" x14ac:dyDescent="0.25">
      <c r="A401" t="s">
        <v>469</v>
      </c>
      <c r="B401" s="112">
        <v>45721</v>
      </c>
      <c r="C401" s="111">
        <v>-0.03</v>
      </c>
      <c r="D401">
        <v>7.4</v>
      </c>
      <c r="E401" s="111">
        <v>0.10199999999999999</v>
      </c>
      <c r="F401" s="111">
        <v>0</v>
      </c>
      <c r="G401" s="111">
        <v>1E-3</v>
      </c>
      <c r="H401" s="111">
        <v>0.01</v>
      </c>
      <c r="I401" s="111">
        <v>2.1999999999999999E-2</v>
      </c>
      <c r="J401" s="111">
        <v>4.0000000000000001E-3</v>
      </c>
      <c r="K401" s="111">
        <v>1.7999999999999999E-2</v>
      </c>
      <c r="L401" s="111">
        <v>4.7E-2</v>
      </c>
      <c r="M401" s="111">
        <v>3.3000000000000002E-2</v>
      </c>
      <c r="N401" s="111">
        <v>6.9000000000000006E-2</v>
      </c>
      <c r="O401" s="60">
        <v>9</v>
      </c>
    </row>
    <row r="402" spans="1:15" x14ac:dyDescent="0.25">
      <c r="A402" t="s">
        <v>470</v>
      </c>
      <c r="B402" s="112">
        <v>45665</v>
      </c>
      <c r="C402" s="111">
        <v>-0.26900000000000002</v>
      </c>
      <c r="D402">
        <v>3.9</v>
      </c>
      <c r="E402" s="111">
        <v>1E-3</v>
      </c>
      <c r="F402" s="111">
        <v>0</v>
      </c>
      <c r="G402" s="111">
        <v>0</v>
      </c>
      <c r="H402" s="111">
        <v>0</v>
      </c>
      <c r="I402" s="111">
        <v>1E-3</v>
      </c>
      <c r="J402" s="111">
        <v>0</v>
      </c>
      <c r="K402" s="111">
        <v>0</v>
      </c>
      <c r="L402" s="111">
        <v>0</v>
      </c>
      <c r="M402" s="111">
        <v>1E-3</v>
      </c>
      <c r="N402" s="111">
        <v>0</v>
      </c>
      <c r="O402" s="60">
        <v>9</v>
      </c>
    </row>
    <row r="403" spans="1:15" x14ac:dyDescent="0.25">
      <c r="A403" t="s">
        <v>355</v>
      </c>
      <c r="O403" s="60">
        <v>9</v>
      </c>
    </row>
    <row r="404" spans="1:15" x14ac:dyDescent="0.25">
      <c r="A404" t="s">
        <v>444</v>
      </c>
      <c r="B404" t="s">
        <v>445</v>
      </c>
      <c r="C404" t="s">
        <v>446</v>
      </c>
      <c r="D404" t="s">
        <v>447</v>
      </c>
      <c r="E404" t="s">
        <v>448</v>
      </c>
      <c r="F404" t="s">
        <v>449</v>
      </c>
      <c r="G404" t="s">
        <v>450</v>
      </c>
      <c r="H404" t="s">
        <v>451</v>
      </c>
      <c r="I404" t="s">
        <v>452</v>
      </c>
      <c r="J404" t="s">
        <v>453</v>
      </c>
      <c r="K404" t="s">
        <v>454</v>
      </c>
      <c r="L404" t="s">
        <v>455</v>
      </c>
      <c r="M404" t="s">
        <v>456</v>
      </c>
      <c r="N404" t="s">
        <v>457</v>
      </c>
      <c r="O404" s="60">
        <v>9</v>
      </c>
    </row>
    <row r="405" spans="1:15" x14ac:dyDescent="0.25">
      <c r="A405" t="s">
        <v>475</v>
      </c>
      <c r="B405" s="112">
        <v>45810</v>
      </c>
      <c r="C405" s="111">
        <v>0.27900000000000003</v>
      </c>
      <c r="D405">
        <v>12.4</v>
      </c>
      <c r="E405" s="111">
        <v>0.96</v>
      </c>
      <c r="F405" s="111">
        <v>0.29799999999999999</v>
      </c>
      <c r="G405" s="111">
        <v>0.14599999999999999</v>
      </c>
      <c r="H405" s="111">
        <v>5.7000000000000002E-2</v>
      </c>
      <c r="I405" s="111">
        <v>1.4999999999999999E-2</v>
      </c>
      <c r="J405" s="111">
        <v>0.26800000000000002</v>
      </c>
      <c r="K405" s="111">
        <v>0.12</v>
      </c>
      <c r="L405" s="111">
        <v>5.5E-2</v>
      </c>
      <c r="M405" s="111">
        <v>0.51600000000000001</v>
      </c>
      <c r="N405" s="111">
        <v>0.44400000000000001</v>
      </c>
      <c r="O405" s="60">
        <v>9</v>
      </c>
    </row>
    <row r="406" spans="1:15" x14ac:dyDescent="0.25">
      <c r="A406" t="s">
        <v>473</v>
      </c>
      <c r="B406" s="112">
        <v>45810</v>
      </c>
      <c r="C406" s="111">
        <v>0.24</v>
      </c>
      <c r="D406">
        <v>11.8</v>
      </c>
      <c r="E406" s="111">
        <v>0.90600000000000003</v>
      </c>
      <c r="F406" s="111">
        <v>0.22500000000000001</v>
      </c>
      <c r="G406" s="111">
        <v>0.104</v>
      </c>
      <c r="H406" s="111">
        <v>3.5999999999999997E-2</v>
      </c>
      <c r="I406" s="111">
        <v>1.0999999999999999E-2</v>
      </c>
      <c r="J406" s="111">
        <v>0.27500000000000002</v>
      </c>
      <c r="K406" s="111">
        <v>0.158</v>
      </c>
      <c r="L406" s="111">
        <v>9.6000000000000002E-2</v>
      </c>
      <c r="M406" s="111">
        <v>0.377</v>
      </c>
      <c r="N406" s="111">
        <v>0.52900000000000003</v>
      </c>
      <c r="O406" s="60">
        <v>9</v>
      </c>
    </row>
    <row r="407" spans="1:15" x14ac:dyDescent="0.25">
      <c r="A407" t="s">
        <v>472</v>
      </c>
      <c r="B407" s="112">
        <v>45811</v>
      </c>
      <c r="C407" s="111">
        <v>8.9999999999999993E-3</v>
      </c>
      <c r="D407">
        <v>10.199999999999999</v>
      </c>
      <c r="E407" s="111">
        <v>0.76100000000000001</v>
      </c>
      <c r="F407" s="111">
        <v>4.1000000000000002E-2</v>
      </c>
      <c r="G407" s="111">
        <v>3.5999999999999997E-2</v>
      </c>
      <c r="H407" s="111">
        <v>2.1000000000000001E-2</v>
      </c>
      <c r="I407" s="111">
        <v>7.0000000000000001E-3</v>
      </c>
      <c r="J407" s="111">
        <v>0.21199999999999999</v>
      </c>
      <c r="K407" s="111">
        <v>0.24099999999999999</v>
      </c>
      <c r="L407" s="111">
        <v>0.20200000000000001</v>
      </c>
      <c r="M407" s="111">
        <v>0.106</v>
      </c>
      <c r="N407" s="111">
        <v>0.65600000000000003</v>
      </c>
      <c r="O407" s="60">
        <v>9</v>
      </c>
    </row>
    <row r="408" spans="1:15" x14ac:dyDescent="0.25">
      <c r="A408" t="s">
        <v>474</v>
      </c>
      <c r="B408" s="112">
        <v>45721</v>
      </c>
      <c r="C408" s="111">
        <v>-1.7000000000000001E-2</v>
      </c>
      <c r="D408">
        <v>6.6</v>
      </c>
      <c r="E408" s="111">
        <v>5.0999999999999997E-2</v>
      </c>
      <c r="F408" s="111">
        <v>0</v>
      </c>
      <c r="G408" s="111">
        <v>1E-3</v>
      </c>
      <c r="H408" s="111">
        <v>0</v>
      </c>
      <c r="I408" s="111">
        <v>0</v>
      </c>
      <c r="J408" s="111">
        <v>6.0000000000000001E-3</v>
      </c>
      <c r="K408" s="111">
        <v>1.4999999999999999E-2</v>
      </c>
      <c r="L408" s="111">
        <v>0.03</v>
      </c>
      <c r="M408" s="111">
        <v>1E-3</v>
      </c>
      <c r="N408" s="111">
        <v>0.05</v>
      </c>
      <c r="O408" s="60">
        <v>9</v>
      </c>
    </row>
    <row r="409" spans="1:15" x14ac:dyDescent="0.25">
      <c r="A409" t="s">
        <v>359</v>
      </c>
      <c r="O409" s="60">
        <v>9</v>
      </c>
    </row>
    <row r="410" spans="1:15" x14ac:dyDescent="0.25">
      <c r="A410" t="s">
        <v>444</v>
      </c>
      <c r="B410" t="s">
        <v>445</v>
      </c>
      <c r="C410" t="s">
        <v>446</v>
      </c>
      <c r="D410" t="s">
        <v>447</v>
      </c>
      <c r="E410" t="s">
        <v>448</v>
      </c>
      <c r="F410" t="s">
        <v>449</v>
      </c>
      <c r="G410" t="s">
        <v>450</v>
      </c>
      <c r="H410" t="s">
        <v>451</v>
      </c>
      <c r="I410" t="s">
        <v>452</v>
      </c>
      <c r="J410" t="s">
        <v>453</v>
      </c>
      <c r="K410" t="s">
        <v>454</v>
      </c>
      <c r="L410" t="s">
        <v>455</v>
      </c>
      <c r="M410" t="s">
        <v>456</v>
      </c>
      <c r="N410" t="s">
        <v>457</v>
      </c>
      <c r="O410" s="60">
        <v>9</v>
      </c>
    </row>
    <row r="411" spans="1:15" x14ac:dyDescent="0.25">
      <c r="A411" t="s">
        <v>476</v>
      </c>
      <c r="B411" s="112">
        <v>45810</v>
      </c>
      <c r="C411" s="111">
        <v>0.23400000000000001</v>
      </c>
      <c r="D411">
        <v>12.4</v>
      </c>
      <c r="E411" s="111">
        <v>0.97</v>
      </c>
      <c r="F411" s="111">
        <v>0.35699999999999998</v>
      </c>
      <c r="G411" s="111">
        <v>0.16900000000000001</v>
      </c>
      <c r="H411" s="111">
        <v>7.6999999999999999E-2</v>
      </c>
      <c r="I411" s="111">
        <v>2.1999999999999999E-2</v>
      </c>
      <c r="J411" s="111">
        <v>0.23599999999999999</v>
      </c>
      <c r="K411" s="111">
        <v>7.3999999999999996E-2</v>
      </c>
      <c r="L411" s="111">
        <v>3.5000000000000003E-2</v>
      </c>
      <c r="M411" s="111">
        <v>0.625</v>
      </c>
      <c r="N411" s="111">
        <v>0.34599999999999997</v>
      </c>
      <c r="O411" s="60">
        <v>9</v>
      </c>
    </row>
    <row r="412" spans="1:15" x14ac:dyDescent="0.25">
      <c r="A412" t="s">
        <v>477</v>
      </c>
      <c r="B412" s="112">
        <v>45840</v>
      </c>
      <c r="C412" s="111">
        <v>3.5999999999999997E-2</v>
      </c>
      <c r="D412">
        <v>11.5</v>
      </c>
      <c r="E412" s="111">
        <v>0.89200000000000002</v>
      </c>
      <c r="F412" s="111">
        <v>0.12</v>
      </c>
      <c r="G412" s="111">
        <v>0.121</v>
      </c>
      <c r="H412" s="111">
        <v>9.6000000000000002E-2</v>
      </c>
      <c r="I412" s="111">
        <v>3.9E-2</v>
      </c>
      <c r="J412" s="111">
        <v>0.24099999999999999</v>
      </c>
      <c r="K412" s="111">
        <v>0.16800000000000001</v>
      </c>
      <c r="L412" s="111">
        <v>0.108</v>
      </c>
      <c r="M412" s="111">
        <v>0.375</v>
      </c>
      <c r="N412" s="111">
        <v>0.51700000000000002</v>
      </c>
      <c r="O412" s="60">
        <v>9</v>
      </c>
    </row>
    <row r="413" spans="1:15" x14ac:dyDescent="0.25">
      <c r="A413" t="s">
        <v>479</v>
      </c>
      <c r="B413" s="112">
        <v>45695</v>
      </c>
      <c r="C413" s="111">
        <v>-0.17599999999999999</v>
      </c>
      <c r="D413">
        <v>5.0999999999999996</v>
      </c>
      <c r="E413" s="111">
        <v>1E-3</v>
      </c>
      <c r="F413" s="111">
        <v>0</v>
      </c>
      <c r="G413" s="111">
        <v>0</v>
      </c>
      <c r="H413" s="111">
        <v>0</v>
      </c>
      <c r="I413" s="111">
        <v>0</v>
      </c>
      <c r="J413" s="111">
        <v>0</v>
      </c>
      <c r="K413" s="111">
        <v>0</v>
      </c>
      <c r="L413" s="111">
        <v>1E-3</v>
      </c>
      <c r="M413" s="111">
        <v>0</v>
      </c>
      <c r="N413" s="111">
        <v>1E-3</v>
      </c>
      <c r="O413" s="60">
        <v>9</v>
      </c>
    </row>
    <row r="414" spans="1:15" x14ac:dyDescent="0.25">
      <c r="A414" t="s">
        <v>478</v>
      </c>
      <c r="B414" s="112">
        <v>45664</v>
      </c>
      <c r="C414" s="111">
        <v>-0.20200000000000001</v>
      </c>
      <c r="D414">
        <v>4.2</v>
      </c>
      <c r="E414" s="111">
        <v>1E-3</v>
      </c>
      <c r="F414" s="111">
        <v>0</v>
      </c>
      <c r="G414" s="111">
        <v>0</v>
      </c>
      <c r="H414" s="111">
        <v>0</v>
      </c>
      <c r="I414" s="111">
        <v>0</v>
      </c>
      <c r="J414" s="111">
        <v>0</v>
      </c>
      <c r="K414" s="111">
        <v>0</v>
      </c>
      <c r="L414" s="111">
        <v>1E-3</v>
      </c>
      <c r="M414" s="111">
        <v>0</v>
      </c>
      <c r="N414" s="111">
        <v>1E-3</v>
      </c>
      <c r="O414" s="60">
        <v>9</v>
      </c>
    </row>
    <row r="415" spans="1:15" x14ac:dyDescent="0.25">
      <c r="A415" t="s">
        <v>352</v>
      </c>
      <c r="O415" s="60">
        <v>9</v>
      </c>
    </row>
    <row r="416" spans="1:15" x14ac:dyDescent="0.25">
      <c r="A416" t="s">
        <v>444</v>
      </c>
      <c r="B416" t="s">
        <v>445</v>
      </c>
      <c r="C416" t="s">
        <v>446</v>
      </c>
      <c r="D416" t="s">
        <v>447</v>
      </c>
      <c r="E416" t="s">
        <v>448</v>
      </c>
      <c r="F416" t="s">
        <v>449</v>
      </c>
      <c r="G416" t="s">
        <v>450</v>
      </c>
      <c r="H416" t="s">
        <v>451</v>
      </c>
      <c r="I416" t="s">
        <v>452</v>
      </c>
      <c r="J416" t="s">
        <v>453</v>
      </c>
      <c r="K416" t="s">
        <v>454</v>
      </c>
      <c r="L416" t="s">
        <v>455</v>
      </c>
      <c r="M416" t="s">
        <v>456</v>
      </c>
      <c r="N416" t="s">
        <v>457</v>
      </c>
      <c r="O416" s="60">
        <v>9</v>
      </c>
    </row>
    <row r="417" spans="1:15" x14ac:dyDescent="0.25">
      <c r="A417" t="s">
        <v>482</v>
      </c>
      <c r="B417" s="112">
        <v>45780</v>
      </c>
      <c r="C417" s="111">
        <v>7.4999999999999997E-2</v>
      </c>
      <c r="D417">
        <v>9.8000000000000007</v>
      </c>
      <c r="E417" s="111">
        <v>0.66800000000000004</v>
      </c>
      <c r="F417" s="111">
        <v>3.6999999999999998E-2</v>
      </c>
      <c r="G417" s="111">
        <v>6.8000000000000005E-2</v>
      </c>
      <c r="H417" s="111">
        <v>0.126</v>
      </c>
      <c r="I417" s="111">
        <v>0.30099999999999999</v>
      </c>
      <c r="J417" s="111">
        <v>1.7999999999999999E-2</v>
      </c>
      <c r="K417" s="111">
        <v>4.2999999999999997E-2</v>
      </c>
      <c r="L417" s="111">
        <v>7.2999999999999995E-2</v>
      </c>
      <c r="M417" s="111">
        <v>0.53300000000000003</v>
      </c>
      <c r="N417" s="111">
        <v>0.13500000000000001</v>
      </c>
      <c r="O417" s="60">
        <v>9</v>
      </c>
    </row>
    <row r="418" spans="1:15" x14ac:dyDescent="0.25">
      <c r="A418" t="s">
        <v>480</v>
      </c>
      <c r="B418" s="112">
        <v>45721</v>
      </c>
      <c r="C418" s="111">
        <v>0.16600000000000001</v>
      </c>
      <c r="D418">
        <v>8.8000000000000007</v>
      </c>
      <c r="E418" s="111">
        <v>0.47</v>
      </c>
      <c r="F418" s="111">
        <v>2E-3</v>
      </c>
      <c r="G418" s="111">
        <v>1.0999999999999999E-2</v>
      </c>
      <c r="H418" s="111">
        <v>4.7E-2</v>
      </c>
      <c r="I418" s="111">
        <v>0.34599999999999997</v>
      </c>
      <c r="J418" s="111">
        <v>4.0000000000000001E-3</v>
      </c>
      <c r="K418" s="111">
        <v>1.6E-2</v>
      </c>
      <c r="L418" s="111">
        <v>4.2999999999999997E-2</v>
      </c>
      <c r="M418" s="111">
        <v>0.40699999999999997</v>
      </c>
      <c r="N418" s="111">
        <v>6.3E-2</v>
      </c>
      <c r="O418" s="60">
        <v>9</v>
      </c>
    </row>
    <row r="419" spans="1:15" x14ac:dyDescent="0.25">
      <c r="A419" t="s">
        <v>481</v>
      </c>
      <c r="B419" s="112">
        <v>45722</v>
      </c>
      <c r="C419" s="111">
        <v>-4.2000000000000003E-2</v>
      </c>
      <c r="D419">
        <v>6.7</v>
      </c>
      <c r="E419" s="111">
        <v>8.5000000000000006E-2</v>
      </c>
      <c r="F419" s="111">
        <v>0</v>
      </c>
      <c r="G419" s="111">
        <v>1E-3</v>
      </c>
      <c r="H419" s="111">
        <v>3.0000000000000001E-3</v>
      </c>
      <c r="I419" s="111">
        <v>5.2999999999999999E-2</v>
      </c>
      <c r="J419" s="111">
        <v>1E-3</v>
      </c>
      <c r="K419" s="111">
        <v>7.0000000000000001E-3</v>
      </c>
      <c r="L419" s="111">
        <v>2.1000000000000001E-2</v>
      </c>
      <c r="M419" s="111">
        <v>5.7000000000000002E-2</v>
      </c>
      <c r="N419" s="111">
        <v>2.8000000000000001E-2</v>
      </c>
      <c r="O419" s="60">
        <v>9</v>
      </c>
    </row>
    <row r="420" spans="1:15" x14ac:dyDescent="0.25">
      <c r="A420" t="s">
        <v>483</v>
      </c>
      <c r="B420" s="112">
        <v>45694</v>
      </c>
      <c r="C420" s="111">
        <v>-0.214</v>
      </c>
      <c r="D420">
        <v>5.0999999999999996</v>
      </c>
      <c r="E420" s="111">
        <v>5.0000000000000001E-3</v>
      </c>
      <c r="F420" s="111">
        <v>0</v>
      </c>
      <c r="G420" s="111">
        <v>0</v>
      </c>
      <c r="H420" s="111">
        <v>0</v>
      </c>
      <c r="I420" s="111">
        <v>3.0000000000000001E-3</v>
      </c>
      <c r="J420" s="111">
        <v>0</v>
      </c>
      <c r="K420" s="111">
        <v>0</v>
      </c>
      <c r="L420" s="111">
        <v>1E-3</v>
      </c>
      <c r="M420" s="111">
        <v>3.0000000000000001E-3</v>
      </c>
      <c r="N420" s="111">
        <v>2E-3</v>
      </c>
      <c r="O420" s="60">
        <v>9</v>
      </c>
    </row>
    <row r="421" spans="1:15" x14ac:dyDescent="0.25">
      <c r="A421" t="s">
        <v>368</v>
      </c>
      <c r="O421" s="60">
        <v>9</v>
      </c>
    </row>
    <row r="422" spans="1:15" x14ac:dyDescent="0.25">
      <c r="A422" t="s">
        <v>444</v>
      </c>
      <c r="B422" t="s">
        <v>445</v>
      </c>
      <c r="C422" t="s">
        <v>446</v>
      </c>
      <c r="D422" t="s">
        <v>447</v>
      </c>
      <c r="E422" t="s">
        <v>448</v>
      </c>
      <c r="F422" t="s">
        <v>449</v>
      </c>
      <c r="G422" t="s">
        <v>450</v>
      </c>
      <c r="H422" t="s">
        <v>451</v>
      </c>
      <c r="I422" t="s">
        <v>452</v>
      </c>
      <c r="J422" t="s">
        <v>453</v>
      </c>
      <c r="K422" t="s">
        <v>454</v>
      </c>
      <c r="L422" t="s">
        <v>455</v>
      </c>
      <c r="M422" t="s">
        <v>456</v>
      </c>
      <c r="N422" t="s">
        <v>457</v>
      </c>
      <c r="O422" s="60">
        <v>9</v>
      </c>
    </row>
    <row r="423" spans="1:15" x14ac:dyDescent="0.25">
      <c r="A423" t="s">
        <v>485</v>
      </c>
      <c r="B423" s="112">
        <v>45840</v>
      </c>
      <c r="C423" s="111">
        <v>0.221</v>
      </c>
      <c r="D423">
        <v>12</v>
      </c>
      <c r="E423" s="111">
        <v>0.95399999999999996</v>
      </c>
      <c r="F423" s="111">
        <v>0.26900000000000002</v>
      </c>
      <c r="G423" s="111">
        <v>0.24199999999999999</v>
      </c>
      <c r="H423" s="111">
        <v>0.215</v>
      </c>
      <c r="I423" s="111">
        <v>9.0999999999999998E-2</v>
      </c>
      <c r="J423" s="111">
        <v>4.4999999999999998E-2</v>
      </c>
      <c r="K423" s="111">
        <v>0.05</v>
      </c>
      <c r="L423" s="111">
        <v>4.2999999999999997E-2</v>
      </c>
      <c r="M423" s="111">
        <v>0.81699999999999995</v>
      </c>
      <c r="N423" s="111">
        <v>0.13800000000000001</v>
      </c>
      <c r="O423" s="60">
        <v>9</v>
      </c>
    </row>
    <row r="424" spans="1:15" x14ac:dyDescent="0.25">
      <c r="A424" t="s">
        <v>484</v>
      </c>
      <c r="B424" s="112">
        <v>45780</v>
      </c>
      <c r="C424" s="111">
        <v>-0.02</v>
      </c>
      <c r="D424">
        <v>9.5</v>
      </c>
      <c r="E424" s="111">
        <v>0.53</v>
      </c>
      <c r="F424" s="111">
        <v>2.1000000000000001E-2</v>
      </c>
      <c r="G424" s="111">
        <v>0.04</v>
      </c>
      <c r="H424" s="111">
        <v>5.7000000000000002E-2</v>
      </c>
      <c r="I424" s="111">
        <v>0.03</v>
      </c>
      <c r="J424" s="111">
        <v>8.3000000000000004E-2</v>
      </c>
      <c r="K424" s="111">
        <v>0.13500000000000001</v>
      </c>
      <c r="L424" s="111">
        <v>0.16300000000000001</v>
      </c>
      <c r="M424" s="111">
        <v>0.14799999999999999</v>
      </c>
      <c r="N424" s="111">
        <v>0.38200000000000001</v>
      </c>
      <c r="O424" s="60">
        <v>9</v>
      </c>
    </row>
    <row r="425" spans="1:15" x14ac:dyDescent="0.25">
      <c r="A425" t="s">
        <v>486</v>
      </c>
      <c r="B425" s="112">
        <v>45721</v>
      </c>
      <c r="C425" s="111">
        <v>6.3E-2</v>
      </c>
      <c r="D425">
        <v>7.7</v>
      </c>
      <c r="E425" s="111">
        <v>0.17299999999999999</v>
      </c>
      <c r="F425" s="111">
        <v>2E-3</v>
      </c>
      <c r="G425" s="111">
        <v>5.0000000000000001E-3</v>
      </c>
      <c r="H425" s="111">
        <v>1.9E-2</v>
      </c>
      <c r="I425" s="111">
        <v>0.01</v>
      </c>
      <c r="J425" s="111">
        <v>1.9E-2</v>
      </c>
      <c r="K425" s="111">
        <v>0.04</v>
      </c>
      <c r="L425" s="111">
        <v>7.8E-2</v>
      </c>
      <c r="M425" s="111">
        <v>3.5000000000000003E-2</v>
      </c>
      <c r="N425" s="111">
        <v>0.13700000000000001</v>
      </c>
      <c r="O425" s="60">
        <v>9</v>
      </c>
    </row>
    <row r="426" spans="1:15" x14ac:dyDescent="0.25">
      <c r="A426" t="s">
        <v>487</v>
      </c>
      <c r="B426" s="112">
        <v>45665</v>
      </c>
      <c r="C426" s="111">
        <v>-0.317</v>
      </c>
      <c r="D426">
        <v>3</v>
      </c>
      <c r="E426" s="111">
        <v>0</v>
      </c>
      <c r="F426" s="111">
        <v>0</v>
      </c>
      <c r="G426" s="111">
        <v>0</v>
      </c>
      <c r="H426" s="111">
        <v>0</v>
      </c>
      <c r="I426" s="111">
        <v>0</v>
      </c>
      <c r="J426" s="111">
        <v>0</v>
      </c>
      <c r="K426" s="111">
        <v>0</v>
      </c>
      <c r="L426" s="111">
        <v>0</v>
      </c>
      <c r="M426" s="111">
        <v>0</v>
      </c>
      <c r="N426" s="111">
        <v>0</v>
      </c>
      <c r="O426" s="60">
        <v>9</v>
      </c>
    </row>
    <row r="427" spans="1:15" x14ac:dyDescent="0.25">
      <c r="A427" t="s">
        <v>367</v>
      </c>
      <c r="O427" s="60">
        <v>9</v>
      </c>
    </row>
    <row r="428" spans="1:15" x14ac:dyDescent="0.25">
      <c r="A428" t="s">
        <v>444</v>
      </c>
      <c r="B428" t="s">
        <v>445</v>
      </c>
      <c r="C428" t="s">
        <v>446</v>
      </c>
      <c r="D428" t="s">
        <v>447</v>
      </c>
      <c r="E428" t="s">
        <v>448</v>
      </c>
      <c r="F428" t="s">
        <v>449</v>
      </c>
      <c r="G428" t="s">
        <v>450</v>
      </c>
      <c r="H428" t="s">
        <v>451</v>
      </c>
      <c r="I428" t="s">
        <v>452</v>
      </c>
      <c r="J428" t="s">
        <v>453</v>
      </c>
      <c r="K428" t="s">
        <v>454</v>
      </c>
      <c r="L428" t="s">
        <v>455</v>
      </c>
      <c r="M428" t="s">
        <v>456</v>
      </c>
      <c r="N428" t="s">
        <v>457</v>
      </c>
      <c r="O428" s="60">
        <v>9</v>
      </c>
    </row>
    <row r="429" spans="1:15" x14ac:dyDescent="0.25">
      <c r="A429" t="s">
        <v>491</v>
      </c>
      <c r="B429" s="112">
        <v>45840</v>
      </c>
      <c r="C429" s="111">
        <v>0.105</v>
      </c>
      <c r="D429">
        <v>11.7</v>
      </c>
      <c r="E429" s="111">
        <v>0.90500000000000003</v>
      </c>
      <c r="F429" s="111">
        <v>0.13100000000000001</v>
      </c>
      <c r="G429" s="111">
        <v>0.183</v>
      </c>
      <c r="H429" s="111">
        <v>0.16600000000000001</v>
      </c>
      <c r="I429" s="111">
        <v>4.2000000000000003E-2</v>
      </c>
      <c r="J429" s="111">
        <v>0.13400000000000001</v>
      </c>
      <c r="K429" s="111">
        <v>0.14899999999999999</v>
      </c>
      <c r="L429" s="111">
        <v>9.9000000000000005E-2</v>
      </c>
      <c r="M429" s="111">
        <v>0.52200000000000002</v>
      </c>
      <c r="N429" s="111">
        <v>0.38200000000000001</v>
      </c>
      <c r="O429" s="60">
        <v>9</v>
      </c>
    </row>
    <row r="430" spans="1:15" x14ac:dyDescent="0.25">
      <c r="A430" t="s">
        <v>488</v>
      </c>
      <c r="B430" s="112">
        <v>45781</v>
      </c>
      <c r="C430" s="111">
        <v>0.248</v>
      </c>
      <c r="D430">
        <v>10.7</v>
      </c>
      <c r="E430" s="111">
        <v>0.79300000000000004</v>
      </c>
      <c r="F430" s="111">
        <v>4.5999999999999999E-2</v>
      </c>
      <c r="G430" s="111">
        <v>0.129</v>
      </c>
      <c r="H430" s="111">
        <v>0.13700000000000001</v>
      </c>
      <c r="I430" s="111">
        <v>4.4999999999999998E-2</v>
      </c>
      <c r="J430" s="111">
        <v>0.114</v>
      </c>
      <c r="K430" s="111">
        <v>0.16700000000000001</v>
      </c>
      <c r="L430" s="111">
        <v>0.154</v>
      </c>
      <c r="M430" s="111">
        <v>0.35799999999999998</v>
      </c>
      <c r="N430" s="111">
        <v>0.435</v>
      </c>
      <c r="O430" s="60">
        <v>9</v>
      </c>
    </row>
    <row r="431" spans="1:15" x14ac:dyDescent="0.25">
      <c r="A431" t="s">
        <v>489</v>
      </c>
      <c r="B431" s="112">
        <v>45811</v>
      </c>
      <c r="C431" s="111">
        <v>-1.7000000000000001E-2</v>
      </c>
      <c r="D431">
        <v>9.5</v>
      </c>
      <c r="E431" s="111">
        <v>0.54500000000000004</v>
      </c>
      <c r="F431" s="111">
        <v>1.4999999999999999E-2</v>
      </c>
      <c r="G431" s="111">
        <v>0.03</v>
      </c>
      <c r="H431" s="111">
        <v>5.6000000000000001E-2</v>
      </c>
      <c r="I431" s="111">
        <v>1.7999999999999999E-2</v>
      </c>
      <c r="J431" s="111">
        <v>0.104</v>
      </c>
      <c r="K431" s="111">
        <v>0.14899999999999999</v>
      </c>
      <c r="L431" s="111">
        <v>0.17299999999999999</v>
      </c>
      <c r="M431" s="111">
        <v>0.11899999999999999</v>
      </c>
      <c r="N431" s="111">
        <v>0.42599999999999999</v>
      </c>
      <c r="O431" s="60">
        <v>9</v>
      </c>
    </row>
    <row r="432" spans="1:15" x14ac:dyDescent="0.25">
      <c r="A432" t="s">
        <v>490</v>
      </c>
      <c r="B432" s="112">
        <v>45694</v>
      </c>
      <c r="C432" s="111">
        <v>-0.114</v>
      </c>
      <c r="D432">
        <v>5.5</v>
      </c>
      <c r="E432" s="111">
        <v>8.9999999999999993E-3</v>
      </c>
      <c r="F432" s="111">
        <v>0</v>
      </c>
      <c r="G432" s="111">
        <v>0</v>
      </c>
      <c r="H432" s="111">
        <v>0</v>
      </c>
      <c r="I432" s="111">
        <v>1E-3</v>
      </c>
      <c r="J432" s="111">
        <v>0</v>
      </c>
      <c r="K432" s="111">
        <v>2E-3</v>
      </c>
      <c r="L432" s="111">
        <v>6.0000000000000001E-3</v>
      </c>
      <c r="M432" s="111">
        <v>1E-3</v>
      </c>
      <c r="N432" s="111">
        <v>8.0000000000000002E-3</v>
      </c>
      <c r="O432" s="60">
        <v>9</v>
      </c>
    </row>
    <row r="433" spans="1:15" x14ac:dyDescent="0.25">
      <c r="A433" t="s">
        <v>363</v>
      </c>
      <c r="O433" s="60">
        <v>10</v>
      </c>
    </row>
    <row r="434" spans="1:15" x14ac:dyDescent="0.25">
      <c r="A434" t="s">
        <v>444</v>
      </c>
      <c r="B434" t="s">
        <v>445</v>
      </c>
      <c r="C434" t="s">
        <v>446</v>
      </c>
      <c r="D434" t="s">
        <v>447</v>
      </c>
      <c r="E434" t="s">
        <v>448</v>
      </c>
      <c r="F434" t="s">
        <v>449</v>
      </c>
      <c r="G434" t="s">
        <v>450</v>
      </c>
      <c r="H434" t="s">
        <v>451</v>
      </c>
      <c r="I434" t="s">
        <v>452</v>
      </c>
      <c r="J434" t="s">
        <v>453</v>
      </c>
      <c r="K434" t="s">
        <v>454</v>
      </c>
      <c r="L434" t="s">
        <v>455</v>
      </c>
      <c r="M434" t="s">
        <v>456</v>
      </c>
      <c r="N434" t="s">
        <v>457</v>
      </c>
      <c r="O434" s="60">
        <v>10</v>
      </c>
    </row>
    <row r="435" spans="1:15" x14ac:dyDescent="0.25">
      <c r="A435" t="s">
        <v>459</v>
      </c>
      <c r="B435" s="112">
        <v>45840</v>
      </c>
      <c r="C435" s="111">
        <v>0.14899999999999999</v>
      </c>
      <c r="D435">
        <v>12</v>
      </c>
      <c r="E435" s="111">
        <v>0.98499999999999999</v>
      </c>
      <c r="F435" s="111">
        <v>0.252</v>
      </c>
      <c r="G435" s="111">
        <v>0.26400000000000001</v>
      </c>
      <c r="H435" s="111">
        <v>0.309</v>
      </c>
      <c r="I435" s="111">
        <v>0.155</v>
      </c>
      <c r="J435" s="111">
        <v>0</v>
      </c>
      <c r="K435" s="111">
        <v>1E-3</v>
      </c>
      <c r="L435" s="111">
        <v>3.0000000000000001E-3</v>
      </c>
      <c r="M435" s="111">
        <v>0.98099999999999998</v>
      </c>
      <c r="N435" s="111">
        <v>4.0000000000000001E-3</v>
      </c>
      <c r="O435" s="60">
        <v>10</v>
      </c>
    </row>
    <row r="436" spans="1:15" x14ac:dyDescent="0.25">
      <c r="A436" t="s">
        <v>460</v>
      </c>
      <c r="B436" s="122">
        <v>36955</v>
      </c>
      <c r="C436" s="111">
        <v>-4.3999999999999997E-2</v>
      </c>
      <c r="D436">
        <v>7</v>
      </c>
      <c r="E436" s="111">
        <v>5.1999999999999998E-2</v>
      </c>
      <c r="F436" s="111">
        <v>0</v>
      </c>
      <c r="G436" s="111">
        <v>0</v>
      </c>
      <c r="H436" s="111">
        <v>3.0000000000000001E-3</v>
      </c>
      <c r="I436" s="111">
        <v>8.9999999999999993E-3</v>
      </c>
      <c r="J436" s="111">
        <v>2E-3</v>
      </c>
      <c r="K436" s="111">
        <v>8.9999999999999993E-3</v>
      </c>
      <c r="L436" s="111">
        <v>0.03</v>
      </c>
      <c r="M436" s="111">
        <v>1.0999999999999999E-2</v>
      </c>
      <c r="N436" s="111">
        <v>4.1000000000000002E-2</v>
      </c>
      <c r="O436" s="60">
        <v>10</v>
      </c>
    </row>
    <row r="437" spans="1:15" x14ac:dyDescent="0.25">
      <c r="A437" t="s">
        <v>458</v>
      </c>
      <c r="B437" s="112">
        <v>45723</v>
      </c>
      <c r="C437" s="111">
        <v>-8.2000000000000003E-2</v>
      </c>
      <c r="D437">
        <v>5.9</v>
      </c>
      <c r="E437" s="111">
        <v>0.01</v>
      </c>
      <c r="F437" s="111">
        <v>0</v>
      </c>
      <c r="G437" s="111">
        <v>0</v>
      </c>
      <c r="H437" s="111">
        <v>1E-3</v>
      </c>
      <c r="I437" s="111">
        <v>7.0000000000000001E-3</v>
      </c>
      <c r="J437" s="111">
        <v>0</v>
      </c>
      <c r="K437" s="111">
        <v>0</v>
      </c>
      <c r="L437" s="111">
        <v>3.0000000000000001E-3</v>
      </c>
      <c r="M437" s="111">
        <v>7.0000000000000001E-3</v>
      </c>
      <c r="N437" s="111">
        <v>3.0000000000000001E-3</v>
      </c>
      <c r="O437" s="60">
        <v>10</v>
      </c>
    </row>
    <row r="438" spans="1:15" x14ac:dyDescent="0.25">
      <c r="A438" t="s">
        <v>462</v>
      </c>
      <c r="B438" s="112">
        <v>45696</v>
      </c>
      <c r="C438" s="111">
        <v>-9.2999999999999999E-2</v>
      </c>
      <c r="D438">
        <v>5</v>
      </c>
      <c r="E438" s="111">
        <v>1E-3</v>
      </c>
      <c r="F438" s="111">
        <v>0</v>
      </c>
      <c r="G438" s="111">
        <v>0</v>
      </c>
      <c r="H438" s="111">
        <v>0</v>
      </c>
      <c r="I438" s="111">
        <v>0</v>
      </c>
      <c r="J438" s="111">
        <v>0</v>
      </c>
      <c r="K438" s="111">
        <v>0</v>
      </c>
      <c r="L438" s="111">
        <v>1E-3</v>
      </c>
      <c r="M438" s="111">
        <v>0</v>
      </c>
      <c r="N438" s="111">
        <v>1E-3</v>
      </c>
      <c r="O438" s="60">
        <v>10</v>
      </c>
    </row>
    <row r="439" spans="1:15" x14ac:dyDescent="0.25">
      <c r="A439" t="s">
        <v>357</v>
      </c>
      <c r="O439" s="60">
        <v>10</v>
      </c>
    </row>
    <row r="440" spans="1:15" x14ac:dyDescent="0.25">
      <c r="A440" t="s">
        <v>444</v>
      </c>
      <c r="B440" t="s">
        <v>445</v>
      </c>
      <c r="C440" t="s">
        <v>446</v>
      </c>
      <c r="D440" t="s">
        <v>447</v>
      </c>
      <c r="E440" t="s">
        <v>448</v>
      </c>
      <c r="F440" t="s">
        <v>449</v>
      </c>
      <c r="G440" t="s">
        <v>450</v>
      </c>
      <c r="H440" t="s">
        <v>451</v>
      </c>
      <c r="I440" t="s">
        <v>452</v>
      </c>
      <c r="J440" t="s">
        <v>453</v>
      </c>
      <c r="K440" t="s">
        <v>454</v>
      </c>
      <c r="L440" t="s">
        <v>455</v>
      </c>
      <c r="M440" t="s">
        <v>456</v>
      </c>
      <c r="N440" t="s">
        <v>457</v>
      </c>
      <c r="O440" s="60">
        <v>10</v>
      </c>
    </row>
    <row r="441" spans="1:15" x14ac:dyDescent="0.25">
      <c r="A441" t="s">
        <v>464</v>
      </c>
      <c r="B441" s="112">
        <v>45811</v>
      </c>
      <c r="C441" s="111">
        <v>0.27100000000000002</v>
      </c>
      <c r="D441">
        <v>11.6</v>
      </c>
      <c r="E441" s="111">
        <v>0.93500000000000005</v>
      </c>
      <c r="F441" s="111">
        <v>0.14299999999999999</v>
      </c>
      <c r="G441" s="111">
        <v>0.25600000000000001</v>
      </c>
      <c r="H441" s="111">
        <v>0.22800000000000001</v>
      </c>
      <c r="I441" s="111">
        <v>6.6000000000000003E-2</v>
      </c>
      <c r="J441" s="111">
        <v>4.4999999999999998E-2</v>
      </c>
      <c r="K441" s="111">
        <v>9.9000000000000005E-2</v>
      </c>
      <c r="L441" s="111">
        <v>9.7000000000000003E-2</v>
      </c>
      <c r="M441" s="111">
        <v>0.69399999999999995</v>
      </c>
      <c r="N441" s="111">
        <v>0.24099999999999999</v>
      </c>
      <c r="O441" s="60">
        <v>10</v>
      </c>
    </row>
    <row r="442" spans="1:15" x14ac:dyDescent="0.25">
      <c r="A442" t="s">
        <v>463</v>
      </c>
      <c r="B442" s="122">
        <v>37014</v>
      </c>
      <c r="C442" s="111">
        <v>0.124</v>
      </c>
      <c r="D442">
        <v>10.1</v>
      </c>
      <c r="E442" s="111">
        <v>0.72299999999999998</v>
      </c>
      <c r="F442" s="111">
        <v>1.4E-2</v>
      </c>
      <c r="G442" s="111">
        <v>0.06</v>
      </c>
      <c r="H442" s="111">
        <v>9.2999999999999999E-2</v>
      </c>
      <c r="I442" s="111">
        <v>4.8000000000000001E-2</v>
      </c>
      <c r="J442" s="111">
        <v>7.6999999999999999E-2</v>
      </c>
      <c r="K442" s="111">
        <v>0.20899999999999999</v>
      </c>
      <c r="L442" s="111">
        <v>0.222</v>
      </c>
      <c r="M442" s="111">
        <v>0.214</v>
      </c>
      <c r="N442" s="111">
        <v>0.50800000000000001</v>
      </c>
      <c r="O442" s="60">
        <v>10</v>
      </c>
    </row>
    <row r="443" spans="1:15" x14ac:dyDescent="0.25">
      <c r="A443" t="s">
        <v>467</v>
      </c>
      <c r="B443" s="112">
        <v>45811</v>
      </c>
      <c r="C443" s="111">
        <v>-6.6000000000000003E-2</v>
      </c>
      <c r="D443">
        <v>9.1999999999999993</v>
      </c>
      <c r="E443" s="111">
        <v>0.41899999999999998</v>
      </c>
      <c r="F443" s="111">
        <v>7.0000000000000001E-3</v>
      </c>
      <c r="G443" s="111">
        <v>2.3E-2</v>
      </c>
      <c r="H443" s="111">
        <v>2.8000000000000001E-2</v>
      </c>
      <c r="I443" s="111">
        <v>2.4E-2</v>
      </c>
      <c r="J443" s="111">
        <v>4.7E-2</v>
      </c>
      <c r="K443" s="111">
        <v>0.11799999999999999</v>
      </c>
      <c r="L443" s="111">
        <v>0.17199999999999999</v>
      </c>
      <c r="M443" s="111">
        <v>8.1000000000000003E-2</v>
      </c>
      <c r="N443" s="111">
        <v>0.33800000000000002</v>
      </c>
      <c r="O443" s="60">
        <v>10</v>
      </c>
    </row>
    <row r="444" spans="1:15" x14ac:dyDescent="0.25">
      <c r="A444" t="s">
        <v>465</v>
      </c>
      <c r="B444" s="112">
        <v>45752</v>
      </c>
      <c r="C444" s="111">
        <v>-9.6000000000000002E-2</v>
      </c>
      <c r="D444">
        <v>6.9</v>
      </c>
      <c r="E444" s="111">
        <v>6.5000000000000002E-2</v>
      </c>
      <c r="F444" s="111">
        <v>0</v>
      </c>
      <c r="G444" s="111">
        <v>1E-3</v>
      </c>
      <c r="H444" s="111">
        <v>4.0000000000000001E-3</v>
      </c>
      <c r="I444" s="111">
        <v>6.0000000000000001E-3</v>
      </c>
      <c r="J444" s="111">
        <v>3.0000000000000001E-3</v>
      </c>
      <c r="K444" s="111">
        <v>1.2999999999999999E-2</v>
      </c>
      <c r="L444" s="111">
        <v>3.7999999999999999E-2</v>
      </c>
      <c r="M444" s="111">
        <v>1.0999999999999999E-2</v>
      </c>
      <c r="N444" s="111">
        <v>5.3999999999999999E-2</v>
      </c>
      <c r="O444" s="60">
        <v>10</v>
      </c>
    </row>
    <row r="445" spans="1:15" x14ac:dyDescent="0.25">
      <c r="A445" t="s">
        <v>383</v>
      </c>
      <c r="O445" s="60">
        <v>10</v>
      </c>
    </row>
    <row r="446" spans="1:15" x14ac:dyDescent="0.25">
      <c r="A446" t="s">
        <v>444</v>
      </c>
      <c r="B446" t="s">
        <v>445</v>
      </c>
      <c r="C446" t="s">
        <v>446</v>
      </c>
      <c r="D446" t="s">
        <v>447</v>
      </c>
      <c r="E446" t="s">
        <v>448</v>
      </c>
      <c r="F446" t="s">
        <v>449</v>
      </c>
      <c r="G446" t="s">
        <v>450</v>
      </c>
      <c r="H446" t="s">
        <v>451</v>
      </c>
      <c r="I446" t="s">
        <v>452</v>
      </c>
      <c r="J446" t="s">
        <v>453</v>
      </c>
      <c r="K446" t="s">
        <v>454</v>
      </c>
      <c r="L446" t="s">
        <v>455</v>
      </c>
      <c r="M446" t="s">
        <v>456</v>
      </c>
      <c r="N446" t="s">
        <v>457</v>
      </c>
      <c r="O446" s="60">
        <v>10</v>
      </c>
    </row>
    <row r="447" spans="1:15" x14ac:dyDescent="0.25">
      <c r="A447" t="s">
        <v>468</v>
      </c>
      <c r="B447" s="112">
        <v>45811</v>
      </c>
      <c r="C447" s="111">
        <v>0.06</v>
      </c>
      <c r="D447">
        <v>10.8</v>
      </c>
      <c r="E447" s="111">
        <v>0.94599999999999995</v>
      </c>
      <c r="F447" s="111">
        <v>3.5999999999999997E-2</v>
      </c>
      <c r="G447" s="111">
        <v>8.4000000000000005E-2</v>
      </c>
      <c r="H447" s="111">
        <v>0.217</v>
      </c>
      <c r="I447" s="111">
        <v>0.59899999999999998</v>
      </c>
      <c r="J447" s="111">
        <v>0</v>
      </c>
      <c r="K447" s="111">
        <v>2E-3</v>
      </c>
      <c r="L447" s="111">
        <v>8.0000000000000002E-3</v>
      </c>
      <c r="M447" s="111">
        <v>0.93600000000000005</v>
      </c>
      <c r="N447" s="111">
        <v>0.01</v>
      </c>
      <c r="O447" s="60">
        <v>10</v>
      </c>
    </row>
    <row r="448" spans="1:15" x14ac:dyDescent="0.25">
      <c r="A448" t="s">
        <v>469</v>
      </c>
      <c r="B448" s="112">
        <v>45722</v>
      </c>
      <c r="C448" s="111">
        <v>-1.6E-2</v>
      </c>
      <c r="D448">
        <v>7.2</v>
      </c>
      <c r="E448" s="111">
        <v>7.9000000000000001E-2</v>
      </c>
      <c r="F448" s="111">
        <v>0</v>
      </c>
      <c r="G448" s="111">
        <v>0</v>
      </c>
      <c r="H448" s="111">
        <v>4.0000000000000001E-3</v>
      </c>
      <c r="I448" s="111">
        <v>2.4E-2</v>
      </c>
      <c r="J448" s="111">
        <v>2E-3</v>
      </c>
      <c r="K448" s="111">
        <v>1.0999999999999999E-2</v>
      </c>
      <c r="L448" s="111">
        <v>3.6999999999999998E-2</v>
      </c>
      <c r="M448" s="111">
        <v>2.9000000000000001E-2</v>
      </c>
      <c r="N448" s="111">
        <v>0.05</v>
      </c>
      <c r="O448" s="60">
        <v>10</v>
      </c>
    </row>
    <row r="449" spans="1:15" x14ac:dyDescent="0.25">
      <c r="A449" t="s">
        <v>471</v>
      </c>
      <c r="B449" s="112">
        <v>45782</v>
      </c>
      <c r="C449" s="111">
        <v>-0.24</v>
      </c>
      <c r="D449">
        <v>6.7</v>
      </c>
      <c r="E449" s="111">
        <v>5.1999999999999998E-2</v>
      </c>
      <c r="F449" s="111">
        <v>0</v>
      </c>
      <c r="G449" s="111">
        <v>0</v>
      </c>
      <c r="H449" s="111">
        <v>2E-3</v>
      </c>
      <c r="I449" s="111">
        <v>0.03</v>
      </c>
      <c r="J449" s="111">
        <v>1E-3</v>
      </c>
      <c r="K449" s="111">
        <v>4.0000000000000001E-3</v>
      </c>
      <c r="L449" s="111">
        <v>1.4999999999999999E-2</v>
      </c>
      <c r="M449" s="111">
        <v>3.2000000000000001E-2</v>
      </c>
      <c r="N449" s="111">
        <v>0.02</v>
      </c>
      <c r="O449" s="60">
        <v>10</v>
      </c>
    </row>
    <row r="450" spans="1:15" x14ac:dyDescent="0.25">
      <c r="A450" t="s">
        <v>470</v>
      </c>
      <c r="B450" s="112">
        <v>45696</v>
      </c>
      <c r="C450" s="111">
        <v>-0.24</v>
      </c>
      <c r="D450">
        <v>4.7</v>
      </c>
      <c r="E450" s="111">
        <v>3.0000000000000001E-3</v>
      </c>
      <c r="F450" s="111">
        <v>0</v>
      </c>
      <c r="G450" s="111">
        <v>0</v>
      </c>
      <c r="H450" s="111">
        <v>0</v>
      </c>
      <c r="I450" s="111">
        <v>3.0000000000000001E-3</v>
      </c>
      <c r="J450" s="111">
        <v>0</v>
      </c>
      <c r="K450" s="111">
        <v>0</v>
      </c>
      <c r="L450" s="111">
        <v>0</v>
      </c>
      <c r="M450" s="111">
        <v>3.0000000000000001E-3</v>
      </c>
      <c r="N450" s="111">
        <v>0</v>
      </c>
      <c r="O450" s="60">
        <v>10</v>
      </c>
    </row>
    <row r="451" spans="1:15" x14ac:dyDescent="0.25">
      <c r="A451" t="s">
        <v>355</v>
      </c>
      <c r="O451" s="60">
        <v>10</v>
      </c>
    </row>
    <row r="452" spans="1:15" x14ac:dyDescent="0.25">
      <c r="A452" t="s">
        <v>444</v>
      </c>
      <c r="B452" t="s">
        <v>445</v>
      </c>
      <c r="C452" t="s">
        <v>446</v>
      </c>
      <c r="D452" t="s">
        <v>447</v>
      </c>
      <c r="E452" t="s">
        <v>448</v>
      </c>
      <c r="F452" t="s">
        <v>449</v>
      </c>
      <c r="G452" t="s">
        <v>450</v>
      </c>
      <c r="H452" t="s">
        <v>451</v>
      </c>
      <c r="I452" t="s">
        <v>452</v>
      </c>
      <c r="J452" t="s">
        <v>453</v>
      </c>
      <c r="K452" t="s">
        <v>454</v>
      </c>
      <c r="L452" t="s">
        <v>455</v>
      </c>
      <c r="M452" t="s">
        <v>456</v>
      </c>
      <c r="N452" t="s">
        <v>457</v>
      </c>
      <c r="O452" s="60">
        <v>10</v>
      </c>
    </row>
    <row r="453" spans="1:15" x14ac:dyDescent="0.25">
      <c r="A453" t="s">
        <v>475</v>
      </c>
      <c r="B453" s="112">
        <v>45840</v>
      </c>
      <c r="C453" s="111">
        <v>0.28999999999999998</v>
      </c>
      <c r="D453">
        <v>12.6</v>
      </c>
      <c r="E453" s="111">
        <v>0.98399999999999999</v>
      </c>
      <c r="F453" s="111">
        <v>0.28399999999999997</v>
      </c>
      <c r="G453" s="111">
        <v>0.156</v>
      </c>
      <c r="H453" s="111">
        <v>5.2999999999999999E-2</v>
      </c>
      <c r="I453" s="111">
        <v>1.4999999999999999E-2</v>
      </c>
      <c r="J453" s="111">
        <v>0.32700000000000001</v>
      </c>
      <c r="K453" s="111">
        <v>0.108</v>
      </c>
      <c r="L453" s="111">
        <v>4.2000000000000003E-2</v>
      </c>
      <c r="M453" s="111">
        <v>0.50700000000000001</v>
      </c>
      <c r="N453" s="111">
        <v>0.47699999999999998</v>
      </c>
      <c r="O453" s="60">
        <v>10</v>
      </c>
    </row>
    <row r="454" spans="1:15" x14ac:dyDescent="0.25">
      <c r="A454" t="s">
        <v>473</v>
      </c>
      <c r="B454" s="112">
        <v>45840</v>
      </c>
      <c r="C454" s="111">
        <v>0.25800000000000001</v>
      </c>
      <c r="D454">
        <v>12.3</v>
      </c>
      <c r="E454" s="111">
        <v>0.96599999999999997</v>
      </c>
      <c r="F454" s="111">
        <v>0.253</v>
      </c>
      <c r="G454" s="111">
        <v>0.13900000000000001</v>
      </c>
      <c r="H454" s="111">
        <v>4.9000000000000002E-2</v>
      </c>
      <c r="I454" s="111">
        <v>1.0999999999999999E-2</v>
      </c>
      <c r="J454" s="111">
        <v>0.317</v>
      </c>
      <c r="K454" s="111">
        <v>0.13700000000000001</v>
      </c>
      <c r="L454" s="111">
        <v>5.8999999999999997E-2</v>
      </c>
      <c r="M454" s="111">
        <v>0.45200000000000001</v>
      </c>
      <c r="N454" s="111">
        <v>0.51300000000000001</v>
      </c>
      <c r="O454" s="60">
        <v>10</v>
      </c>
    </row>
    <row r="455" spans="1:15" x14ac:dyDescent="0.25">
      <c r="A455" t="s">
        <v>472</v>
      </c>
      <c r="B455" s="112">
        <v>45812</v>
      </c>
      <c r="C455" s="111">
        <v>0.02</v>
      </c>
      <c r="D455">
        <v>10</v>
      </c>
      <c r="E455" s="111">
        <v>0.75700000000000001</v>
      </c>
      <c r="F455" s="111">
        <v>1.0999999999999999E-2</v>
      </c>
      <c r="G455" s="111">
        <v>1.4999999999999999E-2</v>
      </c>
      <c r="H455" s="111">
        <v>0.01</v>
      </c>
      <c r="I455" s="111">
        <v>4.0000000000000001E-3</v>
      </c>
      <c r="J455" s="111">
        <v>0.17599999999999999</v>
      </c>
      <c r="K455" s="111">
        <v>0.28399999999999997</v>
      </c>
      <c r="L455" s="111">
        <v>0.25700000000000001</v>
      </c>
      <c r="M455" s="111">
        <v>0.04</v>
      </c>
      <c r="N455" s="111">
        <v>0.71699999999999997</v>
      </c>
      <c r="O455" s="60">
        <v>10</v>
      </c>
    </row>
    <row r="456" spans="1:15" x14ac:dyDescent="0.25">
      <c r="A456" t="s">
        <v>474</v>
      </c>
      <c r="B456" s="112">
        <v>45722</v>
      </c>
      <c r="C456" s="111">
        <v>-2.8000000000000001E-2</v>
      </c>
      <c r="D456">
        <v>6.2</v>
      </c>
      <c r="E456" s="111">
        <v>2.4E-2</v>
      </c>
      <c r="F456" s="111">
        <v>0</v>
      </c>
      <c r="G456" s="111">
        <v>0</v>
      </c>
      <c r="H456" s="111">
        <v>0</v>
      </c>
      <c r="I456" s="111">
        <v>0</v>
      </c>
      <c r="J456" s="111">
        <v>2E-3</v>
      </c>
      <c r="K456" s="111">
        <v>6.0000000000000001E-3</v>
      </c>
      <c r="L456" s="111">
        <v>1.6E-2</v>
      </c>
      <c r="M456" s="111">
        <v>0</v>
      </c>
      <c r="N456" s="111">
        <v>2.4E-2</v>
      </c>
      <c r="O456" s="60">
        <v>10</v>
      </c>
    </row>
    <row r="457" spans="1:15" x14ac:dyDescent="0.25">
      <c r="A457" t="s">
        <v>359</v>
      </c>
      <c r="O457" s="60">
        <v>10</v>
      </c>
    </row>
    <row r="458" spans="1:15" x14ac:dyDescent="0.25">
      <c r="A458" t="s">
        <v>444</v>
      </c>
      <c r="B458" t="s">
        <v>445</v>
      </c>
      <c r="C458" t="s">
        <v>446</v>
      </c>
      <c r="D458" t="s">
        <v>447</v>
      </c>
      <c r="E458" t="s">
        <v>448</v>
      </c>
      <c r="F458" t="s">
        <v>449</v>
      </c>
      <c r="G458" t="s">
        <v>450</v>
      </c>
      <c r="H458" t="s">
        <v>451</v>
      </c>
      <c r="I458" t="s">
        <v>452</v>
      </c>
      <c r="J458" t="s">
        <v>453</v>
      </c>
      <c r="K458" t="s">
        <v>454</v>
      </c>
      <c r="L458" t="s">
        <v>455</v>
      </c>
      <c r="M458" t="s">
        <v>456</v>
      </c>
      <c r="N458" t="s">
        <v>457</v>
      </c>
      <c r="O458" s="60">
        <v>10</v>
      </c>
    </row>
    <row r="459" spans="1:15" x14ac:dyDescent="0.25">
      <c r="A459" t="s">
        <v>477</v>
      </c>
      <c r="B459" s="112">
        <v>45871</v>
      </c>
      <c r="C459" s="111">
        <v>2.1000000000000001E-2</v>
      </c>
      <c r="D459">
        <v>12</v>
      </c>
      <c r="E459" s="111">
        <v>0.94099999999999995</v>
      </c>
      <c r="F459" s="111">
        <v>0.17699999999999999</v>
      </c>
      <c r="G459" s="111">
        <v>0.218</v>
      </c>
      <c r="H459" s="111">
        <v>0.22900000000000001</v>
      </c>
      <c r="I459" s="111">
        <v>6.4000000000000001E-2</v>
      </c>
      <c r="J459" s="111">
        <v>8.6999999999999994E-2</v>
      </c>
      <c r="K459" s="111">
        <v>9.5000000000000001E-2</v>
      </c>
      <c r="L459" s="111">
        <v>7.0999999999999994E-2</v>
      </c>
      <c r="M459" s="111">
        <v>0.68799999999999994</v>
      </c>
      <c r="N459" s="111">
        <v>0.253</v>
      </c>
      <c r="O459" s="60">
        <v>10</v>
      </c>
    </row>
    <row r="460" spans="1:15" x14ac:dyDescent="0.25">
      <c r="A460" t="s">
        <v>476</v>
      </c>
      <c r="B460" s="112">
        <v>45811</v>
      </c>
      <c r="C460" s="111">
        <v>0.14099999999999999</v>
      </c>
      <c r="D460">
        <v>11</v>
      </c>
      <c r="E460" s="111">
        <v>0.85199999999999998</v>
      </c>
      <c r="F460" s="111">
        <v>9.9000000000000005E-2</v>
      </c>
      <c r="G460" s="111">
        <v>0.10299999999999999</v>
      </c>
      <c r="H460" s="111">
        <v>0.09</v>
      </c>
      <c r="I460" s="111">
        <v>0.02</v>
      </c>
      <c r="J460" s="111">
        <v>0.25900000000000001</v>
      </c>
      <c r="K460" s="111">
        <v>0.17199999999999999</v>
      </c>
      <c r="L460" s="111">
        <v>0.11</v>
      </c>
      <c r="M460" s="111">
        <v>0.312</v>
      </c>
      <c r="N460" s="111">
        <v>0.54</v>
      </c>
      <c r="O460" s="60">
        <v>10</v>
      </c>
    </row>
    <row r="461" spans="1:15" x14ac:dyDescent="0.25">
      <c r="A461" t="s">
        <v>479</v>
      </c>
      <c r="B461" s="112">
        <v>45723</v>
      </c>
      <c r="C461" s="111">
        <v>-0.113</v>
      </c>
      <c r="D461">
        <v>6.2</v>
      </c>
      <c r="E461" s="111">
        <v>5.0000000000000001E-3</v>
      </c>
      <c r="F461" s="111">
        <v>0</v>
      </c>
      <c r="G461" s="111">
        <v>0</v>
      </c>
      <c r="H461" s="111">
        <v>0</v>
      </c>
      <c r="I461" s="111">
        <v>0</v>
      </c>
      <c r="J461" s="111">
        <v>0</v>
      </c>
      <c r="K461" s="111">
        <v>1E-3</v>
      </c>
      <c r="L461" s="111">
        <v>4.0000000000000001E-3</v>
      </c>
      <c r="M461" s="111">
        <v>0</v>
      </c>
      <c r="N461" s="111">
        <v>5.0000000000000001E-3</v>
      </c>
      <c r="O461" s="60">
        <v>10</v>
      </c>
    </row>
    <row r="462" spans="1:15" x14ac:dyDescent="0.25">
      <c r="A462" t="s">
        <v>478</v>
      </c>
      <c r="B462" s="112">
        <v>45695</v>
      </c>
      <c r="C462" s="111">
        <v>-0.19500000000000001</v>
      </c>
      <c r="D462">
        <v>4.5999999999999996</v>
      </c>
      <c r="E462" s="111">
        <v>1E-3</v>
      </c>
      <c r="F462" s="111">
        <v>0</v>
      </c>
      <c r="G462" s="111">
        <v>0</v>
      </c>
      <c r="H462" s="111">
        <v>0</v>
      </c>
      <c r="I462" s="111">
        <v>0</v>
      </c>
      <c r="J462" s="111">
        <v>0</v>
      </c>
      <c r="K462" s="111">
        <v>0</v>
      </c>
      <c r="L462" s="111">
        <v>1E-3</v>
      </c>
      <c r="M462" s="111">
        <v>0</v>
      </c>
      <c r="N462" s="111">
        <v>1E-3</v>
      </c>
      <c r="O462" s="60">
        <v>10</v>
      </c>
    </row>
    <row r="463" spans="1:15" x14ac:dyDescent="0.25">
      <c r="A463" t="s">
        <v>352</v>
      </c>
      <c r="O463" s="60">
        <v>10</v>
      </c>
    </row>
    <row r="464" spans="1:15" x14ac:dyDescent="0.25">
      <c r="A464" t="s">
        <v>444</v>
      </c>
      <c r="B464" t="s">
        <v>445</v>
      </c>
      <c r="C464" t="s">
        <v>446</v>
      </c>
      <c r="D464" t="s">
        <v>447</v>
      </c>
      <c r="E464" t="s">
        <v>448</v>
      </c>
      <c r="F464" t="s">
        <v>449</v>
      </c>
      <c r="G464" t="s">
        <v>450</v>
      </c>
      <c r="H464" t="s">
        <v>451</v>
      </c>
      <c r="I464" t="s">
        <v>452</v>
      </c>
      <c r="J464" t="s">
        <v>453</v>
      </c>
      <c r="K464" t="s">
        <v>454</v>
      </c>
      <c r="L464" t="s">
        <v>455</v>
      </c>
      <c r="M464" t="s">
        <v>456</v>
      </c>
      <c r="N464" t="s">
        <v>457</v>
      </c>
      <c r="O464" s="60">
        <v>10</v>
      </c>
    </row>
    <row r="465" spans="1:15" x14ac:dyDescent="0.25">
      <c r="A465" t="s">
        <v>480</v>
      </c>
      <c r="B465" s="112">
        <v>45752</v>
      </c>
      <c r="C465" s="111">
        <v>0.17</v>
      </c>
      <c r="D465">
        <v>9.3000000000000007</v>
      </c>
      <c r="E465" s="111">
        <v>0.60499999999999998</v>
      </c>
      <c r="F465" s="111">
        <v>4.0000000000000001E-3</v>
      </c>
      <c r="G465" s="111">
        <v>2.1999999999999999E-2</v>
      </c>
      <c r="H465" s="111">
        <v>7.0000000000000007E-2</v>
      </c>
      <c r="I465" s="111">
        <v>0.48099999999999998</v>
      </c>
      <c r="J465" s="111">
        <v>1E-3</v>
      </c>
      <c r="K465" s="111">
        <v>6.0000000000000001E-3</v>
      </c>
      <c r="L465" s="111">
        <v>2.1000000000000001E-2</v>
      </c>
      <c r="M465" s="111">
        <v>0.57699999999999996</v>
      </c>
      <c r="N465" s="111">
        <v>2.8000000000000001E-2</v>
      </c>
      <c r="O465" s="60">
        <v>10</v>
      </c>
    </row>
    <row r="466" spans="1:15" x14ac:dyDescent="0.25">
      <c r="A466" t="s">
        <v>482</v>
      </c>
      <c r="B466" s="112">
        <v>45781</v>
      </c>
      <c r="C466" s="111">
        <v>2.7E-2</v>
      </c>
      <c r="D466">
        <v>9</v>
      </c>
      <c r="E466" s="111">
        <v>0.44500000000000001</v>
      </c>
      <c r="F466" s="111">
        <v>8.0000000000000002E-3</v>
      </c>
      <c r="G466" s="111">
        <v>2.4E-2</v>
      </c>
      <c r="H466" s="111">
        <v>5.8999999999999997E-2</v>
      </c>
      <c r="I466" s="111">
        <v>0.24099999999999999</v>
      </c>
      <c r="J466" s="111">
        <v>0.01</v>
      </c>
      <c r="K466" s="111">
        <v>0.03</v>
      </c>
      <c r="L466" s="111">
        <v>7.2999999999999995E-2</v>
      </c>
      <c r="M466" s="111">
        <v>0.33200000000000002</v>
      </c>
      <c r="N466" s="111">
        <v>0.113</v>
      </c>
      <c r="O466" s="60">
        <v>10</v>
      </c>
    </row>
    <row r="467" spans="1:15" x14ac:dyDescent="0.25">
      <c r="A467" t="s">
        <v>481</v>
      </c>
      <c r="B467" s="112">
        <v>45722</v>
      </c>
      <c r="C467" s="111">
        <v>-3.1E-2</v>
      </c>
      <c r="D467">
        <v>7</v>
      </c>
      <c r="E467" s="111">
        <v>0.12</v>
      </c>
      <c r="F467" s="111">
        <v>0</v>
      </c>
      <c r="G467" s="111">
        <v>1E-3</v>
      </c>
      <c r="H467" s="111">
        <v>6.0000000000000001E-3</v>
      </c>
      <c r="I467" s="111">
        <v>8.3000000000000004E-2</v>
      </c>
      <c r="J467" s="111">
        <v>2E-3</v>
      </c>
      <c r="K467" s="111">
        <v>7.0000000000000001E-3</v>
      </c>
      <c r="L467" s="111">
        <v>2.1000000000000001E-2</v>
      </c>
      <c r="M467" s="111">
        <v>0.09</v>
      </c>
      <c r="N467" s="111">
        <v>0.03</v>
      </c>
      <c r="O467" s="60">
        <v>10</v>
      </c>
    </row>
    <row r="468" spans="1:15" x14ac:dyDescent="0.25">
      <c r="A468" t="s">
        <v>483</v>
      </c>
      <c r="B468" s="112">
        <v>45695</v>
      </c>
      <c r="C468" s="111">
        <v>-0.24199999999999999</v>
      </c>
      <c r="D468">
        <v>4.5999999999999996</v>
      </c>
      <c r="E468" s="111">
        <v>1E-3</v>
      </c>
      <c r="F468" s="111">
        <v>0</v>
      </c>
      <c r="G468" s="111">
        <v>0</v>
      </c>
      <c r="H468" s="111">
        <v>0</v>
      </c>
      <c r="I468" s="111">
        <v>1E-3</v>
      </c>
      <c r="J468" s="111">
        <v>0</v>
      </c>
      <c r="K468" s="111">
        <v>0</v>
      </c>
      <c r="L468" s="111">
        <v>1E-3</v>
      </c>
      <c r="M468" s="111">
        <v>1E-3</v>
      </c>
      <c r="N468" s="111">
        <v>1E-3</v>
      </c>
      <c r="O468" s="60">
        <v>10</v>
      </c>
    </row>
    <row r="469" spans="1:15" x14ac:dyDescent="0.25">
      <c r="A469" t="s">
        <v>368</v>
      </c>
      <c r="O469" s="60">
        <v>10</v>
      </c>
    </row>
    <row r="470" spans="1:15" x14ac:dyDescent="0.25">
      <c r="A470" t="s">
        <v>444</v>
      </c>
      <c r="B470" t="s">
        <v>445</v>
      </c>
      <c r="C470" t="s">
        <v>446</v>
      </c>
      <c r="D470" t="s">
        <v>447</v>
      </c>
      <c r="E470" t="s">
        <v>448</v>
      </c>
      <c r="F470" t="s">
        <v>449</v>
      </c>
      <c r="G470" t="s">
        <v>450</v>
      </c>
      <c r="H470" t="s">
        <v>451</v>
      </c>
      <c r="I470" t="s">
        <v>452</v>
      </c>
      <c r="J470" t="s">
        <v>453</v>
      </c>
      <c r="K470" t="s">
        <v>454</v>
      </c>
      <c r="L470" t="s">
        <v>455</v>
      </c>
      <c r="M470" t="s">
        <v>456</v>
      </c>
      <c r="N470" t="s">
        <v>457</v>
      </c>
      <c r="O470" s="60">
        <v>10</v>
      </c>
    </row>
    <row r="471" spans="1:15" x14ac:dyDescent="0.25">
      <c r="A471" t="s">
        <v>485</v>
      </c>
      <c r="B471" s="112">
        <v>45871</v>
      </c>
      <c r="C471" s="111">
        <v>0.23</v>
      </c>
      <c r="D471">
        <v>12.2</v>
      </c>
      <c r="E471" s="111">
        <v>0.96299999999999997</v>
      </c>
      <c r="F471" s="111">
        <v>0.39400000000000002</v>
      </c>
      <c r="G471" s="111">
        <v>0.23599999999999999</v>
      </c>
      <c r="H471" s="111">
        <v>0.193</v>
      </c>
      <c r="I471" s="111">
        <v>0.05</v>
      </c>
      <c r="J471" s="111">
        <v>0.03</v>
      </c>
      <c r="K471" s="111">
        <v>0.03</v>
      </c>
      <c r="L471" s="111">
        <v>0.03</v>
      </c>
      <c r="M471" s="111">
        <v>0.873</v>
      </c>
      <c r="N471" s="111">
        <v>0.09</v>
      </c>
      <c r="O471" s="60">
        <v>10</v>
      </c>
    </row>
    <row r="472" spans="1:15" x14ac:dyDescent="0.25">
      <c r="A472" t="s">
        <v>484</v>
      </c>
      <c r="B472" s="112">
        <v>45781</v>
      </c>
      <c r="C472" s="111">
        <v>-2.7E-2</v>
      </c>
      <c r="D472">
        <v>9.1</v>
      </c>
      <c r="E472" s="111">
        <v>0.39700000000000002</v>
      </c>
      <c r="F472" s="111">
        <v>1.2E-2</v>
      </c>
      <c r="G472" s="111">
        <v>2.1000000000000001E-2</v>
      </c>
      <c r="H472" s="111">
        <v>3.5999999999999997E-2</v>
      </c>
      <c r="I472" s="111">
        <v>1.2999999999999999E-2</v>
      </c>
      <c r="J472" s="111">
        <v>6.5000000000000002E-2</v>
      </c>
      <c r="K472" s="111">
        <v>0.105</v>
      </c>
      <c r="L472" s="111">
        <v>0.14299999999999999</v>
      </c>
      <c r="M472" s="111">
        <v>8.3000000000000004E-2</v>
      </c>
      <c r="N472" s="111">
        <v>0.313</v>
      </c>
      <c r="O472" s="60">
        <v>10</v>
      </c>
    </row>
    <row r="473" spans="1:15" x14ac:dyDescent="0.25">
      <c r="A473" t="s">
        <v>486</v>
      </c>
      <c r="B473" s="112">
        <v>45752</v>
      </c>
      <c r="C473" s="111">
        <v>7.6999999999999999E-2</v>
      </c>
      <c r="D473">
        <v>8.1999999999999993</v>
      </c>
      <c r="E473" s="111">
        <v>0.23200000000000001</v>
      </c>
      <c r="F473" s="111">
        <v>3.0000000000000001E-3</v>
      </c>
      <c r="G473" s="111">
        <v>8.0000000000000002E-3</v>
      </c>
      <c r="H473" s="111">
        <v>2.5000000000000001E-2</v>
      </c>
      <c r="I473" s="111">
        <v>8.0000000000000002E-3</v>
      </c>
      <c r="J473" s="111">
        <v>0.03</v>
      </c>
      <c r="K473" s="111">
        <v>0.06</v>
      </c>
      <c r="L473" s="111">
        <v>9.9000000000000005E-2</v>
      </c>
      <c r="M473" s="111">
        <v>4.3999999999999997E-2</v>
      </c>
      <c r="N473" s="111">
        <v>0.189</v>
      </c>
      <c r="O473" s="60">
        <v>10</v>
      </c>
    </row>
    <row r="474" spans="1:15" x14ac:dyDescent="0.25">
      <c r="A474" t="s">
        <v>487</v>
      </c>
      <c r="B474" s="112">
        <v>45665</v>
      </c>
      <c r="C474" s="111">
        <v>-0.32</v>
      </c>
      <c r="D474">
        <v>3</v>
      </c>
      <c r="E474" s="111">
        <v>0</v>
      </c>
      <c r="F474" s="111">
        <v>0</v>
      </c>
      <c r="G474" s="111">
        <v>0</v>
      </c>
      <c r="H474" s="111">
        <v>0</v>
      </c>
      <c r="I474" s="111">
        <v>0</v>
      </c>
      <c r="J474" s="111">
        <v>0</v>
      </c>
      <c r="K474" s="111">
        <v>0</v>
      </c>
      <c r="L474" s="111">
        <v>0</v>
      </c>
      <c r="M474" s="111">
        <v>0</v>
      </c>
      <c r="N474" s="111">
        <v>0</v>
      </c>
      <c r="O474" s="60">
        <v>10</v>
      </c>
    </row>
    <row r="475" spans="1:15" x14ac:dyDescent="0.25">
      <c r="A475" t="s">
        <v>367</v>
      </c>
      <c r="O475" s="60">
        <v>10</v>
      </c>
    </row>
    <row r="476" spans="1:15" x14ac:dyDescent="0.25">
      <c r="A476" t="s">
        <v>444</v>
      </c>
      <c r="B476" t="s">
        <v>445</v>
      </c>
      <c r="C476" t="s">
        <v>446</v>
      </c>
      <c r="D476" t="s">
        <v>447</v>
      </c>
      <c r="E476" t="s">
        <v>448</v>
      </c>
      <c r="F476" t="s">
        <v>449</v>
      </c>
      <c r="G476" t="s">
        <v>450</v>
      </c>
      <c r="H476" t="s">
        <v>451</v>
      </c>
      <c r="I476" t="s">
        <v>452</v>
      </c>
      <c r="J476" t="s">
        <v>453</v>
      </c>
      <c r="K476" t="s">
        <v>454</v>
      </c>
      <c r="L476" t="s">
        <v>455</v>
      </c>
      <c r="M476" t="s">
        <v>456</v>
      </c>
      <c r="N476" t="s">
        <v>457</v>
      </c>
      <c r="O476" s="60">
        <v>10</v>
      </c>
    </row>
    <row r="477" spans="1:15" x14ac:dyDescent="0.25">
      <c r="A477" t="s">
        <v>491</v>
      </c>
      <c r="B477" s="112">
        <v>45871</v>
      </c>
      <c r="C477" s="111">
        <v>9.1999999999999998E-2</v>
      </c>
      <c r="D477">
        <v>11.8</v>
      </c>
      <c r="E477" s="111">
        <v>0.92900000000000005</v>
      </c>
      <c r="F477" s="111">
        <v>0.186</v>
      </c>
      <c r="G477" s="111">
        <v>0.192</v>
      </c>
      <c r="H477" s="111">
        <v>0.126</v>
      </c>
      <c r="I477" s="111">
        <v>1.6E-2</v>
      </c>
      <c r="J477" s="111">
        <v>0.17899999999999999</v>
      </c>
      <c r="K477" s="111">
        <v>0.13600000000000001</v>
      </c>
      <c r="L477" s="111">
        <v>9.2999999999999999E-2</v>
      </c>
      <c r="M477" s="111">
        <v>0.52</v>
      </c>
      <c r="N477" s="111">
        <v>0.40899999999999997</v>
      </c>
      <c r="O477" s="60">
        <v>10</v>
      </c>
    </row>
    <row r="478" spans="1:15" x14ac:dyDescent="0.25">
      <c r="A478" t="s">
        <v>488</v>
      </c>
      <c r="B478" s="112">
        <v>45781</v>
      </c>
      <c r="C478" s="111">
        <v>0.24299999999999999</v>
      </c>
      <c r="D478">
        <v>10.6</v>
      </c>
      <c r="E478" s="111">
        <v>0.77300000000000002</v>
      </c>
      <c r="F478" s="111">
        <v>7.8E-2</v>
      </c>
      <c r="G478" s="111">
        <v>0.112</v>
      </c>
      <c r="H478" s="111">
        <v>9.6000000000000002E-2</v>
      </c>
      <c r="I478" s="111">
        <v>1.4999999999999999E-2</v>
      </c>
      <c r="J478" s="111">
        <v>0.13800000000000001</v>
      </c>
      <c r="K478" s="111">
        <v>0.17199999999999999</v>
      </c>
      <c r="L478" s="111">
        <v>0.161</v>
      </c>
      <c r="M478" s="111">
        <v>0.30199999999999999</v>
      </c>
      <c r="N478" s="111">
        <v>0.47</v>
      </c>
      <c r="O478" s="60">
        <v>10</v>
      </c>
    </row>
    <row r="479" spans="1:15" x14ac:dyDescent="0.25">
      <c r="A479" t="s">
        <v>489</v>
      </c>
      <c r="B479" s="112">
        <v>45841</v>
      </c>
      <c r="C479" s="111">
        <v>1.7000000000000001E-2</v>
      </c>
      <c r="D479">
        <v>10.199999999999999</v>
      </c>
      <c r="E479" s="111">
        <v>0.73399999999999999</v>
      </c>
      <c r="F479" s="111">
        <v>3.9E-2</v>
      </c>
      <c r="G479" s="111">
        <v>6.3E-2</v>
      </c>
      <c r="H479" s="111">
        <v>6.9000000000000006E-2</v>
      </c>
      <c r="I479" s="111">
        <v>7.0000000000000001E-3</v>
      </c>
      <c r="J479" s="111">
        <v>0.2</v>
      </c>
      <c r="K479" s="111">
        <v>0.186</v>
      </c>
      <c r="L479" s="111">
        <v>0.17</v>
      </c>
      <c r="M479" s="111">
        <v>0.17799999999999999</v>
      </c>
      <c r="N479" s="111">
        <v>0.55600000000000005</v>
      </c>
      <c r="O479" s="60">
        <v>10</v>
      </c>
    </row>
    <row r="480" spans="1:15" x14ac:dyDescent="0.25">
      <c r="A480" t="s">
        <v>490</v>
      </c>
      <c r="B480" s="112">
        <v>45695</v>
      </c>
      <c r="C480" s="111">
        <v>-0.13400000000000001</v>
      </c>
      <c r="D480">
        <v>5.0999999999999996</v>
      </c>
      <c r="E480" s="111">
        <v>2E-3</v>
      </c>
      <c r="F480" s="111">
        <v>0</v>
      </c>
      <c r="G480" s="111">
        <v>0</v>
      </c>
      <c r="H480" s="111">
        <v>0</v>
      </c>
      <c r="I480" s="111">
        <v>0</v>
      </c>
      <c r="J480" s="111">
        <v>0</v>
      </c>
      <c r="K480" s="111">
        <v>0</v>
      </c>
      <c r="L480" s="111">
        <v>2E-3</v>
      </c>
      <c r="M480" s="111">
        <v>0</v>
      </c>
      <c r="N480" s="111">
        <v>2E-3</v>
      </c>
      <c r="O480" s="60">
        <v>10</v>
      </c>
    </row>
    <row r="481" spans="1:15" x14ac:dyDescent="0.25">
      <c r="A481" t="s">
        <v>363</v>
      </c>
      <c r="O481" s="60">
        <v>11</v>
      </c>
    </row>
    <row r="482" spans="1:15" x14ac:dyDescent="0.25">
      <c r="A482" t="s">
        <v>444</v>
      </c>
      <c r="B482" t="s">
        <v>445</v>
      </c>
      <c r="C482" t="s">
        <v>446</v>
      </c>
      <c r="D482" t="s">
        <v>447</v>
      </c>
      <c r="E482" t="s">
        <v>448</v>
      </c>
      <c r="F482" t="s">
        <v>449</v>
      </c>
      <c r="G482" t="s">
        <v>450</v>
      </c>
      <c r="H482" t="s">
        <v>451</v>
      </c>
      <c r="I482" t="s">
        <v>452</v>
      </c>
      <c r="J482" t="s">
        <v>453</v>
      </c>
      <c r="K482" t="s">
        <v>454</v>
      </c>
      <c r="L482" t="s">
        <v>455</v>
      </c>
      <c r="M482" t="s">
        <v>456</v>
      </c>
      <c r="N482" t="s">
        <v>457</v>
      </c>
      <c r="O482" s="60">
        <v>11</v>
      </c>
    </row>
    <row r="483" spans="1:15" x14ac:dyDescent="0.25">
      <c r="A483" t="s">
        <v>459</v>
      </c>
      <c r="B483" s="112">
        <v>45871</v>
      </c>
      <c r="C483" s="111">
        <v>0.159</v>
      </c>
      <c r="D483">
        <v>12.7</v>
      </c>
      <c r="E483" s="111">
        <v>0.996</v>
      </c>
      <c r="F483" s="111">
        <v>0.42899999999999999</v>
      </c>
      <c r="G483" s="111">
        <v>0.35199999999999998</v>
      </c>
      <c r="H483" s="111">
        <v>0.16700000000000001</v>
      </c>
      <c r="I483" s="111">
        <v>4.3999999999999997E-2</v>
      </c>
      <c r="J483" s="111">
        <v>0</v>
      </c>
      <c r="K483" s="111">
        <v>1E-3</v>
      </c>
      <c r="L483" s="111">
        <v>2E-3</v>
      </c>
      <c r="M483" s="111">
        <v>0.99199999999999999</v>
      </c>
      <c r="N483" s="111">
        <v>4.0000000000000001E-3</v>
      </c>
      <c r="O483" s="60">
        <v>11</v>
      </c>
    </row>
    <row r="484" spans="1:15" x14ac:dyDescent="0.25">
      <c r="A484" t="s">
        <v>460</v>
      </c>
      <c r="B484" s="122">
        <v>36986</v>
      </c>
      <c r="C484" s="111">
        <v>-0.01</v>
      </c>
      <c r="D484">
        <v>7.8</v>
      </c>
      <c r="E484" s="111">
        <v>6.9000000000000006E-2</v>
      </c>
      <c r="F484" s="111">
        <v>0</v>
      </c>
      <c r="G484" s="111">
        <v>1E-3</v>
      </c>
      <c r="H484" s="111">
        <v>3.0000000000000001E-3</v>
      </c>
      <c r="I484" s="111">
        <v>4.0000000000000001E-3</v>
      </c>
      <c r="J484" s="111">
        <v>2E-3</v>
      </c>
      <c r="K484" s="111">
        <v>1.4999999999999999E-2</v>
      </c>
      <c r="L484" s="111">
        <v>4.4999999999999998E-2</v>
      </c>
      <c r="M484" s="111">
        <v>8.0000000000000002E-3</v>
      </c>
      <c r="N484" s="111">
        <v>6.2E-2</v>
      </c>
      <c r="O484" s="60">
        <v>11</v>
      </c>
    </row>
    <row r="485" spans="1:15" x14ac:dyDescent="0.25">
      <c r="A485" t="s">
        <v>458</v>
      </c>
      <c r="B485" s="112">
        <v>45724</v>
      </c>
      <c r="C485" s="111">
        <v>-0.125</v>
      </c>
      <c r="D485">
        <v>5.2</v>
      </c>
      <c r="E485" s="111">
        <v>0</v>
      </c>
      <c r="F485" s="111">
        <v>0</v>
      </c>
      <c r="G485" s="111">
        <v>0</v>
      </c>
      <c r="H485" s="111">
        <v>0</v>
      </c>
      <c r="I485" s="111">
        <v>0</v>
      </c>
      <c r="J485" s="111">
        <v>0</v>
      </c>
      <c r="K485" s="111">
        <v>0</v>
      </c>
      <c r="L485" s="111">
        <v>0</v>
      </c>
      <c r="M485" s="111">
        <v>0</v>
      </c>
      <c r="N485" s="111">
        <v>0</v>
      </c>
      <c r="O485" s="60">
        <v>11</v>
      </c>
    </row>
    <row r="486" spans="1:15" x14ac:dyDescent="0.25">
      <c r="A486" t="s">
        <v>462</v>
      </c>
      <c r="B486" s="112">
        <v>45697</v>
      </c>
      <c r="C486" s="111">
        <v>-9.5000000000000001E-2</v>
      </c>
      <c r="D486">
        <v>4.7</v>
      </c>
      <c r="E486" s="111">
        <v>0</v>
      </c>
      <c r="F486" s="111">
        <v>0</v>
      </c>
      <c r="G486" s="111">
        <v>0</v>
      </c>
      <c r="H486" s="111">
        <v>0</v>
      </c>
      <c r="I486" s="111">
        <v>0</v>
      </c>
      <c r="J486" s="111">
        <v>0</v>
      </c>
      <c r="K486" s="111">
        <v>0</v>
      </c>
      <c r="L486" s="111">
        <v>0</v>
      </c>
      <c r="M486" s="111">
        <v>0</v>
      </c>
      <c r="N486" s="111">
        <v>0</v>
      </c>
      <c r="O486" s="60">
        <v>11</v>
      </c>
    </row>
    <row r="487" spans="1:15" x14ac:dyDescent="0.25">
      <c r="A487" t="s">
        <v>357</v>
      </c>
      <c r="O487" s="60">
        <v>11</v>
      </c>
    </row>
    <row r="488" spans="1:15" x14ac:dyDescent="0.25">
      <c r="A488" t="s">
        <v>444</v>
      </c>
      <c r="B488" t="s">
        <v>445</v>
      </c>
      <c r="C488" t="s">
        <v>446</v>
      </c>
      <c r="D488" t="s">
        <v>447</v>
      </c>
      <c r="E488" t="s">
        <v>448</v>
      </c>
      <c r="F488" t="s">
        <v>449</v>
      </c>
      <c r="G488" t="s">
        <v>450</v>
      </c>
      <c r="H488" t="s">
        <v>451</v>
      </c>
      <c r="I488" t="s">
        <v>452</v>
      </c>
      <c r="J488" t="s">
        <v>453</v>
      </c>
      <c r="K488" t="s">
        <v>454</v>
      </c>
      <c r="L488" t="s">
        <v>455</v>
      </c>
      <c r="M488" t="s">
        <v>456</v>
      </c>
      <c r="N488" t="s">
        <v>457</v>
      </c>
      <c r="O488" s="60">
        <v>11</v>
      </c>
    </row>
    <row r="489" spans="1:15" x14ac:dyDescent="0.25">
      <c r="A489" t="s">
        <v>464</v>
      </c>
      <c r="B489" s="112">
        <v>45812</v>
      </c>
      <c r="C489" s="111">
        <v>0.25</v>
      </c>
      <c r="D489">
        <v>10.9</v>
      </c>
      <c r="E489" s="111">
        <v>0.84199999999999997</v>
      </c>
      <c r="F489" s="111">
        <v>2.7E-2</v>
      </c>
      <c r="G489" s="111">
        <v>9.6000000000000002E-2</v>
      </c>
      <c r="H489" s="111">
        <v>0.31</v>
      </c>
      <c r="I489" s="111">
        <v>5.6000000000000001E-2</v>
      </c>
      <c r="J489" s="111">
        <v>3.5000000000000003E-2</v>
      </c>
      <c r="K489" s="111">
        <v>0.115</v>
      </c>
      <c r="L489" s="111">
        <v>0.20300000000000001</v>
      </c>
      <c r="M489" s="111">
        <v>0.49</v>
      </c>
      <c r="N489" s="111">
        <v>0.35199999999999998</v>
      </c>
      <c r="O489" s="60">
        <v>11</v>
      </c>
    </row>
    <row r="490" spans="1:15" x14ac:dyDescent="0.25">
      <c r="A490" t="s">
        <v>463</v>
      </c>
      <c r="B490" s="122">
        <v>37045</v>
      </c>
      <c r="C490" s="111">
        <v>0.14299999999999999</v>
      </c>
      <c r="D490">
        <v>10.7</v>
      </c>
      <c r="E490" s="111">
        <v>0.77800000000000002</v>
      </c>
      <c r="F490" s="111">
        <v>1.7999999999999999E-2</v>
      </c>
      <c r="G490" s="111">
        <v>9.1999999999999998E-2</v>
      </c>
      <c r="H490" s="111">
        <v>0.21199999999999999</v>
      </c>
      <c r="I490" s="111">
        <v>6.0999999999999999E-2</v>
      </c>
      <c r="J490" s="111">
        <v>3.4000000000000002E-2</v>
      </c>
      <c r="K490" s="111">
        <v>0.14099999999999999</v>
      </c>
      <c r="L490" s="111">
        <v>0.219</v>
      </c>
      <c r="M490" s="111">
        <v>0.38300000000000001</v>
      </c>
      <c r="N490" s="111">
        <v>0.39500000000000002</v>
      </c>
      <c r="O490" s="60">
        <v>11</v>
      </c>
    </row>
    <row r="491" spans="1:15" x14ac:dyDescent="0.25">
      <c r="A491" t="s">
        <v>467</v>
      </c>
      <c r="B491" s="112">
        <v>45841</v>
      </c>
      <c r="C491" s="111">
        <v>-8.2000000000000003E-2</v>
      </c>
      <c r="D491">
        <v>9.6</v>
      </c>
      <c r="E491" s="111">
        <v>0.44400000000000001</v>
      </c>
      <c r="F491" s="111">
        <v>8.9999999999999993E-3</v>
      </c>
      <c r="G491" s="111">
        <v>0.03</v>
      </c>
      <c r="H491" s="111">
        <v>5.1999999999999998E-2</v>
      </c>
      <c r="I491" s="111">
        <v>3.5000000000000003E-2</v>
      </c>
      <c r="J491" s="111">
        <v>2.8000000000000001E-2</v>
      </c>
      <c r="K491" s="111">
        <v>0.10199999999999999</v>
      </c>
      <c r="L491" s="111">
        <v>0.189</v>
      </c>
      <c r="M491" s="111">
        <v>0.125</v>
      </c>
      <c r="N491" s="111">
        <v>0.31900000000000001</v>
      </c>
      <c r="O491" s="60">
        <v>11</v>
      </c>
    </row>
    <row r="492" spans="1:15" x14ac:dyDescent="0.25">
      <c r="A492" t="s">
        <v>465</v>
      </c>
      <c r="B492" s="112">
        <v>45753</v>
      </c>
      <c r="C492" s="111">
        <v>-0.108</v>
      </c>
      <c r="D492">
        <v>6.3</v>
      </c>
      <c r="E492" s="111">
        <v>1.2999999999999999E-2</v>
      </c>
      <c r="F492" s="111">
        <v>0</v>
      </c>
      <c r="G492" s="111">
        <v>0</v>
      </c>
      <c r="H492" s="111">
        <v>1E-3</v>
      </c>
      <c r="I492" s="111">
        <v>1E-3</v>
      </c>
      <c r="J492" s="111">
        <v>0</v>
      </c>
      <c r="K492" s="111">
        <v>2E-3</v>
      </c>
      <c r="L492" s="111">
        <v>8.9999999999999993E-3</v>
      </c>
      <c r="M492" s="111">
        <v>2E-3</v>
      </c>
      <c r="N492" s="111">
        <v>1.0999999999999999E-2</v>
      </c>
      <c r="O492" s="60">
        <v>11</v>
      </c>
    </row>
    <row r="493" spans="1:15" x14ac:dyDescent="0.25">
      <c r="A493" t="s">
        <v>383</v>
      </c>
      <c r="O493" s="60">
        <v>11</v>
      </c>
    </row>
    <row r="494" spans="1:15" x14ac:dyDescent="0.25">
      <c r="A494" t="s">
        <v>444</v>
      </c>
      <c r="B494" t="s">
        <v>445</v>
      </c>
      <c r="C494" t="s">
        <v>446</v>
      </c>
      <c r="D494" t="s">
        <v>447</v>
      </c>
      <c r="E494" t="s">
        <v>448</v>
      </c>
      <c r="F494" t="s">
        <v>449</v>
      </c>
      <c r="G494" t="s">
        <v>450</v>
      </c>
      <c r="H494" t="s">
        <v>451</v>
      </c>
      <c r="I494" t="s">
        <v>452</v>
      </c>
      <c r="J494" t="s">
        <v>453</v>
      </c>
      <c r="K494" t="s">
        <v>454</v>
      </c>
      <c r="L494" t="s">
        <v>455</v>
      </c>
      <c r="M494" t="s">
        <v>456</v>
      </c>
      <c r="N494" t="s">
        <v>457</v>
      </c>
      <c r="O494" s="60">
        <v>11</v>
      </c>
    </row>
    <row r="495" spans="1:15" x14ac:dyDescent="0.25">
      <c r="A495" t="s">
        <v>468</v>
      </c>
      <c r="B495" s="112">
        <v>45812</v>
      </c>
      <c r="C495" s="111">
        <v>4.9000000000000002E-2</v>
      </c>
      <c r="D495">
        <v>10.4</v>
      </c>
      <c r="E495" s="111">
        <v>0.91900000000000004</v>
      </c>
      <c r="F495" s="111">
        <v>1.2999999999999999E-2</v>
      </c>
      <c r="G495" s="111">
        <v>4.5999999999999999E-2</v>
      </c>
      <c r="H495" s="111">
        <v>0.155</v>
      </c>
      <c r="I495" s="111">
        <v>0.69699999999999995</v>
      </c>
      <c r="J495" s="111">
        <v>0</v>
      </c>
      <c r="K495" s="111">
        <v>2E-3</v>
      </c>
      <c r="L495" s="111">
        <v>6.0000000000000001E-3</v>
      </c>
      <c r="M495" s="111">
        <v>0.91</v>
      </c>
      <c r="N495" s="111">
        <v>8.0000000000000002E-3</v>
      </c>
      <c r="O495" s="60">
        <v>11</v>
      </c>
    </row>
    <row r="496" spans="1:15" x14ac:dyDescent="0.25">
      <c r="A496" t="s">
        <v>471</v>
      </c>
      <c r="B496" s="112">
        <v>45813</v>
      </c>
      <c r="C496" s="111">
        <v>-0.19900000000000001</v>
      </c>
      <c r="D496">
        <v>7.6</v>
      </c>
      <c r="E496" s="111">
        <v>0.114</v>
      </c>
      <c r="F496" s="111">
        <v>0</v>
      </c>
      <c r="G496" s="111">
        <v>1E-3</v>
      </c>
      <c r="H496" s="111">
        <v>5.0000000000000001E-3</v>
      </c>
      <c r="I496" s="111">
        <v>7.8E-2</v>
      </c>
      <c r="J496" s="111">
        <v>1E-3</v>
      </c>
      <c r="K496" s="111">
        <v>6.0000000000000001E-3</v>
      </c>
      <c r="L496" s="111">
        <v>2.3E-2</v>
      </c>
      <c r="M496" s="111">
        <v>8.4000000000000005E-2</v>
      </c>
      <c r="N496" s="111">
        <v>0.03</v>
      </c>
      <c r="O496" s="60">
        <v>11</v>
      </c>
    </row>
    <row r="497" spans="1:15" x14ac:dyDescent="0.25">
      <c r="A497" t="s">
        <v>470</v>
      </c>
      <c r="B497" s="112">
        <v>45696</v>
      </c>
      <c r="C497" s="111">
        <v>-0.23200000000000001</v>
      </c>
      <c r="D497">
        <v>5</v>
      </c>
      <c r="E497" s="111">
        <v>4.0000000000000001E-3</v>
      </c>
      <c r="F497" s="111">
        <v>0</v>
      </c>
      <c r="G497" s="111">
        <v>0</v>
      </c>
      <c r="H497" s="111">
        <v>0</v>
      </c>
      <c r="I497" s="111">
        <v>4.0000000000000001E-3</v>
      </c>
      <c r="J497" s="111">
        <v>0</v>
      </c>
      <c r="K497" s="111">
        <v>0</v>
      </c>
      <c r="L497" s="111">
        <v>0</v>
      </c>
      <c r="M497" s="111">
        <v>4.0000000000000001E-3</v>
      </c>
      <c r="N497" s="111">
        <v>0</v>
      </c>
      <c r="O497" s="60">
        <v>11</v>
      </c>
    </row>
    <row r="498" spans="1:15" x14ac:dyDescent="0.25">
      <c r="A498" t="s">
        <v>469</v>
      </c>
      <c r="B498" s="112">
        <v>45723</v>
      </c>
      <c r="C498" s="111">
        <v>-0.16500000000000001</v>
      </c>
      <c r="D498">
        <v>5.6</v>
      </c>
      <c r="E498" s="111">
        <v>3.0000000000000001E-3</v>
      </c>
      <c r="F498" s="111">
        <v>0</v>
      </c>
      <c r="G498" s="111">
        <v>0</v>
      </c>
      <c r="H498" s="111">
        <v>0</v>
      </c>
      <c r="I498" s="111">
        <v>1E-3</v>
      </c>
      <c r="J498" s="111">
        <v>0</v>
      </c>
      <c r="K498" s="111">
        <v>0</v>
      </c>
      <c r="L498" s="111">
        <v>1E-3</v>
      </c>
      <c r="M498" s="111">
        <v>1E-3</v>
      </c>
      <c r="N498" s="111">
        <v>2E-3</v>
      </c>
      <c r="O498" s="60">
        <v>11</v>
      </c>
    </row>
    <row r="499" spans="1:15" x14ac:dyDescent="0.25">
      <c r="A499" t="s">
        <v>355</v>
      </c>
      <c r="O499" s="60">
        <v>11</v>
      </c>
    </row>
    <row r="500" spans="1:15" x14ac:dyDescent="0.25">
      <c r="A500" t="s">
        <v>444</v>
      </c>
      <c r="B500" t="s">
        <v>445</v>
      </c>
      <c r="C500" t="s">
        <v>446</v>
      </c>
      <c r="D500" t="s">
        <v>447</v>
      </c>
      <c r="E500" t="s">
        <v>448</v>
      </c>
      <c r="F500" t="s">
        <v>449</v>
      </c>
      <c r="G500" t="s">
        <v>450</v>
      </c>
      <c r="H500" t="s">
        <v>451</v>
      </c>
      <c r="I500" t="s">
        <v>452</v>
      </c>
      <c r="J500" t="s">
        <v>453</v>
      </c>
      <c r="K500" t="s">
        <v>454</v>
      </c>
      <c r="L500" t="s">
        <v>455</v>
      </c>
      <c r="M500" t="s">
        <v>456</v>
      </c>
      <c r="N500" t="s">
        <v>457</v>
      </c>
      <c r="O500" s="60">
        <v>11</v>
      </c>
    </row>
    <row r="501" spans="1:15" x14ac:dyDescent="0.25">
      <c r="A501" t="s">
        <v>473</v>
      </c>
      <c r="B501" s="112">
        <v>45871</v>
      </c>
      <c r="C501" s="111">
        <v>0.28399999999999997</v>
      </c>
      <c r="D501">
        <v>13</v>
      </c>
      <c r="E501" s="111">
        <v>0.98699999999999999</v>
      </c>
      <c r="F501" s="111">
        <v>0.35899999999999999</v>
      </c>
      <c r="G501" s="111">
        <v>0.23599999999999999</v>
      </c>
      <c r="H501" s="111">
        <v>5.1999999999999998E-2</v>
      </c>
      <c r="I501" s="111">
        <v>8.0000000000000002E-3</v>
      </c>
      <c r="J501" s="111">
        <v>0.22</v>
      </c>
      <c r="K501" s="111">
        <v>0.08</v>
      </c>
      <c r="L501" s="111">
        <v>3.4000000000000002E-2</v>
      </c>
      <c r="M501" s="111">
        <v>0.65400000000000003</v>
      </c>
      <c r="N501" s="111">
        <v>0.33400000000000002</v>
      </c>
      <c r="O501" s="60">
        <v>11</v>
      </c>
    </row>
    <row r="502" spans="1:15" x14ac:dyDescent="0.25">
      <c r="A502" t="s">
        <v>475</v>
      </c>
      <c r="B502" s="112">
        <v>45841</v>
      </c>
      <c r="C502" s="111">
        <v>0.29399999999999998</v>
      </c>
      <c r="D502">
        <v>12.3</v>
      </c>
      <c r="E502" s="111">
        <v>0.97399999999999998</v>
      </c>
      <c r="F502" s="111">
        <v>0.127</v>
      </c>
      <c r="G502" s="111">
        <v>0.11600000000000001</v>
      </c>
      <c r="H502" s="111">
        <v>0.03</v>
      </c>
      <c r="I502" s="111">
        <v>6.0000000000000001E-3</v>
      </c>
      <c r="J502" s="111">
        <v>0.434</v>
      </c>
      <c r="K502" s="111">
        <v>0.187</v>
      </c>
      <c r="L502" s="111">
        <v>7.2999999999999995E-2</v>
      </c>
      <c r="M502" s="111">
        <v>0.27900000000000003</v>
      </c>
      <c r="N502" s="111">
        <v>0.69399999999999995</v>
      </c>
      <c r="O502" s="60">
        <v>11</v>
      </c>
    </row>
    <row r="503" spans="1:15" x14ac:dyDescent="0.25">
      <c r="A503" t="s">
        <v>472</v>
      </c>
      <c r="B503" s="112">
        <v>45842</v>
      </c>
      <c r="C503" s="111">
        <v>6.6000000000000003E-2</v>
      </c>
      <c r="D503">
        <v>10.7</v>
      </c>
      <c r="E503" s="111">
        <v>0.85499999999999998</v>
      </c>
      <c r="F503" s="111">
        <v>1.9E-2</v>
      </c>
      <c r="G503" s="111">
        <v>3.1E-2</v>
      </c>
      <c r="H503" s="111">
        <v>1.2999999999999999E-2</v>
      </c>
      <c r="I503" s="111">
        <v>5.0000000000000001E-3</v>
      </c>
      <c r="J503" s="111">
        <v>0.245</v>
      </c>
      <c r="K503" s="111">
        <v>0.34799999999999998</v>
      </c>
      <c r="L503" s="111">
        <v>0.19500000000000001</v>
      </c>
      <c r="M503" s="111">
        <v>6.7000000000000004E-2</v>
      </c>
      <c r="N503" s="111">
        <v>0.78800000000000003</v>
      </c>
      <c r="O503" s="60">
        <v>11</v>
      </c>
    </row>
    <row r="504" spans="1:15" x14ac:dyDescent="0.25">
      <c r="A504" t="s">
        <v>474</v>
      </c>
      <c r="B504" s="112">
        <v>45723</v>
      </c>
      <c r="C504" s="111">
        <v>-5.7000000000000002E-2</v>
      </c>
      <c r="D504">
        <v>5.6</v>
      </c>
      <c r="E504" s="111">
        <v>1E-3</v>
      </c>
      <c r="F504" s="111">
        <v>0</v>
      </c>
      <c r="G504" s="111">
        <v>0</v>
      </c>
      <c r="H504" s="111">
        <v>0</v>
      </c>
      <c r="I504" s="111">
        <v>0</v>
      </c>
      <c r="J504" s="111">
        <v>0</v>
      </c>
      <c r="K504" s="111">
        <v>0</v>
      </c>
      <c r="L504" s="111">
        <v>1E-3</v>
      </c>
      <c r="M504" s="111">
        <v>0</v>
      </c>
      <c r="N504" s="111">
        <v>1E-3</v>
      </c>
      <c r="O504" s="60">
        <v>11</v>
      </c>
    </row>
    <row r="505" spans="1:15" x14ac:dyDescent="0.25">
      <c r="A505" t="s">
        <v>359</v>
      </c>
      <c r="O505" s="60">
        <v>11</v>
      </c>
    </row>
    <row r="506" spans="1:15" x14ac:dyDescent="0.25">
      <c r="A506" t="s">
        <v>444</v>
      </c>
      <c r="B506" t="s">
        <v>445</v>
      </c>
      <c r="C506" t="s">
        <v>446</v>
      </c>
      <c r="D506" t="s">
        <v>447</v>
      </c>
      <c r="E506" t="s">
        <v>448</v>
      </c>
      <c r="F506" t="s">
        <v>449</v>
      </c>
      <c r="G506" t="s">
        <v>450</v>
      </c>
      <c r="H506" t="s">
        <v>451</v>
      </c>
      <c r="I506" t="s">
        <v>452</v>
      </c>
      <c r="J506" t="s">
        <v>453</v>
      </c>
      <c r="K506" t="s">
        <v>454</v>
      </c>
      <c r="L506" t="s">
        <v>455</v>
      </c>
      <c r="M506" t="s">
        <v>456</v>
      </c>
      <c r="N506" t="s">
        <v>457</v>
      </c>
      <c r="O506" s="60">
        <v>11</v>
      </c>
    </row>
    <row r="507" spans="1:15" x14ac:dyDescent="0.25">
      <c r="A507" t="s">
        <v>477</v>
      </c>
      <c r="B507" s="112">
        <v>45902</v>
      </c>
      <c r="C507" s="111">
        <v>8.9999999999999993E-3</v>
      </c>
      <c r="D507">
        <v>12.2</v>
      </c>
      <c r="E507" s="111">
        <v>0.96</v>
      </c>
      <c r="F507" s="111">
        <v>0.18</v>
      </c>
      <c r="G507" s="111">
        <v>0.23100000000000001</v>
      </c>
      <c r="H507" s="111">
        <v>0.19900000000000001</v>
      </c>
      <c r="I507" s="111">
        <v>4.9000000000000002E-2</v>
      </c>
      <c r="J507" s="111">
        <v>0.14599999999999999</v>
      </c>
      <c r="K507" s="111">
        <v>9.9000000000000005E-2</v>
      </c>
      <c r="L507" s="111">
        <v>5.5E-2</v>
      </c>
      <c r="M507" s="111">
        <v>0.65900000000000003</v>
      </c>
      <c r="N507" s="111">
        <v>0.30099999999999999</v>
      </c>
      <c r="O507" s="60">
        <v>11</v>
      </c>
    </row>
    <row r="508" spans="1:15" x14ac:dyDescent="0.25">
      <c r="A508" t="s">
        <v>476</v>
      </c>
      <c r="B508" s="112">
        <v>45841</v>
      </c>
      <c r="C508" s="111">
        <v>0.16200000000000001</v>
      </c>
      <c r="D508">
        <v>11.6</v>
      </c>
      <c r="E508" s="111">
        <v>0.91700000000000004</v>
      </c>
      <c r="F508" s="111">
        <v>0.125</v>
      </c>
      <c r="G508" s="111">
        <v>0.11799999999999999</v>
      </c>
      <c r="H508" s="111">
        <v>8.4000000000000005E-2</v>
      </c>
      <c r="I508" s="111">
        <v>1.4E-2</v>
      </c>
      <c r="J508" s="111">
        <v>0.36599999999999999</v>
      </c>
      <c r="K508" s="111">
        <v>0.13400000000000001</v>
      </c>
      <c r="L508" s="111">
        <v>7.5999999999999998E-2</v>
      </c>
      <c r="M508" s="111">
        <v>0.34100000000000003</v>
      </c>
      <c r="N508" s="111">
        <v>0.57599999999999996</v>
      </c>
      <c r="O508" s="60">
        <v>11</v>
      </c>
    </row>
    <row r="509" spans="1:15" x14ac:dyDescent="0.25">
      <c r="A509" t="s">
        <v>479</v>
      </c>
      <c r="B509" s="112">
        <v>45754</v>
      </c>
      <c r="C509" s="111">
        <v>-0.10199999999999999</v>
      </c>
      <c r="D509">
        <v>6.8</v>
      </c>
      <c r="E509" s="111">
        <v>8.0000000000000002E-3</v>
      </c>
      <c r="F509" s="111">
        <v>0</v>
      </c>
      <c r="G509" s="111">
        <v>0</v>
      </c>
      <c r="H509" s="111">
        <v>0</v>
      </c>
      <c r="I509" s="111">
        <v>0</v>
      </c>
      <c r="J509" s="111">
        <v>0</v>
      </c>
      <c r="K509" s="111">
        <v>1E-3</v>
      </c>
      <c r="L509" s="111">
        <v>7.0000000000000001E-3</v>
      </c>
      <c r="M509" s="111">
        <v>0</v>
      </c>
      <c r="N509" s="111">
        <v>8.0000000000000002E-3</v>
      </c>
      <c r="O509" s="60">
        <v>11</v>
      </c>
    </row>
    <row r="510" spans="1:15" x14ac:dyDescent="0.25">
      <c r="A510" t="s">
        <v>478</v>
      </c>
      <c r="B510" s="112">
        <v>45696</v>
      </c>
      <c r="C510" s="111">
        <v>-0.20499999999999999</v>
      </c>
      <c r="D510">
        <v>4.4000000000000004</v>
      </c>
      <c r="E510" s="111">
        <v>0</v>
      </c>
      <c r="F510" s="111">
        <v>0</v>
      </c>
      <c r="G510" s="111">
        <v>0</v>
      </c>
      <c r="H510" s="111">
        <v>0</v>
      </c>
      <c r="I510" s="111">
        <v>0</v>
      </c>
      <c r="J510" s="111">
        <v>0</v>
      </c>
      <c r="K510" s="111">
        <v>0</v>
      </c>
      <c r="L510" s="111">
        <v>0</v>
      </c>
      <c r="M510" s="111">
        <v>0</v>
      </c>
      <c r="N510" s="111">
        <v>0</v>
      </c>
      <c r="O510" s="60">
        <v>11</v>
      </c>
    </row>
    <row r="511" spans="1:15" x14ac:dyDescent="0.25">
      <c r="A511" t="s">
        <v>352</v>
      </c>
      <c r="O511" s="60">
        <v>11</v>
      </c>
    </row>
    <row r="512" spans="1:15" x14ac:dyDescent="0.25">
      <c r="A512" t="s">
        <v>444</v>
      </c>
      <c r="B512" t="s">
        <v>445</v>
      </c>
      <c r="C512" t="s">
        <v>446</v>
      </c>
      <c r="D512" t="s">
        <v>447</v>
      </c>
      <c r="E512" t="s">
        <v>448</v>
      </c>
      <c r="F512" t="s">
        <v>449</v>
      </c>
      <c r="G512" t="s">
        <v>450</v>
      </c>
      <c r="H512" t="s">
        <v>451</v>
      </c>
      <c r="I512" t="s">
        <v>452</v>
      </c>
      <c r="J512" t="s">
        <v>453</v>
      </c>
      <c r="K512" t="s">
        <v>454</v>
      </c>
      <c r="L512" t="s">
        <v>455</v>
      </c>
      <c r="M512" t="s">
        <v>456</v>
      </c>
      <c r="N512" t="s">
        <v>457</v>
      </c>
      <c r="O512" s="60">
        <v>11</v>
      </c>
    </row>
    <row r="513" spans="1:15" x14ac:dyDescent="0.25">
      <c r="A513" t="s">
        <v>480</v>
      </c>
      <c r="B513" s="112">
        <v>45782</v>
      </c>
      <c r="C513" s="111">
        <v>0.16500000000000001</v>
      </c>
      <c r="D513">
        <v>9.6</v>
      </c>
      <c r="E513" s="111">
        <v>0.67200000000000004</v>
      </c>
      <c r="F513" s="111">
        <v>4.0000000000000001E-3</v>
      </c>
      <c r="G513" s="111">
        <v>2.1000000000000001E-2</v>
      </c>
      <c r="H513" s="111">
        <v>7.8E-2</v>
      </c>
      <c r="I513" s="111">
        <v>0.53900000000000003</v>
      </c>
      <c r="J513" s="111">
        <v>1E-3</v>
      </c>
      <c r="K513" s="111">
        <v>7.0000000000000001E-3</v>
      </c>
      <c r="L513" s="111">
        <v>2.1999999999999999E-2</v>
      </c>
      <c r="M513" s="111">
        <v>0.64200000000000002</v>
      </c>
      <c r="N513" s="111">
        <v>0.03</v>
      </c>
      <c r="O513" s="60">
        <v>11</v>
      </c>
    </row>
    <row r="514" spans="1:15" x14ac:dyDescent="0.25">
      <c r="A514" t="s">
        <v>482</v>
      </c>
      <c r="B514" s="112">
        <v>45812</v>
      </c>
      <c r="C514" s="111">
        <v>2.5999999999999999E-2</v>
      </c>
      <c r="D514">
        <v>9.1999999999999993</v>
      </c>
      <c r="E514" s="111">
        <v>0.47099999999999997</v>
      </c>
      <c r="F514" s="111">
        <v>7.0000000000000001E-3</v>
      </c>
      <c r="G514" s="111">
        <v>2.1999999999999999E-2</v>
      </c>
      <c r="H514" s="111">
        <v>6.0999999999999999E-2</v>
      </c>
      <c r="I514" s="111">
        <v>0.249</v>
      </c>
      <c r="J514" s="111">
        <v>1.2999999999999999E-2</v>
      </c>
      <c r="K514" s="111">
        <v>4.1000000000000002E-2</v>
      </c>
      <c r="L514" s="111">
        <v>7.9000000000000001E-2</v>
      </c>
      <c r="M514" s="111">
        <v>0.33800000000000002</v>
      </c>
      <c r="N514" s="111">
        <v>0.13300000000000001</v>
      </c>
      <c r="O514" s="60">
        <v>11</v>
      </c>
    </row>
    <row r="515" spans="1:15" x14ac:dyDescent="0.25">
      <c r="A515" t="s">
        <v>481</v>
      </c>
      <c r="B515" s="112">
        <v>45723</v>
      </c>
      <c r="C515" s="111">
        <v>-8.4000000000000005E-2</v>
      </c>
      <c r="D515">
        <v>6.3</v>
      </c>
      <c r="E515" s="111">
        <v>2.9000000000000001E-2</v>
      </c>
      <c r="F515" s="111">
        <v>0</v>
      </c>
      <c r="G515" s="111">
        <v>0</v>
      </c>
      <c r="H515" s="111">
        <v>0</v>
      </c>
      <c r="I515" s="111">
        <v>0.02</v>
      </c>
      <c r="J515" s="111">
        <v>0</v>
      </c>
      <c r="K515" s="111">
        <v>2E-3</v>
      </c>
      <c r="L515" s="111">
        <v>7.0000000000000001E-3</v>
      </c>
      <c r="M515" s="111">
        <v>0.02</v>
      </c>
      <c r="N515" s="111">
        <v>8.9999999999999993E-3</v>
      </c>
      <c r="O515" s="60">
        <v>11</v>
      </c>
    </row>
    <row r="516" spans="1:15" x14ac:dyDescent="0.25">
      <c r="A516" t="s">
        <v>483</v>
      </c>
      <c r="B516" s="112">
        <v>45696</v>
      </c>
      <c r="C516" s="111">
        <v>-0.26600000000000001</v>
      </c>
      <c r="D516">
        <v>4.3</v>
      </c>
      <c r="E516" s="111">
        <v>0</v>
      </c>
      <c r="F516" s="111">
        <v>0</v>
      </c>
      <c r="G516" s="111">
        <v>0</v>
      </c>
      <c r="H516" s="111">
        <v>0</v>
      </c>
      <c r="I516" s="111">
        <v>0</v>
      </c>
      <c r="J516" s="111">
        <v>0</v>
      </c>
      <c r="K516" s="111">
        <v>0</v>
      </c>
      <c r="L516" s="111">
        <v>0</v>
      </c>
      <c r="M516" s="111">
        <v>0</v>
      </c>
      <c r="N516" s="111">
        <v>0</v>
      </c>
      <c r="O516" s="60">
        <v>11</v>
      </c>
    </row>
    <row r="517" spans="1:15" x14ac:dyDescent="0.25">
      <c r="A517" t="s">
        <v>368</v>
      </c>
      <c r="O517" s="60">
        <v>11</v>
      </c>
    </row>
    <row r="518" spans="1:15" x14ac:dyDescent="0.25">
      <c r="A518" t="s">
        <v>444</v>
      </c>
      <c r="B518" t="s">
        <v>445</v>
      </c>
      <c r="C518" t="s">
        <v>446</v>
      </c>
      <c r="D518" t="s">
        <v>447</v>
      </c>
      <c r="E518" t="s">
        <v>448</v>
      </c>
      <c r="F518" t="s">
        <v>449</v>
      </c>
      <c r="G518" t="s">
        <v>450</v>
      </c>
      <c r="H518" t="s">
        <v>451</v>
      </c>
      <c r="I518" t="s">
        <v>452</v>
      </c>
      <c r="J518" t="s">
        <v>453</v>
      </c>
      <c r="K518" t="s">
        <v>454</v>
      </c>
      <c r="L518" t="s">
        <v>455</v>
      </c>
      <c r="M518" t="s">
        <v>456</v>
      </c>
      <c r="N518" t="s">
        <v>457</v>
      </c>
      <c r="O518" s="60">
        <v>11</v>
      </c>
    </row>
    <row r="519" spans="1:15" x14ac:dyDescent="0.25">
      <c r="A519" t="s">
        <v>485</v>
      </c>
      <c r="B519" s="112">
        <v>45871</v>
      </c>
      <c r="C519" s="111">
        <v>0.224</v>
      </c>
      <c r="D519">
        <v>12.1</v>
      </c>
      <c r="E519" s="111">
        <v>0.94499999999999995</v>
      </c>
      <c r="F519" s="111">
        <v>0.31900000000000001</v>
      </c>
      <c r="G519" s="111">
        <v>0.23</v>
      </c>
      <c r="H519" s="111">
        <v>0.20399999999999999</v>
      </c>
      <c r="I519" s="111">
        <v>5.3999999999999999E-2</v>
      </c>
      <c r="J519" s="111">
        <v>4.7E-2</v>
      </c>
      <c r="K519" s="111">
        <v>4.5999999999999999E-2</v>
      </c>
      <c r="L519" s="111">
        <v>4.5999999999999999E-2</v>
      </c>
      <c r="M519" s="111">
        <v>0.80600000000000005</v>
      </c>
      <c r="N519" s="111">
        <v>0.13900000000000001</v>
      </c>
      <c r="O519" s="60">
        <v>11</v>
      </c>
    </row>
    <row r="520" spans="1:15" x14ac:dyDescent="0.25">
      <c r="A520" t="s">
        <v>484</v>
      </c>
      <c r="B520" s="112">
        <v>45812</v>
      </c>
      <c r="C520" s="111">
        <v>1.6E-2</v>
      </c>
      <c r="D520">
        <v>9.8000000000000007</v>
      </c>
      <c r="E520" s="111">
        <v>0.61399999999999999</v>
      </c>
      <c r="F520" s="111">
        <v>0.02</v>
      </c>
      <c r="G520" s="111">
        <v>0.04</v>
      </c>
      <c r="H520" s="111">
        <v>6.0999999999999999E-2</v>
      </c>
      <c r="I520" s="111">
        <v>1.9E-2</v>
      </c>
      <c r="J520" s="111">
        <v>0.10299999999999999</v>
      </c>
      <c r="K520" s="111">
        <v>0.186</v>
      </c>
      <c r="L520" s="111">
        <v>0.186</v>
      </c>
      <c r="M520" s="111">
        <v>0.13900000000000001</v>
      </c>
      <c r="N520" s="111">
        <v>0.47499999999999998</v>
      </c>
      <c r="O520" s="60">
        <v>11</v>
      </c>
    </row>
    <row r="521" spans="1:15" x14ac:dyDescent="0.25">
      <c r="A521" t="s">
        <v>486</v>
      </c>
      <c r="B521" s="112">
        <v>45782</v>
      </c>
      <c r="C521" s="111">
        <v>7.8E-2</v>
      </c>
      <c r="D521">
        <v>8.6</v>
      </c>
      <c r="E521" s="111">
        <v>0.27800000000000002</v>
      </c>
      <c r="F521" s="111">
        <v>2E-3</v>
      </c>
      <c r="G521" s="111">
        <v>8.0000000000000002E-3</v>
      </c>
      <c r="H521" s="111">
        <v>3.4000000000000002E-2</v>
      </c>
      <c r="I521" s="111">
        <v>0.01</v>
      </c>
      <c r="J521" s="111">
        <v>3.9E-2</v>
      </c>
      <c r="K521" s="111">
        <v>7.2999999999999995E-2</v>
      </c>
      <c r="L521" s="111">
        <v>0.111</v>
      </c>
      <c r="M521" s="111">
        <v>5.5E-2</v>
      </c>
      <c r="N521" s="111">
        <v>0.223</v>
      </c>
      <c r="O521" s="60">
        <v>11</v>
      </c>
    </row>
    <row r="522" spans="1:15" x14ac:dyDescent="0.25">
      <c r="A522" t="s">
        <v>487</v>
      </c>
      <c r="B522" s="112">
        <v>45666</v>
      </c>
      <c r="C522" s="111">
        <v>-0.32700000000000001</v>
      </c>
      <c r="D522">
        <v>2.7</v>
      </c>
      <c r="E522" s="111">
        <v>0</v>
      </c>
      <c r="F522" s="111">
        <v>0</v>
      </c>
      <c r="G522" s="111">
        <v>0</v>
      </c>
      <c r="H522" s="111">
        <v>0</v>
      </c>
      <c r="I522" s="111">
        <v>0</v>
      </c>
      <c r="J522" s="111">
        <v>0</v>
      </c>
      <c r="K522" s="111">
        <v>0</v>
      </c>
      <c r="L522" s="111">
        <v>0</v>
      </c>
      <c r="M522" s="111">
        <v>0</v>
      </c>
      <c r="N522" s="111">
        <v>0</v>
      </c>
      <c r="O522" s="60">
        <v>11</v>
      </c>
    </row>
    <row r="523" spans="1:15" x14ac:dyDescent="0.25">
      <c r="A523" t="s">
        <v>367</v>
      </c>
      <c r="O523" s="60">
        <v>11</v>
      </c>
    </row>
    <row r="524" spans="1:15" x14ac:dyDescent="0.25">
      <c r="A524" t="s">
        <v>444</v>
      </c>
      <c r="B524" t="s">
        <v>445</v>
      </c>
      <c r="C524" t="s">
        <v>446</v>
      </c>
      <c r="D524" t="s">
        <v>447</v>
      </c>
      <c r="E524" t="s">
        <v>448</v>
      </c>
      <c r="F524" t="s">
        <v>449</v>
      </c>
      <c r="G524" t="s">
        <v>450</v>
      </c>
      <c r="H524" t="s">
        <v>451</v>
      </c>
      <c r="I524" t="s">
        <v>452</v>
      </c>
      <c r="J524" t="s">
        <v>453</v>
      </c>
      <c r="K524" t="s">
        <v>454</v>
      </c>
      <c r="L524" t="s">
        <v>455</v>
      </c>
      <c r="M524" t="s">
        <v>456</v>
      </c>
      <c r="N524" t="s">
        <v>457</v>
      </c>
      <c r="O524" s="60">
        <v>11</v>
      </c>
    </row>
    <row r="525" spans="1:15" x14ac:dyDescent="0.25">
      <c r="A525" t="s">
        <v>491</v>
      </c>
      <c r="B525" s="112">
        <v>45902</v>
      </c>
      <c r="C525" s="111">
        <v>0.111</v>
      </c>
      <c r="D525">
        <v>12.6</v>
      </c>
      <c r="E525" s="111">
        <v>0.97899999999999998</v>
      </c>
      <c r="F525" s="111">
        <v>0.32900000000000001</v>
      </c>
      <c r="G525" s="111">
        <v>0.27400000000000002</v>
      </c>
      <c r="H525" s="111">
        <v>0.19</v>
      </c>
      <c r="I525" s="111">
        <v>3.1E-2</v>
      </c>
      <c r="J525" s="111">
        <v>6.4000000000000001E-2</v>
      </c>
      <c r="K525" s="111">
        <v>5.8999999999999997E-2</v>
      </c>
      <c r="L525" s="111">
        <v>3.3000000000000002E-2</v>
      </c>
      <c r="M525" s="111">
        <v>0.82299999999999995</v>
      </c>
      <c r="N525" s="111">
        <v>0.156</v>
      </c>
      <c r="O525" s="60">
        <v>11</v>
      </c>
    </row>
    <row r="526" spans="1:15" x14ac:dyDescent="0.25">
      <c r="A526" t="s">
        <v>488</v>
      </c>
      <c r="B526" s="112">
        <v>45782</v>
      </c>
      <c r="C526" s="111">
        <v>0.23</v>
      </c>
      <c r="D526">
        <v>10.1</v>
      </c>
      <c r="E526" s="111">
        <v>0.61799999999999999</v>
      </c>
      <c r="F526" s="111">
        <v>8.0000000000000002E-3</v>
      </c>
      <c r="G526" s="111">
        <v>3.6999999999999998E-2</v>
      </c>
      <c r="H526" s="111">
        <v>4.5999999999999999E-2</v>
      </c>
      <c r="I526" s="111">
        <v>8.0000000000000002E-3</v>
      </c>
      <c r="J526" s="111">
        <v>0.121</v>
      </c>
      <c r="K526" s="111">
        <v>0.20799999999999999</v>
      </c>
      <c r="L526" s="111">
        <v>0.19</v>
      </c>
      <c r="M526" s="111">
        <v>9.9000000000000005E-2</v>
      </c>
      <c r="N526" s="111">
        <v>0.51800000000000002</v>
      </c>
      <c r="O526" s="60">
        <v>11</v>
      </c>
    </row>
    <row r="527" spans="1:15" x14ac:dyDescent="0.25">
      <c r="A527" t="s">
        <v>489</v>
      </c>
      <c r="B527" s="112">
        <v>45842</v>
      </c>
      <c r="C527" s="111">
        <v>-3.1E-2</v>
      </c>
      <c r="D527">
        <v>9.5</v>
      </c>
      <c r="E527" s="111">
        <v>0.51</v>
      </c>
      <c r="F527" s="111">
        <v>7.0000000000000001E-3</v>
      </c>
      <c r="G527" s="111">
        <v>2.1000000000000001E-2</v>
      </c>
      <c r="H527" s="111">
        <v>4.2999999999999997E-2</v>
      </c>
      <c r="I527" s="111">
        <v>7.0000000000000001E-3</v>
      </c>
      <c r="J527" s="111">
        <v>9.8000000000000004E-2</v>
      </c>
      <c r="K527" s="111">
        <v>0.14399999999999999</v>
      </c>
      <c r="L527" s="111">
        <v>0.19</v>
      </c>
      <c r="M527" s="111">
        <v>7.8E-2</v>
      </c>
      <c r="N527" s="111">
        <v>0.432</v>
      </c>
      <c r="O527" s="60">
        <v>11</v>
      </c>
    </row>
    <row r="528" spans="1:15" x14ac:dyDescent="0.25">
      <c r="A528" t="s">
        <v>490</v>
      </c>
      <c r="B528" s="112">
        <v>45696</v>
      </c>
      <c r="C528" s="111">
        <v>-0.22500000000000001</v>
      </c>
      <c r="D528">
        <v>4.0999999999999996</v>
      </c>
      <c r="E528" s="111">
        <v>0</v>
      </c>
      <c r="F528" s="111">
        <v>0</v>
      </c>
      <c r="G528" s="111">
        <v>0</v>
      </c>
      <c r="H528" s="111">
        <v>0</v>
      </c>
      <c r="I528" s="111">
        <v>0</v>
      </c>
      <c r="J528" s="111">
        <v>0</v>
      </c>
      <c r="K528" s="111">
        <v>0</v>
      </c>
      <c r="L528" s="111">
        <v>0</v>
      </c>
      <c r="M528" s="111">
        <v>0</v>
      </c>
      <c r="N528" s="111">
        <v>0</v>
      </c>
      <c r="O528" s="60">
        <v>11</v>
      </c>
    </row>
    <row r="529" spans="1:15" x14ac:dyDescent="0.25">
      <c r="A529" t="s">
        <v>363</v>
      </c>
      <c r="O529" s="60">
        <v>12</v>
      </c>
    </row>
    <row r="530" spans="1:15" x14ac:dyDescent="0.25">
      <c r="A530" t="s">
        <v>444</v>
      </c>
      <c r="B530" t="s">
        <v>445</v>
      </c>
      <c r="C530" t="s">
        <v>446</v>
      </c>
      <c r="D530" t="s">
        <v>447</v>
      </c>
      <c r="E530" t="s">
        <v>448</v>
      </c>
      <c r="F530" t="s">
        <v>449</v>
      </c>
      <c r="G530" t="s">
        <v>450</v>
      </c>
      <c r="H530" t="s">
        <v>451</v>
      </c>
      <c r="I530" t="s">
        <v>452</v>
      </c>
      <c r="J530" t="s">
        <v>453</v>
      </c>
      <c r="K530" t="s">
        <v>454</v>
      </c>
      <c r="L530" t="s">
        <v>455</v>
      </c>
      <c r="M530" t="s">
        <v>456</v>
      </c>
      <c r="N530" t="s">
        <v>457</v>
      </c>
      <c r="O530" s="60">
        <v>12</v>
      </c>
    </row>
    <row r="531" spans="1:15" x14ac:dyDescent="0.25">
      <c r="A531" t="s">
        <v>459</v>
      </c>
      <c r="B531" s="112">
        <v>45872</v>
      </c>
      <c r="C531" s="111">
        <v>0.13300000000000001</v>
      </c>
      <c r="D531">
        <v>12</v>
      </c>
      <c r="E531" s="111">
        <v>0.98899999999999999</v>
      </c>
      <c r="F531" s="111">
        <v>0.182</v>
      </c>
      <c r="G531" s="111">
        <v>0.41499999999999998</v>
      </c>
      <c r="H531" s="111">
        <v>0.33900000000000002</v>
      </c>
      <c r="I531" s="111">
        <v>4.9000000000000002E-2</v>
      </c>
      <c r="J531" s="111">
        <v>0</v>
      </c>
      <c r="K531" s="111">
        <v>1E-3</v>
      </c>
      <c r="L531" s="111">
        <v>4.0000000000000001E-3</v>
      </c>
      <c r="M531" s="111">
        <v>0.98399999999999999</v>
      </c>
      <c r="N531" s="111">
        <v>5.0000000000000001E-3</v>
      </c>
      <c r="O531" s="60">
        <v>12</v>
      </c>
    </row>
    <row r="532" spans="1:15" x14ac:dyDescent="0.25">
      <c r="A532" t="s">
        <v>460</v>
      </c>
      <c r="B532" s="122">
        <v>37016</v>
      </c>
      <c r="C532" s="111">
        <v>-1.9E-2</v>
      </c>
      <c r="D532">
        <v>8.3000000000000007</v>
      </c>
      <c r="E532" s="111">
        <v>7.2999999999999995E-2</v>
      </c>
      <c r="F532" s="111">
        <v>0</v>
      </c>
      <c r="G532" s="111">
        <v>1E-3</v>
      </c>
      <c r="H532" s="111">
        <v>8.0000000000000002E-3</v>
      </c>
      <c r="I532" s="111">
        <v>6.0000000000000001E-3</v>
      </c>
      <c r="J532" s="111">
        <v>1E-3</v>
      </c>
      <c r="K532" s="111">
        <v>1.4E-2</v>
      </c>
      <c r="L532" s="111">
        <v>4.2999999999999997E-2</v>
      </c>
      <c r="M532" s="111">
        <v>1.4999999999999999E-2</v>
      </c>
      <c r="N532" s="111">
        <v>5.8000000000000003E-2</v>
      </c>
      <c r="O532" s="60">
        <v>12</v>
      </c>
    </row>
    <row r="533" spans="1:15" x14ac:dyDescent="0.25">
      <c r="A533" t="s">
        <v>458</v>
      </c>
      <c r="B533" s="112">
        <v>45724</v>
      </c>
      <c r="C533" s="111">
        <v>-9.4E-2</v>
      </c>
      <c r="D533">
        <v>5.2</v>
      </c>
      <c r="E533" s="111">
        <v>1E-3</v>
      </c>
      <c r="F533" s="111">
        <v>0</v>
      </c>
      <c r="G533" s="111">
        <v>0</v>
      </c>
      <c r="H533" s="111">
        <v>0</v>
      </c>
      <c r="I533" s="111">
        <v>1E-3</v>
      </c>
      <c r="J533" s="111">
        <v>0</v>
      </c>
      <c r="K533" s="111">
        <v>0</v>
      </c>
      <c r="L533" s="111">
        <v>0</v>
      </c>
      <c r="M533" s="111">
        <v>1E-3</v>
      </c>
      <c r="N533" s="111">
        <v>0</v>
      </c>
      <c r="O533" s="60">
        <v>12</v>
      </c>
    </row>
    <row r="534" spans="1:15" x14ac:dyDescent="0.25">
      <c r="A534" t="s">
        <v>462</v>
      </c>
      <c r="B534" s="112">
        <v>45698</v>
      </c>
      <c r="C534" s="111">
        <v>-5.1999999999999998E-2</v>
      </c>
      <c r="D534">
        <v>4.9000000000000004</v>
      </c>
      <c r="E534" s="111">
        <v>0</v>
      </c>
      <c r="F534" s="111">
        <v>0</v>
      </c>
      <c r="G534" s="111">
        <v>0</v>
      </c>
      <c r="H534" s="111">
        <v>0</v>
      </c>
      <c r="I534" s="111">
        <v>0</v>
      </c>
      <c r="J534" s="111">
        <v>0</v>
      </c>
      <c r="K534" s="111">
        <v>0</v>
      </c>
      <c r="L534" s="111">
        <v>0</v>
      </c>
      <c r="M534" s="111">
        <v>0</v>
      </c>
      <c r="N534" s="111">
        <v>0</v>
      </c>
      <c r="O534" s="60">
        <v>12</v>
      </c>
    </row>
    <row r="535" spans="1:15" x14ac:dyDescent="0.25">
      <c r="A535" t="s">
        <v>357</v>
      </c>
      <c r="O535" s="60">
        <v>12</v>
      </c>
    </row>
    <row r="536" spans="1:15" x14ac:dyDescent="0.25">
      <c r="A536" t="s">
        <v>444</v>
      </c>
      <c r="B536" t="s">
        <v>445</v>
      </c>
      <c r="C536" t="s">
        <v>446</v>
      </c>
      <c r="D536" t="s">
        <v>447</v>
      </c>
      <c r="E536" t="s">
        <v>448</v>
      </c>
      <c r="F536" t="s">
        <v>449</v>
      </c>
      <c r="G536" t="s">
        <v>450</v>
      </c>
      <c r="H536" t="s">
        <v>451</v>
      </c>
      <c r="I536" t="s">
        <v>452</v>
      </c>
      <c r="J536" t="s">
        <v>453</v>
      </c>
      <c r="K536" t="s">
        <v>454</v>
      </c>
      <c r="L536" t="s">
        <v>455</v>
      </c>
      <c r="M536" t="s">
        <v>456</v>
      </c>
      <c r="N536" t="s">
        <v>457</v>
      </c>
      <c r="O536" s="60">
        <v>12</v>
      </c>
    </row>
    <row r="537" spans="1:15" x14ac:dyDescent="0.25">
      <c r="A537" t="s">
        <v>464</v>
      </c>
      <c r="B537" s="112">
        <v>45842</v>
      </c>
      <c r="C537" s="111">
        <v>0.245</v>
      </c>
      <c r="D537">
        <v>11</v>
      </c>
      <c r="E537" s="111">
        <v>0.82</v>
      </c>
      <c r="F537" s="111">
        <v>3.5999999999999997E-2</v>
      </c>
      <c r="G537" s="111">
        <v>0.12</v>
      </c>
      <c r="H537" s="111">
        <v>0.26</v>
      </c>
      <c r="I537" s="111">
        <v>1.2E-2</v>
      </c>
      <c r="J537" s="111">
        <v>3.5000000000000003E-2</v>
      </c>
      <c r="K537" s="111">
        <v>0.127</v>
      </c>
      <c r="L537" s="111">
        <v>0.22900000000000001</v>
      </c>
      <c r="M537" s="111">
        <v>0.42899999999999999</v>
      </c>
      <c r="N537" s="111">
        <v>0.39100000000000001</v>
      </c>
      <c r="O537" s="60">
        <v>12</v>
      </c>
    </row>
    <row r="538" spans="1:15" x14ac:dyDescent="0.25">
      <c r="A538" t="s">
        <v>463</v>
      </c>
      <c r="B538" s="122">
        <v>37075</v>
      </c>
      <c r="C538" s="111">
        <v>0.17100000000000001</v>
      </c>
      <c r="D538">
        <v>11</v>
      </c>
      <c r="E538" s="111">
        <v>0.79</v>
      </c>
      <c r="F538" s="111">
        <v>2.4E-2</v>
      </c>
      <c r="G538" s="111">
        <v>0.17799999999999999</v>
      </c>
      <c r="H538" s="111">
        <v>0.192</v>
      </c>
      <c r="I538" s="111">
        <v>1.9E-2</v>
      </c>
      <c r="J538" s="111">
        <v>3.1E-2</v>
      </c>
      <c r="K538" s="111">
        <v>0.14499999999999999</v>
      </c>
      <c r="L538" s="111">
        <v>0.20100000000000001</v>
      </c>
      <c r="M538" s="111">
        <v>0.41299999999999998</v>
      </c>
      <c r="N538" s="111">
        <v>0.377</v>
      </c>
      <c r="O538" s="60">
        <v>12</v>
      </c>
    </row>
    <row r="539" spans="1:15" x14ac:dyDescent="0.25">
      <c r="A539" t="s">
        <v>467</v>
      </c>
      <c r="B539" s="112">
        <v>45872</v>
      </c>
      <c r="C539" s="111">
        <v>-4.9000000000000002E-2</v>
      </c>
      <c r="D539">
        <v>10.3</v>
      </c>
      <c r="E539" s="111">
        <v>0.51400000000000001</v>
      </c>
      <c r="F539" s="111">
        <v>1.4E-2</v>
      </c>
      <c r="G539" s="111">
        <v>6.4000000000000001E-2</v>
      </c>
      <c r="H539" s="111">
        <v>6.4000000000000001E-2</v>
      </c>
      <c r="I539" s="111">
        <v>1.6E-2</v>
      </c>
      <c r="J539" s="111">
        <v>0.03</v>
      </c>
      <c r="K539" s="111">
        <v>0.115</v>
      </c>
      <c r="L539" s="111">
        <v>0.21099999999999999</v>
      </c>
      <c r="M539" s="111">
        <v>0.159</v>
      </c>
      <c r="N539" s="111">
        <v>0.35599999999999998</v>
      </c>
      <c r="O539" s="60">
        <v>12</v>
      </c>
    </row>
    <row r="540" spans="1:15" x14ac:dyDescent="0.25">
      <c r="A540" t="s">
        <v>465</v>
      </c>
      <c r="B540" s="112">
        <v>45754</v>
      </c>
      <c r="C540" s="111">
        <v>-0.157</v>
      </c>
      <c r="D540">
        <v>5.8</v>
      </c>
      <c r="E540" s="111">
        <v>1E-3</v>
      </c>
      <c r="F540" s="111">
        <v>0</v>
      </c>
      <c r="G540" s="111">
        <v>0</v>
      </c>
      <c r="H540" s="111">
        <v>0</v>
      </c>
      <c r="I540" s="111">
        <v>0</v>
      </c>
      <c r="J540" s="111">
        <v>0</v>
      </c>
      <c r="K540" s="111">
        <v>0</v>
      </c>
      <c r="L540" s="111">
        <v>1E-3</v>
      </c>
      <c r="M540" s="111">
        <v>0</v>
      </c>
      <c r="N540" s="111">
        <v>1E-3</v>
      </c>
      <c r="O540" s="60">
        <v>12</v>
      </c>
    </row>
    <row r="541" spans="1:15" x14ac:dyDescent="0.25">
      <c r="A541" t="s">
        <v>383</v>
      </c>
      <c r="O541" s="60">
        <v>12</v>
      </c>
    </row>
    <row r="542" spans="1:15" x14ac:dyDescent="0.25">
      <c r="A542" t="s">
        <v>444</v>
      </c>
      <c r="B542" t="s">
        <v>445</v>
      </c>
      <c r="C542" t="s">
        <v>446</v>
      </c>
      <c r="D542" t="s">
        <v>447</v>
      </c>
      <c r="E542" t="s">
        <v>448</v>
      </c>
      <c r="F542" t="s">
        <v>449</v>
      </c>
      <c r="G542" t="s">
        <v>450</v>
      </c>
      <c r="H542" t="s">
        <v>451</v>
      </c>
      <c r="I542" t="s">
        <v>452</v>
      </c>
      <c r="J542" t="s">
        <v>453</v>
      </c>
      <c r="K542" t="s">
        <v>454</v>
      </c>
      <c r="L542" t="s">
        <v>455</v>
      </c>
      <c r="M542" t="s">
        <v>456</v>
      </c>
      <c r="N542" t="s">
        <v>457</v>
      </c>
      <c r="O542" s="60">
        <v>12</v>
      </c>
    </row>
    <row r="543" spans="1:15" x14ac:dyDescent="0.25">
      <c r="A543" t="s">
        <v>468</v>
      </c>
      <c r="B543" s="112">
        <v>45813</v>
      </c>
      <c r="C543" s="111">
        <v>1E-3</v>
      </c>
      <c r="D543">
        <v>9.9</v>
      </c>
      <c r="E543" s="111">
        <v>0.88600000000000001</v>
      </c>
      <c r="F543" s="111">
        <v>0</v>
      </c>
      <c r="G543" s="111">
        <v>1.4E-2</v>
      </c>
      <c r="H543" s="111">
        <v>8.6999999999999994E-2</v>
      </c>
      <c r="I543" s="111">
        <v>0.78200000000000003</v>
      </c>
      <c r="J543" s="111">
        <v>0</v>
      </c>
      <c r="K543" s="111">
        <v>0</v>
      </c>
      <c r="L543" s="111">
        <v>1E-3</v>
      </c>
      <c r="M543" s="111">
        <v>0.88400000000000001</v>
      </c>
      <c r="N543" s="111">
        <v>1E-3</v>
      </c>
      <c r="O543" s="60">
        <v>12</v>
      </c>
    </row>
    <row r="544" spans="1:15" x14ac:dyDescent="0.25">
      <c r="A544" t="s">
        <v>471</v>
      </c>
      <c r="B544" s="112">
        <v>45814</v>
      </c>
      <c r="C544" s="111">
        <v>-0.20300000000000001</v>
      </c>
      <c r="D544">
        <v>7.4</v>
      </c>
      <c r="E544" s="111">
        <v>0.112</v>
      </c>
      <c r="F544" s="111">
        <v>0</v>
      </c>
      <c r="G544" s="111">
        <v>0</v>
      </c>
      <c r="H544" s="111">
        <v>2E-3</v>
      </c>
      <c r="I544" s="111">
        <v>0.107</v>
      </c>
      <c r="J544" s="111">
        <v>0</v>
      </c>
      <c r="K544" s="111">
        <v>0</v>
      </c>
      <c r="L544" s="111">
        <v>3.0000000000000001E-3</v>
      </c>
      <c r="M544" s="111">
        <v>0.109</v>
      </c>
      <c r="N544" s="111">
        <v>3.0000000000000001E-3</v>
      </c>
      <c r="O544" s="60">
        <v>12</v>
      </c>
    </row>
    <row r="545" spans="1:15" x14ac:dyDescent="0.25">
      <c r="A545" t="s">
        <v>469</v>
      </c>
      <c r="B545" s="112">
        <v>45754</v>
      </c>
      <c r="C545" s="111">
        <v>-0.155</v>
      </c>
      <c r="D545">
        <v>6.1</v>
      </c>
      <c r="E545" s="111">
        <v>6.0000000000000001E-3</v>
      </c>
      <c r="F545" s="111">
        <v>0</v>
      </c>
      <c r="G545" s="111">
        <v>0</v>
      </c>
      <c r="H545" s="111">
        <v>0</v>
      </c>
      <c r="I545" s="111">
        <v>5.0000000000000001E-3</v>
      </c>
      <c r="J545" s="111">
        <v>0</v>
      </c>
      <c r="K545" s="111">
        <v>0</v>
      </c>
      <c r="L545" s="111">
        <v>1E-3</v>
      </c>
      <c r="M545" s="111">
        <v>5.0000000000000001E-3</v>
      </c>
      <c r="N545" s="111">
        <v>1E-3</v>
      </c>
      <c r="O545" s="60">
        <v>12</v>
      </c>
    </row>
    <row r="546" spans="1:15" x14ac:dyDescent="0.25">
      <c r="A546" t="s">
        <v>470</v>
      </c>
      <c r="B546" s="112">
        <v>45697</v>
      </c>
      <c r="C546" s="111">
        <v>-0.24399999999999999</v>
      </c>
      <c r="D546">
        <v>4.4000000000000004</v>
      </c>
      <c r="E546" s="111">
        <v>1E-3</v>
      </c>
      <c r="F546" s="111">
        <v>0</v>
      </c>
      <c r="G546" s="111">
        <v>0</v>
      </c>
      <c r="H546" s="111">
        <v>0</v>
      </c>
      <c r="I546" s="111">
        <v>1E-3</v>
      </c>
      <c r="J546" s="111">
        <v>0</v>
      </c>
      <c r="K546" s="111">
        <v>0</v>
      </c>
      <c r="L546" s="111">
        <v>0</v>
      </c>
      <c r="M546" s="111">
        <v>1E-3</v>
      </c>
      <c r="N546" s="111">
        <v>0</v>
      </c>
      <c r="O546" s="60">
        <v>12</v>
      </c>
    </row>
    <row r="547" spans="1:15" x14ac:dyDescent="0.25">
      <c r="A547" t="s">
        <v>355</v>
      </c>
      <c r="O547" s="60">
        <v>12</v>
      </c>
    </row>
    <row r="548" spans="1:15" x14ac:dyDescent="0.25">
      <c r="A548" t="s">
        <v>444</v>
      </c>
      <c r="B548" t="s">
        <v>445</v>
      </c>
      <c r="C548" t="s">
        <v>446</v>
      </c>
      <c r="D548" t="s">
        <v>447</v>
      </c>
      <c r="E548" t="s">
        <v>448</v>
      </c>
      <c r="F548" t="s">
        <v>449</v>
      </c>
      <c r="G548" t="s">
        <v>450</v>
      </c>
      <c r="H548" t="s">
        <v>451</v>
      </c>
      <c r="I548" t="s">
        <v>452</v>
      </c>
      <c r="J548" t="s">
        <v>453</v>
      </c>
      <c r="K548" t="s">
        <v>454</v>
      </c>
      <c r="L548" t="s">
        <v>455</v>
      </c>
      <c r="M548" t="s">
        <v>456</v>
      </c>
      <c r="N548" t="s">
        <v>457</v>
      </c>
      <c r="O548" s="60">
        <v>12</v>
      </c>
    </row>
    <row r="549" spans="1:15" x14ac:dyDescent="0.25">
      <c r="A549" t="s">
        <v>473</v>
      </c>
      <c r="B549" s="112">
        <v>45902</v>
      </c>
      <c r="C549" s="111">
        <v>0.33700000000000002</v>
      </c>
      <c r="D549">
        <v>13.4</v>
      </c>
      <c r="E549" s="111">
        <v>0.995</v>
      </c>
      <c r="F549" s="111">
        <v>0.57799999999999996</v>
      </c>
      <c r="G549" s="111">
        <v>0.13500000000000001</v>
      </c>
      <c r="H549" s="111">
        <v>2.7E-2</v>
      </c>
      <c r="I549" s="111">
        <v>0</v>
      </c>
      <c r="J549" s="111">
        <v>0.18099999999999999</v>
      </c>
      <c r="K549" s="111">
        <v>5.2999999999999999E-2</v>
      </c>
      <c r="L549" s="111">
        <v>1.9E-2</v>
      </c>
      <c r="M549" s="111">
        <v>0.74099999999999999</v>
      </c>
      <c r="N549" s="111">
        <v>0.253</v>
      </c>
      <c r="O549" s="60">
        <v>12</v>
      </c>
    </row>
    <row r="550" spans="1:15" x14ac:dyDescent="0.25">
      <c r="A550" t="s">
        <v>475</v>
      </c>
      <c r="B550" s="112">
        <v>45872</v>
      </c>
      <c r="C550" s="111">
        <v>0.30499999999999999</v>
      </c>
      <c r="D550">
        <v>12.4</v>
      </c>
      <c r="E550" s="111">
        <v>0.96799999999999997</v>
      </c>
      <c r="F550" s="111">
        <v>0.14199999999999999</v>
      </c>
      <c r="G550" s="111">
        <v>5.5E-2</v>
      </c>
      <c r="H550" s="111">
        <v>1.4E-2</v>
      </c>
      <c r="I550" s="111">
        <v>1E-3</v>
      </c>
      <c r="J550" s="111">
        <v>0.48099999999999998</v>
      </c>
      <c r="K550" s="111">
        <v>0.19</v>
      </c>
      <c r="L550" s="111">
        <v>8.5999999999999993E-2</v>
      </c>
      <c r="M550" s="111">
        <v>0.21099999999999999</v>
      </c>
      <c r="N550" s="111">
        <v>0.75700000000000001</v>
      </c>
      <c r="O550" s="60">
        <v>12</v>
      </c>
    </row>
    <row r="551" spans="1:15" x14ac:dyDescent="0.25">
      <c r="A551" t="s">
        <v>472</v>
      </c>
      <c r="B551" s="112">
        <v>45873</v>
      </c>
      <c r="C551" s="111">
        <v>7.6999999999999999E-2</v>
      </c>
      <c r="D551">
        <v>10.9</v>
      </c>
      <c r="E551" s="111">
        <v>0.84399999999999997</v>
      </c>
      <c r="F551" s="111">
        <v>2.4E-2</v>
      </c>
      <c r="G551" s="111">
        <v>1.7999999999999999E-2</v>
      </c>
      <c r="H551" s="111">
        <v>5.0000000000000001E-3</v>
      </c>
      <c r="I551" s="111">
        <v>1E-3</v>
      </c>
      <c r="J551" s="111">
        <v>0.24099999999999999</v>
      </c>
      <c r="K551" s="111">
        <v>0.35399999999999998</v>
      </c>
      <c r="L551" s="111">
        <v>0.20100000000000001</v>
      </c>
      <c r="M551" s="111">
        <v>4.8000000000000001E-2</v>
      </c>
      <c r="N551" s="111">
        <v>0.79600000000000004</v>
      </c>
      <c r="O551" s="60">
        <v>12</v>
      </c>
    </row>
    <row r="552" spans="1:15" x14ac:dyDescent="0.25">
      <c r="A552" t="s">
        <v>474</v>
      </c>
      <c r="B552" s="112">
        <v>45724</v>
      </c>
      <c r="C552" s="111">
        <v>-6.3E-2</v>
      </c>
      <c r="D552">
        <v>5.2</v>
      </c>
      <c r="E552" s="111">
        <v>0</v>
      </c>
      <c r="F552" s="111">
        <v>0</v>
      </c>
      <c r="G552" s="111">
        <v>0</v>
      </c>
      <c r="H552" s="111">
        <v>0</v>
      </c>
      <c r="I552" s="111">
        <v>0</v>
      </c>
      <c r="J552" s="111">
        <v>0</v>
      </c>
      <c r="K552" s="111">
        <v>0</v>
      </c>
      <c r="L552" s="111">
        <v>0</v>
      </c>
      <c r="M552" s="111">
        <v>0</v>
      </c>
      <c r="N552" s="111">
        <v>0</v>
      </c>
      <c r="O552" s="60">
        <v>12</v>
      </c>
    </row>
    <row r="553" spans="1:15" x14ac:dyDescent="0.25">
      <c r="A553" t="s">
        <v>359</v>
      </c>
      <c r="O553" s="60">
        <v>12</v>
      </c>
    </row>
    <row r="554" spans="1:15" x14ac:dyDescent="0.25">
      <c r="A554" t="s">
        <v>444</v>
      </c>
      <c r="B554" t="s">
        <v>445</v>
      </c>
      <c r="C554" t="s">
        <v>446</v>
      </c>
      <c r="D554" t="s">
        <v>447</v>
      </c>
      <c r="E554" t="s">
        <v>448</v>
      </c>
      <c r="F554" t="s">
        <v>449</v>
      </c>
      <c r="G554" t="s">
        <v>450</v>
      </c>
      <c r="H554" t="s">
        <v>451</v>
      </c>
      <c r="I554" t="s">
        <v>452</v>
      </c>
      <c r="J554" t="s">
        <v>453</v>
      </c>
      <c r="K554" t="s">
        <v>454</v>
      </c>
      <c r="L554" t="s">
        <v>455</v>
      </c>
      <c r="M554" t="s">
        <v>456</v>
      </c>
      <c r="N554" t="s">
        <v>457</v>
      </c>
      <c r="O554" s="60">
        <v>12</v>
      </c>
    </row>
    <row r="555" spans="1:15" x14ac:dyDescent="0.25">
      <c r="A555" t="s">
        <v>477</v>
      </c>
      <c r="B555" s="112">
        <v>45932</v>
      </c>
      <c r="C555" s="111">
        <v>-3.0000000000000001E-3</v>
      </c>
      <c r="D555">
        <v>12.6</v>
      </c>
      <c r="E555" s="111">
        <v>0.98399999999999999</v>
      </c>
      <c r="F555" s="111">
        <v>0.26900000000000002</v>
      </c>
      <c r="G555" s="111">
        <v>0.29499999999999998</v>
      </c>
      <c r="H555" s="111">
        <v>0.21</v>
      </c>
      <c r="I555" s="111">
        <v>0.03</v>
      </c>
      <c r="J555" s="111">
        <v>8.6999999999999994E-2</v>
      </c>
      <c r="K555" s="111">
        <v>6.2E-2</v>
      </c>
      <c r="L555" s="111">
        <v>3.1E-2</v>
      </c>
      <c r="M555" s="111">
        <v>0.80400000000000005</v>
      </c>
      <c r="N555" s="111">
        <v>0.18</v>
      </c>
      <c r="O555" s="60">
        <v>12</v>
      </c>
    </row>
    <row r="556" spans="1:15" x14ac:dyDescent="0.25">
      <c r="A556" t="s">
        <v>476</v>
      </c>
      <c r="B556" s="112">
        <v>45842</v>
      </c>
      <c r="C556" s="111">
        <v>0.13400000000000001</v>
      </c>
      <c r="D556">
        <v>11</v>
      </c>
      <c r="E556" s="111">
        <v>0.82699999999999996</v>
      </c>
      <c r="F556" s="111">
        <v>0.04</v>
      </c>
      <c r="G556" s="111">
        <v>7.4999999999999997E-2</v>
      </c>
      <c r="H556" s="111">
        <v>7.3999999999999996E-2</v>
      </c>
      <c r="I556" s="111">
        <v>7.0000000000000001E-3</v>
      </c>
      <c r="J556" s="111">
        <v>0.317</v>
      </c>
      <c r="K556" s="111">
        <v>0.186</v>
      </c>
      <c r="L556" s="111">
        <v>0.128</v>
      </c>
      <c r="M556" s="111">
        <v>0.19600000000000001</v>
      </c>
      <c r="N556" s="111">
        <v>0.63100000000000001</v>
      </c>
      <c r="O556" s="60">
        <v>12</v>
      </c>
    </row>
    <row r="557" spans="1:15" x14ac:dyDescent="0.25">
      <c r="A557" t="s">
        <v>479</v>
      </c>
      <c r="B557" s="112">
        <v>45754</v>
      </c>
      <c r="C557" s="111">
        <v>-9.7000000000000003E-2</v>
      </c>
      <c r="D557">
        <v>6.9</v>
      </c>
      <c r="E557" s="111">
        <v>4.0000000000000001E-3</v>
      </c>
      <c r="F557" s="111">
        <v>0</v>
      </c>
      <c r="G557" s="111">
        <v>0</v>
      </c>
      <c r="H557" s="111">
        <v>0</v>
      </c>
      <c r="I557" s="111">
        <v>0</v>
      </c>
      <c r="J557" s="111">
        <v>0</v>
      </c>
      <c r="K557" s="111">
        <v>1E-3</v>
      </c>
      <c r="L557" s="111">
        <v>3.0000000000000001E-3</v>
      </c>
      <c r="M557" s="111">
        <v>0</v>
      </c>
      <c r="N557" s="111">
        <v>4.0000000000000001E-3</v>
      </c>
      <c r="O557" s="60">
        <v>12</v>
      </c>
    </row>
    <row r="558" spans="1:15" x14ac:dyDescent="0.25">
      <c r="A558" t="s">
        <v>478</v>
      </c>
      <c r="B558" s="112">
        <v>45697</v>
      </c>
      <c r="C558" s="111">
        <v>-0.17499999999999999</v>
      </c>
      <c r="D558">
        <v>4.4000000000000004</v>
      </c>
      <c r="E558" s="111">
        <v>0</v>
      </c>
      <c r="F558" s="111">
        <v>0</v>
      </c>
      <c r="G558" s="111">
        <v>0</v>
      </c>
      <c r="H558" s="111">
        <v>0</v>
      </c>
      <c r="I558" s="111">
        <v>0</v>
      </c>
      <c r="J558" s="111">
        <v>0</v>
      </c>
      <c r="K558" s="111">
        <v>0</v>
      </c>
      <c r="L558" s="111">
        <v>0</v>
      </c>
      <c r="M558" s="111">
        <v>0</v>
      </c>
      <c r="N558" s="111">
        <v>0</v>
      </c>
      <c r="O558" s="60">
        <v>12</v>
      </c>
    </row>
    <row r="559" spans="1:15" x14ac:dyDescent="0.25">
      <c r="A559" t="s">
        <v>352</v>
      </c>
      <c r="O559" s="60">
        <v>12</v>
      </c>
    </row>
    <row r="560" spans="1:15" x14ac:dyDescent="0.25">
      <c r="A560" t="s">
        <v>444</v>
      </c>
      <c r="B560" t="s">
        <v>445</v>
      </c>
      <c r="C560" t="s">
        <v>446</v>
      </c>
      <c r="D560" t="s">
        <v>447</v>
      </c>
      <c r="E560" t="s">
        <v>448</v>
      </c>
      <c r="F560" t="s">
        <v>449</v>
      </c>
      <c r="G560" t="s">
        <v>450</v>
      </c>
      <c r="H560" t="s">
        <v>451</v>
      </c>
      <c r="I560" t="s">
        <v>452</v>
      </c>
      <c r="J560" t="s">
        <v>453</v>
      </c>
      <c r="K560" t="s">
        <v>454</v>
      </c>
      <c r="L560" t="s">
        <v>455</v>
      </c>
      <c r="M560" t="s">
        <v>456</v>
      </c>
      <c r="N560" t="s">
        <v>457</v>
      </c>
      <c r="O560" s="60">
        <v>12</v>
      </c>
    </row>
    <row r="561" spans="1:15" x14ac:dyDescent="0.25">
      <c r="A561" t="s">
        <v>480</v>
      </c>
      <c r="B561" s="112">
        <v>45813</v>
      </c>
      <c r="C561" s="111">
        <v>0.129</v>
      </c>
      <c r="D561">
        <v>9.5</v>
      </c>
      <c r="E561" s="111">
        <v>0.69399999999999995</v>
      </c>
      <c r="F561" s="111">
        <v>4.0000000000000001E-3</v>
      </c>
      <c r="G561" s="111">
        <v>1.7999999999999999E-2</v>
      </c>
      <c r="H561" s="111">
        <v>6.5000000000000002E-2</v>
      </c>
      <c r="I561" s="111">
        <v>0.59399999999999997</v>
      </c>
      <c r="J561" s="111">
        <v>0</v>
      </c>
      <c r="K561" s="111">
        <v>2E-3</v>
      </c>
      <c r="L561" s="111">
        <v>8.9999999999999993E-3</v>
      </c>
      <c r="M561" s="111">
        <v>0.68200000000000005</v>
      </c>
      <c r="N561" s="111">
        <v>1.2E-2</v>
      </c>
      <c r="O561" s="60">
        <v>12</v>
      </c>
    </row>
    <row r="562" spans="1:15" x14ac:dyDescent="0.25">
      <c r="A562" t="s">
        <v>482</v>
      </c>
      <c r="B562" s="112">
        <v>45813</v>
      </c>
      <c r="C562" s="111">
        <v>0.02</v>
      </c>
      <c r="D562">
        <v>8.9</v>
      </c>
      <c r="E562" s="111">
        <v>0.38900000000000001</v>
      </c>
      <c r="F562" s="111">
        <v>2E-3</v>
      </c>
      <c r="G562" s="111">
        <v>8.0000000000000002E-3</v>
      </c>
      <c r="H562" s="111">
        <v>3.4000000000000002E-2</v>
      </c>
      <c r="I562" s="111">
        <v>0.25900000000000001</v>
      </c>
      <c r="J562" s="111">
        <v>7.0000000000000001E-3</v>
      </c>
      <c r="K562" s="111">
        <v>2.7E-2</v>
      </c>
      <c r="L562" s="111">
        <v>5.1999999999999998E-2</v>
      </c>
      <c r="M562" s="111">
        <v>0.30299999999999999</v>
      </c>
      <c r="N562" s="111">
        <v>8.5999999999999993E-2</v>
      </c>
      <c r="O562" s="60">
        <v>12</v>
      </c>
    </row>
    <row r="563" spans="1:15" x14ac:dyDescent="0.25">
      <c r="A563" t="s">
        <v>481</v>
      </c>
      <c r="B563" s="112">
        <v>45724</v>
      </c>
      <c r="C563" s="111">
        <v>-3.1E-2</v>
      </c>
      <c r="D563">
        <v>5.9</v>
      </c>
      <c r="E563" s="111">
        <v>1.6E-2</v>
      </c>
      <c r="F563" s="111">
        <v>0</v>
      </c>
      <c r="G563" s="111">
        <v>0</v>
      </c>
      <c r="H563" s="111">
        <v>0</v>
      </c>
      <c r="I563" s="111">
        <v>1.4999999999999999E-2</v>
      </c>
      <c r="J563" s="111">
        <v>0</v>
      </c>
      <c r="K563" s="111">
        <v>0</v>
      </c>
      <c r="L563" s="111">
        <v>1E-3</v>
      </c>
      <c r="M563" s="111">
        <v>1.4999999999999999E-2</v>
      </c>
      <c r="N563" s="111">
        <v>1E-3</v>
      </c>
      <c r="O563" s="60">
        <v>12</v>
      </c>
    </row>
    <row r="564" spans="1:15" x14ac:dyDescent="0.25">
      <c r="A564" t="s">
        <v>483</v>
      </c>
      <c r="B564" s="112">
        <v>45724</v>
      </c>
      <c r="C564" s="111">
        <v>-0.25800000000000001</v>
      </c>
      <c r="D564">
        <v>4.9000000000000004</v>
      </c>
      <c r="E564" s="111">
        <v>0</v>
      </c>
      <c r="F564" s="111">
        <v>0</v>
      </c>
      <c r="G564" s="111">
        <v>0</v>
      </c>
      <c r="H564" s="111">
        <v>0</v>
      </c>
      <c r="I564" s="111">
        <v>0</v>
      </c>
      <c r="J564" s="111">
        <v>0</v>
      </c>
      <c r="K564" s="111">
        <v>0</v>
      </c>
      <c r="L564" s="111">
        <v>0</v>
      </c>
      <c r="M564" s="111">
        <v>0</v>
      </c>
      <c r="N564" s="111">
        <v>0</v>
      </c>
      <c r="O564" s="60">
        <v>12</v>
      </c>
    </row>
    <row r="565" spans="1:15" x14ac:dyDescent="0.25">
      <c r="A565" t="s">
        <v>368</v>
      </c>
      <c r="O565" s="60">
        <v>12</v>
      </c>
    </row>
    <row r="566" spans="1:15" x14ac:dyDescent="0.25">
      <c r="A566" t="s">
        <v>444</v>
      </c>
      <c r="B566" t="s">
        <v>445</v>
      </c>
      <c r="C566" t="s">
        <v>446</v>
      </c>
      <c r="D566" t="s">
        <v>447</v>
      </c>
      <c r="E566" t="s">
        <v>448</v>
      </c>
      <c r="F566" t="s">
        <v>449</v>
      </c>
      <c r="G566" t="s">
        <v>450</v>
      </c>
      <c r="H566" t="s">
        <v>451</v>
      </c>
      <c r="I566" t="s">
        <v>452</v>
      </c>
      <c r="J566" t="s">
        <v>453</v>
      </c>
      <c r="K566" t="s">
        <v>454</v>
      </c>
      <c r="L566" t="s">
        <v>455</v>
      </c>
      <c r="M566" t="s">
        <v>456</v>
      </c>
      <c r="N566" t="s">
        <v>457</v>
      </c>
      <c r="O566" s="60">
        <v>12</v>
      </c>
    </row>
    <row r="567" spans="1:15" x14ac:dyDescent="0.25">
      <c r="A567" t="s">
        <v>485</v>
      </c>
      <c r="B567" s="112">
        <v>45872</v>
      </c>
      <c r="C567" s="111">
        <v>0.246</v>
      </c>
      <c r="D567">
        <v>11.8</v>
      </c>
      <c r="E567" s="111">
        <v>0.92400000000000004</v>
      </c>
      <c r="F567" s="111">
        <v>0.224</v>
      </c>
      <c r="G567" s="111">
        <v>0.23799999999999999</v>
      </c>
      <c r="H567" s="111">
        <v>0.249</v>
      </c>
      <c r="I567" s="111">
        <v>4.3999999999999997E-2</v>
      </c>
      <c r="J567" s="111">
        <v>5.5E-2</v>
      </c>
      <c r="K567" s="111">
        <v>5.8999999999999997E-2</v>
      </c>
      <c r="L567" s="111">
        <v>5.6000000000000001E-2</v>
      </c>
      <c r="M567" s="111">
        <v>0.754</v>
      </c>
      <c r="N567" s="111">
        <v>0.17</v>
      </c>
      <c r="O567" s="60">
        <v>12</v>
      </c>
    </row>
    <row r="568" spans="1:15" x14ac:dyDescent="0.25">
      <c r="A568" t="s">
        <v>484</v>
      </c>
      <c r="B568" s="112">
        <v>45842</v>
      </c>
      <c r="C568" s="111">
        <v>2.3E-2</v>
      </c>
      <c r="D568">
        <v>10.199999999999999</v>
      </c>
      <c r="E568" s="111">
        <v>0.68400000000000005</v>
      </c>
      <c r="F568" s="111">
        <v>2.7E-2</v>
      </c>
      <c r="G568" s="111">
        <v>5.2999999999999999E-2</v>
      </c>
      <c r="H568" s="111">
        <v>6.6000000000000003E-2</v>
      </c>
      <c r="I568" s="111">
        <v>1.7999999999999999E-2</v>
      </c>
      <c r="J568" s="111">
        <v>0.13700000000000001</v>
      </c>
      <c r="K568" s="111">
        <v>0.192</v>
      </c>
      <c r="L568" s="111">
        <v>0.189</v>
      </c>
      <c r="M568" s="111">
        <v>0.16500000000000001</v>
      </c>
      <c r="N568" s="111">
        <v>0.51900000000000002</v>
      </c>
      <c r="O568" s="60">
        <v>12</v>
      </c>
    </row>
    <row r="569" spans="1:15" x14ac:dyDescent="0.25">
      <c r="A569" t="s">
        <v>486</v>
      </c>
      <c r="B569" s="112">
        <v>45813</v>
      </c>
      <c r="C569" s="111">
        <v>0.08</v>
      </c>
      <c r="D569">
        <v>9.1</v>
      </c>
      <c r="E569" s="111">
        <v>0.35299999999999998</v>
      </c>
      <c r="F569" s="111">
        <v>3.0000000000000001E-3</v>
      </c>
      <c r="G569" s="111">
        <v>1.0999999999999999E-2</v>
      </c>
      <c r="H569" s="111">
        <v>5.6000000000000001E-2</v>
      </c>
      <c r="I569" s="111">
        <v>1.0999999999999999E-2</v>
      </c>
      <c r="J569" s="111">
        <v>0.05</v>
      </c>
      <c r="K569" s="111">
        <v>8.5999999999999993E-2</v>
      </c>
      <c r="L569" s="111">
        <v>0.13600000000000001</v>
      </c>
      <c r="M569" s="111">
        <v>8.1000000000000003E-2</v>
      </c>
      <c r="N569" s="111">
        <v>0.27200000000000002</v>
      </c>
      <c r="O569" s="60">
        <v>12</v>
      </c>
    </row>
    <row r="570" spans="1:15" x14ac:dyDescent="0.25">
      <c r="A570" t="s">
        <v>487</v>
      </c>
      <c r="B570" s="112">
        <v>45667</v>
      </c>
      <c r="C570" s="111">
        <v>-0.28799999999999998</v>
      </c>
      <c r="D570">
        <v>2.8</v>
      </c>
      <c r="E570" s="111">
        <v>0</v>
      </c>
      <c r="F570" s="111">
        <v>0</v>
      </c>
      <c r="G570" s="111">
        <v>0</v>
      </c>
      <c r="H570" s="111">
        <v>0</v>
      </c>
      <c r="I570" s="111">
        <v>0</v>
      </c>
      <c r="J570" s="111">
        <v>0</v>
      </c>
      <c r="K570" s="111">
        <v>0</v>
      </c>
      <c r="L570" s="111">
        <v>0</v>
      </c>
      <c r="M570" s="111">
        <v>0</v>
      </c>
      <c r="N570" s="111">
        <v>0</v>
      </c>
      <c r="O570" s="60">
        <v>12</v>
      </c>
    </row>
    <row r="571" spans="1:15" x14ac:dyDescent="0.25">
      <c r="A571" t="s">
        <v>367</v>
      </c>
      <c r="O571" s="60">
        <v>12</v>
      </c>
    </row>
    <row r="572" spans="1:15" x14ac:dyDescent="0.25">
      <c r="A572" t="s">
        <v>444</v>
      </c>
      <c r="B572" t="s">
        <v>445</v>
      </c>
      <c r="C572" t="s">
        <v>446</v>
      </c>
      <c r="D572" t="s">
        <v>447</v>
      </c>
      <c r="E572" t="s">
        <v>448</v>
      </c>
      <c r="F572" t="s">
        <v>449</v>
      </c>
      <c r="G572" t="s">
        <v>450</v>
      </c>
      <c r="H572" t="s">
        <v>451</v>
      </c>
      <c r="I572" t="s">
        <v>452</v>
      </c>
      <c r="J572" t="s">
        <v>453</v>
      </c>
      <c r="K572" t="s">
        <v>454</v>
      </c>
      <c r="L572" t="s">
        <v>455</v>
      </c>
      <c r="M572" t="s">
        <v>456</v>
      </c>
      <c r="N572" t="s">
        <v>457</v>
      </c>
      <c r="O572" s="60">
        <v>12</v>
      </c>
    </row>
    <row r="573" spans="1:15" x14ac:dyDescent="0.25">
      <c r="A573" t="s">
        <v>491</v>
      </c>
      <c r="B573" s="112">
        <v>45902</v>
      </c>
      <c r="C573" s="111">
        <v>0.122</v>
      </c>
      <c r="D573">
        <v>12.7</v>
      </c>
      <c r="E573" s="111">
        <v>0.97899999999999998</v>
      </c>
      <c r="F573" s="111">
        <v>0.41299999999999998</v>
      </c>
      <c r="G573" s="111">
        <v>0.23699999999999999</v>
      </c>
      <c r="H573" s="111">
        <v>0.153</v>
      </c>
      <c r="I573" s="111">
        <v>1.4E-2</v>
      </c>
      <c r="J573" s="111">
        <v>7.6999999999999999E-2</v>
      </c>
      <c r="K573" s="111">
        <v>5.3999999999999999E-2</v>
      </c>
      <c r="L573" s="111">
        <v>3.2000000000000001E-2</v>
      </c>
      <c r="M573" s="111">
        <v>0.81699999999999995</v>
      </c>
      <c r="N573" s="111">
        <v>0.16200000000000001</v>
      </c>
      <c r="O573" s="60">
        <v>12</v>
      </c>
    </row>
    <row r="574" spans="1:15" x14ac:dyDescent="0.25">
      <c r="A574" t="s">
        <v>488</v>
      </c>
      <c r="B574" s="112">
        <v>45813</v>
      </c>
      <c r="C574" s="111">
        <v>0.20399999999999999</v>
      </c>
      <c r="D574">
        <v>10.4</v>
      </c>
      <c r="E574" s="111">
        <v>0.65700000000000003</v>
      </c>
      <c r="F574" s="111">
        <v>8.0000000000000002E-3</v>
      </c>
      <c r="G574" s="111">
        <v>4.5999999999999999E-2</v>
      </c>
      <c r="H574" s="111">
        <v>5.2999999999999999E-2</v>
      </c>
      <c r="I574" s="111">
        <v>5.0000000000000001E-3</v>
      </c>
      <c r="J574" s="111">
        <v>0.158</v>
      </c>
      <c r="K574" s="111">
        <v>0.20100000000000001</v>
      </c>
      <c r="L574" s="111">
        <v>0.186</v>
      </c>
      <c r="M574" s="111">
        <v>0.112</v>
      </c>
      <c r="N574" s="111">
        <v>0.54500000000000004</v>
      </c>
      <c r="O574" s="60">
        <v>12</v>
      </c>
    </row>
    <row r="575" spans="1:15" x14ac:dyDescent="0.25">
      <c r="A575" t="s">
        <v>489</v>
      </c>
      <c r="B575" s="112">
        <v>45842</v>
      </c>
      <c r="C575" s="111">
        <v>-2.1999999999999999E-2</v>
      </c>
      <c r="D575">
        <v>9.6</v>
      </c>
      <c r="E575" s="111">
        <v>0.48799999999999999</v>
      </c>
      <c r="F575" s="111">
        <v>0.01</v>
      </c>
      <c r="G575" s="111">
        <v>1.9E-2</v>
      </c>
      <c r="H575" s="111">
        <v>3.9E-2</v>
      </c>
      <c r="I575" s="111">
        <v>4.0000000000000001E-3</v>
      </c>
      <c r="J575" s="111">
        <v>0.111</v>
      </c>
      <c r="K575" s="111">
        <v>0.13</v>
      </c>
      <c r="L575" s="111">
        <v>0.17599999999999999</v>
      </c>
      <c r="M575" s="111">
        <v>7.0999999999999994E-2</v>
      </c>
      <c r="N575" s="111">
        <v>0.41699999999999998</v>
      </c>
      <c r="O575" s="60">
        <v>12</v>
      </c>
    </row>
    <row r="576" spans="1:15" x14ac:dyDescent="0.25">
      <c r="A576" t="s">
        <v>490</v>
      </c>
      <c r="B576" s="112">
        <v>45697</v>
      </c>
      <c r="C576" s="111">
        <v>-0.26300000000000001</v>
      </c>
      <c r="D576">
        <v>3.4</v>
      </c>
      <c r="E576" s="111">
        <v>0</v>
      </c>
      <c r="F576" s="111">
        <v>0</v>
      </c>
      <c r="G576" s="111">
        <v>0</v>
      </c>
      <c r="H576" s="111">
        <v>0</v>
      </c>
      <c r="I576" s="111">
        <v>0</v>
      </c>
      <c r="J576" s="111">
        <v>0</v>
      </c>
      <c r="K576" s="111">
        <v>0</v>
      </c>
      <c r="L576" s="111">
        <v>0</v>
      </c>
      <c r="M576" s="111">
        <v>0</v>
      </c>
      <c r="N576" s="111">
        <v>0</v>
      </c>
      <c r="O576" s="60">
        <v>12</v>
      </c>
    </row>
    <row r="577" spans="1:15" x14ac:dyDescent="0.25">
      <c r="A577" t="s">
        <v>363</v>
      </c>
      <c r="O577" s="60">
        <v>13</v>
      </c>
    </row>
    <row r="578" spans="1:15" x14ac:dyDescent="0.25">
      <c r="A578" t="s">
        <v>333</v>
      </c>
      <c r="B578" t="s">
        <v>498</v>
      </c>
      <c r="C578" t="s">
        <v>499</v>
      </c>
      <c r="D578" t="s">
        <v>500</v>
      </c>
      <c r="E578" t="s">
        <v>501</v>
      </c>
      <c r="F578" t="s">
        <v>502</v>
      </c>
      <c r="G578" t="s">
        <v>503</v>
      </c>
      <c r="H578" t="s">
        <v>504</v>
      </c>
      <c r="I578" t="s">
        <v>505</v>
      </c>
      <c r="J578" t="s">
        <v>506</v>
      </c>
      <c r="K578" t="s">
        <v>507</v>
      </c>
      <c r="L578" t="s">
        <v>508</v>
      </c>
      <c r="M578" t="s">
        <v>509</v>
      </c>
      <c r="N578" t="s">
        <v>457</v>
      </c>
      <c r="O578" s="60">
        <v>13</v>
      </c>
    </row>
    <row r="579" spans="1:15" x14ac:dyDescent="0.25">
      <c r="A579" t="s">
        <v>38</v>
      </c>
      <c r="B579" s="112">
        <v>45873</v>
      </c>
      <c r="C579" s="111">
        <v>7.8E-2</v>
      </c>
      <c r="D579">
        <v>11.2</v>
      </c>
      <c r="E579" s="111">
        <v>0.92500000000000004</v>
      </c>
      <c r="F579" s="111">
        <v>5.7000000000000002E-2</v>
      </c>
      <c r="G579" s="111">
        <v>0.16300000000000001</v>
      </c>
      <c r="H579" s="111">
        <v>0.54200000000000004</v>
      </c>
      <c r="I579" s="111">
        <v>0.14299999999999999</v>
      </c>
      <c r="J579" s="111">
        <v>1E-3</v>
      </c>
      <c r="K579" s="111">
        <v>6.0000000000000001E-3</v>
      </c>
      <c r="L579" s="111">
        <v>1.4E-2</v>
      </c>
      <c r="M579" s="111">
        <v>0.90500000000000003</v>
      </c>
      <c r="N579" s="111">
        <v>0.02</v>
      </c>
      <c r="O579" s="60">
        <v>13</v>
      </c>
    </row>
    <row r="580" spans="1:15" x14ac:dyDescent="0.25">
      <c r="A580" t="s">
        <v>14</v>
      </c>
      <c r="B580" s="122">
        <v>37047</v>
      </c>
      <c r="C580" s="111">
        <v>2.3E-2</v>
      </c>
      <c r="D580">
        <v>9.1999999999999993</v>
      </c>
      <c r="E580" s="111">
        <v>0.17</v>
      </c>
      <c r="F580" s="111">
        <v>0</v>
      </c>
      <c r="G580" s="111">
        <v>2E-3</v>
      </c>
      <c r="H580" s="111">
        <v>0.05</v>
      </c>
      <c r="I580" s="111">
        <v>4.2999999999999997E-2</v>
      </c>
      <c r="J580" s="111">
        <v>2E-3</v>
      </c>
      <c r="K580" s="111">
        <v>1.2999999999999999E-2</v>
      </c>
      <c r="L580" s="111">
        <v>0.06</v>
      </c>
      <c r="M580" s="111">
        <v>9.5000000000000001E-2</v>
      </c>
      <c r="N580" s="111">
        <v>7.4999999999999997E-2</v>
      </c>
      <c r="O580" s="60">
        <v>13</v>
      </c>
    </row>
    <row r="581" spans="1:15" x14ac:dyDescent="0.25">
      <c r="A581" t="s">
        <v>41</v>
      </c>
      <c r="B581" s="112">
        <v>45725</v>
      </c>
      <c r="C581" s="111">
        <v>-0.109</v>
      </c>
      <c r="D581">
        <v>4.9000000000000004</v>
      </c>
      <c r="E581" s="111">
        <v>0</v>
      </c>
      <c r="F581" s="111">
        <v>0</v>
      </c>
      <c r="G581" s="111">
        <v>0</v>
      </c>
      <c r="H581" s="111">
        <v>0</v>
      </c>
      <c r="I581" s="111">
        <v>0</v>
      </c>
      <c r="J581" s="111">
        <v>0</v>
      </c>
      <c r="K581" s="111">
        <v>0</v>
      </c>
      <c r="L581" s="111">
        <v>0</v>
      </c>
      <c r="M581" s="111">
        <v>0</v>
      </c>
      <c r="N581" s="111">
        <v>0</v>
      </c>
      <c r="O581" s="60">
        <v>13</v>
      </c>
    </row>
    <row r="582" spans="1:15" x14ac:dyDescent="0.25">
      <c r="A582" t="s">
        <v>95</v>
      </c>
      <c r="B582" s="112">
        <v>45699</v>
      </c>
      <c r="C582" s="111">
        <v>-0.10199999999999999</v>
      </c>
      <c r="D582">
        <v>4.3</v>
      </c>
      <c r="E582" s="111">
        <v>0</v>
      </c>
      <c r="F582" s="111">
        <v>0</v>
      </c>
      <c r="G582" s="111">
        <v>0</v>
      </c>
      <c r="H582" s="111">
        <v>0</v>
      </c>
      <c r="I582" s="111">
        <v>0</v>
      </c>
      <c r="J582" s="111">
        <v>0</v>
      </c>
      <c r="K582" s="111">
        <v>0</v>
      </c>
      <c r="L582" s="111">
        <v>0</v>
      </c>
      <c r="M582" s="111">
        <v>0</v>
      </c>
      <c r="N582" s="111">
        <v>0</v>
      </c>
      <c r="O582" s="60">
        <v>13</v>
      </c>
    </row>
    <row r="583" spans="1:15" x14ac:dyDescent="0.25">
      <c r="A583" t="s">
        <v>357</v>
      </c>
      <c r="O583" s="60">
        <v>13</v>
      </c>
    </row>
    <row r="584" spans="1:15" x14ac:dyDescent="0.25">
      <c r="A584" t="s">
        <v>333</v>
      </c>
      <c r="B584" t="s">
        <v>498</v>
      </c>
      <c r="C584" t="s">
        <v>499</v>
      </c>
      <c r="D584" t="s">
        <v>500</v>
      </c>
      <c r="E584" t="s">
        <v>501</v>
      </c>
      <c r="F584" t="s">
        <v>502</v>
      </c>
      <c r="G584" t="s">
        <v>503</v>
      </c>
      <c r="H584" t="s">
        <v>504</v>
      </c>
      <c r="I584" t="s">
        <v>505</v>
      </c>
      <c r="J584" t="s">
        <v>506</v>
      </c>
      <c r="K584" t="s">
        <v>507</v>
      </c>
      <c r="L584" t="s">
        <v>508</v>
      </c>
      <c r="M584" t="s">
        <v>509</v>
      </c>
      <c r="N584" t="s">
        <v>457</v>
      </c>
      <c r="O584" s="60">
        <v>13</v>
      </c>
    </row>
    <row r="585" spans="1:15" x14ac:dyDescent="0.25">
      <c r="A585" t="s">
        <v>400</v>
      </c>
      <c r="B585" s="122">
        <v>37106</v>
      </c>
      <c r="C585" s="111">
        <v>0.19400000000000001</v>
      </c>
      <c r="D585">
        <v>11.7</v>
      </c>
      <c r="E585" s="111">
        <v>0.90400000000000003</v>
      </c>
      <c r="F585" s="111">
        <v>0.127</v>
      </c>
      <c r="G585" s="111">
        <v>0.36499999999999999</v>
      </c>
      <c r="H585" s="111">
        <v>0.10299999999999999</v>
      </c>
      <c r="I585" s="111">
        <v>1.0999999999999999E-2</v>
      </c>
      <c r="J585" s="111">
        <v>4.1000000000000002E-2</v>
      </c>
      <c r="K585" s="111">
        <v>0.123</v>
      </c>
      <c r="L585" s="111">
        <v>0.13300000000000001</v>
      </c>
      <c r="M585" s="111">
        <v>0.60699999999999998</v>
      </c>
      <c r="N585" s="111">
        <v>0.29699999999999999</v>
      </c>
      <c r="O585" s="60">
        <v>13</v>
      </c>
    </row>
    <row r="586" spans="1:15" x14ac:dyDescent="0.25">
      <c r="A586" t="s">
        <v>72</v>
      </c>
      <c r="B586" s="112">
        <v>45903</v>
      </c>
      <c r="C586" s="111">
        <v>-3.0000000000000001E-3</v>
      </c>
      <c r="D586">
        <v>11.1</v>
      </c>
      <c r="E586" s="111">
        <v>0.69699999999999995</v>
      </c>
      <c r="F586" s="111">
        <v>8.1000000000000003E-2</v>
      </c>
      <c r="G586" s="111">
        <v>0.17499999999999999</v>
      </c>
      <c r="H586" s="111">
        <v>3.9E-2</v>
      </c>
      <c r="I586" s="111">
        <v>1.2999999999999999E-2</v>
      </c>
      <c r="J586" s="111">
        <v>6.5000000000000002E-2</v>
      </c>
      <c r="K586" s="111">
        <v>0.12</v>
      </c>
      <c r="L586" s="111">
        <v>0.20499999999999999</v>
      </c>
      <c r="M586" s="111">
        <v>0.307</v>
      </c>
      <c r="N586" s="111">
        <v>0.39</v>
      </c>
      <c r="O586" s="60">
        <v>13</v>
      </c>
    </row>
    <row r="587" spans="1:15" x14ac:dyDescent="0.25">
      <c r="A587" t="s">
        <v>10</v>
      </c>
      <c r="B587" s="112">
        <v>45843</v>
      </c>
      <c r="C587" s="111">
        <v>0.22900000000000001</v>
      </c>
      <c r="D587">
        <v>10.199999999999999</v>
      </c>
      <c r="E587" s="111">
        <v>0.49299999999999999</v>
      </c>
      <c r="F587" s="111">
        <v>5.0000000000000001E-3</v>
      </c>
      <c r="G587" s="111">
        <v>3.7999999999999999E-2</v>
      </c>
      <c r="H587" s="111">
        <v>3.9E-2</v>
      </c>
      <c r="I587" s="111">
        <v>3.0000000000000001E-3</v>
      </c>
      <c r="J587" s="111">
        <v>4.5999999999999999E-2</v>
      </c>
      <c r="K587" s="111">
        <v>0.11</v>
      </c>
      <c r="L587" s="111">
        <v>0.251</v>
      </c>
      <c r="M587" s="111">
        <v>8.5999999999999993E-2</v>
      </c>
      <c r="N587" s="111">
        <v>0.40699999999999997</v>
      </c>
      <c r="O587" s="60">
        <v>13</v>
      </c>
    </row>
    <row r="588" spans="1:15" x14ac:dyDescent="0.25">
      <c r="A588" t="s">
        <v>75</v>
      </c>
      <c r="B588" s="112">
        <v>45755</v>
      </c>
      <c r="C588" s="111">
        <v>-0.13300000000000001</v>
      </c>
      <c r="D588">
        <v>5.8</v>
      </c>
      <c r="E588" s="111">
        <v>0</v>
      </c>
      <c r="F588" s="111">
        <v>0</v>
      </c>
      <c r="G588" s="111">
        <v>0</v>
      </c>
      <c r="H588" s="111">
        <v>0</v>
      </c>
      <c r="I588" s="111">
        <v>0</v>
      </c>
      <c r="J588" s="111">
        <v>0</v>
      </c>
      <c r="K588" s="111">
        <v>0</v>
      </c>
      <c r="L588" s="111">
        <v>0</v>
      </c>
      <c r="M588" s="111">
        <v>0</v>
      </c>
      <c r="N588" s="111">
        <v>0</v>
      </c>
      <c r="O588" s="60">
        <v>13</v>
      </c>
    </row>
    <row r="589" spans="1:15" x14ac:dyDescent="0.25">
      <c r="A589" t="s">
        <v>383</v>
      </c>
      <c r="O589" s="60">
        <v>13</v>
      </c>
    </row>
    <row r="590" spans="1:15" x14ac:dyDescent="0.25">
      <c r="A590" t="s">
        <v>333</v>
      </c>
      <c r="B590" t="s">
        <v>498</v>
      </c>
      <c r="C590" t="s">
        <v>499</v>
      </c>
      <c r="D590" t="s">
        <v>500</v>
      </c>
      <c r="E590" t="s">
        <v>501</v>
      </c>
      <c r="F590" t="s">
        <v>502</v>
      </c>
      <c r="G590" t="s">
        <v>503</v>
      </c>
      <c r="H590" t="s">
        <v>504</v>
      </c>
      <c r="I590" t="s">
        <v>505</v>
      </c>
      <c r="J590" t="s">
        <v>506</v>
      </c>
      <c r="K590" t="s">
        <v>507</v>
      </c>
      <c r="L590" t="s">
        <v>508</v>
      </c>
      <c r="M590" t="s">
        <v>509</v>
      </c>
      <c r="N590" t="s">
        <v>457</v>
      </c>
      <c r="O590" s="60">
        <v>13</v>
      </c>
    </row>
    <row r="591" spans="1:15" x14ac:dyDescent="0.25">
      <c r="A591" t="s">
        <v>402</v>
      </c>
      <c r="B591" s="112">
        <v>45843</v>
      </c>
      <c r="C591" s="111">
        <v>-1.4E-2</v>
      </c>
      <c r="D591">
        <v>10.199999999999999</v>
      </c>
      <c r="E591" s="111">
        <v>0.83299999999999996</v>
      </c>
      <c r="F591" s="111">
        <v>3.0000000000000001E-3</v>
      </c>
      <c r="G591" s="111">
        <v>3.5000000000000003E-2</v>
      </c>
      <c r="H591" s="111">
        <v>0.14899999999999999</v>
      </c>
      <c r="I591" s="111">
        <v>0.64300000000000002</v>
      </c>
      <c r="J591" s="111">
        <v>0</v>
      </c>
      <c r="K591" s="111">
        <v>0</v>
      </c>
      <c r="L591" s="111">
        <v>3.0000000000000001E-3</v>
      </c>
      <c r="M591" s="111">
        <v>0.83</v>
      </c>
      <c r="N591" s="111">
        <v>3.0000000000000001E-3</v>
      </c>
      <c r="O591" s="60">
        <v>13</v>
      </c>
    </row>
    <row r="592" spans="1:15" x14ac:dyDescent="0.25">
      <c r="A592" t="s">
        <v>67</v>
      </c>
      <c r="B592" s="112">
        <v>45844</v>
      </c>
      <c r="C592" s="111">
        <v>-0.14699999999999999</v>
      </c>
      <c r="D592">
        <v>8.5</v>
      </c>
      <c r="E592" s="111">
        <v>0.17699999999999999</v>
      </c>
      <c r="F592" s="111">
        <v>0</v>
      </c>
      <c r="G592" s="111">
        <v>1E-3</v>
      </c>
      <c r="H592" s="111">
        <v>2.9000000000000001E-2</v>
      </c>
      <c r="I592" s="111">
        <v>0.14000000000000001</v>
      </c>
      <c r="J592" s="111">
        <v>0</v>
      </c>
      <c r="K592" s="111">
        <v>1E-3</v>
      </c>
      <c r="L592" s="111">
        <v>7.0000000000000001E-3</v>
      </c>
      <c r="M592" s="111">
        <v>0.17</v>
      </c>
      <c r="N592" s="111">
        <v>7.0000000000000001E-3</v>
      </c>
      <c r="O592" s="60">
        <v>13</v>
      </c>
    </row>
    <row r="593" spans="1:15" x14ac:dyDescent="0.25">
      <c r="A593" t="s">
        <v>69</v>
      </c>
      <c r="B593" s="112">
        <v>45755</v>
      </c>
      <c r="C593" s="111">
        <v>-0.13300000000000001</v>
      </c>
      <c r="D593">
        <v>5.7</v>
      </c>
      <c r="E593" s="111">
        <v>0</v>
      </c>
      <c r="F593" s="111">
        <v>0</v>
      </c>
      <c r="G593" s="111">
        <v>0</v>
      </c>
      <c r="H593" s="111">
        <v>0</v>
      </c>
      <c r="I593" s="111">
        <v>0</v>
      </c>
      <c r="J593" s="111">
        <v>0</v>
      </c>
      <c r="K593" s="111">
        <v>0</v>
      </c>
      <c r="L593" s="111">
        <v>0</v>
      </c>
      <c r="M593" s="111">
        <v>0</v>
      </c>
      <c r="N593" s="111">
        <v>0</v>
      </c>
      <c r="O593" s="60">
        <v>13</v>
      </c>
    </row>
    <row r="594" spans="1:15" x14ac:dyDescent="0.25">
      <c r="A594" t="s">
        <v>403</v>
      </c>
      <c r="B594" s="112">
        <v>45698</v>
      </c>
      <c r="C594" s="111">
        <v>-0.26100000000000001</v>
      </c>
      <c r="D594">
        <v>4</v>
      </c>
      <c r="E594" s="111">
        <v>0</v>
      </c>
      <c r="F594" s="111">
        <v>0</v>
      </c>
      <c r="G594" s="111">
        <v>0</v>
      </c>
      <c r="H594" s="111">
        <v>0</v>
      </c>
      <c r="I594" s="111">
        <v>0</v>
      </c>
      <c r="J594" s="111">
        <v>0</v>
      </c>
      <c r="K594" s="111">
        <v>0</v>
      </c>
      <c r="L594" s="111">
        <v>0</v>
      </c>
      <c r="M594" s="111">
        <v>0</v>
      </c>
      <c r="N594" s="111">
        <v>0</v>
      </c>
      <c r="O594" s="60">
        <v>13</v>
      </c>
    </row>
    <row r="595" spans="1:15" x14ac:dyDescent="0.25">
      <c r="A595" t="s">
        <v>355</v>
      </c>
      <c r="O595" s="60">
        <v>13</v>
      </c>
    </row>
    <row r="596" spans="1:15" x14ac:dyDescent="0.25">
      <c r="A596" t="s">
        <v>333</v>
      </c>
      <c r="B596" t="s">
        <v>498</v>
      </c>
      <c r="C596" t="s">
        <v>499</v>
      </c>
      <c r="D596" t="s">
        <v>500</v>
      </c>
      <c r="E596" t="s">
        <v>501</v>
      </c>
      <c r="F596" t="s">
        <v>502</v>
      </c>
      <c r="G596" t="s">
        <v>503</v>
      </c>
      <c r="H596" t="s">
        <v>504</v>
      </c>
      <c r="I596" t="s">
        <v>505</v>
      </c>
      <c r="J596" t="s">
        <v>506</v>
      </c>
      <c r="K596" t="s">
        <v>507</v>
      </c>
      <c r="L596" t="s">
        <v>508</v>
      </c>
      <c r="M596" t="s">
        <v>509</v>
      </c>
      <c r="N596" t="s">
        <v>457</v>
      </c>
      <c r="O596" s="60">
        <v>13</v>
      </c>
    </row>
    <row r="597" spans="1:15" x14ac:dyDescent="0.25">
      <c r="A597" t="s">
        <v>55</v>
      </c>
      <c r="B597" s="112">
        <v>45903</v>
      </c>
      <c r="C597" s="111">
        <v>0.31900000000000001</v>
      </c>
      <c r="D597">
        <v>12.5</v>
      </c>
      <c r="E597" s="111">
        <v>0.96</v>
      </c>
      <c r="F597" s="111">
        <v>0.29299999999999998</v>
      </c>
      <c r="G597" s="111">
        <v>6.3E-2</v>
      </c>
      <c r="H597" s="111">
        <v>1.0999999999999999E-2</v>
      </c>
      <c r="I597" s="111">
        <v>1E-3</v>
      </c>
      <c r="J597" s="111">
        <v>0.33500000000000002</v>
      </c>
      <c r="K597" s="111">
        <v>0.18099999999999999</v>
      </c>
      <c r="L597" s="111">
        <v>7.6999999999999999E-2</v>
      </c>
      <c r="M597" s="111">
        <v>0.36799999999999999</v>
      </c>
      <c r="N597" s="111">
        <v>0.59199999999999997</v>
      </c>
      <c r="O597" s="60">
        <v>13</v>
      </c>
    </row>
    <row r="598" spans="1:15" x14ac:dyDescent="0.25">
      <c r="A598" t="s">
        <v>21</v>
      </c>
      <c r="B598" s="112">
        <v>45903</v>
      </c>
      <c r="C598" s="111">
        <v>0.32900000000000001</v>
      </c>
      <c r="D598">
        <v>12.5</v>
      </c>
      <c r="E598" s="111">
        <v>0.95299999999999996</v>
      </c>
      <c r="F598" s="111">
        <v>0.36199999999999999</v>
      </c>
      <c r="G598" s="111">
        <v>0.11899999999999999</v>
      </c>
      <c r="H598" s="111">
        <v>2.9000000000000001E-2</v>
      </c>
      <c r="I598" s="111">
        <v>1E-3</v>
      </c>
      <c r="J598" s="111">
        <v>0.23899999999999999</v>
      </c>
      <c r="K598" s="111">
        <v>0.13200000000000001</v>
      </c>
      <c r="L598" s="111">
        <v>7.1999999999999995E-2</v>
      </c>
      <c r="M598" s="111">
        <v>0.51</v>
      </c>
      <c r="N598" s="111">
        <v>0.443</v>
      </c>
      <c r="O598" s="60">
        <v>13</v>
      </c>
    </row>
    <row r="599" spans="1:15" x14ac:dyDescent="0.25">
      <c r="A599" t="s">
        <v>405</v>
      </c>
      <c r="B599" s="112">
        <v>45904</v>
      </c>
      <c r="C599" s="111">
        <v>0.09</v>
      </c>
      <c r="D599">
        <v>11.2</v>
      </c>
      <c r="E599" s="111">
        <v>0.88700000000000001</v>
      </c>
      <c r="F599" s="111">
        <v>7.1999999999999995E-2</v>
      </c>
      <c r="G599" s="111">
        <v>3.9E-2</v>
      </c>
      <c r="H599" s="111">
        <v>8.9999999999999993E-3</v>
      </c>
      <c r="I599" s="111">
        <v>1E-3</v>
      </c>
      <c r="J599" s="111">
        <v>0.27200000000000002</v>
      </c>
      <c r="K599" s="111">
        <v>0.315</v>
      </c>
      <c r="L599" s="111">
        <v>0.17899999999999999</v>
      </c>
      <c r="M599" s="111">
        <v>0.122</v>
      </c>
      <c r="N599" s="111">
        <v>0.76500000000000001</v>
      </c>
      <c r="O599" s="60">
        <v>13</v>
      </c>
    </row>
    <row r="600" spans="1:15" x14ac:dyDescent="0.25">
      <c r="A600" t="s">
        <v>93</v>
      </c>
      <c r="B600" s="112">
        <v>45725</v>
      </c>
      <c r="C600" s="111">
        <v>-4.3999999999999997E-2</v>
      </c>
      <c r="D600">
        <v>4.8</v>
      </c>
      <c r="E600" s="111">
        <v>0</v>
      </c>
      <c r="F600" s="111">
        <v>0</v>
      </c>
      <c r="G600" s="111">
        <v>0</v>
      </c>
      <c r="H600" s="111">
        <v>0</v>
      </c>
      <c r="I600" s="111">
        <v>0</v>
      </c>
      <c r="J600" s="111">
        <v>0</v>
      </c>
      <c r="K600" s="111">
        <v>0</v>
      </c>
      <c r="L600" s="111">
        <v>0</v>
      </c>
      <c r="M600" s="111">
        <v>0</v>
      </c>
      <c r="N600" s="111">
        <v>0</v>
      </c>
      <c r="O600" s="60">
        <v>13</v>
      </c>
    </row>
    <row r="601" spans="1:15" x14ac:dyDescent="0.25">
      <c r="A601" t="s">
        <v>359</v>
      </c>
      <c r="O601" s="60">
        <v>13</v>
      </c>
    </row>
    <row r="602" spans="1:15" x14ac:dyDescent="0.25">
      <c r="A602" t="s">
        <v>333</v>
      </c>
      <c r="B602" t="s">
        <v>498</v>
      </c>
      <c r="C602" t="s">
        <v>499</v>
      </c>
      <c r="D602" t="s">
        <v>500</v>
      </c>
      <c r="E602" t="s">
        <v>501</v>
      </c>
      <c r="F602" t="s">
        <v>502</v>
      </c>
      <c r="G602" t="s">
        <v>503</v>
      </c>
      <c r="H602" t="s">
        <v>504</v>
      </c>
      <c r="I602" t="s">
        <v>505</v>
      </c>
      <c r="J602" t="s">
        <v>506</v>
      </c>
      <c r="K602" t="s">
        <v>507</v>
      </c>
      <c r="L602" t="s">
        <v>508</v>
      </c>
      <c r="M602" t="s">
        <v>509</v>
      </c>
      <c r="N602" t="s">
        <v>457</v>
      </c>
      <c r="O602" s="60">
        <v>13</v>
      </c>
    </row>
    <row r="603" spans="1:15" x14ac:dyDescent="0.25">
      <c r="A603" t="s">
        <v>404</v>
      </c>
      <c r="B603" s="112">
        <v>45963</v>
      </c>
      <c r="C603" s="111">
        <v>0.05</v>
      </c>
      <c r="D603">
        <v>13.2</v>
      </c>
      <c r="E603" s="111">
        <v>0.999</v>
      </c>
      <c r="F603" s="111">
        <v>0.36799999999999999</v>
      </c>
      <c r="G603" s="111">
        <v>0.38800000000000001</v>
      </c>
      <c r="H603" s="111">
        <v>7.0999999999999994E-2</v>
      </c>
      <c r="I603" s="111">
        <v>0</v>
      </c>
      <c r="J603" s="111">
        <v>0.13400000000000001</v>
      </c>
      <c r="K603" s="111">
        <v>2.9000000000000001E-2</v>
      </c>
      <c r="L603" s="111">
        <v>8.0000000000000002E-3</v>
      </c>
      <c r="M603" s="111">
        <v>0.82799999999999996</v>
      </c>
      <c r="N603" s="111">
        <v>0.17100000000000001</v>
      </c>
      <c r="O603" s="60">
        <v>13</v>
      </c>
    </row>
    <row r="604" spans="1:15" x14ac:dyDescent="0.25">
      <c r="A604" t="s">
        <v>25</v>
      </c>
      <c r="B604" s="112">
        <v>45873</v>
      </c>
      <c r="C604" s="111">
        <v>0.13200000000000001</v>
      </c>
      <c r="D604">
        <v>11.4</v>
      </c>
      <c r="E604" s="111">
        <v>0.91700000000000004</v>
      </c>
      <c r="F604" s="111">
        <v>5.6000000000000001E-2</v>
      </c>
      <c r="G604" s="111">
        <v>8.7999999999999995E-2</v>
      </c>
      <c r="H604" s="111">
        <v>2.8000000000000001E-2</v>
      </c>
      <c r="I604" s="111">
        <v>0</v>
      </c>
      <c r="J604" s="111">
        <v>0.46100000000000002</v>
      </c>
      <c r="K604" s="111">
        <v>0.17899999999999999</v>
      </c>
      <c r="L604" s="111">
        <v>0.104</v>
      </c>
      <c r="M604" s="111">
        <v>0.17199999999999999</v>
      </c>
      <c r="N604" s="111">
        <v>0.74399999999999999</v>
      </c>
      <c r="O604" s="60">
        <v>13</v>
      </c>
    </row>
    <row r="605" spans="1:15" x14ac:dyDescent="0.25">
      <c r="A605" t="s">
        <v>2</v>
      </c>
      <c r="B605" s="112">
        <v>45784</v>
      </c>
      <c r="C605" s="111">
        <v>-6.6000000000000003E-2</v>
      </c>
      <c r="D605">
        <v>7.2</v>
      </c>
      <c r="E605" s="111">
        <v>3.0000000000000001E-3</v>
      </c>
      <c r="F605" s="111">
        <v>0</v>
      </c>
      <c r="G605" s="111">
        <v>0</v>
      </c>
      <c r="H605" s="111">
        <v>0</v>
      </c>
      <c r="I605" s="111">
        <v>0</v>
      </c>
      <c r="J605" s="111">
        <v>0</v>
      </c>
      <c r="K605" s="111">
        <v>0</v>
      </c>
      <c r="L605" s="111">
        <v>2E-3</v>
      </c>
      <c r="M605" s="111">
        <v>0</v>
      </c>
      <c r="N605" s="111">
        <v>3.0000000000000001E-3</v>
      </c>
      <c r="O605" s="60">
        <v>13</v>
      </c>
    </row>
    <row r="606" spans="1:15" x14ac:dyDescent="0.25">
      <c r="A606" t="s">
        <v>79</v>
      </c>
      <c r="B606" s="112">
        <v>45725</v>
      </c>
      <c r="C606" s="111">
        <v>-0.13300000000000001</v>
      </c>
      <c r="D606">
        <v>4.9000000000000004</v>
      </c>
      <c r="E606" s="111">
        <v>0</v>
      </c>
      <c r="F606" s="111">
        <v>0</v>
      </c>
      <c r="G606" s="111">
        <v>0</v>
      </c>
      <c r="H606" s="111">
        <v>0</v>
      </c>
      <c r="I606" s="111">
        <v>0</v>
      </c>
      <c r="J606" s="111">
        <v>0</v>
      </c>
      <c r="K606" s="111">
        <v>0</v>
      </c>
      <c r="L606" s="111">
        <v>0</v>
      </c>
      <c r="M606" s="111">
        <v>0</v>
      </c>
      <c r="N606" s="111">
        <v>0</v>
      </c>
      <c r="O606" s="60">
        <v>13</v>
      </c>
    </row>
    <row r="607" spans="1:15" x14ac:dyDescent="0.25">
      <c r="A607" t="s">
        <v>352</v>
      </c>
      <c r="O607" s="60">
        <v>13</v>
      </c>
    </row>
    <row r="608" spans="1:15" x14ac:dyDescent="0.25">
      <c r="A608" t="s">
        <v>333</v>
      </c>
      <c r="B608" t="s">
        <v>498</v>
      </c>
      <c r="C608" t="s">
        <v>499</v>
      </c>
      <c r="D608" t="s">
        <v>500</v>
      </c>
      <c r="E608" t="s">
        <v>501</v>
      </c>
      <c r="F608" t="s">
        <v>502</v>
      </c>
      <c r="G608" t="s">
        <v>503</v>
      </c>
      <c r="H608" t="s">
        <v>504</v>
      </c>
      <c r="I608" t="s">
        <v>505</v>
      </c>
      <c r="J608" t="s">
        <v>506</v>
      </c>
      <c r="K608" t="s">
        <v>507</v>
      </c>
      <c r="L608" t="s">
        <v>508</v>
      </c>
      <c r="M608" t="s">
        <v>509</v>
      </c>
      <c r="N608" t="s">
        <v>457</v>
      </c>
      <c r="O608" s="60">
        <v>13</v>
      </c>
    </row>
    <row r="609" spans="1:15" x14ac:dyDescent="0.25">
      <c r="A609" t="s">
        <v>47</v>
      </c>
      <c r="B609" s="112">
        <v>45814</v>
      </c>
      <c r="C609" s="111">
        <v>4.2999999999999997E-2</v>
      </c>
      <c r="D609">
        <v>8.4</v>
      </c>
      <c r="E609" s="111">
        <v>0.51200000000000001</v>
      </c>
      <c r="F609" s="111">
        <v>0</v>
      </c>
      <c r="G609" s="111">
        <v>0</v>
      </c>
      <c r="H609" s="111">
        <v>8.9999999999999993E-3</v>
      </c>
      <c r="I609" s="111">
        <v>0.502</v>
      </c>
      <c r="J609" s="111">
        <v>0</v>
      </c>
      <c r="K609" s="111">
        <v>0</v>
      </c>
      <c r="L609" s="111">
        <v>0</v>
      </c>
      <c r="M609" s="111">
        <v>0.51100000000000001</v>
      </c>
      <c r="N609" s="111">
        <v>0</v>
      </c>
      <c r="O609" s="60">
        <v>13</v>
      </c>
    </row>
    <row r="610" spans="1:15" x14ac:dyDescent="0.25">
      <c r="A610" t="s">
        <v>85</v>
      </c>
      <c r="B610" s="112">
        <v>45814</v>
      </c>
      <c r="C610" s="111">
        <v>5.0000000000000001E-3</v>
      </c>
      <c r="D610">
        <v>8.5</v>
      </c>
      <c r="E610" s="111">
        <v>0.42899999999999999</v>
      </c>
      <c r="F610" s="111">
        <v>0</v>
      </c>
      <c r="G610" s="111">
        <v>0</v>
      </c>
      <c r="H610" s="111">
        <v>1.4999999999999999E-2</v>
      </c>
      <c r="I610" s="111">
        <v>0.40799999999999997</v>
      </c>
      <c r="J610" s="111">
        <v>0</v>
      </c>
      <c r="K610" s="111">
        <v>1E-3</v>
      </c>
      <c r="L610" s="111">
        <v>5.0000000000000001E-3</v>
      </c>
      <c r="M610" s="111">
        <v>0.42399999999999999</v>
      </c>
      <c r="N610" s="111">
        <v>6.0000000000000001E-3</v>
      </c>
      <c r="O610" s="60">
        <v>13</v>
      </c>
    </row>
    <row r="611" spans="1:15" x14ac:dyDescent="0.25">
      <c r="A611" t="s">
        <v>77</v>
      </c>
      <c r="B611" s="112">
        <v>45755</v>
      </c>
      <c r="C611" s="111">
        <v>-3.7999999999999999E-2</v>
      </c>
      <c r="D611">
        <v>6.6</v>
      </c>
      <c r="E611" s="111">
        <v>6.6000000000000003E-2</v>
      </c>
      <c r="F611" s="111">
        <v>0</v>
      </c>
      <c r="G611" s="111">
        <v>0</v>
      </c>
      <c r="H611" s="111">
        <v>0</v>
      </c>
      <c r="I611" s="111">
        <v>6.5000000000000002E-2</v>
      </c>
      <c r="J611" s="111">
        <v>0</v>
      </c>
      <c r="K611" s="111">
        <v>0</v>
      </c>
      <c r="L611" s="111">
        <v>1E-3</v>
      </c>
      <c r="M611" s="111">
        <v>6.5000000000000002E-2</v>
      </c>
      <c r="N611" s="111">
        <v>1E-3</v>
      </c>
      <c r="O611" s="60">
        <v>13</v>
      </c>
    </row>
    <row r="612" spans="1:15" x14ac:dyDescent="0.25">
      <c r="A612" t="s">
        <v>91</v>
      </c>
      <c r="B612" s="112">
        <v>45725</v>
      </c>
      <c r="C612" s="111">
        <v>-0.25700000000000001</v>
      </c>
      <c r="D612">
        <v>4.7</v>
      </c>
      <c r="E612" s="111">
        <v>0</v>
      </c>
      <c r="F612" s="111">
        <v>0</v>
      </c>
      <c r="G612" s="111">
        <v>0</v>
      </c>
      <c r="H612" s="111">
        <v>0</v>
      </c>
      <c r="I612" s="111">
        <v>0</v>
      </c>
      <c r="J612" s="111">
        <v>0</v>
      </c>
      <c r="K612" s="111">
        <v>0</v>
      </c>
      <c r="L612" s="111">
        <v>0</v>
      </c>
      <c r="M612" s="111">
        <v>0</v>
      </c>
      <c r="N612" s="111">
        <v>0</v>
      </c>
      <c r="O612" s="60">
        <v>13</v>
      </c>
    </row>
    <row r="613" spans="1:15" x14ac:dyDescent="0.25">
      <c r="A613" t="s">
        <v>368</v>
      </c>
      <c r="O613" s="60">
        <v>13</v>
      </c>
    </row>
    <row r="614" spans="1:15" x14ac:dyDescent="0.25">
      <c r="A614" t="s">
        <v>333</v>
      </c>
      <c r="B614" t="s">
        <v>498</v>
      </c>
      <c r="C614" t="s">
        <v>499</v>
      </c>
      <c r="D614" t="s">
        <v>500</v>
      </c>
      <c r="E614" t="s">
        <v>501</v>
      </c>
      <c r="F614" t="s">
        <v>502</v>
      </c>
      <c r="G614" t="s">
        <v>503</v>
      </c>
      <c r="H614" t="s">
        <v>504</v>
      </c>
      <c r="I614" t="s">
        <v>505</v>
      </c>
      <c r="J614" t="s">
        <v>506</v>
      </c>
      <c r="K614" t="s">
        <v>507</v>
      </c>
      <c r="L614" t="s">
        <v>508</v>
      </c>
      <c r="M614" t="s">
        <v>509</v>
      </c>
      <c r="N614" t="s">
        <v>457</v>
      </c>
      <c r="O614" s="60">
        <v>13</v>
      </c>
    </row>
    <row r="615" spans="1:15" x14ac:dyDescent="0.25">
      <c r="A615" t="s">
        <v>44</v>
      </c>
      <c r="B615" s="112">
        <v>45873</v>
      </c>
      <c r="C615" s="111">
        <v>4.8000000000000001E-2</v>
      </c>
      <c r="D615">
        <v>10.6</v>
      </c>
      <c r="E615" s="111">
        <v>0.81599999999999995</v>
      </c>
      <c r="F615" s="111">
        <v>2.5999999999999999E-2</v>
      </c>
      <c r="G615" s="111">
        <v>8.3000000000000004E-2</v>
      </c>
      <c r="H615" s="111">
        <v>0.191</v>
      </c>
      <c r="I615" s="111">
        <v>7.0000000000000001E-3</v>
      </c>
      <c r="J615" s="111">
        <v>9.7000000000000003E-2</v>
      </c>
      <c r="K615" s="111">
        <v>0.224</v>
      </c>
      <c r="L615" s="111">
        <v>0.187</v>
      </c>
      <c r="M615" s="111">
        <v>0.308</v>
      </c>
      <c r="N615" s="111">
        <v>0.50800000000000001</v>
      </c>
      <c r="O615" s="60">
        <v>13</v>
      </c>
    </row>
    <row r="616" spans="1:15" x14ac:dyDescent="0.25">
      <c r="A616" t="s">
        <v>57</v>
      </c>
      <c r="B616" s="112">
        <v>45873</v>
      </c>
      <c r="C616" s="111">
        <v>0.23899999999999999</v>
      </c>
      <c r="D616">
        <v>10.9</v>
      </c>
      <c r="E616" s="111">
        <v>0.8</v>
      </c>
      <c r="F616" s="111">
        <v>3.3000000000000002E-2</v>
      </c>
      <c r="G616" s="111">
        <v>0.122</v>
      </c>
      <c r="H616" s="111">
        <v>0.33100000000000002</v>
      </c>
      <c r="I616" s="111">
        <v>1.0999999999999999E-2</v>
      </c>
      <c r="J616" s="111">
        <v>5.7000000000000002E-2</v>
      </c>
      <c r="K616" s="111">
        <v>0.11600000000000001</v>
      </c>
      <c r="L616" s="111">
        <v>0.13200000000000001</v>
      </c>
      <c r="M616" s="111">
        <v>0.496</v>
      </c>
      <c r="N616" s="111">
        <v>0.30499999999999999</v>
      </c>
      <c r="O616" s="60">
        <v>13</v>
      </c>
    </row>
    <row r="617" spans="1:15" x14ac:dyDescent="0.25">
      <c r="A617" t="s">
        <v>31</v>
      </c>
      <c r="B617" s="112">
        <v>45843</v>
      </c>
      <c r="C617" s="111">
        <v>7.4999999999999997E-2</v>
      </c>
      <c r="D617">
        <v>9.8000000000000007</v>
      </c>
      <c r="E617" s="111">
        <v>0.52800000000000002</v>
      </c>
      <c r="F617" s="111">
        <v>3.0000000000000001E-3</v>
      </c>
      <c r="G617" s="111">
        <v>1.2E-2</v>
      </c>
      <c r="H617" s="111">
        <v>0.17899999999999999</v>
      </c>
      <c r="I617" s="111">
        <v>3.0000000000000001E-3</v>
      </c>
      <c r="J617" s="111">
        <v>6.2E-2</v>
      </c>
      <c r="K617" s="111">
        <v>0.114</v>
      </c>
      <c r="L617" s="111">
        <v>0.155</v>
      </c>
      <c r="M617" s="111">
        <v>0.19700000000000001</v>
      </c>
      <c r="N617" s="111">
        <v>0.33200000000000002</v>
      </c>
      <c r="O617" s="60">
        <v>13</v>
      </c>
    </row>
    <row r="618" spans="1:15" x14ac:dyDescent="0.25">
      <c r="A618" t="s">
        <v>89</v>
      </c>
      <c r="B618" s="112">
        <v>45668</v>
      </c>
      <c r="C618" s="111">
        <v>-0.32900000000000001</v>
      </c>
      <c r="D618">
        <v>2.2999999999999998</v>
      </c>
      <c r="E618" s="111">
        <v>0</v>
      </c>
      <c r="F618" s="111">
        <v>0</v>
      </c>
      <c r="G618" s="111">
        <v>0</v>
      </c>
      <c r="H618" s="111">
        <v>0</v>
      </c>
      <c r="I618" s="111">
        <v>0</v>
      </c>
      <c r="J618" s="111">
        <v>0</v>
      </c>
      <c r="K618" s="111">
        <v>0</v>
      </c>
      <c r="L618" s="111">
        <v>0</v>
      </c>
      <c r="M618" s="111">
        <v>0</v>
      </c>
      <c r="N618" s="111">
        <v>0</v>
      </c>
      <c r="O618" s="60">
        <v>13</v>
      </c>
    </row>
    <row r="619" spans="1:15" x14ac:dyDescent="0.25">
      <c r="A619" t="s">
        <v>367</v>
      </c>
      <c r="O619" s="60">
        <v>13</v>
      </c>
    </row>
    <row r="620" spans="1:15" x14ac:dyDescent="0.25">
      <c r="A620" t="s">
        <v>333</v>
      </c>
      <c r="B620" t="s">
        <v>498</v>
      </c>
      <c r="C620" t="s">
        <v>499</v>
      </c>
      <c r="D620" t="s">
        <v>500</v>
      </c>
      <c r="E620" t="s">
        <v>501</v>
      </c>
      <c r="F620" t="s">
        <v>502</v>
      </c>
      <c r="G620" t="s">
        <v>503</v>
      </c>
      <c r="H620" t="s">
        <v>504</v>
      </c>
      <c r="I620" t="s">
        <v>505</v>
      </c>
      <c r="J620" t="s">
        <v>506</v>
      </c>
      <c r="K620" t="s">
        <v>507</v>
      </c>
      <c r="L620" t="s">
        <v>508</v>
      </c>
      <c r="M620" t="s">
        <v>509</v>
      </c>
      <c r="N620" t="s">
        <v>457</v>
      </c>
      <c r="O620" s="60">
        <v>13</v>
      </c>
    </row>
    <row r="621" spans="1:15" x14ac:dyDescent="0.25">
      <c r="A621" t="s">
        <v>63</v>
      </c>
      <c r="B621" s="112">
        <v>45932</v>
      </c>
      <c r="C621" s="111">
        <v>0.13</v>
      </c>
      <c r="D621">
        <v>13.1</v>
      </c>
      <c r="E621" s="111">
        <v>0.99099999999999999</v>
      </c>
      <c r="F621" s="111">
        <v>0.50600000000000001</v>
      </c>
      <c r="G621" s="111">
        <v>0.28499999999999998</v>
      </c>
      <c r="H621" s="111">
        <v>0.126</v>
      </c>
      <c r="I621" s="111">
        <v>1E-3</v>
      </c>
      <c r="J621" s="111">
        <v>2.7E-2</v>
      </c>
      <c r="K621" s="111">
        <v>2.8000000000000001E-2</v>
      </c>
      <c r="L621" s="111">
        <v>1.7999999999999999E-2</v>
      </c>
      <c r="M621" s="111">
        <v>0.91800000000000004</v>
      </c>
      <c r="N621" s="111">
        <v>7.2999999999999995E-2</v>
      </c>
      <c r="O621" s="60">
        <v>13</v>
      </c>
    </row>
    <row r="622" spans="1:15" x14ac:dyDescent="0.25">
      <c r="A622" t="s">
        <v>60</v>
      </c>
      <c r="B622" s="112">
        <v>45873</v>
      </c>
      <c r="C622" s="111">
        <v>-1.2999999999999999E-2</v>
      </c>
      <c r="D622">
        <v>9.8000000000000007</v>
      </c>
      <c r="E622" s="111">
        <v>0.47799999999999998</v>
      </c>
      <c r="F622" s="111">
        <v>8.0000000000000002E-3</v>
      </c>
      <c r="G622" s="111">
        <v>1.7000000000000001E-2</v>
      </c>
      <c r="H622" s="111">
        <v>3.5999999999999997E-2</v>
      </c>
      <c r="I622" s="111">
        <v>0</v>
      </c>
      <c r="J622" s="111">
        <v>0.112</v>
      </c>
      <c r="K622" s="111">
        <v>0.128</v>
      </c>
      <c r="L622" s="111">
        <v>0.17599999999999999</v>
      </c>
      <c r="M622" s="111">
        <v>6.2E-2</v>
      </c>
      <c r="N622" s="111">
        <v>0.41599999999999998</v>
      </c>
      <c r="O622" s="60">
        <v>13</v>
      </c>
    </row>
    <row r="623" spans="1:15" x14ac:dyDescent="0.25">
      <c r="A623" t="s">
        <v>399</v>
      </c>
      <c r="B623" s="112">
        <v>45814</v>
      </c>
      <c r="C623" s="111">
        <v>0.17599999999999999</v>
      </c>
      <c r="D623">
        <v>9.6999999999999993</v>
      </c>
      <c r="E623" s="111">
        <v>0.46200000000000002</v>
      </c>
      <c r="F623" s="111">
        <v>0</v>
      </c>
      <c r="G623" s="111">
        <v>4.0000000000000001E-3</v>
      </c>
      <c r="H623" s="111">
        <v>1.4999999999999999E-2</v>
      </c>
      <c r="I623" s="111">
        <v>0</v>
      </c>
      <c r="J623" s="111">
        <v>4.9000000000000002E-2</v>
      </c>
      <c r="K623" s="111">
        <v>0.182</v>
      </c>
      <c r="L623" s="111">
        <v>0.21</v>
      </c>
      <c r="M623" s="111">
        <v>0.02</v>
      </c>
      <c r="N623" s="111">
        <v>0.441</v>
      </c>
      <c r="O623" s="60">
        <v>13</v>
      </c>
    </row>
    <row r="624" spans="1:15" x14ac:dyDescent="0.25">
      <c r="A624" t="s">
        <v>423</v>
      </c>
      <c r="B624" s="112">
        <v>45698</v>
      </c>
      <c r="C624" s="111">
        <v>-0.30499999999999999</v>
      </c>
      <c r="D624">
        <v>3.1</v>
      </c>
      <c r="E624" s="111">
        <v>0</v>
      </c>
      <c r="F624" s="111">
        <v>0</v>
      </c>
      <c r="G624" s="111">
        <v>0</v>
      </c>
      <c r="H624" s="111">
        <v>0</v>
      </c>
      <c r="I624" s="111">
        <v>0</v>
      </c>
      <c r="J624" s="111">
        <v>0</v>
      </c>
      <c r="K624" s="111">
        <v>0</v>
      </c>
      <c r="L624" s="111">
        <v>0</v>
      </c>
      <c r="M624" s="111">
        <v>0</v>
      </c>
      <c r="N624" s="111">
        <v>0</v>
      </c>
      <c r="O624" s="60">
        <v>13</v>
      </c>
    </row>
    <row r="625" spans="1:15" x14ac:dyDescent="0.25">
      <c r="A625" t="s">
        <v>363</v>
      </c>
      <c r="O625" s="60">
        <v>14</v>
      </c>
    </row>
    <row r="626" spans="1:15" x14ac:dyDescent="0.25">
      <c r="A626" t="s">
        <v>444</v>
      </c>
      <c r="B626" t="s">
        <v>445</v>
      </c>
      <c r="C626" t="s">
        <v>446</v>
      </c>
      <c r="D626" t="s">
        <v>447</v>
      </c>
      <c r="E626" t="s">
        <v>448</v>
      </c>
      <c r="F626" t="s">
        <v>449</v>
      </c>
      <c r="G626" t="s">
        <v>450</v>
      </c>
      <c r="H626" t="s">
        <v>451</v>
      </c>
      <c r="I626" t="s">
        <v>452</v>
      </c>
      <c r="J626" t="s">
        <v>453</v>
      </c>
      <c r="K626" t="s">
        <v>454</v>
      </c>
      <c r="L626" t="s">
        <v>455</v>
      </c>
      <c r="M626" t="s">
        <v>456</v>
      </c>
      <c r="N626" t="s">
        <v>457</v>
      </c>
      <c r="O626" s="60">
        <v>14</v>
      </c>
    </row>
    <row r="627" spans="1:15" x14ac:dyDescent="0.25">
      <c r="A627" t="s">
        <v>459</v>
      </c>
      <c r="B627" s="112">
        <v>45874</v>
      </c>
      <c r="C627" s="111">
        <v>5.8999999999999997E-2</v>
      </c>
      <c r="D627">
        <v>10.6</v>
      </c>
      <c r="E627" s="111">
        <v>0.91900000000000004</v>
      </c>
      <c r="F627" s="111">
        <v>1E-3</v>
      </c>
      <c r="G627" s="111">
        <v>7.6999999999999999E-2</v>
      </c>
      <c r="H627" s="111">
        <v>0.73599999999999999</v>
      </c>
      <c r="I627" s="111">
        <v>0.10100000000000001</v>
      </c>
      <c r="J627" s="111">
        <v>0</v>
      </c>
      <c r="K627" s="111">
        <v>0</v>
      </c>
      <c r="L627" s="111">
        <v>3.0000000000000001E-3</v>
      </c>
      <c r="M627" s="111">
        <v>0.91500000000000004</v>
      </c>
      <c r="N627" s="111">
        <v>4.0000000000000001E-3</v>
      </c>
      <c r="O627" s="60">
        <v>14</v>
      </c>
    </row>
    <row r="628" spans="1:15" x14ac:dyDescent="0.25">
      <c r="A628" t="s">
        <v>460</v>
      </c>
      <c r="B628" s="122">
        <v>37048</v>
      </c>
      <c r="C628" s="111">
        <v>-1.9E-2</v>
      </c>
      <c r="D628">
        <v>8.8000000000000007</v>
      </c>
      <c r="E628" s="111">
        <v>0.10100000000000001</v>
      </c>
      <c r="F628" s="111">
        <v>0</v>
      </c>
      <c r="G628" s="111">
        <v>0</v>
      </c>
      <c r="H628" s="111">
        <v>5.6000000000000001E-2</v>
      </c>
      <c r="I628" s="111">
        <v>2.9000000000000001E-2</v>
      </c>
      <c r="J628" s="111">
        <v>0</v>
      </c>
      <c r="K628" s="111">
        <v>1E-3</v>
      </c>
      <c r="L628" s="111">
        <v>1.6E-2</v>
      </c>
      <c r="M628" s="111">
        <v>8.5000000000000006E-2</v>
      </c>
      <c r="N628" s="111">
        <v>1.6E-2</v>
      </c>
      <c r="O628" s="60">
        <v>14</v>
      </c>
    </row>
    <row r="629" spans="1:15" x14ac:dyDescent="0.25">
      <c r="A629" t="s">
        <v>458</v>
      </c>
      <c r="B629" s="112">
        <v>45726</v>
      </c>
      <c r="C629" s="111">
        <v>-0.17100000000000001</v>
      </c>
      <c r="D629">
        <v>4.4000000000000004</v>
      </c>
      <c r="E629" s="111">
        <v>0</v>
      </c>
      <c r="F629" s="111">
        <v>0</v>
      </c>
      <c r="G629" s="111">
        <v>0</v>
      </c>
      <c r="H629" s="111">
        <v>0</v>
      </c>
      <c r="I629" s="111">
        <v>0</v>
      </c>
      <c r="J629" s="111">
        <v>0</v>
      </c>
      <c r="K629" s="111">
        <v>0</v>
      </c>
      <c r="L629" s="111">
        <v>0</v>
      </c>
      <c r="M629" s="111">
        <v>0</v>
      </c>
      <c r="N629" s="111">
        <v>0</v>
      </c>
      <c r="O629" s="60">
        <v>14</v>
      </c>
    </row>
    <row r="630" spans="1:15" x14ac:dyDescent="0.25">
      <c r="A630" t="s">
        <v>462</v>
      </c>
      <c r="B630" s="112">
        <v>45699</v>
      </c>
      <c r="C630" s="111">
        <v>-0.115</v>
      </c>
      <c r="D630">
        <v>4.3</v>
      </c>
      <c r="E630" s="111">
        <v>0</v>
      </c>
      <c r="F630" s="111">
        <v>0</v>
      </c>
      <c r="G630" s="111">
        <v>0</v>
      </c>
      <c r="H630" s="111">
        <v>0</v>
      </c>
      <c r="I630" s="111">
        <v>0</v>
      </c>
      <c r="J630" s="111">
        <v>0</v>
      </c>
      <c r="K630" s="111">
        <v>0</v>
      </c>
      <c r="L630" s="111">
        <v>0</v>
      </c>
      <c r="M630" s="111">
        <v>0</v>
      </c>
      <c r="N630" s="111">
        <v>0</v>
      </c>
      <c r="O630" s="60">
        <v>14</v>
      </c>
    </row>
    <row r="631" spans="1:15" x14ac:dyDescent="0.25">
      <c r="A631" t="s">
        <v>357</v>
      </c>
      <c r="O631" s="60">
        <v>14</v>
      </c>
    </row>
    <row r="632" spans="1:15" x14ac:dyDescent="0.25">
      <c r="A632" t="s">
        <v>444</v>
      </c>
      <c r="B632" t="s">
        <v>445</v>
      </c>
      <c r="C632" t="s">
        <v>446</v>
      </c>
      <c r="D632" t="s">
        <v>447</v>
      </c>
      <c r="E632" t="s">
        <v>448</v>
      </c>
      <c r="F632" t="s">
        <v>449</v>
      </c>
      <c r="G632" t="s">
        <v>450</v>
      </c>
      <c r="H632" t="s">
        <v>451</v>
      </c>
      <c r="I632" t="s">
        <v>452</v>
      </c>
      <c r="J632" t="s">
        <v>453</v>
      </c>
      <c r="K632" t="s">
        <v>454</v>
      </c>
      <c r="L632" t="s">
        <v>455</v>
      </c>
      <c r="M632" t="s">
        <v>456</v>
      </c>
      <c r="N632" t="s">
        <v>457</v>
      </c>
      <c r="O632" s="60">
        <v>14</v>
      </c>
    </row>
    <row r="633" spans="1:15" x14ac:dyDescent="0.25">
      <c r="A633" t="s">
        <v>463</v>
      </c>
      <c r="B633" s="122">
        <v>37137</v>
      </c>
      <c r="C633" s="111">
        <v>0.224</v>
      </c>
      <c r="D633">
        <v>12</v>
      </c>
      <c r="E633" s="111">
        <v>0.94499999999999995</v>
      </c>
      <c r="F633" s="111">
        <v>9.5000000000000001E-2</v>
      </c>
      <c r="G633" s="111">
        <v>0.59799999999999998</v>
      </c>
      <c r="H633" s="111">
        <v>3.7999999999999999E-2</v>
      </c>
      <c r="I633" s="111">
        <v>1E-3</v>
      </c>
      <c r="J633" s="111">
        <v>1.2E-2</v>
      </c>
      <c r="K633" s="111">
        <v>8.7999999999999995E-2</v>
      </c>
      <c r="L633" s="111">
        <v>0.114</v>
      </c>
      <c r="M633" s="111">
        <v>0.73099999999999998</v>
      </c>
      <c r="N633" s="111">
        <v>0.214</v>
      </c>
      <c r="O633" s="60">
        <v>14</v>
      </c>
    </row>
    <row r="634" spans="1:15" x14ac:dyDescent="0.25">
      <c r="A634" t="s">
        <v>464</v>
      </c>
      <c r="B634" s="112">
        <v>45874</v>
      </c>
      <c r="C634" s="111">
        <v>0.28299999999999997</v>
      </c>
      <c r="D634">
        <v>10.5</v>
      </c>
      <c r="E634" s="111">
        <v>0.60399999999999998</v>
      </c>
      <c r="F634" s="111">
        <v>3.0000000000000001E-3</v>
      </c>
      <c r="G634" s="111">
        <v>6.3E-2</v>
      </c>
      <c r="H634" s="111">
        <v>3.2000000000000001E-2</v>
      </c>
      <c r="I634" s="111">
        <v>0</v>
      </c>
      <c r="J634" s="111">
        <v>3.5999999999999997E-2</v>
      </c>
      <c r="K634" s="111">
        <v>0.107</v>
      </c>
      <c r="L634" s="111">
        <v>0.36299999999999999</v>
      </c>
      <c r="M634" s="111">
        <v>9.9000000000000005E-2</v>
      </c>
      <c r="N634" s="111">
        <v>0.505</v>
      </c>
      <c r="O634" s="60">
        <v>14</v>
      </c>
    </row>
    <row r="635" spans="1:15" x14ac:dyDescent="0.25">
      <c r="A635" t="s">
        <v>467</v>
      </c>
      <c r="B635" s="112">
        <v>45904</v>
      </c>
      <c r="C635" s="111">
        <v>-1.4999999999999999E-2</v>
      </c>
      <c r="D635">
        <v>10.8</v>
      </c>
      <c r="E635" s="111">
        <v>0.54900000000000004</v>
      </c>
      <c r="F635" s="111">
        <v>1.7999999999999999E-2</v>
      </c>
      <c r="G635" s="111">
        <v>0.14499999999999999</v>
      </c>
      <c r="H635" s="111">
        <v>5.0000000000000001E-3</v>
      </c>
      <c r="I635" s="111">
        <v>1E-3</v>
      </c>
      <c r="J635" s="111">
        <v>3.2000000000000001E-2</v>
      </c>
      <c r="K635" s="111">
        <v>0.111</v>
      </c>
      <c r="L635" s="111">
        <v>0.23599999999999999</v>
      </c>
      <c r="M635" s="111">
        <v>0.17</v>
      </c>
      <c r="N635" s="111">
        <v>0.379</v>
      </c>
      <c r="O635" s="60">
        <v>14</v>
      </c>
    </row>
    <row r="636" spans="1:15" x14ac:dyDescent="0.25">
      <c r="A636" t="s">
        <v>465</v>
      </c>
      <c r="B636" s="112">
        <v>45785</v>
      </c>
      <c r="C636" s="111">
        <v>-7.0000000000000007E-2</v>
      </c>
      <c r="D636">
        <v>6.4</v>
      </c>
      <c r="E636" s="111">
        <v>0</v>
      </c>
      <c r="F636" s="111">
        <v>0</v>
      </c>
      <c r="G636" s="111">
        <v>0</v>
      </c>
      <c r="H636" s="111">
        <v>0</v>
      </c>
      <c r="I636" s="111">
        <v>0</v>
      </c>
      <c r="J636" s="111">
        <v>0</v>
      </c>
      <c r="K636" s="111">
        <v>0</v>
      </c>
      <c r="L636" s="111">
        <v>0</v>
      </c>
      <c r="M636" s="111">
        <v>0</v>
      </c>
      <c r="N636" s="111">
        <v>0</v>
      </c>
      <c r="O636" s="60">
        <v>14</v>
      </c>
    </row>
    <row r="637" spans="1:15" x14ac:dyDescent="0.25">
      <c r="A637" t="s">
        <v>383</v>
      </c>
      <c r="O637" s="60">
        <v>14</v>
      </c>
    </row>
    <row r="638" spans="1:15" x14ac:dyDescent="0.25">
      <c r="A638" t="s">
        <v>444</v>
      </c>
      <c r="B638" t="s">
        <v>445</v>
      </c>
      <c r="C638" t="s">
        <v>446</v>
      </c>
      <c r="D638" t="s">
        <v>447</v>
      </c>
      <c r="E638" t="s">
        <v>448</v>
      </c>
      <c r="F638" t="s">
        <v>449</v>
      </c>
      <c r="G638" t="s">
        <v>450</v>
      </c>
      <c r="H638" t="s">
        <v>451</v>
      </c>
      <c r="I638" t="s">
        <v>452</v>
      </c>
      <c r="J638" t="s">
        <v>453</v>
      </c>
      <c r="K638" t="s">
        <v>454</v>
      </c>
      <c r="L638" t="s">
        <v>455</v>
      </c>
      <c r="M638" t="s">
        <v>456</v>
      </c>
      <c r="N638" t="s">
        <v>457</v>
      </c>
      <c r="O638" s="60">
        <v>14</v>
      </c>
    </row>
    <row r="639" spans="1:15" x14ac:dyDescent="0.25">
      <c r="A639" t="s">
        <v>468</v>
      </c>
      <c r="B639" s="112">
        <v>45844</v>
      </c>
      <c r="C639" s="111">
        <v>-4.7E-2</v>
      </c>
      <c r="D639">
        <v>9.3000000000000007</v>
      </c>
      <c r="E639" s="111">
        <v>0.74</v>
      </c>
      <c r="F639" s="111">
        <v>0</v>
      </c>
      <c r="G639" s="111">
        <v>2E-3</v>
      </c>
      <c r="H639" s="111">
        <v>7.9000000000000001E-2</v>
      </c>
      <c r="I639" s="111">
        <v>0.65900000000000003</v>
      </c>
      <c r="J639" s="111">
        <v>0</v>
      </c>
      <c r="K639" s="111">
        <v>0</v>
      </c>
      <c r="L639" s="111">
        <v>0</v>
      </c>
      <c r="M639" s="111">
        <v>0.74</v>
      </c>
      <c r="N639" s="111">
        <v>0</v>
      </c>
      <c r="O639" s="60">
        <v>14</v>
      </c>
    </row>
    <row r="640" spans="1:15" x14ac:dyDescent="0.25">
      <c r="A640" t="s">
        <v>471</v>
      </c>
      <c r="B640" s="112">
        <v>45844</v>
      </c>
      <c r="C640" s="111">
        <v>-0.161</v>
      </c>
      <c r="D640">
        <v>8.4</v>
      </c>
      <c r="E640" s="111">
        <v>0.26300000000000001</v>
      </c>
      <c r="F640" s="111">
        <v>0</v>
      </c>
      <c r="G640" s="111">
        <v>1E-3</v>
      </c>
      <c r="H640" s="111">
        <v>5.0999999999999997E-2</v>
      </c>
      <c r="I640" s="111">
        <v>0.20899999999999999</v>
      </c>
      <c r="J640" s="111">
        <v>0</v>
      </c>
      <c r="K640" s="111">
        <v>0</v>
      </c>
      <c r="L640" s="111">
        <v>2E-3</v>
      </c>
      <c r="M640" s="111">
        <v>0.26</v>
      </c>
      <c r="N640" s="111">
        <v>3.0000000000000001E-3</v>
      </c>
      <c r="O640" s="60">
        <v>14</v>
      </c>
    </row>
    <row r="641" spans="1:15" x14ac:dyDescent="0.25">
      <c r="A641" t="s">
        <v>469</v>
      </c>
      <c r="B641" s="112">
        <v>45756</v>
      </c>
      <c r="C641" s="111">
        <v>-0.184</v>
      </c>
      <c r="D641">
        <v>5.4</v>
      </c>
      <c r="E641" s="111">
        <v>0</v>
      </c>
      <c r="F641" s="111">
        <v>0</v>
      </c>
      <c r="G641" s="111">
        <v>0</v>
      </c>
      <c r="H641" s="111">
        <v>0</v>
      </c>
      <c r="I641" s="111">
        <v>0</v>
      </c>
      <c r="J641" s="111">
        <v>0</v>
      </c>
      <c r="K641" s="111">
        <v>0</v>
      </c>
      <c r="L641" s="111">
        <v>0</v>
      </c>
      <c r="M641" s="111">
        <v>0</v>
      </c>
      <c r="N641" s="111">
        <v>0</v>
      </c>
      <c r="O641" s="60">
        <v>14</v>
      </c>
    </row>
    <row r="642" spans="1:15" x14ac:dyDescent="0.25">
      <c r="A642" t="s">
        <v>470</v>
      </c>
      <c r="B642" s="112">
        <v>45726</v>
      </c>
      <c r="C642" s="111">
        <v>-0.221</v>
      </c>
      <c r="D642">
        <v>5</v>
      </c>
      <c r="E642" s="111">
        <v>0</v>
      </c>
      <c r="F642" s="111">
        <v>0</v>
      </c>
      <c r="G642" s="111">
        <v>0</v>
      </c>
      <c r="H642" s="111">
        <v>0</v>
      </c>
      <c r="I642" s="111">
        <v>0</v>
      </c>
      <c r="J642" s="111">
        <v>0</v>
      </c>
      <c r="K642" s="111">
        <v>0</v>
      </c>
      <c r="L642" s="111">
        <v>0</v>
      </c>
      <c r="M642" s="111">
        <v>0</v>
      </c>
      <c r="N642" s="111">
        <v>0</v>
      </c>
      <c r="O642" s="60">
        <v>14</v>
      </c>
    </row>
    <row r="643" spans="1:15" x14ac:dyDescent="0.25">
      <c r="A643" t="s">
        <v>355</v>
      </c>
      <c r="O643" s="60">
        <v>14</v>
      </c>
    </row>
    <row r="644" spans="1:15" x14ac:dyDescent="0.25">
      <c r="A644" t="s">
        <v>444</v>
      </c>
      <c r="B644" t="s">
        <v>445</v>
      </c>
      <c r="C644" t="s">
        <v>446</v>
      </c>
      <c r="D644" t="s">
        <v>447</v>
      </c>
      <c r="E644" t="s">
        <v>448</v>
      </c>
      <c r="F644" t="s">
        <v>449</v>
      </c>
      <c r="G644" t="s">
        <v>450</v>
      </c>
      <c r="H644" t="s">
        <v>451</v>
      </c>
      <c r="I644" t="s">
        <v>452</v>
      </c>
      <c r="J644" t="s">
        <v>453</v>
      </c>
      <c r="K644" t="s">
        <v>454</v>
      </c>
      <c r="L644" t="s">
        <v>455</v>
      </c>
      <c r="M644" t="s">
        <v>456</v>
      </c>
      <c r="N644" t="s">
        <v>457</v>
      </c>
      <c r="O644" s="60">
        <v>14</v>
      </c>
    </row>
    <row r="645" spans="1:15" x14ac:dyDescent="0.25">
      <c r="A645" t="s">
        <v>475</v>
      </c>
      <c r="B645" s="112">
        <v>45933</v>
      </c>
      <c r="C645" s="111">
        <v>0.36</v>
      </c>
      <c r="D645">
        <v>12.9</v>
      </c>
      <c r="E645" s="111">
        <v>0.99</v>
      </c>
      <c r="F645" s="111">
        <v>0.35199999999999998</v>
      </c>
      <c r="G645" s="111">
        <v>2.1999999999999999E-2</v>
      </c>
      <c r="H645" s="111">
        <v>0</v>
      </c>
      <c r="I645" s="111">
        <v>0</v>
      </c>
      <c r="J645" s="111">
        <v>0.38400000000000001</v>
      </c>
      <c r="K645" s="111">
        <v>0.187</v>
      </c>
      <c r="L645" s="111">
        <v>4.4999999999999998E-2</v>
      </c>
      <c r="M645" s="111">
        <v>0.374</v>
      </c>
      <c r="N645" s="111">
        <v>0.61599999999999999</v>
      </c>
      <c r="O645" s="60">
        <v>14</v>
      </c>
    </row>
    <row r="646" spans="1:15" x14ac:dyDescent="0.25">
      <c r="A646" t="s">
        <v>473</v>
      </c>
      <c r="B646" s="112">
        <v>45933</v>
      </c>
      <c r="C646" s="111">
        <v>0.39700000000000002</v>
      </c>
      <c r="D646">
        <v>12.9</v>
      </c>
      <c r="E646" s="111">
        <v>0.98399999999999999</v>
      </c>
      <c r="F646" s="111">
        <v>0.46400000000000002</v>
      </c>
      <c r="G646" s="111">
        <v>7.0999999999999994E-2</v>
      </c>
      <c r="H646" s="111">
        <v>2E-3</v>
      </c>
      <c r="I646" s="111">
        <v>0</v>
      </c>
      <c r="J646" s="111">
        <v>0.28199999999999997</v>
      </c>
      <c r="K646" s="111">
        <v>0.12</v>
      </c>
      <c r="L646" s="111">
        <v>4.5999999999999999E-2</v>
      </c>
      <c r="M646" s="111">
        <v>0.53700000000000003</v>
      </c>
      <c r="N646" s="111">
        <v>0.44700000000000001</v>
      </c>
      <c r="O646" s="60">
        <v>14</v>
      </c>
    </row>
    <row r="647" spans="1:15" x14ac:dyDescent="0.25">
      <c r="A647" t="s">
        <v>472</v>
      </c>
      <c r="B647" s="112">
        <v>45904</v>
      </c>
      <c r="C647" s="111">
        <v>9.4E-2</v>
      </c>
      <c r="D647">
        <v>11.4</v>
      </c>
      <c r="E647" s="111">
        <v>0.90500000000000003</v>
      </c>
      <c r="F647" s="111">
        <v>6.6000000000000003E-2</v>
      </c>
      <c r="G647" s="111">
        <v>2.1999999999999999E-2</v>
      </c>
      <c r="H647" s="111">
        <v>1E-3</v>
      </c>
      <c r="I647" s="111">
        <v>0</v>
      </c>
      <c r="J647" s="111">
        <v>0.254</v>
      </c>
      <c r="K647" s="111">
        <v>0.38700000000000001</v>
      </c>
      <c r="L647" s="111">
        <v>0.17499999999999999</v>
      </c>
      <c r="M647" s="111">
        <v>8.8999999999999996E-2</v>
      </c>
      <c r="N647" s="111">
        <v>0.81599999999999995</v>
      </c>
      <c r="O647" s="60">
        <v>14</v>
      </c>
    </row>
    <row r="648" spans="1:15" x14ac:dyDescent="0.25">
      <c r="A648" t="s">
        <v>474</v>
      </c>
      <c r="B648" s="112">
        <v>45726</v>
      </c>
      <c r="C648" s="111">
        <v>-0.113</v>
      </c>
      <c r="D648">
        <v>4.3</v>
      </c>
      <c r="E648" s="111">
        <v>0</v>
      </c>
      <c r="F648" s="111">
        <v>0</v>
      </c>
      <c r="G648" s="111">
        <v>0</v>
      </c>
      <c r="H648" s="111">
        <v>0</v>
      </c>
      <c r="I648" s="111">
        <v>0</v>
      </c>
      <c r="J648" s="111">
        <v>0</v>
      </c>
      <c r="K648" s="111">
        <v>0</v>
      </c>
      <c r="L648" s="111">
        <v>0</v>
      </c>
      <c r="M648" s="111">
        <v>0</v>
      </c>
      <c r="N648" s="111">
        <v>0</v>
      </c>
      <c r="O648" s="60">
        <v>14</v>
      </c>
    </row>
    <row r="649" spans="1:15" x14ac:dyDescent="0.25">
      <c r="A649" t="s">
        <v>359</v>
      </c>
      <c r="O649" s="60">
        <v>14</v>
      </c>
    </row>
    <row r="650" spans="1:15" x14ac:dyDescent="0.25">
      <c r="A650" t="s">
        <v>444</v>
      </c>
      <c r="B650" t="s">
        <v>445</v>
      </c>
      <c r="C650" t="s">
        <v>446</v>
      </c>
      <c r="D650" t="s">
        <v>447</v>
      </c>
      <c r="E650" t="s">
        <v>448</v>
      </c>
      <c r="F650" t="s">
        <v>449</v>
      </c>
      <c r="G650" t="s">
        <v>450</v>
      </c>
      <c r="H650" t="s">
        <v>451</v>
      </c>
      <c r="I650" t="s">
        <v>452</v>
      </c>
      <c r="J650" t="s">
        <v>453</v>
      </c>
      <c r="K650" t="s">
        <v>454</v>
      </c>
      <c r="L650" t="s">
        <v>455</v>
      </c>
      <c r="M650" t="s">
        <v>456</v>
      </c>
      <c r="N650" t="s">
        <v>457</v>
      </c>
      <c r="O650" s="60">
        <v>14</v>
      </c>
    </row>
    <row r="651" spans="1:15" x14ac:dyDescent="0.25">
      <c r="A651" t="s">
        <v>477</v>
      </c>
      <c r="B651" s="112">
        <v>45963</v>
      </c>
      <c r="C651" s="111">
        <v>4.7E-2</v>
      </c>
      <c r="D651">
        <v>13.3</v>
      </c>
      <c r="E651" s="111">
        <v>0.999</v>
      </c>
      <c r="F651" s="111">
        <v>0.31900000000000001</v>
      </c>
      <c r="G651" s="111">
        <v>0.41599999999999998</v>
      </c>
      <c r="H651" s="111">
        <v>7.2999999999999995E-2</v>
      </c>
      <c r="I651" s="111">
        <v>0</v>
      </c>
      <c r="J651" s="111">
        <v>0.123</v>
      </c>
      <c r="K651" s="111">
        <v>5.8000000000000003E-2</v>
      </c>
      <c r="L651" s="111">
        <v>1.2E-2</v>
      </c>
      <c r="M651" s="111">
        <v>0.80700000000000005</v>
      </c>
      <c r="N651" s="111">
        <v>0.192</v>
      </c>
      <c r="O651" s="60">
        <v>14</v>
      </c>
    </row>
    <row r="652" spans="1:15" x14ac:dyDescent="0.25">
      <c r="A652" t="s">
        <v>476</v>
      </c>
      <c r="B652" s="112">
        <v>45904</v>
      </c>
      <c r="C652" s="111">
        <v>0.108</v>
      </c>
      <c r="D652">
        <v>11.7</v>
      </c>
      <c r="E652" s="111">
        <v>0.97399999999999998</v>
      </c>
      <c r="F652" s="111">
        <v>4.7E-2</v>
      </c>
      <c r="G652" s="111">
        <v>0.106</v>
      </c>
      <c r="H652" s="111">
        <v>3.9E-2</v>
      </c>
      <c r="I652" s="111">
        <v>0</v>
      </c>
      <c r="J652" s="111">
        <v>0.39400000000000002</v>
      </c>
      <c r="K652" s="111">
        <v>0.255</v>
      </c>
      <c r="L652" s="111">
        <v>0.13200000000000001</v>
      </c>
      <c r="M652" s="111">
        <v>0.193</v>
      </c>
      <c r="N652" s="111">
        <v>0.78100000000000003</v>
      </c>
      <c r="O652" s="60">
        <v>14</v>
      </c>
    </row>
    <row r="653" spans="1:15" x14ac:dyDescent="0.25">
      <c r="A653" t="s">
        <v>479</v>
      </c>
      <c r="B653" s="112">
        <v>45815</v>
      </c>
      <c r="C653" s="111">
        <v>1E-3</v>
      </c>
      <c r="D653">
        <v>8</v>
      </c>
      <c r="E653" s="111">
        <v>6.0000000000000001E-3</v>
      </c>
      <c r="F653" s="111">
        <v>0</v>
      </c>
      <c r="G653" s="111">
        <v>0</v>
      </c>
      <c r="H653" s="111">
        <v>0</v>
      </c>
      <c r="I653" s="111">
        <v>0</v>
      </c>
      <c r="J653" s="111">
        <v>0</v>
      </c>
      <c r="K653" s="111">
        <v>0</v>
      </c>
      <c r="L653" s="111">
        <v>6.0000000000000001E-3</v>
      </c>
      <c r="M653" s="111">
        <v>0</v>
      </c>
      <c r="N653" s="111">
        <v>6.0000000000000001E-3</v>
      </c>
      <c r="O653" s="60">
        <v>14</v>
      </c>
    </row>
    <row r="654" spans="1:15" x14ac:dyDescent="0.25">
      <c r="A654" t="s">
        <v>478</v>
      </c>
      <c r="B654" s="112">
        <v>45726</v>
      </c>
      <c r="C654" s="111">
        <v>-0.22</v>
      </c>
      <c r="D654">
        <v>4.0999999999999996</v>
      </c>
      <c r="E654" s="111">
        <v>0</v>
      </c>
      <c r="F654" s="111">
        <v>0</v>
      </c>
      <c r="G654" s="111">
        <v>0</v>
      </c>
      <c r="H654" s="111">
        <v>0</v>
      </c>
      <c r="I654" s="111">
        <v>0</v>
      </c>
      <c r="J654" s="111">
        <v>0</v>
      </c>
      <c r="K654" s="111">
        <v>0</v>
      </c>
      <c r="L654" s="111">
        <v>0</v>
      </c>
      <c r="M654" s="111">
        <v>0</v>
      </c>
      <c r="N654" s="111">
        <v>0</v>
      </c>
      <c r="O654" s="60">
        <v>14</v>
      </c>
    </row>
    <row r="655" spans="1:15" x14ac:dyDescent="0.25">
      <c r="A655" t="s">
        <v>352</v>
      </c>
      <c r="O655" s="60">
        <v>14</v>
      </c>
    </row>
    <row r="656" spans="1:15" x14ac:dyDescent="0.25">
      <c r="A656" t="s">
        <v>444</v>
      </c>
      <c r="B656" t="s">
        <v>445</v>
      </c>
      <c r="C656" t="s">
        <v>446</v>
      </c>
      <c r="D656" t="s">
        <v>447</v>
      </c>
      <c r="E656" t="s">
        <v>448</v>
      </c>
      <c r="F656" t="s">
        <v>449</v>
      </c>
      <c r="G656" t="s">
        <v>450</v>
      </c>
      <c r="H656" t="s">
        <v>451</v>
      </c>
      <c r="I656" t="s">
        <v>452</v>
      </c>
      <c r="J656" t="s">
        <v>453</v>
      </c>
      <c r="K656" t="s">
        <v>454</v>
      </c>
      <c r="L656" t="s">
        <v>455</v>
      </c>
      <c r="M656" t="s">
        <v>456</v>
      </c>
      <c r="N656" t="s">
        <v>457</v>
      </c>
      <c r="O656" s="60">
        <v>14</v>
      </c>
    </row>
    <row r="657" spans="1:15" x14ac:dyDescent="0.25">
      <c r="A657" t="s">
        <v>482</v>
      </c>
      <c r="B657" s="112">
        <v>45844</v>
      </c>
      <c r="C657" s="111">
        <v>1.4999999999999999E-2</v>
      </c>
      <c r="D657">
        <v>9.1</v>
      </c>
      <c r="E657" s="111">
        <v>0.75700000000000001</v>
      </c>
      <c r="F657" s="111">
        <v>0</v>
      </c>
      <c r="G657" s="111">
        <v>0</v>
      </c>
      <c r="H657" s="111">
        <v>1.2999999999999999E-2</v>
      </c>
      <c r="I657" s="111">
        <v>0.73899999999999999</v>
      </c>
      <c r="J657" s="111">
        <v>0</v>
      </c>
      <c r="K657" s="111">
        <v>0</v>
      </c>
      <c r="L657" s="111">
        <v>4.0000000000000001E-3</v>
      </c>
      <c r="M657" s="111">
        <v>0.752</v>
      </c>
      <c r="N657" s="111">
        <v>5.0000000000000001E-3</v>
      </c>
      <c r="O657" s="60">
        <v>14</v>
      </c>
    </row>
    <row r="658" spans="1:15" x14ac:dyDescent="0.25">
      <c r="A658" t="s">
        <v>480</v>
      </c>
      <c r="B658" s="112">
        <v>45815</v>
      </c>
      <c r="C658" s="111">
        <v>2.9000000000000001E-2</v>
      </c>
      <c r="D658">
        <v>7.7</v>
      </c>
      <c r="E658" s="111">
        <v>0.216</v>
      </c>
      <c r="F658" s="111">
        <v>0</v>
      </c>
      <c r="G658" s="111">
        <v>0</v>
      </c>
      <c r="H658" s="111">
        <v>0</v>
      </c>
      <c r="I658" s="111">
        <v>0.216</v>
      </c>
      <c r="J658" s="111">
        <v>0</v>
      </c>
      <c r="K658" s="111">
        <v>0</v>
      </c>
      <c r="L658" s="111">
        <v>0</v>
      </c>
      <c r="M658" s="111">
        <v>0.216</v>
      </c>
      <c r="N658" s="111">
        <v>0</v>
      </c>
      <c r="O658" s="60">
        <v>14</v>
      </c>
    </row>
    <row r="659" spans="1:15" x14ac:dyDescent="0.25">
      <c r="A659" t="s">
        <v>481</v>
      </c>
      <c r="B659" s="112">
        <v>45756</v>
      </c>
      <c r="C659" s="111">
        <v>-1.9E-2</v>
      </c>
      <c r="D659">
        <v>6.4</v>
      </c>
      <c r="E659" s="111">
        <v>3.2000000000000001E-2</v>
      </c>
      <c r="F659" s="111">
        <v>0</v>
      </c>
      <c r="G659" s="111">
        <v>0</v>
      </c>
      <c r="H659" s="111">
        <v>0</v>
      </c>
      <c r="I659" s="111">
        <v>3.2000000000000001E-2</v>
      </c>
      <c r="J659" s="111">
        <v>0</v>
      </c>
      <c r="K659" s="111">
        <v>0</v>
      </c>
      <c r="L659" s="111">
        <v>0</v>
      </c>
      <c r="M659" s="111">
        <v>3.2000000000000001E-2</v>
      </c>
      <c r="N659" s="111">
        <v>0</v>
      </c>
      <c r="O659" s="60">
        <v>14</v>
      </c>
    </row>
    <row r="660" spans="1:15" x14ac:dyDescent="0.25">
      <c r="A660" t="s">
        <v>483</v>
      </c>
      <c r="B660" s="112">
        <v>45726</v>
      </c>
      <c r="C660" s="111">
        <v>-0.28599999999999998</v>
      </c>
      <c r="D660">
        <v>4</v>
      </c>
      <c r="E660" s="111">
        <v>0</v>
      </c>
      <c r="F660" s="111">
        <v>0</v>
      </c>
      <c r="G660" s="111">
        <v>0</v>
      </c>
      <c r="H660" s="111">
        <v>0</v>
      </c>
      <c r="I660" s="111">
        <v>0</v>
      </c>
      <c r="J660" s="111">
        <v>0</v>
      </c>
      <c r="K660" s="111">
        <v>0</v>
      </c>
      <c r="L660" s="111">
        <v>0</v>
      </c>
      <c r="M660" s="111">
        <v>0</v>
      </c>
      <c r="N660" s="111">
        <v>0</v>
      </c>
      <c r="O660" s="60">
        <v>14</v>
      </c>
    </row>
    <row r="661" spans="1:15" x14ac:dyDescent="0.25">
      <c r="A661" t="s">
        <v>368</v>
      </c>
      <c r="O661" s="60">
        <v>14</v>
      </c>
    </row>
    <row r="662" spans="1:15" x14ac:dyDescent="0.25">
      <c r="A662" t="s">
        <v>444</v>
      </c>
      <c r="B662" t="s">
        <v>445</v>
      </c>
      <c r="C662" t="s">
        <v>446</v>
      </c>
      <c r="D662" t="s">
        <v>447</v>
      </c>
      <c r="E662" t="s">
        <v>448</v>
      </c>
      <c r="F662" t="s">
        <v>449</v>
      </c>
      <c r="G662" t="s">
        <v>450</v>
      </c>
      <c r="H662" t="s">
        <v>451</v>
      </c>
      <c r="I662" t="s">
        <v>452</v>
      </c>
      <c r="J662" t="s">
        <v>453</v>
      </c>
      <c r="K662" t="s">
        <v>454</v>
      </c>
      <c r="L662" t="s">
        <v>455</v>
      </c>
      <c r="M662" t="s">
        <v>456</v>
      </c>
      <c r="N662" t="s">
        <v>457</v>
      </c>
      <c r="O662" s="60">
        <v>14</v>
      </c>
    </row>
    <row r="663" spans="1:15" x14ac:dyDescent="0.25">
      <c r="A663" t="s">
        <v>484</v>
      </c>
      <c r="B663" s="112">
        <v>45904</v>
      </c>
      <c r="C663" s="111">
        <v>9.7000000000000003E-2</v>
      </c>
      <c r="D663">
        <v>11.6</v>
      </c>
      <c r="E663" s="111">
        <v>0.97899999999999998</v>
      </c>
      <c r="F663" s="111">
        <v>0.08</v>
      </c>
      <c r="G663" s="111">
        <v>0.151</v>
      </c>
      <c r="H663" s="111">
        <v>0.33200000000000002</v>
      </c>
      <c r="I663" s="111">
        <v>8.0000000000000002E-3</v>
      </c>
      <c r="J663" s="111">
        <v>0.13800000000000001</v>
      </c>
      <c r="K663" s="111">
        <v>0.19800000000000001</v>
      </c>
      <c r="L663" s="111">
        <v>7.1999999999999995E-2</v>
      </c>
      <c r="M663" s="111">
        <v>0.57099999999999995</v>
      </c>
      <c r="N663" s="111">
        <v>0.40799999999999997</v>
      </c>
      <c r="O663" s="60">
        <v>14</v>
      </c>
    </row>
    <row r="664" spans="1:15" x14ac:dyDescent="0.25">
      <c r="A664" t="s">
        <v>486</v>
      </c>
      <c r="B664" s="112">
        <v>45874</v>
      </c>
      <c r="C664" s="111">
        <v>0.11700000000000001</v>
      </c>
      <c r="D664">
        <v>10.9</v>
      </c>
      <c r="E664" s="111">
        <v>0.90900000000000003</v>
      </c>
      <c r="F664" s="111">
        <v>5.0000000000000001E-3</v>
      </c>
      <c r="G664" s="111">
        <v>3.4000000000000002E-2</v>
      </c>
      <c r="H664" s="111">
        <v>0.34499999999999997</v>
      </c>
      <c r="I664" s="111">
        <v>2E-3</v>
      </c>
      <c r="J664" s="111">
        <v>0.13</v>
      </c>
      <c r="K664" s="111">
        <v>0.17599999999999999</v>
      </c>
      <c r="L664" s="111">
        <v>0.218</v>
      </c>
      <c r="M664" s="111">
        <v>0.38500000000000001</v>
      </c>
      <c r="N664" s="111">
        <v>0.52400000000000002</v>
      </c>
      <c r="O664" s="60">
        <v>14</v>
      </c>
    </row>
    <row r="665" spans="1:15" x14ac:dyDescent="0.25">
      <c r="A665" t="s">
        <v>485</v>
      </c>
      <c r="B665" s="112">
        <v>45874</v>
      </c>
      <c r="C665" s="111">
        <v>-3.1E-2</v>
      </c>
      <c r="D665">
        <v>9.4</v>
      </c>
      <c r="E665" s="111">
        <v>0.26500000000000001</v>
      </c>
      <c r="F665" s="111">
        <v>0</v>
      </c>
      <c r="G665" s="111">
        <v>2E-3</v>
      </c>
      <c r="H665" s="111">
        <v>0.04</v>
      </c>
      <c r="I665" s="111">
        <v>2E-3</v>
      </c>
      <c r="J665" s="111">
        <v>1.4E-2</v>
      </c>
      <c r="K665" s="111">
        <v>5.6000000000000001E-2</v>
      </c>
      <c r="L665" s="111">
        <v>0.151</v>
      </c>
      <c r="M665" s="111">
        <v>4.3999999999999997E-2</v>
      </c>
      <c r="N665" s="111">
        <v>0.221</v>
      </c>
      <c r="O665" s="60">
        <v>14</v>
      </c>
    </row>
    <row r="666" spans="1:15" x14ac:dyDescent="0.25">
      <c r="A666" t="s">
        <v>487</v>
      </c>
      <c r="B666" s="112">
        <v>45699</v>
      </c>
      <c r="C666" s="111">
        <v>-0.307</v>
      </c>
      <c r="D666">
        <v>3</v>
      </c>
      <c r="E666" s="111">
        <v>0</v>
      </c>
      <c r="F666" s="111">
        <v>0</v>
      </c>
      <c r="G666" s="111">
        <v>0</v>
      </c>
      <c r="H666" s="111">
        <v>0</v>
      </c>
      <c r="I666" s="111">
        <v>0</v>
      </c>
      <c r="J666" s="111">
        <v>0</v>
      </c>
      <c r="K666" s="111">
        <v>0</v>
      </c>
      <c r="L666" s="111">
        <v>0</v>
      </c>
      <c r="M666" s="111">
        <v>0</v>
      </c>
      <c r="N666" s="111">
        <v>0</v>
      </c>
      <c r="O666" s="60">
        <v>14</v>
      </c>
    </row>
    <row r="667" spans="1:15" x14ac:dyDescent="0.25">
      <c r="A667" t="s">
        <v>367</v>
      </c>
      <c r="O667" s="60">
        <v>14</v>
      </c>
    </row>
    <row r="668" spans="1:15" x14ac:dyDescent="0.25">
      <c r="A668" t="s">
        <v>444</v>
      </c>
      <c r="B668" t="s">
        <v>445</v>
      </c>
      <c r="C668" t="s">
        <v>446</v>
      </c>
      <c r="D668" t="s">
        <v>447</v>
      </c>
      <c r="E668" t="s">
        <v>448</v>
      </c>
      <c r="F668" t="s">
        <v>449</v>
      </c>
      <c r="G668" t="s">
        <v>450</v>
      </c>
      <c r="H668" t="s">
        <v>451</v>
      </c>
      <c r="I668" t="s">
        <v>452</v>
      </c>
      <c r="J668" t="s">
        <v>453</v>
      </c>
      <c r="K668" t="s">
        <v>454</v>
      </c>
      <c r="L668" t="s">
        <v>455</v>
      </c>
      <c r="M668" t="s">
        <v>456</v>
      </c>
      <c r="N668" t="s">
        <v>457</v>
      </c>
      <c r="O668" s="60">
        <v>14</v>
      </c>
    </row>
    <row r="669" spans="1:15" x14ac:dyDescent="0.25">
      <c r="A669" t="s">
        <v>491</v>
      </c>
      <c r="B669" s="112">
        <v>45963</v>
      </c>
      <c r="C669" s="111">
        <v>0.14299999999999999</v>
      </c>
      <c r="D669">
        <v>13.3</v>
      </c>
      <c r="E669" s="111">
        <v>0.999</v>
      </c>
      <c r="F669" s="111">
        <v>0.53800000000000003</v>
      </c>
      <c r="G669" s="111">
        <v>0.26700000000000002</v>
      </c>
      <c r="H669" s="111">
        <v>0.111</v>
      </c>
      <c r="I669" s="111">
        <v>1E-3</v>
      </c>
      <c r="J669" s="111">
        <v>3.7999999999999999E-2</v>
      </c>
      <c r="K669" s="111">
        <v>3.3000000000000002E-2</v>
      </c>
      <c r="L669" s="111">
        <v>1.0999999999999999E-2</v>
      </c>
      <c r="M669" s="111">
        <v>0.91600000000000004</v>
      </c>
      <c r="N669" s="111">
        <v>8.3000000000000004E-2</v>
      </c>
      <c r="O669" s="60">
        <v>14</v>
      </c>
    </row>
    <row r="670" spans="1:15" x14ac:dyDescent="0.25">
      <c r="A670" t="s">
        <v>489</v>
      </c>
      <c r="B670" s="112">
        <v>45904</v>
      </c>
      <c r="C670" s="111">
        <v>-1E-3</v>
      </c>
      <c r="D670">
        <v>10.5</v>
      </c>
      <c r="E670" s="111">
        <v>0.73099999999999998</v>
      </c>
      <c r="F670" s="111">
        <v>1.0999999999999999E-2</v>
      </c>
      <c r="G670" s="111">
        <v>2.5000000000000001E-2</v>
      </c>
      <c r="H670" s="111">
        <v>4.8000000000000001E-2</v>
      </c>
      <c r="I670" s="111">
        <v>0</v>
      </c>
      <c r="J670" s="111">
        <v>0.16200000000000001</v>
      </c>
      <c r="K670" s="111">
        <v>0.218</v>
      </c>
      <c r="L670" s="111">
        <v>0.26700000000000002</v>
      </c>
      <c r="M670" s="111">
        <v>8.4000000000000005E-2</v>
      </c>
      <c r="N670" s="111">
        <v>0.64800000000000002</v>
      </c>
      <c r="O670" s="60">
        <v>14</v>
      </c>
    </row>
    <row r="671" spans="1:15" x14ac:dyDescent="0.25">
      <c r="A671" t="s">
        <v>488</v>
      </c>
      <c r="B671" s="112">
        <v>45815</v>
      </c>
      <c r="C671" s="111">
        <v>0.127</v>
      </c>
      <c r="D671">
        <v>8.8000000000000007</v>
      </c>
      <c r="E671" s="111">
        <v>0.13200000000000001</v>
      </c>
      <c r="F671" s="111">
        <v>0</v>
      </c>
      <c r="G671" s="111">
        <v>0</v>
      </c>
      <c r="H671" s="111">
        <v>0</v>
      </c>
      <c r="I671" s="111">
        <v>0</v>
      </c>
      <c r="J671" s="111">
        <v>0</v>
      </c>
      <c r="K671" s="111">
        <v>6.0000000000000001E-3</v>
      </c>
      <c r="L671" s="111">
        <v>0.126</v>
      </c>
      <c r="M671" s="111">
        <v>0</v>
      </c>
      <c r="N671" s="111">
        <v>0.13200000000000001</v>
      </c>
      <c r="O671" s="60">
        <v>14</v>
      </c>
    </row>
    <row r="672" spans="1:15" x14ac:dyDescent="0.25">
      <c r="A672" t="s">
        <v>490</v>
      </c>
      <c r="B672" s="112">
        <v>45699</v>
      </c>
      <c r="C672" s="111">
        <v>-0.315</v>
      </c>
      <c r="D672">
        <v>2.9</v>
      </c>
      <c r="E672" s="111">
        <v>0</v>
      </c>
      <c r="F672" s="111">
        <v>0</v>
      </c>
      <c r="G672" s="111">
        <v>0</v>
      </c>
      <c r="H672" s="111">
        <v>0</v>
      </c>
      <c r="I672" s="111">
        <v>0</v>
      </c>
      <c r="J672" s="111">
        <v>0</v>
      </c>
      <c r="K672" s="111">
        <v>0</v>
      </c>
      <c r="L672" s="111">
        <v>0</v>
      </c>
      <c r="M672" s="111">
        <v>0</v>
      </c>
      <c r="N672" s="111">
        <v>0</v>
      </c>
      <c r="O672" s="60">
        <v>14</v>
      </c>
    </row>
    <row r="673" spans="1:15" x14ac:dyDescent="0.25">
      <c r="A673" t="s">
        <v>363</v>
      </c>
      <c r="O673" s="60">
        <v>15</v>
      </c>
    </row>
    <row r="674" spans="1:15" x14ac:dyDescent="0.25">
      <c r="A674" t="s">
        <v>444</v>
      </c>
      <c r="B674" t="s">
        <v>445</v>
      </c>
      <c r="C674" t="s">
        <v>446</v>
      </c>
      <c r="D674" t="s">
        <v>447</v>
      </c>
      <c r="E674" t="s">
        <v>448</v>
      </c>
      <c r="F674" t="s">
        <v>449</v>
      </c>
      <c r="G674" t="s">
        <v>450</v>
      </c>
      <c r="H674" t="s">
        <v>451</v>
      </c>
      <c r="I674" t="s">
        <v>452</v>
      </c>
      <c r="J674" t="s">
        <v>453</v>
      </c>
      <c r="K674" t="s">
        <v>454</v>
      </c>
      <c r="L674" t="s">
        <v>455</v>
      </c>
      <c r="M674" t="s">
        <v>456</v>
      </c>
      <c r="N674" t="s">
        <v>457</v>
      </c>
      <c r="O674" s="60">
        <v>15</v>
      </c>
    </row>
    <row r="675" spans="1:15" x14ac:dyDescent="0.25">
      <c r="A675" t="s">
        <v>459</v>
      </c>
      <c r="B675" s="112">
        <v>45905</v>
      </c>
      <c r="C675" s="111">
        <v>9.4E-2</v>
      </c>
      <c r="D675">
        <v>10.9</v>
      </c>
      <c r="E675" s="111">
        <v>0.99199999999999999</v>
      </c>
      <c r="F675" s="111">
        <v>1E-3</v>
      </c>
      <c r="G675" s="111">
        <v>0.13800000000000001</v>
      </c>
      <c r="H675" s="111">
        <v>0.82899999999999996</v>
      </c>
      <c r="I675" s="111">
        <v>2.4E-2</v>
      </c>
      <c r="J675" s="111">
        <v>0</v>
      </c>
      <c r="K675" s="111">
        <v>0</v>
      </c>
      <c r="L675" s="111">
        <v>0</v>
      </c>
      <c r="M675" s="111">
        <v>0.99199999999999999</v>
      </c>
      <c r="N675" s="111">
        <v>0</v>
      </c>
      <c r="O675" s="60">
        <v>15</v>
      </c>
    </row>
    <row r="676" spans="1:15" x14ac:dyDescent="0.25">
      <c r="A676" t="s">
        <v>460</v>
      </c>
      <c r="B676" s="122">
        <v>37049</v>
      </c>
      <c r="C676" s="111">
        <v>-2.9000000000000001E-2</v>
      </c>
      <c r="D676">
        <v>8.1</v>
      </c>
      <c r="E676" s="111">
        <v>8.0000000000000002E-3</v>
      </c>
      <c r="F676" s="111">
        <v>0</v>
      </c>
      <c r="G676" s="111">
        <v>0</v>
      </c>
      <c r="H676" s="111">
        <v>7.0000000000000001E-3</v>
      </c>
      <c r="I676" s="111">
        <v>1E-3</v>
      </c>
      <c r="J676" s="111">
        <v>0</v>
      </c>
      <c r="K676" s="111">
        <v>0</v>
      </c>
      <c r="L676" s="111">
        <v>0</v>
      </c>
      <c r="M676" s="111">
        <v>8.0000000000000002E-3</v>
      </c>
      <c r="N676" s="111">
        <v>0</v>
      </c>
      <c r="O676" s="60">
        <v>15</v>
      </c>
    </row>
    <row r="677" spans="1:15" x14ac:dyDescent="0.25">
      <c r="A677" t="s">
        <v>458</v>
      </c>
      <c r="B677" s="112">
        <v>45757</v>
      </c>
      <c r="C677" s="111">
        <v>-0.17199999999999999</v>
      </c>
      <c r="D677">
        <v>5</v>
      </c>
      <c r="E677" s="111">
        <v>0</v>
      </c>
      <c r="F677" s="111">
        <v>0</v>
      </c>
      <c r="G677" s="111">
        <v>0</v>
      </c>
      <c r="H677" s="111">
        <v>0</v>
      </c>
      <c r="I677" s="111">
        <v>0</v>
      </c>
      <c r="J677" s="111">
        <v>0</v>
      </c>
      <c r="K677" s="111">
        <v>0</v>
      </c>
      <c r="L677" s="111">
        <v>0</v>
      </c>
      <c r="M677" s="111">
        <v>0</v>
      </c>
      <c r="N677" s="111">
        <v>0</v>
      </c>
      <c r="O677" s="60">
        <v>15</v>
      </c>
    </row>
    <row r="678" spans="1:15" x14ac:dyDescent="0.25">
      <c r="A678" t="s">
        <v>462</v>
      </c>
      <c r="B678" s="112">
        <v>45700</v>
      </c>
      <c r="C678" s="111">
        <v>-0.17100000000000001</v>
      </c>
      <c r="D678">
        <v>3.5</v>
      </c>
      <c r="E678" s="111">
        <v>0</v>
      </c>
      <c r="F678" s="111">
        <v>0</v>
      </c>
      <c r="G678" s="111">
        <v>0</v>
      </c>
      <c r="H678" s="111">
        <v>0</v>
      </c>
      <c r="I678" s="111">
        <v>0</v>
      </c>
      <c r="J678" s="111">
        <v>0</v>
      </c>
      <c r="K678" s="111">
        <v>0</v>
      </c>
      <c r="L678" s="111">
        <v>0</v>
      </c>
      <c r="M678" s="111">
        <v>0</v>
      </c>
      <c r="N678" s="111">
        <v>0</v>
      </c>
      <c r="O678" s="60">
        <v>15</v>
      </c>
    </row>
    <row r="679" spans="1:15" x14ac:dyDescent="0.25">
      <c r="A679" t="s">
        <v>357</v>
      </c>
      <c r="O679" s="60">
        <v>15</v>
      </c>
    </row>
    <row r="680" spans="1:15" x14ac:dyDescent="0.25">
      <c r="A680" t="s">
        <v>444</v>
      </c>
      <c r="B680" t="s">
        <v>445</v>
      </c>
      <c r="C680" t="s">
        <v>446</v>
      </c>
      <c r="D680" t="s">
        <v>447</v>
      </c>
      <c r="E680" t="s">
        <v>448</v>
      </c>
      <c r="F680" t="s">
        <v>449</v>
      </c>
      <c r="G680" t="s">
        <v>450</v>
      </c>
      <c r="H680" t="s">
        <v>451</v>
      </c>
      <c r="I680" t="s">
        <v>452</v>
      </c>
      <c r="J680" t="s">
        <v>453</v>
      </c>
      <c r="K680" t="s">
        <v>454</v>
      </c>
      <c r="L680" t="s">
        <v>455</v>
      </c>
      <c r="M680" t="s">
        <v>456</v>
      </c>
      <c r="N680" t="s">
        <v>457</v>
      </c>
      <c r="O680" s="60">
        <v>15</v>
      </c>
    </row>
    <row r="681" spans="1:15" x14ac:dyDescent="0.25">
      <c r="A681" t="s">
        <v>463</v>
      </c>
      <c r="B681" s="122">
        <v>37138</v>
      </c>
      <c r="C681" s="111">
        <v>0.126</v>
      </c>
      <c r="D681">
        <v>11.2</v>
      </c>
      <c r="E681" s="111">
        <v>0.874</v>
      </c>
      <c r="F681" s="111">
        <v>2E-3</v>
      </c>
      <c r="G681" s="111">
        <v>0.39300000000000002</v>
      </c>
      <c r="H681" s="111">
        <v>6.5000000000000002E-2</v>
      </c>
      <c r="I681" s="111">
        <v>0</v>
      </c>
      <c r="J681" s="111">
        <v>2E-3</v>
      </c>
      <c r="K681" s="111">
        <v>0.14599999999999999</v>
      </c>
      <c r="L681" s="111">
        <v>0.26600000000000001</v>
      </c>
      <c r="M681" s="111">
        <v>0.46</v>
      </c>
      <c r="N681" s="111">
        <v>0.41499999999999998</v>
      </c>
      <c r="O681" s="60">
        <v>15</v>
      </c>
    </row>
    <row r="682" spans="1:15" x14ac:dyDescent="0.25">
      <c r="A682" t="s">
        <v>467</v>
      </c>
      <c r="B682" s="112">
        <v>45934</v>
      </c>
      <c r="C682" s="111">
        <v>6.2E-2</v>
      </c>
      <c r="D682">
        <v>11.3</v>
      </c>
      <c r="E682" s="111">
        <v>0.76600000000000001</v>
      </c>
      <c r="F682" s="111">
        <v>3.2000000000000001E-2</v>
      </c>
      <c r="G682" s="111">
        <v>0.41099999999999998</v>
      </c>
      <c r="H682" s="111">
        <v>1.7999999999999999E-2</v>
      </c>
      <c r="I682" s="111">
        <v>0</v>
      </c>
      <c r="J682" s="111">
        <v>8.9999999999999993E-3</v>
      </c>
      <c r="K682" s="111">
        <v>7.1999999999999995E-2</v>
      </c>
      <c r="L682" s="111">
        <v>0.224</v>
      </c>
      <c r="M682" s="111">
        <v>0.46100000000000002</v>
      </c>
      <c r="N682" s="111">
        <v>0.30499999999999999</v>
      </c>
      <c r="O682" s="60">
        <v>15</v>
      </c>
    </row>
    <row r="683" spans="1:15" x14ac:dyDescent="0.25">
      <c r="A683" t="s">
        <v>464</v>
      </c>
      <c r="B683" s="112">
        <v>45875</v>
      </c>
      <c r="C683" s="111">
        <v>0.254</v>
      </c>
      <c r="D683">
        <v>10</v>
      </c>
      <c r="E683" s="111">
        <v>0.40400000000000003</v>
      </c>
      <c r="F683" s="111">
        <v>0</v>
      </c>
      <c r="G683" s="111">
        <v>2.5000000000000001E-2</v>
      </c>
      <c r="H683" s="111">
        <v>5.3999999999999999E-2</v>
      </c>
      <c r="I683" s="111">
        <v>0</v>
      </c>
      <c r="J683" s="111">
        <v>0</v>
      </c>
      <c r="K683" s="111">
        <v>3.9E-2</v>
      </c>
      <c r="L683" s="111">
        <v>0.28499999999999998</v>
      </c>
      <c r="M683" s="111">
        <v>7.9000000000000001E-2</v>
      </c>
      <c r="N683" s="111">
        <v>0.32500000000000001</v>
      </c>
      <c r="O683" s="60">
        <v>15</v>
      </c>
    </row>
    <row r="684" spans="1:15" x14ac:dyDescent="0.25">
      <c r="A684" t="s">
        <v>465</v>
      </c>
      <c r="B684" s="112">
        <v>45816</v>
      </c>
      <c r="C684" s="111">
        <v>-4.2000000000000003E-2</v>
      </c>
      <c r="D684">
        <v>7.3</v>
      </c>
      <c r="E684" s="111">
        <v>0</v>
      </c>
      <c r="F684" s="111">
        <v>0</v>
      </c>
      <c r="G684" s="111">
        <v>0</v>
      </c>
      <c r="H684" s="111">
        <v>0</v>
      </c>
      <c r="I684" s="111">
        <v>0</v>
      </c>
      <c r="J684" s="111">
        <v>0</v>
      </c>
      <c r="K684" s="111">
        <v>0</v>
      </c>
      <c r="L684" s="111">
        <v>0</v>
      </c>
      <c r="M684" s="111">
        <v>0</v>
      </c>
      <c r="N684" s="111">
        <v>0</v>
      </c>
      <c r="O684" s="60">
        <v>15</v>
      </c>
    </row>
    <row r="685" spans="1:15" x14ac:dyDescent="0.25">
      <c r="A685" t="s">
        <v>383</v>
      </c>
      <c r="O685" s="60">
        <v>15</v>
      </c>
    </row>
    <row r="686" spans="1:15" x14ac:dyDescent="0.25">
      <c r="A686" t="s">
        <v>444</v>
      </c>
      <c r="B686" t="s">
        <v>445</v>
      </c>
      <c r="C686" t="s">
        <v>446</v>
      </c>
      <c r="D686" t="s">
        <v>447</v>
      </c>
      <c r="E686" t="s">
        <v>448</v>
      </c>
      <c r="F686" t="s">
        <v>449</v>
      </c>
      <c r="G686" t="s">
        <v>450</v>
      </c>
      <c r="H686" t="s">
        <v>451</v>
      </c>
      <c r="I686" t="s">
        <v>452</v>
      </c>
      <c r="J686" t="s">
        <v>453</v>
      </c>
      <c r="K686" t="s">
        <v>454</v>
      </c>
      <c r="L686" t="s">
        <v>455</v>
      </c>
      <c r="M686" t="s">
        <v>456</v>
      </c>
      <c r="N686" t="s">
        <v>457</v>
      </c>
      <c r="O686" s="60">
        <v>15</v>
      </c>
    </row>
    <row r="687" spans="1:15" x14ac:dyDescent="0.25">
      <c r="A687" t="s">
        <v>468</v>
      </c>
      <c r="B687" s="112">
        <v>45845</v>
      </c>
      <c r="C687" s="111">
        <v>-5.6000000000000001E-2</v>
      </c>
      <c r="D687">
        <v>8.6</v>
      </c>
      <c r="E687" s="111">
        <v>0.75600000000000001</v>
      </c>
      <c r="F687" s="111">
        <v>0</v>
      </c>
      <c r="G687" s="111">
        <v>0</v>
      </c>
      <c r="H687" s="111">
        <v>8.0000000000000002E-3</v>
      </c>
      <c r="I687" s="111">
        <v>0.748</v>
      </c>
      <c r="J687" s="111">
        <v>0</v>
      </c>
      <c r="K687" s="111">
        <v>0</v>
      </c>
      <c r="L687" s="111">
        <v>0</v>
      </c>
      <c r="M687" s="111">
        <v>0.75600000000000001</v>
      </c>
      <c r="N687" s="111">
        <v>0</v>
      </c>
      <c r="O687" s="60">
        <v>15</v>
      </c>
    </row>
    <row r="688" spans="1:15" x14ac:dyDescent="0.25">
      <c r="A688" t="s">
        <v>471</v>
      </c>
      <c r="B688" s="112">
        <v>45845</v>
      </c>
      <c r="C688" s="111">
        <v>-0.14799999999999999</v>
      </c>
      <c r="D688">
        <v>8</v>
      </c>
      <c r="E688" s="111">
        <v>0.24399999999999999</v>
      </c>
      <c r="F688" s="111">
        <v>0</v>
      </c>
      <c r="G688" s="111">
        <v>0</v>
      </c>
      <c r="H688" s="111">
        <v>1.7999999999999999E-2</v>
      </c>
      <c r="I688" s="111">
        <v>0.22600000000000001</v>
      </c>
      <c r="J688" s="111">
        <v>0</v>
      </c>
      <c r="K688" s="111">
        <v>0</v>
      </c>
      <c r="L688" s="111">
        <v>0</v>
      </c>
      <c r="M688" s="111">
        <v>0.24399999999999999</v>
      </c>
      <c r="N688" s="111">
        <v>0</v>
      </c>
      <c r="O688" s="60">
        <v>15</v>
      </c>
    </row>
    <row r="689" spans="1:15" x14ac:dyDescent="0.25">
      <c r="A689" t="s">
        <v>469</v>
      </c>
      <c r="B689" s="112">
        <v>45786</v>
      </c>
      <c r="C689" s="111">
        <v>-9.2999999999999999E-2</v>
      </c>
      <c r="D689">
        <v>6.3</v>
      </c>
      <c r="E689" s="111">
        <v>0</v>
      </c>
      <c r="F689" s="111">
        <v>0</v>
      </c>
      <c r="G689" s="111">
        <v>0</v>
      </c>
      <c r="H689" s="111">
        <v>0</v>
      </c>
      <c r="I689" s="111">
        <v>0</v>
      </c>
      <c r="J689" s="111">
        <v>0</v>
      </c>
      <c r="K689" s="111">
        <v>0</v>
      </c>
      <c r="L689" s="111">
        <v>0</v>
      </c>
      <c r="M689" s="111">
        <v>0</v>
      </c>
      <c r="N689" s="111">
        <v>0</v>
      </c>
      <c r="O689" s="60">
        <v>15</v>
      </c>
    </row>
    <row r="690" spans="1:15" x14ac:dyDescent="0.25">
      <c r="A690" t="s">
        <v>470</v>
      </c>
      <c r="B690" s="112">
        <v>45757</v>
      </c>
      <c r="C690" s="111">
        <v>-0.19600000000000001</v>
      </c>
      <c r="D690">
        <v>5.5</v>
      </c>
      <c r="E690" s="111">
        <v>0</v>
      </c>
      <c r="F690" s="111">
        <v>0</v>
      </c>
      <c r="G690" s="111">
        <v>0</v>
      </c>
      <c r="H690" s="111">
        <v>0</v>
      </c>
      <c r="I690" s="111">
        <v>0</v>
      </c>
      <c r="J690" s="111">
        <v>0</v>
      </c>
      <c r="K690" s="111">
        <v>0</v>
      </c>
      <c r="L690" s="111">
        <v>0</v>
      </c>
      <c r="M690" s="111">
        <v>0</v>
      </c>
      <c r="N690" s="111">
        <v>0</v>
      </c>
      <c r="O690" s="60">
        <v>15</v>
      </c>
    </row>
    <row r="691" spans="1:15" x14ac:dyDescent="0.25">
      <c r="A691" t="s">
        <v>355</v>
      </c>
      <c r="O691" s="60">
        <v>15</v>
      </c>
    </row>
    <row r="692" spans="1:15" x14ac:dyDescent="0.25">
      <c r="A692" t="s">
        <v>444</v>
      </c>
      <c r="B692" t="s">
        <v>445</v>
      </c>
      <c r="C692" t="s">
        <v>446</v>
      </c>
      <c r="D692" t="s">
        <v>447</v>
      </c>
      <c r="E692" t="s">
        <v>448</v>
      </c>
      <c r="F692" t="s">
        <v>449</v>
      </c>
      <c r="G692" t="s">
        <v>450</v>
      </c>
      <c r="H692" t="s">
        <v>451</v>
      </c>
      <c r="I692" t="s">
        <v>452</v>
      </c>
      <c r="J692" t="s">
        <v>453</v>
      </c>
      <c r="K692" t="s">
        <v>454</v>
      </c>
      <c r="L692" t="s">
        <v>455</v>
      </c>
      <c r="M692" t="s">
        <v>456</v>
      </c>
      <c r="N692" t="s">
        <v>457</v>
      </c>
      <c r="O692" s="60">
        <v>15</v>
      </c>
    </row>
    <row r="693" spans="1:15" x14ac:dyDescent="0.25">
      <c r="A693" t="s">
        <v>473</v>
      </c>
      <c r="B693" s="112">
        <v>45964</v>
      </c>
      <c r="C693" s="111">
        <v>0.4</v>
      </c>
      <c r="D693">
        <v>13.2</v>
      </c>
      <c r="E693" s="111">
        <v>1</v>
      </c>
      <c r="F693" s="111">
        <v>0.53100000000000003</v>
      </c>
      <c r="G693" s="111">
        <v>2.5000000000000001E-2</v>
      </c>
      <c r="H693" s="111">
        <v>0</v>
      </c>
      <c r="I693" s="111">
        <v>0</v>
      </c>
      <c r="J693" s="111">
        <v>0.373</v>
      </c>
      <c r="K693" s="111">
        <v>6.5000000000000002E-2</v>
      </c>
      <c r="L693" s="111">
        <v>4.0000000000000001E-3</v>
      </c>
      <c r="M693" s="111">
        <v>0.55700000000000005</v>
      </c>
      <c r="N693" s="111">
        <v>0.443</v>
      </c>
      <c r="O693" s="60">
        <v>15</v>
      </c>
    </row>
    <row r="694" spans="1:15" x14ac:dyDescent="0.25">
      <c r="A694" t="s">
        <v>475</v>
      </c>
      <c r="B694" s="112">
        <v>45964</v>
      </c>
      <c r="C694" s="111">
        <v>0.375</v>
      </c>
      <c r="D694">
        <v>13.1</v>
      </c>
      <c r="E694" s="111">
        <v>0.997</v>
      </c>
      <c r="F694" s="111">
        <v>0.37</v>
      </c>
      <c r="G694" s="111">
        <v>6.0000000000000001E-3</v>
      </c>
      <c r="H694" s="111">
        <v>0</v>
      </c>
      <c r="I694" s="111">
        <v>0</v>
      </c>
      <c r="J694" s="111">
        <v>0.42299999999999999</v>
      </c>
      <c r="K694" s="111">
        <v>0.18099999999999999</v>
      </c>
      <c r="L694" s="111">
        <v>1.7000000000000001E-2</v>
      </c>
      <c r="M694" s="111">
        <v>0.376</v>
      </c>
      <c r="N694" s="111">
        <v>0.621</v>
      </c>
      <c r="O694" s="60">
        <v>15</v>
      </c>
    </row>
    <row r="695" spans="1:15" x14ac:dyDescent="0.25">
      <c r="A695" t="s">
        <v>472</v>
      </c>
      <c r="B695" s="112">
        <v>45934</v>
      </c>
      <c r="C695" s="111">
        <v>8.5000000000000006E-2</v>
      </c>
      <c r="D695">
        <v>11.4</v>
      </c>
      <c r="E695" s="111">
        <v>0.95899999999999996</v>
      </c>
      <c r="F695" s="111">
        <v>6.4000000000000001E-2</v>
      </c>
      <c r="G695" s="111">
        <v>2E-3</v>
      </c>
      <c r="H695" s="111">
        <v>0</v>
      </c>
      <c r="I695" s="111">
        <v>0</v>
      </c>
      <c r="J695" s="111">
        <v>0.192</v>
      </c>
      <c r="K695" s="111">
        <v>0.497</v>
      </c>
      <c r="L695" s="111">
        <v>0.20300000000000001</v>
      </c>
      <c r="M695" s="111">
        <v>6.7000000000000004E-2</v>
      </c>
      <c r="N695" s="111">
        <v>0.89200000000000002</v>
      </c>
      <c r="O695" s="60">
        <v>15</v>
      </c>
    </row>
    <row r="696" spans="1:15" x14ac:dyDescent="0.25">
      <c r="A696" t="s">
        <v>474</v>
      </c>
      <c r="B696" s="112">
        <v>45727</v>
      </c>
      <c r="C696" s="111">
        <v>-0.14699999999999999</v>
      </c>
      <c r="D696">
        <v>4</v>
      </c>
      <c r="E696" s="111">
        <v>0</v>
      </c>
      <c r="F696" s="111">
        <v>0</v>
      </c>
      <c r="G696" s="111">
        <v>0</v>
      </c>
      <c r="H696" s="111">
        <v>0</v>
      </c>
      <c r="I696" s="111">
        <v>0</v>
      </c>
      <c r="J696" s="111">
        <v>0</v>
      </c>
      <c r="K696" s="111">
        <v>0</v>
      </c>
      <c r="L696" s="111">
        <v>0</v>
      </c>
      <c r="M696" s="111">
        <v>0</v>
      </c>
      <c r="N696" s="111">
        <v>0</v>
      </c>
      <c r="O696" s="60">
        <v>15</v>
      </c>
    </row>
    <row r="697" spans="1:15" x14ac:dyDescent="0.25">
      <c r="A697" t="s">
        <v>359</v>
      </c>
      <c r="O697" s="60">
        <v>15</v>
      </c>
    </row>
    <row r="698" spans="1:15" x14ac:dyDescent="0.25">
      <c r="A698" t="s">
        <v>444</v>
      </c>
      <c r="B698" t="s">
        <v>445</v>
      </c>
      <c r="C698" t="s">
        <v>446</v>
      </c>
      <c r="D698" t="s">
        <v>447</v>
      </c>
      <c r="E698" t="s">
        <v>448</v>
      </c>
      <c r="F698" t="s">
        <v>449</v>
      </c>
      <c r="G698" t="s">
        <v>450</v>
      </c>
      <c r="H698" t="s">
        <v>451</v>
      </c>
      <c r="I698" t="s">
        <v>452</v>
      </c>
      <c r="J698" t="s">
        <v>453</v>
      </c>
      <c r="K698" t="s">
        <v>454</v>
      </c>
      <c r="L698" t="s">
        <v>455</v>
      </c>
      <c r="M698" t="s">
        <v>456</v>
      </c>
      <c r="N698" t="s">
        <v>457</v>
      </c>
      <c r="O698" s="60">
        <v>15</v>
      </c>
    </row>
    <row r="699" spans="1:15" x14ac:dyDescent="0.25">
      <c r="A699" t="s">
        <v>477</v>
      </c>
      <c r="B699" s="112">
        <v>45964</v>
      </c>
      <c r="C699" s="111">
        <v>4.1000000000000002E-2</v>
      </c>
      <c r="D699">
        <v>12.8</v>
      </c>
      <c r="E699" s="111">
        <v>0.998</v>
      </c>
      <c r="F699" s="111">
        <v>5.8000000000000003E-2</v>
      </c>
      <c r="G699" s="111">
        <v>0.46400000000000002</v>
      </c>
      <c r="H699" s="111">
        <v>0.107</v>
      </c>
      <c r="I699" s="111">
        <v>0</v>
      </c>
      <c r="J699" s="111">
        <v>0.17299999999999999</v>
      </c>
      <c r="K699" s="111">
        <v>0.152</v>
      </c>
      <c r="L699" s="111">
        <v>4.4999999999999998E-2</v>
      </c>
      <c r="M699" s="111">
        <v>0.629</v>
      </c>
      <c r="N699" s="111">
        <v>0.37</v>
      </c>
      <c r="O699" s="60">
        <v>15</v>
      </c>
    </row>
    <row r="700" spans="1:15" x14ac:dyDescent="0.25">
      <c r="A700" t="s">
        <v>476</v>
      </c>
      <c r="B700" s="112">
        <v>45934</v>
      </c>
      <c r="C700" s="111">
        <v>9.7000000000000003E-2</v>
      </c>
      <c r="D700">
        <v>12.3</v>
      </c>
      <c r="E700" s="111">
        <v>0.996</v>
      </c>
      <c r="F700" s="111">
        <v>2.8000000000000001E-2</v>
      </c>
      <c r="G700" s="111">
        <v>0.23799999999999999</v>
      </c>
      <c r="H700" s="111">
        <v>0.105</v>
      </c>
      <c r="I700" s="111">
        <v>0</v>
      </c>
      <c r="J700" s="111">
        <v>0.36899999999999999</v>
      </c>
      <c r="K700" s="111">
        <v>0.183</v>
      </c>
      <c r="L700" s="111">
        <v>7.2999999999999995E-2</v>
      </c>
      <c r="M700" s="111">
        <v>0.371</v>
      </c>
      <c r="N700" s="111">
        <v>0.625</v>
      </c>
      <c r="O700" s="60">
        <v>15</v>
      </c>
    </row>
    <row r="701" spans="1:15" x14ac:dyDescent="0.25">
      <c r="A701" t="s">
        <v>479</v>
      </c>
      <c r="B701" s="112">
        <v>45816</v>
      </c>
      <c r="C701" s="111">
        <v>-0.01</v>
      </c>
      <c r="D701">
        <v>7.7</v>
      </c>
      <c r="E701" s="111">
        <v>0</v>
      </c>
      <c r="F701" s="111">
        <v>0</v>
      </c>
      <c r="G701" s="111">
        <v>0</v>
      </c>
      <c r="H701" s="111">
        <v>0</v>
      </c>
      <c r="I701" s="111">
        <v>0</v>
      </c>
      <c r="J701" s="111">
        <v>0</v>
      </c>
      <c r="K701" s="111">
        <v>0</v>
      </c>
      <c r="L701" s="111">
        <v>0</v>
      </c>
      <c r="M701" s="111">
        <v>0</v>
      </c>
      <c r="N701" s="111">
        <v>0</v>
      </c>
      <c r="O701" s="60">
        <v>15</v>
      </c>
    </row>
    <row r="702" spans="1:15" x14ac:dyDescent="0.25">
      <c r="A702" t="s">
        <v>478</v>
      </c>
      <c r="B702" s="112">
        <v>45727</v>
      </c>
      <c r="C702" s="111">
        <v>-0.317</v>
      </c>
      <c r="D702">
        <v>3.7</v>
      </c>
      <c r="E702" s="111">
        <v>0</v>
      </c>
      <c r="F702" s="111">
        <v>0</v>
      </c>
      <c r="G702" s="111">
        <v>0</v>
      </c>
      <c r="H702" s="111">
        <v>0</v>
      </c>
      <c r="I702" s="111">
        <v>0</v>
      </c>
      <c r="J702" s="111">
        <v>0</v>
      </c>
      <c r="K702" s="111">
        <v>0</v>
      </c>
      <c r="L702" s="111">
        <v>0</v>
      </c>
      <c r="M702" s="111">
        <v>0</v>
      </c>
      <c r="N702" s="111">
        <v>0</v>
      </c>
      <c r="O702" s="60">
        <v>15</v>
      </c>
    </row>
    <row r="703" spans="1:15" x14ac:dyDescent="0.25">
      <c r="A703" t="s">
        <v>352</v>
      </c>
      <c r="O703" s="60">
        <v>15</v>
      </c>
    </row>
    <row r="704" spans="1:15" x14ac:dyDescent="0.25">
      <c r="A704" t="s">
        <v>444</v>
      </c>
      <c r="B704" t="s">
        <v>445</v>
      </c>
      <c r="C704" t="s">
        <v>446</v>
      </c>
      <c r="D704" t="s">
        <v>447</v>
      </c>
      <c r="E704" t="s">
        <v>448</v>
      </c>
      <c r="F704" t="s">
        <v>449</v>
      </c>
      <c r="G704" t="s">
        <v>450</v>
      </c>
      <c r="H704" t="s">
        <v>451</v>
      </c>
      <c r="I704" t="s">
        <v>452</v>
      </c>
      <c r="J704" t="s">
        <v>453</v>
      </c>
      <c r="K704" t="s">
        <v>454</v>
      </c>
      <c r="L704" t="s">
        <v>455</v>
      </c>
      <c r="M704" t="s">
        <v>456</v>
      </c>
      <c r="N704" t="s">
        <v>457</v>
      </c>
      <c r="O704" s="60">
        <v>15</v>
      </c>
    </row>
    <row r="705" spans="1:15" x14ac:dyDescent="0.25">
      <c r="A705" t="s">
        <v>482</v>
      </c>
      <c r="B705" s="112">
        <v>45875</v>
      </c>
      <c r="C705" s="111">
        <v>0.05</v>
      </c>
      <c r="D705">
        <v>9.6</v>
      </c>
      <c r="E705" s="111">
        <v>0.72899999999999998</v>
      </c>
      <c r="F705" s="111">
        <v>0</v>
      </c>
      <c r="G705" s="111">
        <v>0</v>
      </c>
      <c r="H705" s="111">
        <v>1.0999999999999999E-2</v>
      </c>
      <c r="I705" s="111">
        <v>0.71699999999999997</v>
      </c>
      <c r="J705" s="111">
        <v>0</v>
      </c>
      <c r="K705" s="111">
        <v>0</v>
      </c>
      <c r="L705" s="111">
        <v>1E-3</v>
      </c>
      <c r="M705" s="111">
        <v>0.72799999999999998</v>
      </c>
      <c r="N705" s="111">
        <v>1E-3</v>
      </c>
      <c r="O705" s="60">
        <v>15</v>
      </c>
    </row>
    <row r="706" spans="1:15" x14ac:dyDescent="0.25">
      <c r="A706" t="s">
        <v>480</v>
      </c>
      <c r="B706" s="112">
        <v>45845</v>
      </c>
      <c r="C706" s="111">
        <v>2.5999999999999999E-2</v>
      </c>
      <c r="D706">
        <v>8.3000000000000007</v>
      </c>
      <c r="E706" s="111">
        <v>0.27200000000000002</v>
      </c>
      <c r="F706" s="111">
        <v>0</v>
      </c>
      <c r="G706" s="111">
        <v>0</v>
      </c>
      <c r="H706" s="111">
        <v>0</v>
      </c>
      <c r="I706" s="111">
        <v>0.27200000000000002</v>
      </c>
      <c r="J706" s="111">
        <v>0</v>
      </c>
      <c r="K706" s="111">
        <v>0</v>
      </c>
      <c r="L706" s="111">
        <v>0</v>
      </c>
      <c r="M706" s="111">
        <v>0.27200000000000002</v>
      </c>
      <c r="N706" s="111">
        <v>0</v>
      </c>
      <c r="O706" s="60">
        <v>15</v>
      </c>
    </row>
    <row r="707" spans="1:15" x14ac:dyDescent="0.25">
      <c r="A707" t="s">
        <v>481</v>
      </c>
      <c r="B707" s="112">
        <v>45757</v>
      </c>
      <c r="C707" s="111">
        <v>-0.121</v>
      </c>
      <c r="D707">
        <v>5.7</v>
      </c>
      <c r="E707" s="111">
        <v>0</v>
      </c>
      <c r="F707" s="111">
        <v>0</v>
      </c>
      <c r="G707" s="111">
        <v>0</v>
      </c>
      <c r="H707" s="111">
        <v>0</v>
      </c>
      <c r="I707" s="111">
        <v>0</v>
      </c>
      <c r="J707" s="111">
        <v>0</v>
      </c>
      <c r="K707" s="111">
        <v>0</v>
      </c>
      <c r="L707" s="111">
        <v>0</v>
      </c>
      <c r="M707" s="111">
        <v>0</v>
      </c>
      <c r="N707" s="111">
        <v>0</v>
      </c>
      <c r="O707" s="60">
        <v>15</v>
      </c>
    </row>
    <row r="708" spans="1:15" x14ac:dyDescent="0.25">
      <c r="A708" t="s">
        <v>483</v>
      </c>
      <c r="B708" s="112">
        <v>45727</v>
      </c>
      <c r="C708" s="111">
        <v>-0.39400000000000002</v>
      </c>
      <c r="D708">
        <v>3.6</v>
      </c>
      <c r="E708" s="111">
        <v>0</v>
      </c>
      <c r="F708" s="111">
        <v>0</v>
      </c>
      <c r="G708" s="111">
        <v>0</v>
      </c>
      <c r="H708" s="111">
        <v>0</v>
      </c>
      <c r="I708" s="111">
        <v>0</v>
      </c>
      <c r="J708" s="111">
        <v>0</v>
      </c>
      <c r="K708" s="111">
        <v>0</v>
      </c>
      <c r="L708" s="111">
        <v>0</v>
      </c>
      <c r="M708" s="111">
        <v>0</v>
      </c>
      <c r="N708" s="111">
        <v>0</v>
      </c>
      <c r="O708" s="60">
        <v>15</v>
      </c>
    </row>
    <row r="709" spans="1:15" x14ac:dyDescent="0.25">
      <c r="A709" t="s">
        <v>368</v>
      </c>
      <c r="O709" s="60">
        <v>15</v>
      </c>
    </row>
    <row r="710" spans="1:15" x14ac:dyDescent="0.25">
      <c r="A710" t="s">
        <v>444</v>
      </c>
      <c r="B710" t="s">
        <v>445</v>
      </c>
      <c r="C710" t="s">
        <v>446</v>
      </c>
      <c r="D710" t="s">
        <v>447</v>
      </c>
      <c r="E710" t="s">
        <v>448</v>
      </c>
      <c r="F710" t="s">
        <v>449</v>
      </c>
      <c r="G710" t="s">
        <v>450</v>
      </c>
      <c r="H710" t="s">
        <v>451</v>
      </c>
      <c r="I710" t="s">
        <v>452</v>
      </c>
      <c r="J710" t="s">
        <v>453</v>
      </c>
      <c r="K710" t="s">
        <v>454</v>
      </c>
      <c r="L710" t="s">
        <v>455</v>
      </c>
      <c r="M710" t="s">
        <v>456</v>
      </c>
      <c r="N710" t="s">
        <v>457</v>
      </c>
      <c r="O710" s="60">
        <v>15</v>
      </c>
    </row>
    <row r="711" spans="1:15" x14ac:dyDescent="0.25">
      <c r="A711" t="s">
        <v>484</v>
      </c>
      <c r="B711" s="112">
        <v>45934</v>
      </c>
      <c r="C711" s="111">
        <v>0.14799999999999999</v>
      </c>
      <c r="D711">
        <v>11.8</v>
      </c>
      <c r="E711" s="111">
        <v>0.98099999999999998</v>
      </c>
      <c r="F711" s="111">
        <v>7.5999999999999998E-2</v>
      </c>
      <c r="G711" s="111">
        <v>0.128</v>
      </c>
      <c r="H711" s="111">
        <v>0.3</v>
      </c>
      <c r="I711" s="111">
        <v>5.0000000000000001E-3</v>
      </c>
      <c r="J711" s="111">
        <v>0.112</v>
      </c>
      <c r="K711" s="111">
        <v>0.24</v>
      </c>
      <c r="L711" s="111">
        <v>0.121</v>
      </c>
      <c r="M711" s="111">
        <v>0.50900000000000001</v>
      </c>
      <c r="N711" s="111">
        <v>0.47199999999999998</v>
      </c>
      <c r="O711" s="60">
        <v>15</v>
      </c>
    </row>
    <row r="712" spans="1:15" x14ac:dyDescent="0.25">
      <c r="A712" t="s">
        <v>486</v>
      </c>
      <c r="B712" s="112">
        <v>45905</v>
      </c>
      <c r="C712" s="111">
        <v>0.17499999999999999</v>
      </c>
      <c r="D712">
        <v>11.2</v>
      </c>
      <c r="E712" s="111">
        <v>0.94499999999999995</v>
      </c>
      <c r="F712" s="111">
        <v>1E-3</v>
      </c>
      <c r="G712" s="111">
        <v>6.2E-2</v>
      </c>
      <c r="H712" s="111">
        <v>0.39700000000000002</v>
      </c>
      <c r="I712" s="111">
        <v>1E-3</v>
      </c>
      <c r="J712" s="111">
        <v>6.7000000000000004E-2</v>
      </c>
      <c r="K712" s="111">
        <v>0.13600000000000001</v>
      </c>
      <c r="L712" s="111">
        <v>0.28100000000000003</v>
      </c>
      <c r="M712" s="111">
        <v>0.46100000000000002</v>
      </c>
      <c r="N712" s="111">
        <v>0.48399999999999999</v>
      </c>
      <c r="O712" s="60">
        <v>15</v>
      </c>
    </row>
    <row r="713" spans="1:15" x14ac:dyDescent="0.25">
      <c r="A713" t="s">
        <v>485</v>
      </c>
      <c r="B713" s="112">
        <v>45875</v>
      </c>
      <c r="C713" s="111">
        <v>2.4E-2</v>
      </c>
      <c r="D713">
        <v>9.3000000000000007</v>
      </c>
      <c r="E713" s="111">
        <v>0.17799999999999999</v>
      </c>
      <c r="F713" s="111">
        <v>0</v>
      </c>
      <c r="G713" s="111">
        <v>0</v>
      </c>
      <c r="H713" s="111">
        <v>2.5000000000000001E-2</v>
      </c>
      <c r="I713" s="111">
        <v>4.0000000000000001E-3</v>
      </c>
      <c r="J713" s="111">
        <v>2E-3</v>
      </c>
      <c r="K713" s="111">
        <v>3.1E-2</v>
      </c>
      <c r="L713" s="111">
        <v>0.114</v>
      </c>
      <c r="M713" s="111">
        <v>0.03</v>
      </c>
      <c r="N713" s="111">
        <v>0.14799999999999999</v>
      </c>
      <c r="O713" s="60">
        <v>15</v>
      </c>
    </row>
    <row r="714" spans="1:15" x14ac:dyDescent="0.25">
      <c r="A714" t="s">
        <v>487</v>
      </c>
      <c r="B714" s="112">
        <v>45700</v>
      </c>
      <c r="C714" s="111">
        <v>-0.28999999999999998</v>
      </c>
      <c r="D714">
        <v>3</v>
      </c>
      <c r="E714" s="111">
        <v>0</v>
      </c>
      <c r="F714" s="111">
        <v>0</v>
      </c>
      <c r="G714" s="111">
        <v>0</v>
      </c>
      <c r="H714" s="111">
        <v>0</v>
      </c>
      <c r="I714" s="111">
        <v>0</v>
      </c>
      <c r="J714" s="111">
        <v>0</v>
      </c>
      <c r="K714" s="111">
        <v>0</v>
      </c>
      <c r="L714" s="111">
        <v>0</v>
      </c>
      <c r="M714" s="111">
        <v>0</v>
      </c>
      <c r="N714" s="111">
        <v>0</v>
      </c>
      <c r="O714" s="60">
        <v>15</v>
      </c>
    </row>
    <row r="715" spans="1:15" x14ac:dyDescent="0.25">
      <c r="A715" t="s">
        <v>367</v>
      </c>
      <c r="O715" s="60">
        <v>15</v>
      </c>
    </row>
    <row r="716" spans="1:15" x14ac:dyDescent="0.25">
      <c r="A716" t="s">
        <v>444</v>
      </c>
      <c r="B716" t="s">
        <v>445</v>
      </c>
      <c r="C716" t="s">
        <v>446</v>
      </c>
      <c r="D716" t="s">
        <v>447</v>
      </c>
      <c r="E716" t="s">
        <v>448</v>
      </c>
      <c r="F716" t="s">
        <v>449</v>
      </c>
      <c r="G716" t="s">
        <v>450</v>
      </c>
      <c r="H716" t="s">
        <v>451</v>
      </c>
      <c r="I716" t="s">
        <v>452</v>
      </c>
      <c r="J716" t="s">
        <v>453</v>
      </c>
      <c r="K716" t="s">
        <v>454</v>
      </c>
      <c r="L716" t="s">
        <v>455</v>
      </c>
      <c r="M716" t="s">
        <v>456</v>
      </c>
      <c r="N716" t="s">
        <v>457</v>
      </c>
      <c r="O716" s="60">
        <v>15</v>
      </c>
    </row>
    <row r="717" spans="1:15" x14ac:dyDescent="0.25">
      <c r="A717" t="s">
        <v>491</v>
      </c>
      <c r="B717" s="112">
        <v>45993</v>
      </c>
      <c r="C717" s="111">
        <v>0.182</v>
      </c>
      <c r="D717">
        <v>14</v>
      </c>
      <c r="E717" s="111">
        <v>1</v>
      </c>
      <c r="F717" s="111">
        <v>0.81599999999999995</v>
      </c>
      <c r="G717" s="111">
        <v>8.8999999999999996E-2</v>
      </c>
      <c r="H717" s="111">
        <v>3.6999999999999998E-2</v>
      </c>
      <c r="I717" s="111">
        <v>0</v>
      </c>
      <c r="J717" s="111">
        <v>3.3000000000000002E-2</v>
      </c>
      <c r="K717" s="111">
        <v>2.1999999999999999E-2</v>
      </c>
      <c r="L717" s="111">
        <v>2E-3</v>
      </c>
      <c r="M717" s="111">
        <v>0.94199999999999995</v>
      </c>
      <c r="N717" s="111">
        <v>5.8000000000000003E-2</v>
      </c>
      <c r="O717" s="60">
        <v>15</v>
      </c>
    </row>
    <row r="718" spans="1:15" x14ac:dyDescent="0.25">
      <c r="A718" t="s">
        <v>489</v>
      </c>
      <c r="B718" s="112">
        <v>45934</v>
      </c>
      <c r="C718" s="111">
        <v>2.5999999999999999E-2</v>
      </c>
      <c r="D718">
        <v>11.2</v>
      </c>
      <c r="E718" s="111">
        <v>0.9</v>
      </c>
      <c r="F718" s="111">
        <v>2.1000000000000001E-2</v>
      </c>
      <c r="G718" s="111">
        <v>1.9E-2</v>
      </c>
      <c r="H718" s="111">
        <v>1.7000000000000001E-2</v>
      </c>
      <c r="I718" s="111">
        <v>0</v>
      </c>
      <c r="J718" s="111">
        <v>0.24399999999999999</v>
      </c>
      <c r="K718" s="111">
        <v>0.23599999999999999</v>
      </c>
      <c r="L718" s="111">
        <v>0.36299999999999999</v>
      </c>
      <c r="M718" s="111">
        <v>5.8000000000000003E-2</v>
      </c>
      <c r="N718" s="111">
        <v>0.84299999999999997</v>
      </c>
      <c r="O718" s="60">
        <v>15</v>
      </c>
    </row>
    <row r="719" spans="1:15" x14ac:dyDescent="0.25">
      <c r="A719" t="s">
        <v>488</v>
      </c>
      <c r="B719" s="112">
        <v>45816</v>
      </c>
      <c r="C719" s="111">
        <v>-0.13400000000000001</v>
      </c>
      <c r="D719">
        <v>7.5</v>
      </c>
      <c r="E719" s="111">
        <v>0</v>
      </c>
      <c r="F719" s="111">
        <v>0</v>
      </c>
      <c r="G719" s="111">
        <v>0</v>
      </c>
      <c r="H719" s="111">
        <v>0</v>
      </c>
      <c r="I719" s="111">
        <v>0</v>
      </c>
      <c r="J719" s="111">
        <v>0</v>
      </c>
      <c r="K719" s="111">
        <v>0</v>
      </c>
      <c r="L719" s="111">
        <v>0</v>
      </c>
      <c r="M719" s="111">
        <v>0</v>
      </c>
      <c r="N719" s="111">
        <v>0</v>
      </c>
      <c r="O719" s="60">
        <v>15</v>
      </c>
    </row>
    <row r="720" spans="1:15" x14ac:dyDescent="0.25">
      <c r="A720" t="s">
        <v>490</v>
      </c>
      <c r="B720" s="112">
        <v>45700</v>
      </c>
      <c r="C720" s="111">
        <v>-0.35399999999999998</v>
      </c>
      <c r="D720">
        <v>2.9</v>
      </c>
      <c r="E720" s="111">
        <v>0</v>
      </c>
      <c r="F720" s="111">
        <v>0</v>
      </c>
      <c r="G720" s="111">
        <v>0</v>
      </c>
      <c r="H720" s="111">
        <v>0</v>
      </c>
      <c r="I720" s="111">
        <v>0</v>
      </c>
      <c r="J720" s="111">
        <v>0</v>
      </c>
      <c r="K720" s="111">
        <v>0</v>
      </c>
      <c r="L720" s="111">
        <v>0</v>
      </c>
      <c r="M720" s="111">
        <v>0</v>
      </c>
      <c r="N720" s="111">
        <v>0</v>
      </c>
      <c r="O720" s="60">
        <v>15</v>
      </c>
    </row>
    <row r="721" spans="1:15" x14ac:dyDescent="0.25">
      <c r="A721" t="s">
        <v>363</v>
      </c>
      <c r="O721" s="60">
        <v>16</v>
      </c>
    </row>
    <row r="722" spans="1:15" x14ac:dyDescent="0.25">
      <c r="A722" t="s">
        <v>444</v>
      </c>
      <c r="B722" t="s">
        <v>445</v>
      </c>
      <c r="C722" t="s">
        <v>446</v>
      </c>
      <c r="D722" t="s">
        <v>447</v>
      </c>
      <c r="E722" t="s">
        <v>448</v>
      </c>
      <c r="F722" t="s">
        <v>449</v>
      </c>
      <c r="G722" t="s">
        <v>450</v>
      </c>
      <c r="H722" t="s">
        <v>451</v>
      </c>
      <c r="I722" t="s">
        <v>452</v>
      </c>
      <c r="J722" t="s">
        <v>453</v>
      </c>
      <c r="K722" t="s">
        <v>454</v>
      </c>
      <c r="L722" t="s">
        <v>455</v>
      </c>
      <c r="M722" t="s">
        <v>456</v>
      </c>
      <c r="N722" t="s">
        <v>457</v>
      </c>
      <c r="O722" s="60">
        <v>16</v>
      </c>
    </row>
    <row r="723" spans="1:15" x14ac:dyDescent="0.25">
      <c r="A723" t="s">
        <v>459</v>
      </c>
      <c r="B723" s="112">
        <v>45935</v>
      </c>
      <c r="C723" s="111">
        <v>8.5999999999999993E-2</v>
      </c>
      <c r="D723">
        <v>11.2</v>
      </c>
      <c r="E723" s="111">
        <v>1</v>
      </c>
      <c r="F723" s="111">
        <v>2E-3</v>
      </c>
      <c r="G723" s="111">
        <v>0.111</v>
      </c>
      <c r="H723" s="111">
        <v>0.876</v>
      </c>
      <c r="I723" s="111">
        <v>1.0999999999999999E-2</v>
      </c>
      <c r="J723" s="111">
        <v>0</v>
      </c>
      <c r="K723" s="111">
        <v>0</v>
      </c>
      <c r="L723" s="111">
        <v>0</v>
      </c>
      <c r="M723" s="111">
        <v>1</v>
      </c>
      <c r="N723" s="111">
        <v>0</v>
      </c>
      <c r="O723" s="60">
        <v>16</v>
      </c>
    </row>
    <row r="724" spans="1:15" x14ac:dyDescent="0.25">
      <c r="A724" t="s">
        <v>460</v>
      </c>
      <c r="B724" s="122">
        <v>37050</v>
      </c>
      <c r="C724" s="111">
        <v>-0.06</v>
      </c>
      <c r="D724">
        <v>7.6</v>
      </c>
      <c r="E724" s="111">
        <v>0</v>
      </c>
      <c r="F724" s="111">
        <v>0</v>
      </c>
      <c r="G724" s="111">
        <v>0</v>
      </c>
      <c r="H724" s="111">
        <v>0</v>
      </c>
      <c r="I724" s="111">
        <v>0</v>
      </c>
      <c r="J724" s="111">
        <v>0</v>
      </c>
      <c r="K724" s="111">
        <v>0</v>
      </c>
      <c r="L724" s="111">
        <v>0</v>
      </c>
      <c r="M724" s="111">
        <v>0</v>
      </c>
      <c r="N724" s="111">
        <v>0</v>
      </c>
      <c r="O724" s="60">
        <v>16</v>
      </c>
    </row>
    <row r="725" spans="1:15" x14ac:dyDescent="0.25">
      <c r="A725" t="s">
        <v>458</v>
      </c>
      <c r="B725" s="112">
        <v>45758</v>
      </c>
      <c r="C725" s="111">
        <v>-0.223</v>
      </c>
      <c r="D725">
        <v>4.5999999999999996</v>
      </c>
      <c r="E725" s="111">
        <v>0</v>
      </c>
      <c r="F725" s="111">
        <v>0</v>
      </c>
      <c r="G725" s="111">
        <v>0</v>
      </c>
      <c r="H725" s="111">
        <v>0</v>
      </c>
      <c r="I725" s="111">
        <v>0</v>
      </c>
      <c r="J725" s="111">
        <v>0</v>
      </c>
      <c r="K725" s="111">
        <v>0</v>
      </c>
      <c r="L725" s="111">
        <v>0</v>
      </c>
      <c r="M725" s="111">
        <v>0</v>
      </c>
      <c r="N725" s="111">
        <v>0</v>
      </c>
      <c r="O725" s="60">
        <v>16</v>
      </c>
    </row>
    <row r="726" spans="1:15" x14ac:dyDescent="0.25">
      <c r="A726" t="s">
        <v>462</v>
      </c>
      <c r="B726" s="112">
        <v>45701</v>
      </c>
      <c r="C726" s="111">
        <v>-0.20100000000000001</v>
      </c>
      <c r="D726">
        <v>3</v>
      </c>
      <c r="E726" s="111">
        <v>0</v>
      </c>
      <c r="F726" s="111">
        <v>0</v>
      </c>
      <c r="G726" s="111">
        <v>0</v>
      </c>
      <c r="H726" s="111">
        <v>0</v>
      </c>
      <c r="I726" s="111">
        <v>0</v>
      </c>
      <c r="J726" s="111">
        <v>0</v>
      </c>
      <c r="K726" s="111">
        <v>0</v>
      </c>
      <c r="L726" s="111">
        <v>0</v>
      </c>
      <c r="M726" s="111">
        <v>0</v>
      </c>
      <c r="N726" s="111">
        <v>0</v>
      </c>
      <c r="O726" s="60">
        <v>16</v>
      </c>
    </row>
    <row r="727" spans="1:15" x14ac:dyDescent="0.25">
      <c r="A727" t="s">
        <v>357</v>
      </c>
      <c r="O727" s="60">
        <v>16</v>
      </c>
    </row>
    <row r="728" spans="1:15" x14ac:dyDescent="0.25">
      <c r="A728" t="s">
        <v>444</v>
      </c>
      <c r="B728" t="s">
        <v>445</v>
      </c>
      <c r="C728" t="s">
        <v>446</v>
      </c>
      <c r="D728" t="s">
        <v>447</v>
      </c>
      <c r="E728" t="s">
        <v>448</v>
      </c>
      <c r="F728" t="s">
        <v>449</v>
      </c>
      <c r="G728" t="s">
        <v>450</v>
      </c>
      <c r="H728" t="s">
        <v>451</v>
      </c>
      <c r="I728" t="s">
        <v>452</v>
      </c>
      <c r="J728" t="s">
        <v>453</v>
      </c>
      <c r="K728" t="s">
        <v>454</v>
      </c>
      <c r="L728" t="s">
        <v>455</v>
      </c>
      <c r="M728" t="s">
        <v>456</v>
      </c>
      <c r="N728" t="s">
        <v>457</v>
      </c>
      <c r="O728" s="60">
        <v>16</v>
      </c>
    </row>
    <row r="729" spans="1:15" x14ac:dyDescent="0.25">
      <c r="A729" t="s">
        <v>467</v>
      </c>
      <c r="B729" s="112">
        <v>45965</v>
      </c>
      <c r="C729" s="111">
        <v>0.125</v>
      </c>
      <c r="D729">
        <v>11.9</v>
      </c>
      <c r="E729" s="111">
        <v>1</v>
      </c>
      <c r="F729" s="111">
        <v>9.9000000000000005E-2</v>
      </c>
      <c r="G729" s="111">
        <v>0.70199999999999996</v>
      </c>
      <c r="H729" s="111">
        <v>6.4000000000000001E-2</v>
      </c>
      <c r="I729" s="111">
        <v>0</v>
      </c>
      <c r="J729" s="111">
        <v>0</v>
      </c>
      <c r="K729" s="111">
        <v>2E-3</v>
      </c>
      <c r="L729" s="111">
        <v>0.13300000000000001</v>
      </c>
      <c r="M729" s="111">
        <v>0.86499999999999999</v>
      </c>
      <c r="N729" s="111">
        <v>0.13500000000000001</v>
      </c>
      <c r="O729" s="60">
        <v>16</v>
      </c>
    </row>
    <row r="730" spans="1:15" x14ac:dyDescent="0.25">
      <c r="A730" t="s">
        <v>463</v>
      </c>
      <c r="B730" s="122">
        <v>37139</v>
      </c>
      <c r="C730" s="111">
        <v>9.6000000000000002E-2</v>
      </c>
      <c r="D730">
        <v>10.8</v>
      </c>
      <c r="E730" s="111">
        <v>0.94699999999999995</v>
      </c>
      <c r="F730" s="111">
        <v>0</v>
      </c>
      <c r="G730" s="111">
        <v>8.8999999999999996E-2</v>
      </c>
      <c r="H730" s="111">
        <v>4.5999999999999999E-2</v>
      </c>
      <c r="I730" s="111">
        <v>0</v>
      </c>
      <c r="J730" s="111">
        <v>2E-3</v>
      </c>
      <c r="K730" s="111">
        <v>9.7000000000000003E-2</v>
      </c>
      <c r="L730" s="111">
        <v>0.71399999999999997</v>
      </c>
      <c r="M730" s="111">
        <v>0.13500000000000001</v>
      </c>
      <c r="N730" s="111">
        <v>0.81299999999999994</v>
      </c>
      <c r="O730" s="60">
        <v>16</v>
      </c>
    </row>
    <row r="731" spans="1:15" x14ac:dyDescent="0.25">
      <c r="A731" t="s">
        <v>464</v>
      </c>
      <c r="B731" s="112">
        <v>45876</v>
      </c>
      <c r="C731" s="111">
        <v>0.23899999999999999</v>
      </c>
      <c r="D731">
        <v>9.3000000000000007</v>
      </c>
      <c r="E731" s="111">
        <v>5.2999999999999999E-2</v>
      </c>
      <c r="F731" s="111">
        <v>0</v>
      </c>
      <c r="G731" s="111">
        <v>0</v>
      </c>
      <c r="H731" s="111">
        <v>0</v>
      </c>
      <c r="I731" s="111">
        <v>0</v>
      </c>
      <c r="J731" s="111">
        <v>0</v>
      </c>
      <c r="K731" s="111">
        <v>0</v>
      </c>
      <c r="L731" s="111">
        <v>5.2999999999999999E-2</v>
      </c>
      <c r="M731" s="111">
        <v>0</v>
      </c>
      <c r="N731" s="111">
        <v>5.2999999999999999E-2</v>
      </c>
      <c r="O731" s="60">
        <v>16</v>
      </c>
    </row>
    <row r="732" spans="1:15" x14ac:dyDescent="0.25">
      <c r="A732" t="s">
        <v>465</v>
      </c>
      <c r="B732" s="112">
        <v>45846</v>
      </c>
      <c r="C732" s="111">
        <v>-0.20399999999999999</v>
      </c>
      <c r="D732">
        <v>7.5</v>
      </c>
      <c r="E732" s="111">
        <v>0</v>
      </c>
      <c r="F732" s="111">
        <v>0</v>
      </c>
      <c r="G732" s="111">
        <v>0</v>
      </c>
      <c r="H732" s="111">
        <v>0</v>
      </c>
      <c r="I732" s="111">
        <v>0</v>
      </c>
      <c r="J732" s="111">
        <v>0</v>
      </c>
      <c r="K732" s="111">
        <v>0</v>
      </c>
      <c r="L732" s="111">
        <v>0</v>
      </c>
      <c r="M732" s="111">
        <v>0</v>
      </c>
      <c r="N732" s="111">
        <v>0</v>
      </c>
      <c r="O732" s="60">
        <v>16</v>
      </c>
    </row>
    <row r="733" spans="1:15" x14ac:dyDescent="0.25">
      <c r="A733" t="s">
        <v>383</v>
      </c>
      <c r="O733" s="60">
        <v>16</v>
      </c>
    </row>
    <row r="734" spans="1:15" x14ac:dyDescent="0.25">
      <c r="A734" t="s">
        <v>444</v>
      </c>
      <c r="B734" t="s">
        <v>445</v>
      </c>
      <c r="C734" t="s">
        <v>446</v>
      </c>
      <c r="D734" t="s">
        <v>447</v>
      </c>
      <c r="E734" t="s">
        <v>448</v>
      </c>
      <c r="F734" t="s">
        <v>449</v>
      </c>
      <c r="G734" t="s">
        <v>450</v>
      </c>
      <c r="H734" t="s">
        <v>451</v>
      </c>
      <c r="I734" t="s">
        <v>452</v>
      </c>
      <c r="J734" t="s">
        <v>453</v>
      </c>
      <c r="K734" t="s">
        <v>454</v>
      </c>
      <c r="L734" t="s">
        <v>455</v>
      </c>
      <c r="M734" t="s">
        <v>456</v>
      </c>
      <c r="N734" t="s">
        <v>457</v>
      </c>
      <c r="O734" s="60">
        <v>16</v>
      </c>
    </row>
    <row r="735" spans="1:15" x14ac:dyDescent="0.25">
      <c r="A735" t="s">
        <v>471</v>
      </c>
      <c r="B735" s="112">
        <v>45876</v>
      </c>
      <c r="C735" s="111">
        <v>-7.9000000000000001E-2</v>
      </c>
      <c r="D735">
        <v>8.6</v>
      </c>
      <c r="E735" s="111">
        <v>0.51</v>
      </c>
      <c r="F735" s="111">
        <v>0</v>
      </c>
      <c r="G735" s="111">
        <v>0</v>
      </c>
      <c r="H735" s="111">
        <v>1.0999999999999999E-2</v>
      </c>
      <c r="I735" s="111">
        <v>0.499</v>
      </c>
      <c r="J735" s="111">
        <v>0</v>
      </c>
      <c r="K735" s="111">
        <v>0</v>
      </c>
      <c r="L735" s="111">
        <v>0</v>
      </c>
      <c r="M735" s="111">
        <v>0.51</v>
      </c>
      <c r="N735" s="111">
        <v>0</v>
      </c>
      <c r="O735" s="60">
        <v>16</v>
      </c>
    </row>
    <row r="736" spans="1:15" x14ac:dyDescent="0.25">
      <c r="A736" t="s">
        <v>468</v>
      </c>
      <c r="B736" s="112">
        <v>45846</v>
      </c>
      <c r="C736" s="111">
        <v>-9.1999999999999998E-2</v>
      </c>
      <c r="D736">
        <v>8.1</v>
      </c>
      <c r="E736" s="111">
        <v>0.49</v>
      </c>
      <c r="F736" s="111">
        <v>0</v>
      </c>
      <c r="G736" s="111">
        <v>0</v>
      </c>
      <c r="H736" s="111">
        <v>0</v>
      </c>
      <c r="I736" s="111">
        <v>0.49</v>
      </c>
      <c r="J736" s="111">
        <v>0</v>
      </c>
      <c r="K736" s="111">
        <v>0</v>
      </c>
      <c r="L736" s="111">
        <v>0</v>
      </c>
      <c r="M736" s="111">
        <v>0.49</v>
      </c>
      <c r="N736" s="111">
        <v>0</v>
      </c>
      <c r="O736" s="60">
        <v>16</v>
      </c>
    </row>
    <row r="737" spans="1:15" x14ac:dyDescent="0.25">
      <c r="A737" t="s">
        <v>469</v>
      </c>
      <c r="B737" s="112">
        <v>45817</v>
      </c>
      <c r="C737" s="111">
        <v>-9.7000000000000003E-2</v>
      </c>
      <c r="D737">
        <v>6.8</v>
      </c>
      <c r="E737" s="111">
        <v>0</v>
      </c>
      <c r="F737" s="111">
        <v>0</v>
      </c>
      <c r="G737" s="111">
        <v>0</v>
      </c>
      <c r="H737" s="111">
        <v>0</v>
      </c>
      <c r="I737" s="111">
        <v>0</v>
      </c>
      <c r="J737" s="111">
        <v>0</v>
      </c>
      <c r="K737" s="111">
        <v>0</v>
      </c>
      <c r="L737" s="111">
        <v>0</v>
      </c>
      <c r="M737" s="111">
        <v>0</v>
      </c>
      <c r="N737" s="111">
        <v>0</v>
      </c>
      <c r="O737" s="60">
        <v>16</v>
      </c>
    </row>
    <row r="738" spans="1:15" x14ac:dyDescent="0.25">
      <c r="A738" t="s">
        <v>470</v>
      </c>
      <c r="B738" s="112">
        <v>45787</v>
      </c>
      <c r="C738" s="111">
        <v>-0.18</v>
      </c>
      <c r="D738">
        <v>5.8</v>
      </c>
      <c r="E738" s="111">
        <v>0</v>
      </c>
      <c r="F738" s="111">
        <v>0</v>
      </c>
      <c r="G738" s="111">
        <v>0</v>
      </c>
      <c r="H738" s="111">
        <v>0</v>
      </c>
      <c r="I738" s="111">
        <v>0</v>
      </c>
      <c r="J738" s="111">
        <v>0</v>
      </c>
      <c r="K738" s="111">
        <v>0</v>
      </c>
      <c r="L738" s="111">
        <v>0</v>
      </c>
      <c r="M738" s="111">
        <v>0</v>
      </c>
      <c r="N738" s="111">
        <v>0</v>
      </c>
      <c r="O738" s="60">
        <v>16</v>
      </c>
    </row>
    <row r="739" spans="1:15" x14ac:dyDescent="0.25">
      <c r="A739" t="s">
        <v>355</v>
      </c>
      <c r="O739" s="60">
        <v>16</v>
      </c>
    </row>
    <row r="740" spans="1:15" x14ac:dyDescent="0.25">
      <c r="A740" t="s">
        <v>444</v>
      </c>
      <c r="B740" t="s">
        <v>445</v>
      </c>
      <c r="C740" t="s">
        <v>446</v>
      </c>
      <c r="D740" t="s">
        <v>447</v>
      </c>
      <c r="E740" t="s">
        <v>448</v>
      </c>
      <c r="F740" t="s">
        <v>449</v>
      </c>
      <c r="G740" t="s">
        <v>450</v>
      </c>
      <c r="H740" t="s">
        <v>451</v>
      </c>
      <c r="I740" t="s">
        <v>452</v>
      </c>
      <c r="J740" t="s">
        <v>453</v>
      </c>
      <c r="K740" t="s">
        <v>454</v>
      </c>
      <c r="L740" t="s">
        <v>455</v>
      </c>
      <c r="M740" t="s">
        <v>456</v>
      </c>
      <c r="N740" t="s">
        <v>457</v>
      </c>
      <c r="O740" s="60">
        <v>16</v>
      </c>
    </row>
    <row r="741" spans="1:15" x14ac:dyDescent="0.25">
      <c r="A741" t="s">
        <v>475</v>
      </c>
      <c r="B741" s="112">
        <v>45994</v>
      </c>
      <c r="C741" s="111">
        <v>0.39600000000000002</v>
      </c>
      <c r="D741">
        <v>13.4</v>
      </c>
      <c r="E741" s="111">
        <v>1</v>
      </c>
      <c r="F741" s="111">
        <v>0.52300000000000002</v>
      </c>
      <c r="G741" s="111">
        <v>0.02</v>
      </c>
      <c r="H741" s="111">
        <v>0</v>
      </c>
      <c r="I741" s="111">
        <v>0</v>
      </c>
      <c r="J741" s="111">
        <v>0.22600000000000001</v>
      </c>
      <c r="K741" s="111">
        <v>0.23200000000000001</v>
      </c>
      <c r="L741" s="111">
        <v>0</v>
      </c>
      <c r="M741" s="111">
        <v>0.54200000000000004</v>
      </c>
      <c r="N741" s="111">
        <v>0.45800000000000002</v>
      </c>
      <c r="O741" s="60">
        <v>16</v>
      </c>
    </row>
    <row r="742" spans="1:15" x14ac:dyDescent="0.25">
      <c r="A742" t="s">
        <v>473</v>
      </c>
      <c r="B742" s="112">
        <v>45965</v>
      </c>
      <c r="C742" s="111">
        <v>0.433</v>
      </c>
      <c r="D742">
        <v>12.7</v>
      </c>
      <c r="E742" s="111">
        <v>1</v>
      </c>
      <c r="F742" s="111">
        <v>0.13</v>
      </c>
      <c r="G742" s="111">
        <v>7.3999999999999996E-2</v>
      </c>
      <c r="H742" s="111">
        <v>0</v>
      </c>
      <c r="I742" s="111">
        <v>0</v>
      </c>
      <c r="J742" s="111">
        <v>0.63200000000000001</v>
      </c>
      <c r="K742" s="111">
        <v>0.158</v>
      </c>
      <c r="L742" s="111">
        <v>6.0000000000000001E-3</v>
      </c>
      <c r="M742" s="111">
        <v>0.20399999999999999</v>
      </c>
      <c r="N742" s="111">
        <v>0.79600000000000004</v>
      </c>
      <c r="O742" s="60">
        <v>16</v>
      </c>
    </row>
    <row r="743" spans="1:15" x14ac:dyDescent="0.25">
      <c r="A743" t="s">
        <v>472</v>
      </c>
      <c r="B743" s="112">
        <v>45965</v>
      </c>
      <c r="C743" s="111">
        <v>0.154</v>
      </c>
      <c r="D743">
        <v>12</v>
      </c>
      <c r="E743" s="111">
        <v>1</v>
      </c>
      <c r="F743" s="111">
        <v>0.246</v>
      </c>
      <c r="G743" s="111">
        <v>5.0000000000000001E-3</v>
      </c>
      <c r="H743" s="111">
        <v>3.0000000000000001E-3</v>
      </c>
      <c r="I743" s="111">
        <v>0</v>
      </c>
      <c r="J743" s="111">
        <v>0.14000000000000001</v>
      </c>
      <c r="K743" s="111">
        <v>0.51100000000000001</v>
      </c>
      <c r="L743" s="111">
        <v>9.5000000000000001E-2</v>
      </c>
      <c r="M743" s="111">
        <v>0.254</v>
      </c>
      <c r="N743" s="111">
        <v>0.746</v>
      </c>
      <c r="O743" s="60">
        <v>16</v>
      </c>
    </row>
    <row r="744" spans="1:15" x14ac:dyDescent="0.25">
      <c r="A744" t="s">
        <v>474</v>
      </c>
      <c r="B744" s="112">
        <v>45728</v>
      </c>
      <c r="C744" s="111">
        <v>-0.16600000000000001</v>
      </c>
      <c r="D744">
        <v>3.4</v>
      </c>
      <c r="E744" s="111">
        <v>0</v>
      </c>
      <c r="F744" s="111">
        <v>0</v>
      </c>
      <c r="G744" s="111">
        <v>0</v>
      </c>
      <c r="H744" s="111">
        <v>0</v>
      </c>
      <c r="I744" s="111">
        <v>0</v>
      </c>
      <c r="J744" s="111">
        <v>0</v>
      </c>
      <c r="K744" s="111">
        <v>0</v>
      </c>
      <c r="L744" s="111">
        <v>0</v>
      </c>
      <c r="M744" s="111">
        <v>0</v>
      </c>
      <c r="N744" s="111">
        <v>0</v>
      </c>
      <c r="O744" s="60">
        <v>16</v>
      </c>
    </row>
    <row r="745" spans="1:15" x14ac:dyDescent="0.25">
      <c r="A745" t="s">
        <v>359</v>
      </c>
      <c r="O745" s="60">
        <v>16</v>
      </c>
    </row>
    <row r="746" spans="1:15" x14ac:dyDescent="0.25">
      <c r="A746" t="s">
        <v>444</v>
      </c>
      <c r="B746" t="s">
        <v>445</v>
      </c>
      <c r="C746" t="s">
        <v>446</v>
      </c>
      <c r="D746" t="s">
        <v>447</v>
      </c>
      <c r="E746" t="s">
        <v>448</v>
      </c>
      <c r="F746" t="s">
        <v>449</v>
      </c>
      <c r="G746" t="s">
        <v>450</v>
      </c>
      <c r="H746" t="s">
        <v>451</v>
      </c>
      <c r="I746" t="s">
        <v>452</v>
      </c>
      <c r="J746" t="s">
        <v>453</v>
      </c>
      <c r="K746" t="s">
        <v>454</v>
      </c>
      <c r="L746" t="s">
        <v>455</v>
      </c>
      <c r="M746" t="s">
        <v>456</v>
      </c>
      <c r="N746" t="s">
        <v>457</v>
      </c>
      <c r="O746" s="60">
        <v>16</v>
      </c>
    </row>
    <row r="747" spans="1:15" x14ac:dyDescent="0.25">
      <c r="A747" t="s">
        <v>477</v>
      </c>
      <c r="B747" s="112">
        <v>45994</v>
      </c>
      <c r="C747" s="111">
        <v>6.9000000000000006E-2</v>
      </c>
      <c r="D747">
        <v>13.6</v>
      </c>
      <c r="E747" s="111">
        <v>1</v>
      </c>
      <c r="F747" s="111">
        <v>0.312</v>
      </c>
      <c r="G747" s="111">
        <v>0.42</v>
      </c>
      <c r="H747" s="111">
        <v>7.8E-2</v>
      </c>
      <c r="I747" s="111">
        <v>0</v>
      </c>
      <c r="J747" s="111">
        <v>0.13700000000000001</v>
      </c>
      <c r="K747" s="111">
        <v>4.8000000000000001E-2</v>
      </c>
      <c r="L747" s="111">
        <v>4.0000000000000001E-3</v>
      </c>
      <c r="M747" s="111">
        <v>0.81</v>
      </c>
      <c r="N747" s="111">
        <v>0.19</v>
      </c>
      <c r="O747" s="60">
        <v>16</v>
      </c>
    </row>
    <row r="748" spans="1:15" x14ac:dyDescent="0.25">
      <c r="A748" t="s">
        <v>476</v>
      </c>
      <c r="B748" s="112">
        <v>45965</v>
      </c>
      <c r="C748" s="111">
        <v>8.4000000000000005E-2</v>
      </c>
      <c r="D748">
        <v>12.5</v>
      </c>
      <c r="E748" s="111">
        <v>1</v>
      </c>
      <c r="F748" s="111">
        <v>2.5000000000000001E-2</v>
      </c>
      <c r="G748" s="111">
        <v>8.5999999999999993E-2</v>
      </c>
      <c r="H748" s="111">
        <v>7.9000000000000001E-2</v>
      </c>
      <c r="I748" s="111">
        <v>0</v>
      </c>
      <c r="J748" s="111">
        <v>0.45300000000000001</v>
      </c>
      <c r="K748" s="111">
        <v>0.28299999999999997</v>
      </c>
      <c r="L748" s="111">
        <v>7.4999999999999997E-2</v>
      </c>
      <c r="M748" s="111">
        <v>0.19</v>
      </c>
      <c r="N748" s="111">
        <v>0.81</v>
      </c>
      <c r="O748" s="60">
        <v>16</v>
      </c>
    </row>
    <row r="749" spans="1:15" x14ac:dyDescent="0.25">
      <c r="A749" t="s">
        <v>479</v>
      </c>
      <c r="B749" s="112">
        <v>45817</v>
      </c>
      <c r="C749" s="111">
        <v>-0.22</v>
      </c>
      <c r="D749">
        <v>6.6</v>
      </c>
      <c r="E749" s="111">
        <v>0</v>
      </c>
      <c r="F749" s="111">
        <v>0</v>
      </c>
      <c r="G749" s="111">
        <v>0</v>
      </c>
      <c r="H749" s="111">
        <v>0</v>
      </c>
      <c r="I749" s="111">
        <v>0</v>
      </c>
      <c r="J749" s="111">
        <v>0</v>
      </c>
      <c r="K749" s="111">
        <v>0</v>
      </c>
      <c r="L749" s="111">
        <v>0</v>
      </c>
      <c r="M749" s="111">
        <v>0</v>
      </c>
      <c r="N749" s="111">
        <v>0</v>
      </c>
      <c r="O749" s="60">
        <v>16</v>
      </c>
    </row>
    <row r="750" spans="1:15" x14ac:dyDescent="0.25">
      <c r="A750" t="s">
        <v>478</v>
      </c>
      <c r="B750" s="112">
        <v>45728</v>
      </c>
      <c r="C750" s="111">
        <v>-0.41199999999999998</v>
      </c>
      <c r="D750">
        <v>3.3</v>
      </c>
      <c r="E750" s="111">
        <v>0</v>
      </c>
      <c r="F750" s="111">
        <v>0</v>
      </c>
      <c r="G750" s="111">
        <v>0</v>
      </c>
      <c r="H750" s="111">
        <v>0</v>
      </c>
      <c r="I750" s="111">
        <v>0</v>
      </c>
      <c r="J750" s="111">
        <v>0</v>
      </c>
      <c r="K750" s="111">
        <v>0</v>
      </c>
      <c r="L750" s="111">
        <v>0</v>
      </c>
      <c r="M750" s="111">
        <v>0</v>
      </c>
      <c r="N750" s="111">
        <v>0</v>
      </c>
      <c r="O750" s="60">
        <v>16</v>
      </c>
    </row>
    <row r="751" spans="1:15" x14ac:dyDescent="0.25">
      <c r="A751" t="s">
        <v>352</v>
      </c>
      <c r="O751" s="60">
        <v>16</v>
      </c>
    </row>
    <row r="752" spans="1:15" x14ac:dyDescent="0.25">
      <c r="A752" t="s">
        <v>444</v>
      </c>
      <c r="B752" t="s">
        <v>445</v>
      </c>
      <c r="C752" t="s">
        <v>446</v>
      </c>
      <c r="D752" t="s">
        <v>447</v>
      </c>
      <c r="E752" t="s">
        <v>448</v>
      </c>
      <c r="F752" t="s">
        <v>449</v>
      </c>
      <c r="G752" t="s">
        <v>450</v>
      </c>
      <c r="H752" t="s">
        <v>451</v>
      </c>
      <c r="I752" t="s">
        <v>452</v>
      </c>
      <c r="J752" t="s">
        <v>453</v>
      </c>
      <c r="K752" t="s">
        <v>454</v>
      </c>
      <c r="L752" t="s">
        <v>455</v>
      </c>
      <c r="M752" t="s">
        <v>456</v>
      </c>
      <c r="N752" t="s">
        <v>457</v>
      </c>
      <c r="O752" s="60">
        <v>16</v>
      </c>
    </row>
    <row r="753" spans="1:15" x14ac:dyDescent="0.25">
      <c r="A753" t="s">
        <v>482</v>
      </c>
      <c r="B753" s="112">
        <v>45906</v>
      </c>
      <c r="C753" s="111">
        <v>0.11600000000000001</v>
      </c>
      <c r="D753">
        <v>10.5</v>
      </c>
      <c r="E753" s="111">
        <v>0.97299999999999998</v>
      </c>
      <c r="F753" s="111">
        <v>0</v>
      </c>
      <c r="G753" s="111">
        <v>0</v>
      </c>
      <c r="H753" s="111">
        <v>4.0000000000000001E-3</v>
      </c>
      <c r="I753" s="111">
        <v>0.96899999999999997</v>
      </c>
      <c r="J753" s="111">
        <v>0</v>
      </c>
      <c r="K753" s="111">
        <v>0</v>
      </c>
      <c r="L753" s="111">
        <v>0</v>
      </c>
      <c r="M753" s="111">
        <v>0.97299999999999998</v>
      </c>
      <c r="N753" s="111">
        <v>0</v>
      </c>
      <c r="O753" s="60">
        <v>16</v>
      </c>
    </row>
    <row r="754" spans="1:15" x14ac:dyDescent="0.25">
      <c r="A754" t="s">
        <v>480</v>
      </c>
      <c r="B754" s="112">
        <v>45846</v>
      </c>
      <c r="C754" s="111">
        <v>2.3E-2</v>
      </c>
      <c r="D754">
        <v>7.7</v>
      </c>
      <c r="E754" s="111">
        <v>2.7E-2</v>
      </c>
      <c r="F754" s="111">
        <v>0</v>
      </c>
      <c r="G754" s="111">
        <v>0</v>
      </c>
      <c r="H754" s="111">
        <v>0</v>
      </c>
      <c r="I754" s="111">
        <v>2.7E-2</v>
      </c>
      <c r="J754" s="111">
        <v>0</v>
      </c>
      <c r="K754" s="111">
        <v>0</v>
      </c>
      <c r="L754" s="111">
        <v>0</v>
      </c>
      <c r="M754" s="111">
        <v>2.7E-2</v>
      </c>
      <c r="N754" s="111">
        <v>0</v>
      </c>
      <c r="O754" s="60">
        <v>16</v>
      </c>
    </row>
    <row r="755" spans="1:15" x14ac:dyDescent="0.25">
      <c r="A755" t="s">
        <v>481</v>
      </c>
      <c r="B755" s="112">
        <v>45787</v>
      </c>
      <c r="C755" s="111">
        <v>-3.5000000000000003E-2</v>
      </c>
      <c r="D755">
        <v>6.5</v>
      </c>
      <c r="E755" s="111">
        <v>0</v>
      </c>
      <c r="F755" s="111">
        <v>0</v>
      </c>
      <c r="G755" s="111">
        <v>0</v>
      </c>
      <c r="H755" s="111">
        <v>0</v>
      </c>
      <c r="I755" s="111">
        <v>0</v>
      </c>
      <c r="J755" s="111">
        <v>0</v>
      </c>
      <c r="K755" s="111">
        <v>0</v>
      </c>
      <c r="L755" s="111">
        <v>0</v>
      </c>
      <c r="M755" s="111">
        <v>0</v>
      </c>
      <c r="N755" s="111">
        <v>0</v>
      </c>
      <c r="O755" s="60">
        <v>16</v>
      </c>
    </row>
    <row r="756" spans="1:15" x14ac:dyDescent="0.25">
      <c r="A756" t="s">
        <v>483</v>
      </c>
      <c r="B756" s="112">
        <v>45728</v>
      </c>
      <c r="C756" s="111">
        <v>-0.38100000000000001</v>
      </c>
      <c r="D756">
        <v>3.3</v>
      </c>
      <c r="E756" s="111">
        <v>0</v>
      </c>
      <c r="F756" s="111">
        <v>0</v>
      </c>
      <c r="G756" s="111">
        <v>0</v>
      </c>
      <c r="H756" s="111">
        <v>0</v>
      </c>
      <c r="I756" s="111">
        <v>0</v>
      </c>
      <c r="J756" s="111">
        <v>0</v>
      </c>
      <c r="K756" s="111">
        <v>0</v>
      </c>
      <c r="L756" s="111">
        <v>0</v>
      </c>
      <c r="M756" s="111">
        <v>0</v>
      </c>
      <c r="N756" s="111">
        <v>0</v>
      </c>
      <c r="O756" s="60">
        <v>16</v>
      </c>
    </row>
    <row r="757" spans="1:15" x14ac:dyDescent="0.25">
      <c r="A757" t="s">
        <v>368</v>
      </c>
      <c r="O757" s="60">
        <v>16</v>
      </c>
    </row>
    <row r="758" spans="1:15" x14ac:dyDescent="0.25">
      <c r="A758" t="s">
        <v>444</v>
      </c>
      <c r="B758" t="s">
        <v>445</v>
      </c>
      <c r="C758" t="s">
        <v>446</v>
      </c>
      <c r="D758" t="s">
        <v>447</v>
      </c>
      <c r="E758" t="s">
        <v>448</v>
      </c>
      <c r="F758" t="s">
        <v>449</v>
      </c>
      <c r="G758" t="s">
        <v>450</v>
      </c>
      <c r="H758" t="s">
        <v>451</v>
      </c>
      <c r="I758" t="s">
        <v>452</v>
      </c>
      <c r="J758" t="s">
        <v>453</v>
      </c>
      <c r="K758" t="s">
        <v>454</v>
      </c>
      <c r="L758" t="s">
        <v>455</v>
      </c>
      <c r="M758" t="s">
        <v>456</v>
      </c>
      <c r="N758" t="s">
        <v>457</v>
      </c>
      <c r="O758" s="60">
        <v>16</v>
      </c>
    </row>
    <row r="759" spans="1:15" x14ac:dyDescent="0.25">
      <c r="A759" t="s">
        <v>484</v>
      </c>
      <c r="B759" s="112">
        <v>45965</v>
      </c>
      <c r="C759" s="111">
        <v>0.18099999999999999</v>
      </c>
      <c r="D759">
        <v>12.5</v>
      </c>
      <c r="E759" s="111">
        <v>1</v>
      </c>
      <c r="F759" s="111">
        <v>8.5000000000000006E-2</v>
      </c>
      <c r="G759" s="111">
        <v>0.27400000000000002</v>
      </c>
      <c r="H759" s="111">
        <v>0.436</v>
      </c>
      <c r="I759" s="111">
        <v>4.0000000000000001E-3</v>
      </c>
      <c r="J759" s="111">
        <v>3.4000000000000002E-2</v>
      </c>
      <c r="K759" s="111">
        <v>0.13800000000000001</v>
      </c>
      <c r="L759" s="111">
        <v>2.8000000000000001E-2</v>
      </c>
      <c r="M759" s="111">
        <v>0.79900000000000004</v>
      </c>
      <c r="N759" s="111">
        <v>0.20100000000000001</v>
      </c>
      <c r="O759" s="60">
        <v>16</v>
      </c>
    </row>
    <row r="760" spans="1:15" x14ac:dyDescent="0.25">
      <c r="A760" t="s">
        <v>486</v>
      </c>
      <c r="B760" s="112">
        <v>45935</v>
      </c>
      <c r="C760" s="111">
        <v>0.154</v>
      </c>
      <c r="D760">
        <v>11.3</v>
      </c>
      <c r="E760" s="111">
        <v>0.97399999999999998</v>
      </c>
      <c r="F760" s="111">
        <v>0</v>
      </c>
      <c r="G760" s="111">
        <v>1.4999999999999999E-2</v>
      </c>
      <c r="H760" s="111">
        <v>0.186</v>
      </c>
      <c r="I760" s="111">
        <v>0</v>
      </c>
      <c r="J760" s="111">
        <v>0.111</v>
      </c>
      <c r="K760" s="111">
        <v>0.193</v>
      </c>
      <c r="L760" s="111">
        <v>0.46899999999999997</v>
      </c>
      <c r="M760" s="111">
        <v>0.20100000000000001</v>
      </c>
      <c r="N760" s="111">
        <v>0.77300000000000002</v>
      </c>
      <c r="O760" s="60">
        <v>16</v>
      </c>
    </row>
    <row r="761" spans="1:15" x14ac:dyDescent="0.25">
      <c r="A761" t="s">
        <v>485</v>
      </c>
      <c r="B761" s="112">
        <v>45876</v>
      </c>
      <c r="C761" s="111">
        <v>-5.6000000000000001E-2</v>
      </c>
      <c r="D761">
        <v>8.6</v>
      </c>
      <c r="E761" s="111">
        <v>2.5999999999999999E-2</v>
      </c>
      <c r="F761" s="111">
        <v>0</v>
      </c>
      <c r="G761" s="111">
        <v>0</v>
      </c>
      <c r="H761" s="111">
        <v>0</v>
      </c>
      <c r="I761" s="111">
        <v>0</v>
      </c>
      <c r="J761" s="111">
        <v>0</v>
      </c>
      <c r="K761" s="111">
        <v>0</v>
      </c>
      <c r="L761" s="111">
        <v>2.5999999999999999E-2</v>
      </c>
      <c r="M761" s="111">
        <v>0</v>
      </c>
      <c r="N761" s="111">
        <v>2.5999999999999999E-2</v>
      </c>
      <c r="O761" s="60">
        <v>16</v>
      </c>
    </row>
    <row r="762" spans="1:15" x14ac:dyDescent="0.25">
      <c r="A762" t="s">
        <v>487</v>
      </c>
      <c r="B762" s="112">
        <v>45728</v>
      </c>
      <c r="C762" s="111">
        <v>-0.216</v>
      </c>
      <c r="D762">
        <v>3.7</v>
      </c>
      <c r="E762" s="111">
        <v>0</v>
      </c>
      <c r="F762" s="111">
        <v>0</v>
      </c>
      <c r="G762" s="111">
        <v>0</v>
      </c>
      <c r="H762" s="111">
        <v>0</v>
      </c>
      <c r="I762" s="111">
        <v>0</v>
      </c>
      <c r="J762" s="111">
        <v>0</v>
      </c>
      <c r="K762" s="111">
        <v>0</v>
      </c>
      <c r="L762" s="111">
        <v>0</v>
      </c>
      <c r="M762" s="111">
        <v>0</v>
      </c>
      <c r="N762" s="111">
        <v>0</v>
      </c>
      <c r="O762" s="60">
        <v>16</v>
      </c>
    </row>
    <row r="763" spans="1:15" x14ac:dyDescent="0.25">
      <c r="A763" t="s">
        <v>367</v>
      </c>
      <c r="O763" s="60">
        <v>16</v>
      </c>
    </row>
    <row r="764" spans="1:15" x14ac:dyDescent="0.25">
      <c r="A764" t="s">
        <v>444</v>
      </c>
      <c r="B764" t="s">
        <v>445</v>
      </c>
      <c r="C764" t="s">
        <v>446</v>
      </c>
      <c r="D764" t="s">
        <v>447</v>
      </c>
      <c r="E764" t="s">
        <v>448</v>
      </c>
      <c r="F764" t="s">
        <v>449</v>
      </c>
      <c r="G764" t="s">
        <v>450</v>
      </c>
      <c r="H764" t="s">
        <v>451</v>
      </c>
      <c r="I764" t="s">
        <v>452</v>
      </c>
      <c r="J764" t="s">
        <v>453</v>
      </c>
      <c r="K764" t="s">
        <v>454</v>
      </c>
      <c r="L764" t="s">
        <v>455</v>
      </c>
      <c r="M764" t="s">
        <v>456</v>
      </c>
      <c r="N764" t="s">
        <v>457</v>
      </c>
      <c r="O764" s="60">
        <v>16</v>
      </c>
    </row>
    <row r="765" spans="1:15" x14ac:dyDescent="0.25">
      <c r="A765" t="s">
        <v>491</v>
      </c>
      <c r="B765" s="112">
        <v>45994</v>
      </c>
      <c r="C765" s="111">
        <v>0.14599999999999999</v>
      </c>
      <c r="D765">
        <v>13.5</v>
      </c>
      <c r="E765" s="111">
        <v>1</v>
      </c>
      <c r="F765" s="111">
        <v>0.55200000000000005</v>
      </c>
      <c r="G765" s="111">
        <v>0.122</v>
      </c>
      <c r="H765" s="111">
        <v>0.121</v>
      </c>
      <c r="I765" s="111">
        <v>0</v>
      </c>
      <c r="J765" s="111">
        <v>8.8999999999999996E-2</v>
      </c>
      <c r="K765" s="111">
        <v>9.8000000000000004E-2</v>
      </c>
      <c r="L765" s="111">
        <v>1.7000000000000001E-2</v>
      </c>
      <c r="M765" s="111">
        <v>0.79500000000000004</v>
      </c>
      <c r="N765" s="111">
        <v>0.20499999999999999</v>
      </c>
      <c r="O765" s="60">
        <v>16</v>
      </c>
    </row>
    <row r="766" spans="1:15" x14ac:dyDescent="0.25">
      <c r="A766" t="s">
        <v>489</v>
      </c>
      <c r="B766" s="112">
        <v>45965</v>
      </c>
      <c r="C766" s="111">
        <v>4.9000000000000002E-2</v>
      </c>
      <c r="D766">
        <v>11.8</v>
      </c>
      <c r="E766" s="111">
        <v>1</v>
      </c>
      <c r="F766" s="111">
        <v>2.5999999999999999E-2</v>
      </c>
      <c r="G766" s="111">
        <v>8.3000000000000004E-2</v>
      </c>
      <c r="H766" s="111">
        <v>9.6000000000000002E-2</v>
      </c>
      <c r="I766" s="111">
        <v>0</v>
      </c>
      <c r="J766" s="111">
        <v>0.17599999999999999</v>
      </c>
      <c r="K766" s="111">
        <v>0.24</v>
      </c>
      <c r="L766" s="111">
        <v>0.38</v>
      </c>
      <c r="M766" s="111">
        <v>0.20499999999999999</v>
      </c>
      <c r="N766" s="111">
        <v>0.79500000000000004</v>
      </c>
      <c r="O766" s="60">
        <v>16</v>
      </c>
    </row>
    <row r="767" spans="1:15" x14ac:dyDescent="0.25">
      <c r="A767" t="s">
        <v>488</v>
      </c>
      <c r="B767" s="112">
        <v>45817</v>
      </c>
      <c r="C767" s="111">
        <v>-0.27900000000000003</v>
      </c>
      <c r="D767">
        <v>6.7</v>
      </c>
      <c r="E767" s="111">
        <v>0</v>
      </c>
      <c r="F767" s="111">
        <v>0</v>
      </c>
      <c r="G767" s="111">
        <v>0</v>
      </c>
      <c r="H767" s="111">
        <v>0</v>
      </c>
      <c r="I767" s="111">
        <v>0</v>
      </c>
      <c r="J767" s="111">
        <v>0</v>
      </c>
      <c r="K767" s="111">
        <v>0</v>
      </c>
      <c r="L767" s="111">
        <v>0</v>
      </c>
      <c r="M767" s="111">
        <v>0</v>
      </c>
      <c r="N767" s="111">
        <v>0</v>
      </c>
      <c r="O767" s="60">
        <v>16</v>
      </c>
    </row>
    <row r="768" spans="1:15" x14ac:dyDescent="0.25">
      <c r="A768" t="s">
        <v>490</v>
      </c>
      <c r="B768" s="112">
        <v>45701</v>
      </c>
      <c r="C768" s="111">
        <v>-0.34599999999999997</v>
      </c>
      <c r="D768">
        <v>2.9</v>
      </c>
      <c r="E768" s="111">
        <v>0</v>
      </c>
      <c r="F768" s="111">
        <v>0</v>
      </c>
      <c r="G768" s="111">
        <v>0</v>
      </c>
      <c r="H768" s="111">
        <v>0</v>
      </c>
      <c r="I768" s="111">
        <v>0</v>
      </c>
      <c r="J768" s="111">
        <v>0</v>
      </c>
      <c r="K768" s="111">
        <v>0</v>
      </c>
      <c r="L768" s="111">
        <v>0</v>
      </c>
      <c r="M768" s="111">
        <v>0</v>
      </c>
      <c r="N768" s="111">
        <v>0</v>
      </c>
      <c r="O768" s="60">
        <v>16</v>
      </c>
    </row>
    <row r="769" spans="1:15" x14ac:dyDescent="0.25">
      <c r="A769" t="s">
        <v>363</v>
      </c>
      <c r="O769" s="60">
        <v>17</v>
      </c>
    </row>
    <row r="770" spans="1:15" x14ac:dyDescent="0.25">
      <c r="A770" t="s">
        <v>444</v>
      </c>
      <c r="B770" t="s">
        <v>445</v>
      </c>
      <c r="C770" t="s">
        <v>446</v>
      </c>
      <c r="D770" t="s">
        <v>447</v>
      </c>
      <c r="E770" t="s">
        <v>448</v>
      </c>
      <c r="F770" t="s">
        <v>449</v>
      </c>
      <c r="G770" t="s">
        <v>450</v>
      </c>
      <c r="H770" t="s">
        <v>451</v>
      </c>
      <c r="I770" t="s">
        <v>452</v>
      </c>
      <c r="J770" t="s">
        <v>453</v>
      </c>
      <c r="K770" t="s">
        <v>454</v>
      </c>
      <c r="L770" t="s">
        <v>455</v>
      </c>
      <c r="M770" t="s">
        <v>456</v>
      </c>
      <c r="N770" t="s">
        <v>457</v>
      </c>
      <c r="O770" s="60">
        <v>17</v>
      </c>
    </row>
    <row r="771" spans="1:15" x14ac:dyDescent="0.25">
      <c r="A771" t="s">
        <v>459</v>
      </c>
      <c r="B771" s="112">
        <v>45966</v>
      </c>
      <c r="C771" s="111">
        <v>0.124</v>
      </c>
      <c r="D771">
        <v>11.8</v>
      </c>
      <c r="E771" s="111">
        <v>1</v>
      </c>
      <c r="F771" s="111">
        <v>0</v>
      </c>
      <c r="G771" s="111">
        <v>0.33900000000000002</v>
      </c>
      <c r="H771" s="111">
        <v>0.66100000000000003</v>
      </c>
      <c r="I771" s="111">
        <v>0</v>
      </c>
      <c r="J771" s="111">
        <v>0</v>
      </c>
      <c r="K771" s="111">
        <v>0</v>
      </c>
      <c r="L771" s="111">
        <v>0</v>
      </c>
      <c r="M771" s="111">
        <v>1</v>
      </c>
      <c r="N771" s="111">
        <v>0</v>
      </c>
      <c r="O771" s="60">
        <v>17</v>
      </c>
    </row>
    <row r="772" spans="1:15" x14ac:dyDescent="0.25">
      <c r="A772" t="s">
        <v>460</v>
      </c>
      <c r="B772" s="122">
        <v>37080</v>
      </c>
      <c r="C772" s="111">
        <v>-6.7000000000000004E-2</v>
      </c>
      <c r="D772">
        <v>8</v>
      </c>
      <c r="E772" s="111">
        <v>0</v>
      </c>
      <c r="F772" s="111">
        <v>0</v>
      </c>
      <c r="G772" s="111">
        <v>0</v>
      </c>
      <c r="H772" s="111">
        <v>0</v>
      </c>
      <c r="I772" s="111">
        <v>0</v>
      </c>
      <c r="J772" s="111">
        <v>0</v>
      </c>
      <c r="K772" s="111">
        <v>0</v>
      </c>
      <c r="L772" s="111">
        <v>0</v>
      </c>
      <c r="M772" s="111">
        <v>0</v>
      </c>
      <c r="N772" s="111">
        <v>0</v>
      </c>
      <c r="O772" s="60">
        <v>17</v>
      </c>
    </row>
    <row r="773" spans="1:15" x14ac:dyDescent="0.25">
      <c r="A773" t="s">
        <v>458</v>
      </c>
      <c r="B773" s="112">
        <v>45759</v>
      </c>
      <c r="C773" s="111">
        <v>-0.20699999999999999</v>
      </c>
      <c r="D773">
        <v>4.2</v>
      </c>
      <c r="E773" s="111">
        <v>0</v>
      </c>
      <c r="F773" s="111">
        <v>0</v>
      </c>
      <c r="G773" s="111">
        <v>0</v>
      </c>
      <c r="H773" s="111">
        <v>0</v>
      </c>
      <c r="I773" s="111">
        <v>0</v>
      </c>
      <c r="J773" s="111">
        <v>0</v>
      </c>
      <c r="K773" s="111">
        <v>0</v>
      </c>
      <c r="L773" s="111">
        <v>0</v>
      </c>
      <c r="M773" s="111">
        <v>0</v>
      </c>
      <c r="N773" s="111">
        <v>0</v>
      </c>
      <c r="O773" s="60">
        <v>17</v>
      </c>
    </row>
    <row r="774" spans="1:15" x14ac:dyDescent="0.25">
      <c r="A774" t="s">
        <v>462</v>
      </c>
      <c r="B774" s="112">
        <v>45729</v>
      </c>
      <c r="C774" s="111">
        <v>-0.154</v>
      </c>
      <c r="D774">
        <v>3.5</v>
      </c>
      <c r="E774" s="111">
        <v>0</v>
      </c>
      <c r="F774" s="111">
        <v>0</v>
      </c>
      <c r="G774" s="111">
        <v>0</v>
      </c>
      <c r="H774" s="111">
        <v>0</v>
      </c>
      <c r="I774" s="111">
        <v>0</v>
      </c>
      <c r="J774" s="111">
        <v>0</v>
      </c>
      <c r="K774" s="111">
        <v>0</v>
      </c>
      <c r="L774" s="111">
        <v>0</v>
      </c>
      <c r="M774" s="111">
        <v>0</v>
      </c>
      <c r="N774" s="111">
        <v>0</v>
      </c>
      <c r="O774" s="60">
        <v>17</v>
      </c>
    </row>
    <row r="775" spans="1:15" x14ac:dyDescent="0.25">
      <c r="A775" t="s">
        <v>357</v>
      </c>
      <c r="O775" s="60">
        <v>17</v>
      </c>
    </row>
    <row r="776" spans="1:15" x14ac:dyDescent="0.25">
      <c r="A776" t="s">
        <v>444</v>
      </c>
      <c r="B776" t="s">
        <v>445</v>
      </c>
      <c r="C776" t="s">
        <v>446</v>
      </c>
      <c r="D776" t="s">
        <v>447</v>
      </c>
      <c r="E776" t="s">
        <v>448</v>
      </c>
      <c r="F776" t="s">
        <v>449</v>
      </c>
      <c r="G776" t="s">
        <v>450</v>
      </c>
      <c r="H776" t="s">
        <v>451</v>
      </c>
      <c r="I776" t="s">
        <v>452</v>
      </c>
      <c r="J776" t="s">
        <v>453</v>
      </c>
      <c r="K776" t="s">
        <v>454</v>
      </c>
      <c r="L776" t="s">
        <v>455</v>
      </c>
      <c r="M776" t="s">
        <v>456</v>
      </c>
      <c r="N776" t="s">
        <v>457</v>
      </c>
      <c r="O776" s="60">
        <v>17</v>
      </c>
    </row>
    <row r="777" spans="1:15" x14ac:dyDescent="0.25">
      <c r="A777" t="s">
        <v>467</v>
      </c>
      <c r="B777" s="112">
        <v>45966</v>
      </c>
      <c r="C777" s="111">
        <v>0.125</v>
      </c>
      <c r="D777">
        <v>11.6</v>
      </c>
      <c r="E777" s="111">
        <v>1</v>
      </c>
      <c r="F777" s="111">
        <v>0</v>
      </c>
      <c r="G777" s="111">
        <v>0.66100000000000003</v>
      </c>
      <c r="H777" s="111">
        <v>0.33900000000000002</v>
      </c>
      <c r="I777" s="111">
        <v>0</v>
      </c>
      <c r="J777" s="111">
        <v>0</v>
      </c>
      <c r="K777" s="111">
        <v>0</v>
      </c>
      <c r="L777" s="111">
        <v>0</v>
      </c>
      <c r="M777" s="111">
        <v>1</v>
      </c>
      <c r="N777" s="111">
        <v>0</v>
      </c>
      <c r="O777" s="60">
        <v>17</v>
      </c>
    </row>
    <row r="778" spans="1:15" x14ac:dyDescent="0.25">
      <c r="A778" t="s">
        <v>463</v>
      </c>
      <c r="B778" s="122">
        <v>37140</v>
      </c>
      <c r="C778" s="111">
        <v>7.6999999999999999E-2</v>
      </c>
      <c r="D778">
        <v>10</v>
      </c>
      <c r="E778" s="111">
        <v>1</v>
      </c>
      <c r="F778" s="111">
        <v>0</v>
      </c>
      <c r="G778" s="111">
        <v>0</v>
      </c>
      <c r="H778" s="111">
        <v>0</v>
      </c>
      <c r="I778" s="111">
        <v>0</v>
      </c>
      <c r="J778" s="111">
        <v>0</v>
      </c>
      <c r="K778" s="111">
        <v>0</v>
      </c>
      <c r="L778" s="111">
        <v>1</v>
      </c>
      <c r="M778" s="111">
        <v>0</v>
      </c>
      <c r="N778" s="111">
        <v>1</v>
      </c>
      <c r="O778" s="60">
        <v>17</v>
      </c>
    </row>
    <row r="779" spans="1:15" x14ac:dyDescent="0.25">
      <c r="A779" t="s">
        <v>465</v>
      </c>
      <c r="B779" s="112">
        <v>45877</v>
      </c>
      <c r="C779" s="111">
        <v>-0.16800000000000001</v>
      </c>
      <c r="D779">
        <v>8.5</v>
      </c>
      <c r="E779" s="111">
        <v>0</v>
      </c>
      <c r="F779" s="111">
        <v>0</v>
      </c>
      <c r="G779" s="111">
        <v>0</v>
      </c>
      <c r="H779" s="111">
        <v>0</v>
      </c>
      <c r="I779" s="111">
        <v>0</v>
      </c>
      <c r="J779" s="111">
        <v>0</v>
      </c>
      <c r="K779" s="111">
        <v>0</v>
      </c>
      <c r="L779" s="111">
        <v>0</v>
      </c>
      <c r="M779" s="111">
        <v>0</v>
      </c>
      <c r="N779" s="111">
        <v>0</v>
      </c>
      <c r="O779" s="60">
        <v>17</v>
      </c>
    </row>
    <row r="780" spans="1:15" x14ac:dyDescent="0.25">
      <c r="A780" t="s">
        <v>464</v>
      </c>
      <c r="B780" s="112">
        <v>45877</v>
      </c>
      <c r="C780" s="111">
        <v>0.14899999999999999</v>
      </c>
      <c r="D780">
        <v>8.4</v>
      </c>
      <c r="E780" s="111">
        <v>0</v>
      </c>
      <c r="F780" s="111">
        <v>0</v>
      </c>
      <c r="G780" s="111">
        <v>0</v>
      </c>
      <c r="H780" s="111">
        <v>0</v>
      </c>
      <c r="I780" s="111">
        <v>0</v>
      </c>
      <c r="J780" s="111">
        <v>0</v>
      </c>
      <c r="K780" s="111">
        <v>0</v>
      </c>
      <c r="L780" s="111">
        <v>0</v>
      </c>
      <c r="M780" s="111">
        <v>0</v>
      </c>
      <c r="N780" s="111">
        <v>0</v>
      </c>
      <c r="O780" s="60">
        <v>17</v>
      </c>
    </row>
    <row r="781" spans="1:15" x14ac:dyDescent="0.25">
      <c r="A781" t="s">
        <v>383</v>
      </c>
      <c r="O781" s="60">
        <v>17</v>
      </c>
    </row>
    <row r="782" spans="1:15" x14ac:dyDescent="0.25">
      <c r="A782" t="s">
        <v>444</v>
      </c>
      <c r="B782" t="s">
        <v>445</v>
      </c>
      <c r="C782" t="s">
        <v>446</v>
      </c>
      <c r="D782" t="s">
        <v>447</v>
      </c>
      <c r="E782" t="s">
        <v>448</v>
      </c>
      <c r="F782" t="s">
        <v>449</v>
      </c>
      <c r="G782" t="s">
        <v>450</v>
      </c>
      <c r="H782" t="s">
        <v>451</v>
      </c>
      <c r="I782" t="s">
        <v>452</v>
      </c>
      <c r="J782" t="s">
        <v>453</v>
      </c>
      <c r="K782" t="s">
        <v>454</v>
      </c>
      <c r="L782" t="s">
        <v>455</v>
      </c>
      <c r="M782" t="s">
        <v>456</v>
      </c>
      <c r="N782" t="s">
        <v>457</v>
      </c>
      <c r="O782" s="60">
        <v>17</v>
      </c>
    </row>
    <row r="783" spans="1:15" x14ac:dyDescent="0.25">
      <c r="A783" t="s">
        <v>471</v>
      </c>
      <c r="B783" s="112">
        <v>45877</v>
      </c>
      <c r="C783" s="111">
        <v>-6.4000000000000001E-2</v>
      </c>
      <c r="D783">
        <v>8.5</v>
      </c>
      <c r="E783" s="111">
        <v>0.83299999999999996</v>
      </c>
      <c r="F783" s="111">
        <v>0</v>
      </c>
      <c r="G783" s="111">
        <v>0</v>
      </c>
      <c r="H783" s="111">
        <v>0</v>
      </c>
      <c r="I783" s="111">
        <v>0.83299999999999996</v>
      </c>
      <c r="J783" s="111">
        <v>0</v>
      </c>
      <c r="K783" s="111">
        <v>0</v>
      </c>
      <c r="L783" s="111">
        <v>0</v>
      </c>
      <c r="M783" s="111">
        <v>0.83299999999999996</v>
      </c>
      <c r="N783" s="111">
        <v>0</v>
      </c>
      <c r="O783" s="60">
        <v>17</v>
      </c>
    </row>
    <row r="784" spans="1:15" x14ac:dyDescent="0.25">
      <c r="A784" t="s">
        <v>468</v>
      </c>
      <c r="B784" s="112">
        <v>45847</v>
      </c>
      <c r="C784" s="111">
        <v>-0.123</v>
      </c>
      <c r="D784">
        <v>7.5</v>
      </c>
      <c r="E784" s="111">
        <v>0.16700000000000001</v>
      </c>
      <c r="F784" s="111">
        <v>0</v>
      </c>
      <c r="G784" s="111">
        <v>0</v>
      </c>
      <c r="H784" s="111">
        <v>0</v>
      </c>
      <c r="I784" s="111">
        <v>0.16700000000000001</v>
      </c>
      <c r="J784" s="111">
        <v>0</v>
      </c>
      <c r="K784" s="111">
        <v>0</v>
      </c>
      <c r="L784" s="111">
        <v>0</v>
      </c>
      <c r="M784" s="111">
        <v>0.16700000000000001</v>
      </c>
      <c r="N784" s="111">
        <v>0</v>
      </c>
      <c r="O784" s="60">
        <v>17</v>
      </c>
    </row>
    <row r="785" spans="1:15" x14ac:dyDescent="0.25">
      <c r="A785" t="s">
        <v>469</v>
      </c>
      <c r="B785" s="112">
        <v>45847</v>
      </c>
      <c r="C785" s="111">
        <v>-5.8000000000000003E-2</v>
      </c>
      <c r="D785">
        <v>7.7</v>
      </c>
      <c r="E785" s="111">
        <v>0</v>
      </c>
      <c r="F785" s="111">
        <v>0</v>
      </c>
      <c r="G785" s="111">
        <v>0</v>
      </c>
      <c r="H785" s="111">
        <v>0</v>
      </c>
      <c r="I785" s="111">
        <v>0</v>
      </c>
      <c r="J785" s="111">
        <v>0</v>
      </c>
      <c r="K785" s="111">
        <v>0</v>
      </c>
      <c r="L785" s="111">
        <v>0</v>
      </c>
      <c r="M785" s="111">
        <v>0</v>
      </c>
      <c r="N785" s="111">
        <v>0</v>
      </c>
      <c r="O785" s="60">
        <v>17</v>
      </c>
    </row>
    <row r="786" spans="1:15" x14ac:dyDescent="0.25">
      <c r="A786" t="s">
        <v>470</v>
      </c>
      <c r="B786" s="112">
        <v>45818</v>
      </c>
      <c r="C786" s="111">
        <v>-0.17599999999999999</v>
      </c>
      <c r="D786">
        <v>6.3</v>
      </c>
      <c r="E786" s="111">
        <v>0</v>
      </c>
      <c r="F786" s="111">
        <v>0</v>
      </c>
      <c r="G786" s="111">
        <v>0</v>
      </c>
      <c r="H786" s="111">
        <v>0</v>
      </c>
      <c r="I786" s="111">
        <v>0</v>
      </c>
      <c r="J786" s="111">
        <v>0</v>
      </c>
      <c r="K786" s="111">
        <v>0</v>
      </c>
      <c r="L786" s="111">
        <v>0</v>
      </c>
      <c r="M786" s="111">
        <v>0</v>
      </c>
      <c r="N786" s="111">
        <v>0</v>
      </c>
      <c r="O786" s="60">
        <v>17</v>
      </c>
    </row>
    <row r="787" spans="1:15" x14ac:dyDescent="0.25">
      <c r="A787" t="s">
        <v>355</v>
      </c>
      <c r="O787" s="60">
        <v>17</v>
      </c>
    </row>
    <row r="788" spans="1:15" x14ac:dyDescent="0.25">
      <c r="A788" t="s">
        <v>444</v>
      </c>
      <c r="B788" t="s">
        <v>445</v>
      </c>
      <c r="C788" t="s">
        <v>446</v>
      </c>
      <c r="D788" t="s">
        <v>447</v>
      </c>
      <c r="E788" t="s">
        <v>448</v>
      </c>
      <c r="F788" t="s">
        <v>449</v>
      </c>
      <c r="G788" t="s">
        <v>450</v>
      </c>
      <c r="H788" t="s">
        <v>451</v>
      </c>
      <c r="I788" t="s">
        <v>452</v>
      </c>
      <c r="J788" t="s">
        <v>453</v>
      </c>
      <c r="K788" t="s">
        <v>454</v>
      </c>
      <c r="L788" t="s">
        <v>455</v>
      </c>
      <c r="M788" t="s">
        <v>456</v>
      </c>
      <c r="N788" t="s">
        <v>457</v>
      </c>
      <c r="O788" s="60">
        <v>17</v>
      </c>
    </row>
    <row r="789" spans="1:15" x14ac:dyDescent="0.25">
      <c r="A789" t="s">
        <v>475</v>
      </c>
      <c r="B789" s="112" t="s">
        <v>510</v>
      </c>
      <c r="C789" s="111">
        <v>0.35499999999999998</v>
      </c>
      <c r="D789">
        <v>13.5</v>
      </c>
      <c r="E789" s="111">
        <v>1</v>
      </c>
      <c r="F789" s="111">
        <v>0.53500000000000003</v>
      </c>
      <c r="G789" s="111">
        <v>0</v>
      </c>
      <c r="H789" s="111">
        <v>0</v>
      </c>
      <c r="I789" s="111">
        <v>0</v>
      </c>
      <c r="J789" s="111">
        <v>0.46500000000000002</v>
      </c>
      <c r="K789" s="111">
        <v>0</v>
      </c>
      <c r="L789" s="111">
        <v>0</v>
      </c>
      <c r="M789" s="111">
        <v>0.53500000000000003</v>
      </c>
      <c r="N789" s="111">
        <v>0.46500000000000002</v>
      </c>
      <c r="O789" s="60">
        <v>17</v>
      </c>
    </row>
    <row r="790" spans="1:15" x14ac:dyDescent="0.25">
      <c r="A790" t="s">
        <v>472</v>
      </c>
      <c r="B790" s="112">
        <v>45995</v>
      </c>
      <c r="C790" s="111">
        <v>0.16500000000000001</v>
      </c>
      <c r="D790">
        <v>12.5</v>
      </c>
      <c r="E790" s="111">
        <v>1</v>
      </c>
      <c r="F790" s="111">
        <v>0.46500000000000002</v>
      </c>
      <c r="G790" s="111">
        <v>0</v>
      </c>
      <c r="H790" s="111">
        <v>0</v>
      </c>
      <c r="I790" s="111">
        <v>0</v>
      </c>
      <c r="J790" s="111">
        <v>6.0999999999999999E-2</v>
      </c>
      <c r="K790" s="111">
        <v>0.47399999999999998</v>
      </c>
      <c r="L790" s="111">
        <v>0</v>
      </c>
      <c r="M790" s="111">
        <v>0.46500000000000002</v>
      </c>
      <c r="N790" s="111">
        <v>0.53500000000000003</v>
      </c>
      <c r="O790" s="60">
        <v>17</v>
      </c>
    </row>
    <row r="791" spans="1:15" x14ac:dyDescent="0.25">
      <c r="A791" t="s">
        <v>473</v>
      </c>
      <c r="B791" s="112">
        <v>45966</v>
      </c>
      <c r="C791" s="111">
        <v>0.39200000000000002</v>
      </c>
      <c r="D791">
        <v>11.9</v>
      </c>
      <c r="E791" s="111">
        <v>1</v>
      </c>
      <c r="F791" s="111">
        <v>0</v>
      </c>
      <c r="G791" s="111">
        <v>0</v>
      </c>
      <c r="H791" s="111">
        <v>0</v>
      </c>
      <c r="I791" s="111">
        <v>0</v>
      </c>
      <c r="J791" s="111">
        <v>0.47399999999999998</v>
      </c>
      <c r="K791" s="111">
        <v>0.52600000000000002</v>
      </c>
      <c r="L791" s="111">
        <v>0</v>
      </c>
      <c r="M791" s="111">
        <v>0</v>
      </c>
      <c r="N791" s="111">
        <v>1</v>
      </c>
      <c r="O791" s="60">
        <v>17</v>
      </c>
    </row>
    <row r="792" spans="1:15" x14ac:dyDescent="0.25">
      <c r="A792" t="s">
        <v>474</v>
      </c>
      <c r="B792" s="112">
        <v>45729</v>
      </c>
      <c r="C792" s="111">
        <v>-0.246</v>
      </c>
      <c r="D792">
        <v>3.1</v>
      </c>
      <c r="E792" s="111">
        <v>0</v>
      </c>
      <c r="F792" s="111">
        <v>0</v>
      </c>
      <c r="G792" s="111">
        <v>0</v>
      </c>
      <c r="H792" s="111">
        <v>0</v>
      </c>
      <c r="I792" s="111">
        <v>0</v>
      </c>
      <c r="J792" s="111">
        <v>0</v>
      </c>
      <c r="K792" s="111">
        <v>0</v>
      </c>
      <c r="L792" s="111">
        <v>0</v>
      </c>
      <c r="M792" s="111">
        <v>0</v>
      </c>
      <c r="N792" s="111">
        <v>0</v>
      </c>
      <c r="O792" s="60">
        <v>17</v>
      </c>
    </row>
    <row r="793" spans="1:15" x14ac:dyDescent="0.25">
      <c r="A793" t="s">
        <v>359</v>
      </c>
      <c r="O793" s="60">
        <v>17</v>
      </c>
    </row>
    <row r="794" spans="1:15" x14ac:dyDescent="0.25">
      <c r="A794" t="s">
        <v>444</v>
      </c>
      <c r="B794" t="s">
        <v>445</v>
      </c>
      <c r="C794" t="s">
        <v>446</v>
      </c>
      <c r="D794" t="s">
        <v>447</v>
      </c>
      <c r="E794" t="s">
        <v>448</v>
      </c>
      <c r="F794" t="s">
        <v>449</v>
      </c>
      <c r="G794" t="s">
        <v>450</v>
      </c>
      <c r="H794" t="s">
        <v>451</v>
      </c>
      <c r="I794" t="s">
        <v>452</v>
      </c>
      <c r="J794" t="s">
        <v>453</v>
      </c>
      <c r="K794" t="s">
        <v>454</v>
      </c>
      <c r="L794" t="s">
        <v>455</v>
      </c>
      <c r="M794" t="s">
        <v>456</v>
      </c>
      <c r="N794" t="s">
        <v>457</v>
      </c>
      <c r="O794" s="60">
        <v>17</v>
      </c>
    </row>
    <row r="795" spans="1:15" x14ac:dyDescent="0.25">
      <c r="A795" t="s">
        <v>477</v>
      </c>
      <c r="B795" s="112" t="s">
        <v>510</v>
      </c>
      <c r="C795" s="111">
        <v>0.16</v>
      </c>
      <c r="D795">
        <v>13.8</v>
      </c>
      <c r="E795" s="111">
        <v>1</v>
      </c>
      <c r="F795" s="111">
        <v>0.128</v>
      </c>
      <c r="G795" s="111">
        <v>0.73399999999999999</v>
      </c>
      <c r="H795" s="111">
        <v>0.13800000000000001</v>
      </c>
      <c r="I795" s="111">
        <v>0</v>
      </c>
      <c r="J795" s="111">
        <v>0</v>
      </c>
      <c r="K795" s="111">
        <v>0</v>
      </c>
      <c r="L795" s="111">
        <v>0</v>
      </c>
      <c r="M795" s="111">
        <v>1</v>
      </c>
      <c r="N795" s="111">
        <v>0</v>
      </c>
      <c r="O795" s="60">
        <v>17</v>
      </c>
    </row>
    <row r="796" spans="1:15" x14ac:dyDescent="0.25">
      <c r="A796" t="s">
        <v>476</v>
      </c>
      <c r="B796" s="112">
        <v>45966</v>
      </c>
      <c r="C796" s="111">
        <v>0.11899999999999999</v>
      </c>
      <c r="D796">
        <v>11.9</v>
      </c>
      <c r="E796" s="111">
        <v>1</v>
      </c>
      <c r="F796" s="111">
        <v>0</v>
      </c>
      <c r="G796" s="111">
        <v>0</v>
      </c>
      <c r="H796" s="111">
        <v>0</v>
      </c>
      <c r="I796" s="111">
        <v>0</v>
      </c>
      <c r="J796" s="111">
        <v>0.26300000000000001</v>
      </c>
      <c r="K796" s="111">
        <v>0.54500000000000004</v>
      </c>
      <c r="L796" s="111">
        <v>0.192</v>
      </c>
      <c r="M796" s="111">
        <v>0</v>
      </c>
      <c r="N796" s="111">
        <v>1</v>
      </c>
      <c r="O796" s="60">
        <v>17</v>
      </c>
    </row>
    <row r="797" spans="1:15" x14ac:dyDescent="0.25">
      <c r="A797" t="s">
        <v>479</v>
      </c>
      <c r="B797" s="112">
        <v>45847</v>
      </c>
      <c r="C797" s="111">
        <v>-0.20200000000000001</v>
      </c>
      <c r="D797">
        <v>7.2</v>
      </c>
      <c r="E797" s="111">
        <v>0</v>
      </c>
      <c r="F797" s="111">
        <v>0</v>
      </c>
      <c r="G797" s="111">
        <v>0</v>
      </c>
      <c r="H797" s="111">
        <v>0</v>
      </c>
      <c r="I797" s="111">
        <v>0</v>
      </c>
      <c r="J797" s="111">
        <v>0</v>
      </c>
      <c r="K797" s="111">
        <v>0</v>
      </c>
      <c r="L797" s="111">
        <v>0</v>
      </c>
      <c r="M797" s="111">
        <v>0</v>
      </c>
      <c r="N797" s="111">
        <v>0</v>
      </c>
      <c r="O797" s="60">
        <v>17</v>
      </c>
    </row>
    <row r="798" spans="1:15" x14ac:dyDescent="0.25">
      <c r="A798" t="s">
        <v>478</v>
      </c>
      <c r="B798" s="112">
        <v>45729</v>
      </c>
      <c r="C798" s="111">
        <v>-0.41599999999999998</v>
      </c>
      <c r="D798">
        <v>3.1</v>
      </c>
      <c r="E798" s="111">
        <v>0</v>
      </c>
      <c r="F798" s="111">
        <v>0</v>
      </c>
      <c r="G798" s="111">
        <v>0</v>
      </c>
      <c r="H798" s="111">
        <v>0</v>
      </c>
      <c r="I798" s="111">
        <v>0</v>
      </c>
      <c r="J798" s="111">
        <v>0</v>
      </c>
      <c r="K798" s="111">
        <v>0</v>
      </c>
      <c r="L798" s="111">
        <v>0</v>
      </c>
      <c r="M798" s="111">
        <v>0</v>
      </c>
      <c r="N798" s="111">
        <v>0</v>
      </c>
      <c r="O798" s="60">
        <v>17</v>
      </c>
    </row>
    <row r="799" spans="1:15" x14ac:dyDescent="0.25">
      <c r="A799" t="s">
        <v>352</v>
      </c>
      <c r="O799" s="60">
        <v>17</v>
      </c>
    </row>
    <row r="800" spans="1:15" x14ac:dyDescent="0.25">
      <c r="A800" t="s">
        <v>444</v>
      </c>
      <c r="B800" t="s">
        <v>445</v>
      </c>
      <c r="C800" t="s">
        <v>446</v>
      </c>
      <c r="D800" t="s">
        <v>447</v>
      </c>
      <c r="E800" t="s">
        <v>448</v>
      </c>
      <c r="F800" t="s">
        <v>449</v>
      </c>
      <c r="G800" t="s">
        <v>450</v>
      </c>
      <c r="H800" t="s">
        <v>451</v>
      </c>
      <c r="I800" t="s">
        <v>452</v>
      </c>
      <c r="J800" t="s">
        <v>453</v>
      </c>
      <c r="K800" t="s">
        <v>454</v>
      </c>
      <c r="L800" t="s">
        <v>455</v>
      </c>
      <c r="M800" t="s">
        <v>456</v>
      </c>
      <c r="N800" t="s">
        <v>457</v>
      </c>
      <c r="O800" s="60">
        <v>17</v>
      </c>
    </row>
    <row r="801" spans="1:15" x14ac:dyDescent="0.25">
      <c r="A801" t="s">
        <v>482</v>
      </c>
      <c r="B801" s="112">
        <v>45907</v>
      </c>
      <c r="C801" s="111">
        <v>0.10100000000000001</v>
      </c>
      <c r="D801">
        <v>9.5</v>
      </c>
      <c r="E801" s="111">
        <v>0.54400000000000004</v>
      </c>
      <c r="F801" s="111">
        <v>0</v>
      </c>
      <c r="G801" s="111">
        <v>0</v>
      </c>
      <c r="H801" s="111">
        <v>0</v>
      </c>
      <c r="I801" s="111">
        <v>0.54400000000000004</v>
      </c>
      <c r="J801" s="111">
        <v>0</v>
      </c>
      <c r="K801" s="111">
        <v>0</v>
      </c>
      <c r="L801" s="111">
        <v>0</v>
      </c>
      <c r="M801" s="111">
        <v>0.54400000000000004</v>
      </c>
      <c r="N801" s="111">
        <v>0</v>
      </c>
      <c r="O801" s="60">
        <v>17</v>
      </c>
    </row>
    <row r="802" spans="1:15" x14ac:dyDescent="0.25">
      <c r="A802" t="s">
        <v>480</v>
      </c>
      <c r="B802" s="112">
        <v>45877</v>
      </c>
      <c r="C802" s="111">
        <v>9.2999999999999999E-2</v>
      </c>
      <c r="D802">
        <v>8.5</v>
      </c>
      <c r="E802" s="111">
        <v>0.45600000000000002</v>
      </c>
      <c r="F802" s="111">
        <v>0</v>
      </c>
      <c r="G802" s="111">
        <v>0</v>
      </c>
      <c r="H802" s="111">
        <v>0</v>
      </c>
      <c r="I802" s="111">
        <v>0.45600000000000002</v>
      </c>
      <c r="J802" s="111">
        <v>0</v>
      </c>
      <c r="K802" s="111">
        <v>0</v>
      </c>
      <c r="L802" s="111">
        <v>0</v>
      </c>
      <c r="M802" s="111">
        <v>0.45600000000000002</v>
      </c>
      <c r="N802" s="111">
        <v>0</v>
      </c>
      <c r="O802" s="60">
        <v>17</v>
      </c>
    </row>
    <row r="803" spans="1:15" x14ac:dyDescent="0.25">
      <c r="A803" t="s">
        <v>481</v>
      </c>
      <c r="B803" s="112">
        <v>45818</v>
      </c>
      <c r="C803" s="111">
        <v>3.9E-2</v>
      </c>
      <c r="D803">
        <v>6.9</v>
      </c>
      <c r="E803" s="111">
        <v>0</v>
      </c>
      <c r="F803" s="111">
        <v>0</v>
      </c>
      <c r="G803" s="111">
        <v>0</v>
      </c>
      <c r="H803" s="111">
        <v>0</v>
      </c>
      <c r="I803" s="111">
        <v>0</v>
      </c>
      <c r="J803" s="111">
        <v>0</v>
      </c>
      <c r="K803" s="111">
        <v>0</v>
      </c>
      <c r="L803" s="111">
        <v>0</v>
      </c>
      <c r="M803" s="111">
        <v>0</v>
      </c>
      <c r="N803" s="111">
        <v>0</v>
      </c>
      <c r="O803" s="60">
        <v>17</v>
      </c>
    </row>
    <row r="804" spans="1:15" x14ac:dyDescent="0.25">
      <c r="A804" t="s">
        <v>483</v>
      </c>
      <c r="B804" s="112">
        <v>45759</v>
      </c>
      <c r="C804" s="111">
        <v>-0.35799999999999998</v>
      </c>
      <c r="D804">
        <v>4.0999999999999996</v>
      </c>
      <c r="E804" s="111">
        <v>0</v>
      </c>
      <c r="F804" s="111">
        <v>0</v>
      </c>
      <c r="G804" s="111">
        <v>0</v>
      </c>
      <c r="H804" s="111">
        <v>0</v>
      </c>
      <c r="I804" s="111">
        <v>0</v>
      </c>
      <c r="J804" s="111">
        <v>0</v>
      </c>
      <c r="K804" s="111">
        <v>0</v>
      </c>
      <c r="L804" s="111">
        <v>0</v>
      </c>
      <c r="M804" s="111">
        <v>0</v>
      </c>
      <c r="N804" s="111">
        <v>0</v>
      </c>
      <c r="O804" s="60">
        <v>17</v>
      </c>
    </row>
    <row r="805" spans="1:15" x14ac:dyDescent="0.25">
      <c r="A805" t="s">
        <v>368</v>
      </c>
      <c r="O805" s="60">
        <v>17</v>
      </c>
    </row>
    <row r="806" spans="1:15" x14ac:dyDescent="0.25">
      <c r="A806" t="s">
        <v>444</v>
      </c>
      <c r="B806" t="s">
        <v>445</v>
      </c>
      <c r="C806" t="s">
        <v>446</v>
      </c>
      <c r="D806" t="s">
        <v>447</v>
      </c>
      <c r="E806" t="s">
        <v>448</v>
      </c>
      <c r="F806" t="s">
        <v>449</v>
      </c>
      <c r="G806" t="s">
        <v>450</v>
      </c>
      <c r="H806" t="s">
        <v>451</v>
      </c>
      <c r="I806" t="s">
        <v>452</v>
      </c>
      <c r="J806" t="s">
        <v>453</v>
      </c>
      <c r="K806" t="s">
        <v>454</v>
      </c>
      <c r="L806" t="s">
        <v>455</v>
      </c>
      <c r="M806" t="s">
        <v>456</v>
      </c>
      <c r="N806" t="s">
        <v>457</v>
      </c>
      <c r="O806" s="60">
        <v>17</v>
      </c>
    </row>
    <row r="807" spans="1:15" x14ac:dyDescent="0.25">
      <c r="A807" t="s">
        <v>484</v>
      </c>
      <c r="B807" s="112">
        <v>45995</v>
      </c>
      <c r="C807" s="111">
        <v>0.20200000000000001</v>
      </c>
      <c r="D807">
        <v>12.9</v>
      </c>
      <c r="E807" s="111">
        <v>1</v>
      </c>
      <c r="F807" s="111">
        <v>2.1999999999999999E-2</v>
      </c>
      <c r="G807" s="111">
        <v>0.22500000000000001</v>
      </c>
      <c r="H807" s="111">
        <v>0.65500000000000003</v>
      </c>
      <c r="I807" s="111">
        <v>0</v>
      </c>
      <c r="J807" s="111">
        <v>2.1999999999999999E-2</v>
      </c>
      <c r="K807" s="111">
        <v>7.4999999999999997E-2</v>
      </c>
      <c r="L807" s="111">
        <v>0</v>
      </c>
      <c r="M807" s="111">
        <v>0.90300000000000002</v>
      </c>
      <c r="N807" s="111">
        <v>9.7000000000000003E-2</v>
      </c>
      <c r="O807" s="60">
        <v>17</v>
      </c>
    </row>
    <row r="808" spans="1:15" x14ac:dyDescent="0.25">
      <c r="A808" t="s">
        <v>486</v>
      </c>
      <c r="B808" s="112">
        <v>45966</v>
      </c>
      <c r="C808" s="111">
        <v>0.156</v>
      </c>
      <c r="D808">
        <v>11.8</v>
      </c>
      <c r="E808" s="111">
        <v>1</v>
      </c>
      <c r="F808" s="111">
        <v>0</v>
      </c>
      <c r="G808" s="111">
        <v>0</v>
      </c>
      <c r="H808" s="111">
        <v>9.7000000000000003E-2</v>
      </c>
      <c r="I808" s="111">
        <v>0</v>
      </c>
      <c r="J808" s="111">
        <v>0.67600000000000005</v>
      </c>
      <c r="K808" s="111">
        <v>0.191</v>
      </c>
      <c r="L808" s="111">
        <v>3.5999999999999997E-2</v>
      </c>
      <c r="M808" s="111">
        <v>9.7000000000000003E-2</v>
      </c>
      <c r="N808" s="111">
        <v>0.90300000000000002</v>
      </c>
      <c r="O808" s="60">
        <v>17</v>
      </c>
    </row>
    <row r="809" spans="1:15" x14ac:dyDescent="0.25">
      <c r="A809" t="s">
        <v>485</v>
      </c>
      <c r="B809" s="112">
        <v>45877</v>
      </c>
      <c r="C809" s="111">
        <v>-5.2999999999999999E-2</v>
      </c>
      <c r="D809">
        <v>8.1999999999999993</v>
      </c>
      <c r="E809" s="111">
        <v>0</v>
      </c>
      <c r="F809" s="111">
        <v>0</v>
      </c>
      <c r="G809" s="111">
        <v>0</v>
      </c>
      <c r="H809" s="111">
        <v>0</v>
      </c>
      <c r="I809" s="111">
        <v>0</v>
      </c>
      <c r="J809" s="111">
        <v>0</v>
      </c>
      <c r="K809" s="111">
        <v>0</v>
      </c>
      <c r="L809" s="111">
        <v>0</v>
      </c>
      <c r="M809" s="111">
        <v>0</v>
      </c>
      <c r="N809" s="111">
        <v>0</v>
      </c>
      <c r="O809" s="60">
        <v>17</v>
      </c>
    </row>
    <row r="810" spans="1:15" x14ac:dyDescent="0.25">
      <c r="A810" t="s">
        <v>487</v>
      </c>
      <c r="B810" s="112">
        <v>45729</v>
      </c>
      <c r="C810" s="111">
        <v>-0.20399999999999999</v>
      </c>
      <c r="D810">
        <v>3.1</v>
      </c>
      <c r="E810" s="111">
        <v>0</v>
      </c>
      <c r="F810" s="111">
        <v>0</v>
      </c>
      <c r="G810" s="111">
        <v>0</v>
      </c>
      <c r="H810" s="111">
        <v>0</v>
      </c>
      <c r="I810" s="111">
        <v>0</v>
      </c>
      <c r="J810" s="111">
        <v>0</v>
      </c>
      <c r="K810" s="111">
        <v>0</v>
      </c>
      <c r="L810" s="111">
        <v>0</v>
      </c>
      <c r="M810" s="111">
        <v>0</v>
      </c>
      <c r="N810" s="111">
        <v>0</v>
      </c>
      <c r="O810" s="60">
        <v>17</v>
      </c>
    </row>
    <row r="811" spans="1:15" x14ac:dyDescent="0.25">
      <c r="A811" t="s">
        <v>367</v>
      </c>
      <c r="O811" s="60">
        <v>17</v>
      </c>
    </row>
    <row r="812" spans="1:15" x14ac:dyDescent="0.25">
      <c r="A812" t="s">
        <v>444</v>
      </c>
      <c r="B812" t="s">
        <v>445</v>
      </c>
      <c r="C812" t="s">
        <v>446</v>
      </c>
      <c r="D812" t="s">
        <v>447</v>
      </c>
      <c r="E812" t="s">
        <v>448</v>
      </c>
      <c r="F812" t="s">
        <v>449</v>
      </c>
      <c r="G812" t="s">
        <v>450</v>
      </c>
      <c r="H812" t="s">
        <v>451</v>
      </c>
      <c r="I812" t="s">
        <v>452</v>
      </c>
      <c r="J812" t="s">
        <v>453</v>
      </c>
      <c r="K812" t="s">
        <v>454</v>
      </c>
      <c r="L812" t="s">
        <v>455</v>
      </c>
      <c r="M812" t="s">
        <v>456</v>
      </c>
      <c r="N812" t="s">
        <v>457</v>
      </c>
      <c r="O812" s="60">
        <v>17</v>
      </c>
    </row>
    <row r="813" spans="1:15" x14ac:dyDescent="0.25">
      <c r="A813" t="s">
        <v>491</v>
      </c>
      <c r="B813" s="112" t="s">
        <v>510</v>
      </c>
      <c r="C813" s="111">
        <v>0.13800000000000001</v>
      </c>
      <c r="D813">
        <v>13.8</v>
      </c>
      <c r="E813" s="111">
        <v>1</v>
      </c>
      <c r="F813" s="111">
        <v>0.84899999999999998</v>
      </c>
      <c r="G813" s="111">
        <v>4.1000000000000002E-2</v>
      </c>
      <c r="H813" s="111">
        <v>0.11</v>
      </c>
      <c r="I813" s="111">
        <v>0</v>
      </c>
      <c r="J813" s="111">
        <v>0</v>
      </c>
      <c r="K813" s="111">
        <v>0</v>
      </c>
      <c r="L813" s="111">
        <v>0</v>
      </c>
      <c r="M813" s="111">
        <v>1</v>
      </c>
      <c r="N813" s="111">
        <v>0</v>
      </c>
      <c r="O813" s="60">
        <v>17</v>
      </c>
    </row>
    <row r="814" spans="1:15" x14ac:dyDescent="0.25">
      <c r="A814" t="s">
        <v>489</v>
      </c>
      <c r="B814" s="112">
        <v>45966</v>
      </c>
      <c r="C814" s="111">
        <v>1.7000000000000001E-2</v>
      </c>
      <c r="D814">
        <v>11.2</v>
      </c>
      <c r="E814" s="111">
        <v>1</v>
      </c>
      <c r="F814" s="111">
        <v>0</v>
      </c>
      <c r="G814" s="111">
        <v>0</v>
      </c>
      <c r="H814" s="111">
        <v>0</v>
      </c>
      <c r="I814" s="111">
        <v>0</v>
      </c>
      <c r="J814" s="111">
        <v>3.9E-2</v>
      </c>
      <c r="K814" s="111">
        <v>0.189</v>
      </c>
      <c r="L814" s="111">
        <v>0.77200000000000002</v>
      </c>
      <c r="M814" s="111">
        <v>0</v>
      </c>
      <c r="N814" s="111">
        <v>1</v>
      </c>
      <c r="O814" s="60">
        <v>17</v>
      </c>
    </row>
    <row r="815" spans="1:15" x14ac:dyDescent="0.25">
      <c r="A815" t="s">
        <v>488</v>
      </c>
      <c r="B815" s="112">
        <v>45818</v>
      </c>
      <c r="C815" s="111">
        <v>-0.22900000000000001</v>
      </c>
      <c r="D815">
        <v>6.6</v>
      </c>
      <c r="E815" s="111">
        <v>0</v>
      </c>
      <c r="F815" s="111">
        <v>0</v>
      </c>
      <c r="G815" s="111">
        <v>0</v>
      </c>
      <c r="H815" s="111">
        <v>0</v>
      </c>
      <c r="I815" s="111">
        <v>0</v>
      </c>
      <c r="J815" s="111">
        <v>0</v>
      </c>
      <c r="K815" s="111">
        <v>0</v>
      </c>
      <c r="L815" s="111">
        <v>0</v>
      </c>
      <c r="M815" s="111">
        <v>0</v>
      </c>
      <c r="N815" s="111">
        <v>0</v>
      </c>
      <c r="O815" s="60">
        <v>17</v>
      </c>
    </row>
    <row r="816" spans="1:15" x14ac:dyDescent="0.25">
      <c r="A816" t="s">
        <v>490</v>
      </c>
      <c r="B816" s="112">
        <v>45702</v>
      </c>
      <c r="C816" s="111">
        <v>-0.38600000000000001</v>
      </c>
      <c r="D816">
        <v>2.4</v>
      </c>
      <c r="E816" s="111">
        <v>0</v>
      </c>
      <c r="F816" s="111">
        <v>0</v>
      </c>
      <c r="G816" s="111">
        <v>0</v>
      </c>
      <c r="H816" s="111">
        <v>0</v>
      </c>
      <c r="I816" s="111">
        <v>0</v>
      </c>
      <c r="J816" s="111">
        <v>0</v>
      </c>
      <c r="K816" s="111">
        <v>0</v>
      </c>
      <c r="L816" s="111">
        <v>0</v>
      </c>
      <c r="M816" s="111">
        <v>0</v>
      </c>
      <c r="N816" s="111">
        <v>0</v>
      </c>
      <c r="O816" s="60">
        <v>17</v>
      </c>
    </row>
    <row r="817" spans="1:15" x14ac:dyDescent="0.25">
      <c r="A817" s="209" t="s">
        <v>363</v>
      </c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60">
        <v>18</v>
      </c>
    </row>
    <row r="818" spans="1:15" x14ac:dyDescent="0.25">
      <c r="A818" s="209" t="s">
        <v>444</v>
      </c>
      <c r="B818" s="209" t="s">
        <v>445</v>
      </c>
      <c r="C818" s="209" t="s">
        <v>446</v>
      </c>
      <c r="D818" s="209" t="s">
        <v>447</v>
      </c>
      <c r="E818" s="209" t="s">
        <v>448</v>
      </c>
      <c r="F818" s="209" t="s">
        <v>449</v>
      </c>
      <c r="G818" s="209" t="s">
        <v>450</v>
      </c>
      <c r="H818" s="209" t="s">
        <v>451</v>
      </c>
      <c r="I818" s="209" t="s">
        <v>452</v>
      </c>
      <c r="J818" s="209" t="s">
        <v>453</v>
      </c>
      <c r="K818" s="209" t="s">
        <v>454</v>
      </c>
      <c r="L818" s="209" t="s">
        <v>455</v>
      </c>
      <c r="M818" s="209" t="s">
        <v>456</v>
      </c>
      <c r="N818" s="209" t="s">
        <v>457</v>
      </c>
      <c r="O818" s="60">
        <v>18</v>
      </c>
    </row>
    <row r="819" spans="1:15" x14ac:dyDescent="0.25">
      <c r="A819" s="209" t="s">
        <v>459</v>
      </c>
      <c r="B819" s="210">
        <v>45966</v>
      </c>
      <c r="C819" s="211">
        <v>0.124</v>
      </c>
      <c r="D819" s="209">
        <v>11.8</v>
      </c>
      <c r="E819" s="211">
        <v>1</v>
      </c>
      <c r="F819" s="211">
        <v>0</v>
      </c>
      <c r="G819" s="211">
        <v>0.33900000000000002</v>
      </c>
      <c r="H819" s="211">
        <v>0.66100000000000003</v>
      </c>
      <c r="I819" s="211">
        <v>0</v>
      </c>
      <c r="J819" s="211">
        <v>0</v>
      </c>
      <c r="K819" s="211">
        <v>0</v>
      </c>
      <c r="L819" s="211">
        <v>0</v>
      </c>
      <c r="M819" s="211">
        <v>1</v>
      </c>
      <c r="N819" s="211">
        <v>0</v>
      </c>
      <c r="O819" s="60">
        <v>18</v>
      </c>
    </row>
    <row r="820" spans="1:15" x14ac:dyDescent="0.25">
      <c r="A820" s="209" t="s">
        <v>460</v>
      </c>
      <c r="B820" s="212">
        <v>37080</v>
      </c>
      <c r="C820" s="211">
        <v>-6.7000000000000004E-2</v>
      </c>
      <c r="D820" s="209">
        <v>8</v>
      </c>
      <c r="E820" s="211">
        <v>0</v>
      </c>
      <c r="F820" s="211">
        <v>0</v>
      </c>
      <c r="G820" s="211">
        <v>0</v>
      </c>
      <c r="H820" s="211">
        <v>0</v>
      </c>
      <c r="I820" s="211">
        <v>0</v>
      </c>
      <c r="J820" s="211">
        <v>0</v>
      </c>
      <c r="K820" s="211">
        <v>0</v>
      </c>
      <c r="L820" s="211">
        <v>0</v>
      </c>
      <c r="M820" s="211">
        <v>0</v>
      </c>
      <c r="N820" s="211">
        <v>0</v>
      </c>
      <c r="O820" s="60">
        <v>18</v>
      </c>
    </row>
    <row r="821" spans="1:15" x14ac:dyDescent="0.25">
      <c r="A821" s="209" t="s">
        <v>458</v>
      </c>
      <c r="B821" s="210">
        <v>45759</v>
      </c>
      <c r="C821" s="211">
        <v>-0.20699999999999999</v>
      </c>
      <c r="D821" s="209">
        <v>4.2</v>
      </c>
      <c r="E821" s="211">
        <v>0</v>
      </c>
      <c r="F821" s="211">
        <v>0</v>
      </c>
      <c r="G821" s="211">
        <v>0</v>
      </c>
      <c r="H821" s="211">
        <v>0</v>
      </c>
      <c r="I821" s="211">
        <v>0</v>
      </c>
      <c r="J821" s="211">
        <v>0</v>
      </c>
      <c r="K821" s="211">
        <v>0</v>
      </c>
      <c r="L821" s="211">
        <v>0</v>
      </c>
      <c r="M821" s="211">
        <v>0</v>
      </c>
      <c r="N821" s="211">
        <v>0</v>
      </c>
      <c r="O821" s="60">
        <v>18</v>
      </c>
    </row>
    <row r="822" spans="1:15" x14ac:dyDescent="0.25">
      <c r="A822" s="209" t="s">
        <v>462</v>
      </c>
      <c r="B822" s="210">
        <v>45729</v>
      </c>
      <c r="C822" s="211">
        <v>-0.154</v>
      </c>
      <c r="D822" s="209">
        <v>3.5</v>
      </c>
      <c r="E822" s="211">
        <v>0</v>
      </c>
      <c r="F822" s="211">
        <v>0</v>
      </c>
      <c r="G822" s="211">
        <v>0</v>
      </c>
      <c r="H822" s="211">
        <v>0</v>
      </c>
      <c r="I822" s="211">
        <v>0</v>
      </c>
      <c r="J822" s="211">
        <v>0</v>
      </c>
      <c r="K822" s="211">
        <v>0</v>
      </c>
      <c r="L822" s="211">
        <v>0</v>
      </c>
      <c r="M822" s="211">
        <v>0</v>
      </c>
      <c r="N822" s="211">
        <v>0</v>
      </c>
      <c r="O822" s="60">
        <v>18</v>
      </c>
    </row>
    <row r="823" spans="1:15" x14ac:dyDescent="0.25">
      <c r="A823" s="209" t="s">
        <v>357</v>
      </c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60">
        <v>18</v>
      </c>
    </row>
    <row r="824" spans="1:15" x14ac:dyDescent="0.25">
      <c r="A824" s="209" t="s">
        <v>444</v>
      </c>
      <c r="B824" s="209" t="s">
        <v>445</v>
      </c>
      <c r="C824" s="209" t="s">
        <v>446</v>
      </c>
      <c r="D824" s="209" t="s">
        <v>447</v>
      </c>
      <c r="E824" s="209" t="s">
        <v>448</v>
      </c>
      <c r="F824" s="209" t="s">
        <v>449</v>
      </c>
      <c r="G824" s="209" t="s">
        <v>450</v>
      </c>
      <c r="H824" s="209" t="s">
        <v>451</v>
      </c>
      <c r="I824" s="209" t="s">
        <v>452</v>
      </c>
      <c r="J824" s="209" t="s">
        <v>453</v>
      </c>
      <c r="K824" s="209" t="s">
        <v>454</v>
      </c>
      <c r="L824" s="209" t="s">
        <v>455</v>
      </c>
      <c r="M824" s="209" t="s">
        <v>456</v>
      </c>
      <c r="N824" s="209" t="s">
        <v>457</v>
      </c>
      <c r="O824" s="60">
        <v>18</v>
      </c>
    </row>
    <row r="825" spans="1:15" x14ac:dyDescent="0.25">
      <c r="A825" s="209" t="s">
        <v>467</v>
      </c>
      <c r="B825" s="210">
        <v>45966</v>
      </c>
      <c r="C825" s="211">
        <v>0.125</v>
      </c>
      <c r="D825" s="209">
        <v>11.6</v>
      </c>
      <c r="E825" s="211">
        <v>1</v>
      </c>
      <c r="F825" s="211">
        <v>0</v>
      </c>
      <c r="G825" s="211">
        <v>0.66100000000000003</v>
      </c>
      <c r="H825" s="211">
        <v>0.33900000000000002</v>
      </c>
      <c r="I825" s="211">
        <v>0</v>
      </c>
      <c r="J825" s="211">
        <v>0</v>
      </c>
      <c r="K825" s="211">
        <v>0</v>
      </c>
      <c r="L825" s="211">
        <v>0</v>
      </c>
      <c r="M825" s="211">
        <v>1</v>
      </c>
      <c r="N825" s="211">
        <v>0</v>
      </c>
      <c r="O825" s="60">
        <v>18</v>
      </c>
    </row>
    <row r="826" spans="1:15" x14ac:dyDescent="0.25">
      <c r="A826" s="209" t="s">
        <v>463</v>
      </c>
      <c r="B826" s="212">
        <v>37140</v>
      </c>
      <c r="C826" s="211">
        <v>7.6999999999999999E-2</v>
      </c>
      <c r="D826" s="209">
        <v>10</v>
      </c>
      <c r="E826" s="211">
        <v>1</v>
      </c>
      <c r="F826" s="211">
        <v>0</v>
      </c>
      <c r="G826" s="211">
        <v>0</v>
      </c>
      <c r="H826" s="211">
        <v>0</v>
      </c>
      <c r="I826" s="211">
        <v>0</v>
      </c>
      <c r="J826" s="211">
        <v>0</v>
      </c>
      <c r="K826" s="211">
        <v>0</v>
      </c>
      <c r="L826" s="211">
        <v>1</v>
      </c>
      <c r="M826" s="211">
        <v>0</v>
      </c>
      <c r="N826" s="211">
        <v>1</v>
      </c>
      <c r="O826" s="60">
        <v>18</v>
      </c>
    </row>
    <row r="827" spans="1:15" x14ac:dyDescent="0.25">
      <c r="A827" s="209" t="s">
        <v>465</v>
      </c>
      <c r="B827" s="210">
        <v>45877</v>
      </c>
      <c r="C827" s="211">
        <v>-0.16800000000000001</v>
      </c>
      <c r="D827" s="209">
        <v>8.5</v>
      </c>
      <c r="E827" s="211">
        <v>0</v>
      </c>
      <c r="F827" s="211">
        <v>0</v>
      </c>
      <c r="G827" s="211">
        <v>0</v>
      </c>
      <c r="H827" s="211">
        <v>0</v>
      </c>
      <c r="I827" s="211">
        <v>0</v>
      </c>
      <c r="J827" s="211">
        <v>0</v>
      </c>
      <c r="K827" s="211">
        <v>0</v>
      </c>
      <c r="L827" s="211">
        <v>0</v>
      </c>
      <c r="M827" s="211">
        <v>0</v>
      </c>
      <c r="N827" s="211">
        <v>0</v>
      </c>
      <c r="O827" s="60">
        <v>18</v>
      </c>
    </row>
    <row r="828" spans="1:15" x14ac:dyDescent="0.25">
      <c r="A828" s="209" t="s">
        <v>464</v>
      </c>
      <c r="B828" s="210">
        <v>45877</v>
      </c>
      <c r="C828" s="211">
        <v>0.14899999999999999</v>
      </c>
      <c r="D828" s="209">
        <v>8.4</v>
      </c>
      <c r="E828" s="211">
        <v>0</v>
      </c>
      <c r="F828" s="211">
        <v>0</v>
      </c>
      <c r="G828" s="211">
        <v>0</v>
      </c>
      <c r="H828" s="211">
        <v>0</v>
      </c>
      <c r="I828" s="211">
        <v>0</v>
      </c>
      <c r="J828" s="211">
        <v>0</v>
      </c>
      <c r="K828" s="211">
        <v>0</v>
      </c>
      <c r="L828" s="211">
        <v>0</v>
      </c>
      <c r="M828" s="211">
        <v>0</v>
      </c>
      <c r="N828" s="211">
        <v>0</v>
      </c>
      <c r="O828" s="60">
        <v>18</v>
      </c>
    </row>
    <row r="829" spans="1:15" x14ac:dyDescent="0.25">
      <c r="A829" s="209" t="s">
        <v>383</v>
      </c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60">
        <v>18</v>
      </c>
    </row>
    <row r="830" spans="1:15" x14ac:dyDescent="0.25">
      <c r="A830" s="209" t="s">
        <v>444</v>
      </c>
      <c r="B830" s="209" t="s">
        <v>445</v>
      </c>
      <c r="C830" s="209" t="s">
        <v>446</v>
      </c>
      <c r="D830" s="209" t="s">
        <v>447</v>
      </c>
      <c r="E830" s="209" t="s">
        <v>448</v>
      </c>
      <c r="F830" s="209" t="s">
        <v>449</v>
      </c>
      <c r="G830" s="209" t="s">
        <v>450</v>
      </c>
      <c r="H830" s="209" t="s">
        <v>451</v>
      </c>
      <c r="I830" s="209" t="s">
        <v>452</v>
      </c>
      <c r="J830" s="209" t="s">
        <v>453</v>
      </c>
      <c r="K830" s="209" t="s">
        <v>454</v>
      </c>
      <c r="L830" s="209" t="s">
        <v>455</v>
      </c>
      <c r="M830" s="209" t="s">
        <v>456</v>
      </c>
      <c r="N830" s="209" t="s">
        <v>457</v>
      </c>
      <c r="O830" s="60">
        <v>18</v>
      </c>
    </row>
    <row r="831" spans="1:15" x14ac:dyDescent="0.25">
      <c r="A831" s="209" t="s">
        <v>471</v>
      </c>
      <c r="B831" s="210">
        <v>45877</v>
      </c>
      <c r="C831" s="211">
        <v>-6.4000000000000001E-2</v>
      </c>
      <c r="D831" s="209">
        <v>8.5</v>
      </c>
      <c r="E831" s="211">
        <v>0.83299999999999996</v>
      </c>
      <c r="F831" s="211">
        <v>0</v>
      </c>
      <c r="G831" s="211">
        <v>0</v>
      </c>
      <c r="H831" s="211">
        <v>0</v>
      </c>
      <c r="I831" s="211">
        <v>0.83299999999999996</v>
      </c>
      <c r="J831" s="211">
        <v>0</v>
      </c>
      <c r="K831" s="211">
        <v>0</v>
      </c>
      <c r="L831" s="211">
        <v>0</v>
      </c>
      <c r="M831" s="211">
        <v>0.83299999999999996</v>
      </c>
      <c r="N831" s="211">
        <v>0</v>
      </c>
      <c r="O831" s="60">
        <v>18</v>
      </c>
    </row>
    <row r="832" spans="1:15" x14ac:dyDescent="0.25">
      <c r="A832" s="209" t="s">
        <v>468</v>
      </c>
      <c r="B832" s="210">
        <v>45847</v>
      </c>
      <c r="C832" s="211">
        <v>-0.123</v>
      </c>
      <c r="D832" s="209">
        <v>7.5</v>
      </c>
      <c r="E832" s="211">
        <v>0</v>
      </c>
      <c r="F832" s="211">
        <v>0</v>
      </c>
      <c r="G832" s="211">
        <v>0</v>
      </c>
      <c r="H832" s="211">
        <v>0</v>
      </c>
      <c r="I832" s="211">
        <v>0.16700000000000001</v>
      </c>
      <c r="J832" s="211">
        <v>0</v>
      </c>
      <c r="K832" s="211">
        <v>0</v>
      </c>
      <c r="L832" s="211">
        <v>0</v>
      </c>
      <c r="M832" s="211">
        <v>0.16700000000000001</v>
      </c>
      <c r="N832" s="211">
        <v>0</v>
      </c>
      <c r="O832" s="60">
        <v>18</v>
      </c>
    </row>
    <row r="833" spans="1:15" x14ac:dyDescent="0.25">
      <c r="A833" s="209" t="s">
        <v>469</v>
      </c>
      <c r="B833" s="210">
        <v>45847</v>
      </c>
      <c r="C833" s="211">
        <v>-5.8000000000000003E-2</v>
      </c>
      <c r="D833" s="209">
        <v>7.7</v>
      </c>
      <c r="E833" s="211">
        <v>0</v>
      </c>
      <c r="F833" s="211">
        <v>0</v>
      </c>
      <c r="G833" s="211">
        <v>0</v>
      </c>
      <c r="H833" s="211">
        <v>0</v>
      </c>
      <c r="I833" s="211">
        <v>0</v>
      </c>
      <c r="J833" s="211">
        <v>0</v>
      </c>
      <c r="K833" s="211">
        <v>0</v>
      </c>
      <c r="L833" s="211">
        <v>0</v>
      </c>
      <c r="M833" s="211">
        <v>0</v>
      </c>
      <c r="N833" s="211">
        <v>0</v>
      </c>
      <c r="O833" s="60">
        <v>18</v>
      </c>
    </row>
    <row r="834" spans="1:15" x14ac:dyDescent="0.25">
      <c r="A834" s="209" t="s">
        <v>470</v>
      </c>
      <c r="B834" s="210">
        <v>45818</v>
      </c>
      <c r="C834" s="211">
        <v>-0.17599999999999999</v>
      </c>
      <c r="D834" s="209">
        <v>6.3</v>
      </c>
      <c r="E834" s="211">
        <v>0</v>
      </c>
      <c r="F834" s="211">
        <v>0</v>
      </c>
      <c r="G834" s="211">
        <v>0</v>
      </c>
      <c r="H834" s="211">
        <v>0</v>
      </c>
      <c r="I834" s="211">
        <v>0</v>
      </c>
      <c r="J834" s="211">
        <v>0</v>
      </c>
      <c r="K834" s="211">
        <v>0</v>
      </c>
      <c r="L834" s="211">
        <v>0</v>
      </c>
      <c r="M834" s="211">
        <v>0</v>
      </c>
      <c r="N834" s="211">
        <v>0</v>
      </c>
      <c r="O834" s="60">
        <v>18</v>
      </c>
    </row>
    <row r="835" spans="1:15" x14ac:dyDescent="0.25">
      <c r="A835" s="209" t="s">
        <v>355</v>
      </c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60">
        <v>18</v>
      </c>
    </row>
    <row r="836" spans="1:15" x14ac:dyDescent="0.25">
      <c r="A836" s="209" t="s">
        <v>444</v>
      </c>
      <c r="B836" s="209" t="s">
        <v>445</v>
      </c>
      <c r="C836" s="209" t="s">
        <v>446</v>
      </c>
      <c r="D836" s="209" t="s">
        <v>447</v>
      </c>
      <c r="E836" s="209" t="s">
        <v>448</v>
      </c>
      <c r="F836" s="209" t="s">
        <v>449</v>
      </c>
      <c r="G836" s="209" t="s">
        <v>450</v>
      </c>
      <c r="H836" s="209" t="s">
        <v>451</v>
      </c>
      <c r="I836" s="209" t="s">
        <v>452</v>
      </c>
      <c r="J836" s="209" t="s">
        <v>453</v>
      </c>
      <c r="K836" s="209" t="s">
        <v>454</v>
      </c>
      <c r="L836" s="209" t="s">
        <v>455</v>
      </c>
      <c r="M836" s="209" t="s">
        <v>456</v>
      </c>
      <c r="N836" s="209" t="s">
        <v>457</v>
      </c>
      <c r="O836" s="60">
        <v>18</v>
      </c>
    </row>
    <row r="837" spans="1:15" x14ac:dyDescent="0.25">
      <c r="A837" s="209" t="s">
        <v>475</v>
      </c>
      <c r="B837" s="210" t="s">
        <v>510</v>
      </c>
      <c r="C837" s="211">
        <v>0.35499999999999998</v>
      </c>
      <c r="D837" s="209">
        <v>13.5</v>
      </c>
      <c r="E837" s="211">
        <v>1</v>
      </c>
      <c r="F837" s="211">
        <v>0.53500000000000003</v>
      </c>
      <c r="G837" s="211">
        <v>0</v>
      </c>
      <c r="H837" s="211">
        <v>0</v>
      </c>
      <c r="I837" s="211">
        <v>0</v>
      </c>
      <c r="J837" s="211">
        <v>0.46500000000000002</v>
      </c>
      <c r="K837" s="211">
        <v>0</v>
      </c>
      <c r="L837" s="211">
        <v>0</v>
      </c>
      <c r="M837" s="211">
        <v>0.53500000000000003</v>
      </c>
      <c r="N837" s="211">
        <v>0.46500000000000002</v>
      </c>
      <c r="O837" s="60">
        <v>18</v>
      </c>
    </row>
    <row r="838" spans="1:15" x14ac:dyDescent="0.25">
      <c r="A838" s="209" t="s">
        <v>472</v>
      </c>
      <c r="B838" s="210">
        <v>45995</v>
      </c>
      <c r="C838" s="211">
        <v>0.16500000000000001</v>
      </c>
      <c r="D838" s="209">
        <v>12.5</v>
      </c>
      <c r="E838" s="211">
        <v>1</v>
      </c>
      <c r="F838" s="211">
        <v>0.46500000000000002</v>
      </c>
      <c r="G838" s="211">
        <v>0</v>
      </c>
      <c r="H838" s="211">
        <v>0</v>
      </c>
      <c r="I838" s="211">
        <v>0</v>
      </c>
      <c r="J838" s="211">
        <v>6.0999999999999999E-2</v>
      </c>
      <c r="K838" s="211">
        <v>0.47399999999999998</v>
      </c>
      <c r="L838" s="211">
        <v>0</v>
      </c>
      <c r="M838" s="211">
        <v>0.46500000000000002</v>
      </c>
      <c r="N838" s="211">
        <v>0.53500000000000003</v>
      </c>
      <c r="O838" s="60">
        <v>18</v>
      </c>
    </row>
    <row r="839" spans="1:15" x14ac:dyDescent="0.25">
      <c r="A839" s="209" t="s">
        <v>473</v>
      </c>
      <c r="B839" s="210">
        <v>45966</v>
      </c>
      <c r="C839" s="211">
        <v>0.39200000000000002</v>
      </c>
      <c r="D839" s="209">
        <v>11.9</v>
      </c>
      <c r="E839" s="211">
        <v>1</v>
      </c>
      <c r="F839" s="211">
        <v>0</v>
      </c>
      <c r="G839" s="211">
        <v>0</v>
      </c>
      <c r="H839" s="211">
        <v>0</v>
      </c>
      <c r="I839" s="211">
        <v>0</v>
      </c>
      <c r="J839" s="211">
        <v>0.47399999999999998</v>
      </c>
      <c r="K839" s="211">
        <v>0.52600000000000002</v>
      </c>
      <c r="L839" s="211">
        <v>0</v>
      </c>
      <c r="M839" s="211">
        <v>0</v>
      </c>
      <c r="N839" s="211">
        <v>1</v>
      </c>
      <c r="O839" s="60">
        <v>18</v>
      </c>
    </row>
    <row r="840" spans="1:15" x14ac:dyDescent="0.25">
      <c r="A840" s="209" t="s">
        <v>474</v>
      </c>
      <c r="B840" s="210">
        <v>45729</v>
      </c>
      <c r="C840" s="211">
        <v>-0.246</v>
      </c>
      <c r="D840" s="209">
        <v>3.1</v>
      </c>
      <c r="E840" s="211">
        <v>0</v>
      </c>
      <c r="F840" s="211">
        <v>0</v>
      </c>
      <c r="G840" s="211">
        <v>0</v>
      </c>
      <c r="H840" s="211">
        <v>0</v>
      </c>
      <c r="I840" s="211">
        <v>0</v>
      </c>
      <c r="J840" s="211">
        <v>0</v>
      </c>
      <c r="K840" s="211">
        <v>0</v>
      </c>
      <c r="L840" s="211">
        <v>0</v>
      </c>
      <c r="M840" s="211">
        <v>0</v>
      </c>
      <c r="N840" s="211">
        <v>0</v>
      </c>
      <c r="O840" s="60">
        <v>18</v>
      </c>
    </row>
    <row r="841" spans="1:15" x14ac:dyDescent="0.25">
      <c r="A841" s="209" t="s">
        <v>359</v>
      </c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60">
        <v>18</v>
      </c>
    </row>
    <row r="842" spans="1:15" x14ac:dyDescent="0.25">
      <c r="A842" s="209" t="s">
        <v>444</v>
      </c>
      <c r="B842" s="209" t="s">
        <v>445</v>
      </c>
      <c r="C842" s="209" t="s">
        <v>446</v>
      </c>
      <c r="D842" s="209" t="s">
        <v>447</v>
      </c>
      <c r="E842" s="209" t="s">
        <v>448</v>
      </c>
      <c r="F842" s="209" t="s">
        <v>449</v>
      </c>
      <c r="G842" s="209" t="s">
        <v>450</v>
      </c>
      <c r="H842" s="209" t="s">
        <v>451</v>
      </c>
      <c r="I842" s="209" t="s">
        <v>452</v>
      </c>
      <c r="J842" s="209" t="s">
        <v>453</v>
      </c>
      <c r="K842" s="209" t="s">
        <v>454</v>
      </c>
      <c r="L842" s="209" t="s">
        <v>455</v>
      </c>
      <c r="M842" s="209" t="s">
        <v>456</v>
      </c>
      <c r="N842" s="209" t="s">
        <v>457</v>
      </c>
      <c r="O842" s="60">
        <v>18</v>
      </c>
    </row>
    <row r="843" spans="1:15" x14ac:dyDescent="0.25">
      <c r="A843" s="209" t="s">
        <v>477</v>
      </c>
      <c r="B843" s="210" t="s">
        <v>510</v>
      </c>
      <c r="C843" s="211">
        <v>0.16</v>
      </c>
      <c r="D843" s="209">
        <v>13.8</v>
      </c>
      <c r="E843" s="211">
        <v>1</v>
      </c>
      <c r="F843" s="211">
        <v>0.128</v>
      </c>
      <c r="G843" s="211">
        <v>0.73399999999999999</v>
      </c>
      <c r="H843" s="211">
        <v>0.13800000000000001</v>
      </c>
      <c r="I843" s="211">
        <v>0</v>
      </c>
      <c r="J843" s="211">
        <v>0</v>
      </c>
      <c r="K843" s="211">
        <v>0</v>
      </c>
      <c r="L843" s="211">
        <v>0</v>
      </c>
      <c r="M843" s="211">
        <v>1</v>
      </c>
      <c r="N843" s="211">
        <v>0</v>
      </c>
      <c r="O843" s="60">
        <v>18</v>
      </c>
    </row>
    <row r="844" spans="1:15" x14ac:dyDescent="0.25">
      <c r="A844" s="209" t="s">
        <v>476</v>
      </c>
      <c r="B844" s="210">
        <v>45966</v>
      </c>
      <c r="C844" s="211">
        <v>0.11899999999999999</v>
      </c>
      <c r="D844" s="209">
        <v>11.9</v>
      </c>
      <c r="E844" s="211">
        <v>1</v>
      </c>
      <c r="F844" s="211">
        <v>0</v>
      </c>
      <c r="G844" s="211">
        <v>0</v>
      </c>
      <c r="H844" s="211">
        <v>0</v>
      </c>
      <c r="I844" s="211">
        <v>0</v>
      </c>
      <c r="J844" s="211">
        <v>0.26300000000000001</v>
      </c>
      <c r="K844" s="211">
        <v>0.54500000000000004</v>
      </c>
      <c r="L844" s="211">
        <v>0.192</v>
      </c>
      <c r="M844" s="211">
        <v>0</v>
      </c>
      <c r="N844" s="211">
        <v>1</v>
      </c>
      <c r="O844" s="60">
        <v>18</v>
      </c>
    </row>
    <row r="845" spans="1:15" x14ac:dyDescent="0.25">
      <c r="A845" s="209" t="s">
        <v>479</v>
      </c>
      <c r="B845" s="210">
        <v>45847</v>
      </c>
      <c r="C845" s="211">
        <v>-0.20200000000000001</v>
      </c>
      <c r="D845" s="209">
        <v>7.2</v>
      </c>
      <c r="E845" s="211">
        <v>0</v>
      </c>
      <c r="F845" s="211">
        <v>0</v>
      </c>
      <c r="G845" s="211">
        <v>0</v>
      </c>
      <c r="H845" s="211">
        <v>0</v>
      </c>
      <c r="I845" s="211">
        <v>0</v>
      </c>
      <c r="J845" s="211">
        <v>0</v>
      </c>
      <c r="K845" s="211">
        <v>0</v>
      </c>
      <c r="L845" s="211">
        <v>0</v>
      </c>
      <c r="M845" s="211">
        <v>0</v>
      </c>
      <c r="N845" s="211">
        <v>0</v>
      </c>
      <c r="O845" s="60">
        <v>18</v>
      </c>
    </row>
    <row r="846" spans="1:15" x14ac:dyDescent="0.25">
      <c r="A846" s="209" t="s">
        <v>478</v>
      </c>
      <c r="B846" s="210">
        <v>45729</v>
      </c>
      <c r="C846" s="211">
        <v>-0.41599999999999998</v>
      </c>
      <c r="D846" s="209">
        <v>3.1</v>
      </c>
      <c r="E846" s="211">
        <v>0</v>
      </c>
      <c r="F846" s="211">
        <v>0</v>
      </c>
      <c r="G846" s="211">
        <v>0</v>
      </c>
      <c r="H846" s="211">
        <v>0</v>
      </c>
      <c r="I846" s="211">
        <v>0</v>
      </c>
      <c r="J846" s="211">
        <v>0</v>
      </c>
      <c r="K846" s="211">
        <v>0</v>
      </c>
      <c r="L846" s="211">
        <v>0</v>
      </c>
      <c r="M846" s="211">
        <v>0</v>
      </c>
      <c r="N846" s="211">
        <v>0</v>
      </c>
      <c r="O846" s="60">
        <v>18</v>
      </c>
    </row>
    <row r="847" spans="1:15" x14ac:dyDescent="0.25">
      <c r="A847" s="209" t="s">
        <v>352</v>
      </c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60">
        <v>18</v>
      </c>
    </row>
    <row r="848" spans="1:15" x14ac:dyDescent="0.25">
      <c r="A848" s="209" t="s">
        <v>444</v>
      </c>
      <c r="B848" s="209" t="s">
        <v>445</v>
      </c>
      <c r="C848" s="209" t="s">
        <v>446</v>
      </c>
      <c r="D848" s="209" t="s">
        <v>447</v>
      </c>
      <c r="E848" s="209" t="s">
        <v>448</v>
      </c>
      <c r="F848" s="209" t="s">
        <v>449</v>
      </c>
      <c r="G848" s="209" t="s">
        <v>450</v>
      </c>
      <c r="H848" s="209" t="s">
        <v>451</v>
      </c>
      <c r="I848" s="209" t="s">
        <v>452</v>
      </c>
      <c r="J848" s="209" t="s">
        <v>453</v>
      </c>
      <c r="K848" s="209" t="s">
        <v>454</v>
      </c>
      <c r="L848" s="209" t="s">
        <v>455</v>
      </c>
      <c r="M848" s="209" t="s">
        <v>456</v>
      </c>
      <c r="N848" s="209" t="s">
        <v>457</v>
      </c>
      <c r="O848" s="60">
        <v>18</v>
      </c>
    </row>
    <row r="849" spans="1:15" x14ac:dyDescent="0.25">
      <c r="A849" s="209" t="s">
        <v>482</v>
      </c>
      <c r="B849" s="210">
        <v>45907</v>
      </c>
      <c r="C849" s="211">
        <v>0.10100000000000001</v>
      </c>
      <c r="D849" s="209">
        <v>9.5</v>
      </c>
      <c r="E849" s="211">
        <v>1</v>
      </c>
      <c r="F849" s="211">
        <v>0</v>
      </c>
      <c r="G849" s="211">
        <v>0</v>
      </c>
      <c r="H849" s="211">
        <v>0</v>
      </c>
      <c r="I849" s="211">
        <v>0.54400000000000004</v>
      </c>
      <c r="J849" s="211">
        <v>0</v>
      </c>
      <c r="K849" s="211">
        <v>0</v>
      </c>
      <c r="L849" s="211">
        <v>0</v>
      </c>
      <c r="M849" s="211">
        <v>0.54400000000000004</v>
      </c>
      <c r="N849" s="211">
        <v>0</v>
      </c>
      <c r="O849" s="60">
        <v>18</v>
      </c>
    </row>
    <row r="850" spans="1:15" x14ac:dyDescent="0.25">
      <c r="A850" s="209" t="s">
        <v>480</v>
      </c>
      <c r="B850" s="210">
        <v>45877</v>
      </c>
      <c r="C850" s="211">
        <v>9.2999999999999999E-2</v>
      </c>
      <c r="D850" s="209">
        <v>8.5</v>
      </c>
      <c r="E850" s="211">
        <v>0</v>
      </c>
      <c r="F850" s="211">
        <v>0</v>
      </c>
      <c r="G850" s="211">
        <v>0</v>
      </c>
      <c r="H850" s="211">
        <v>0</v>
      </c>
      <c r="I850" s="211">
        <v>0.45600000000000002</v>
      </c>
      <c r="J850" s="211">
        <v>0</v>
      </c>
      <c r="K850" s="211">
        <v>0</v>
      </c>
      <c r="L850" s="211">
        <v>0</v>
      </c>
      <c r="M850" s="211">
        <v>0.45600000000000002</v>
      </c>
      <c r="N850" s="211">
        <v>0</v>
      </c>
      <c r="O850" s="60">
        <v>18</v>
      </c>
    </row>
    <row r="851" spans="1:15" x14ac:dyDescent="0.25">
      <c r="A851" s="209" t="s">
        <v>481</v>
      </c>
      <c r="B851" s="210">
        <v>45818</v>
      </c>
      <c r="C851" s="211">
        <v>3.9E-2</v>
      </c>
      <c r="D851" s="209">
        <v>6.9</v>
      </c>
      <c r="E851" s="211">
        <v>0</v>
      </c>
      <c r="F851" s="211">
        <v>0</v>
      </c>
      <c r="G851" s="211">
        <v>0</v>
      </c>
      <c r="H851" s="211">
        <v>0</v>
      </c>
      <c r="I851" s="211">
        <v>0</v>
      </c>
      <c r="J851" s="211">
        <v>0</v>
      </c>
      <c r="K851" s="211">
        <v>0</v>
      </c>
      <c r="L851" s="211">
        <v>0</v>
      </c>
      <c r="M851" s="211">
        <v>0</v>
      </c>
      <c r="N851" s="211">
        <v>0</v>
      </c>
      <c r="O851" s="60">
        <v>18</v>
      </c>
    </row>
    <row r="852" spans="1:15" x14ac:dyDescent="0.25">
      <c r="A852" s="209" t="s">
        <v>483</v>
      </c>
      <c r="B852" s="210">
        <v>45759</v>
      </c>
      <c r="C852" s="211">
        <v>-0.35799999999999998</v>
      </c>
      <c r="D852" s="209">
        <v>4.0999999999999996</v>
      </c>
      <c r="E852" s="211">
        <v>0</v>
      </c>
      <c r="F852" s="211">
        <v>0</v>
      </c>
      <c r="G852" s="211">
        <v>0</v>
      </c>
      <c r="H852" s="211">
        <v>0</v>
      </c>
      <c r="I852" s="211">
        <v>0</v>
      </c>
      <c r="J852" s="211">
        <v>0</v>
      </c>
      <c r="K852" s="211">
        <v>0</v>
      </c>
      <c r="L852" s="211">
        <v>0</v>
      </c>
      <c r="M852" s="211">
        <v>0</v>
      </c>
      <c r="N852" s="211">
        <v>0</v>
      </c>
      <c r="O852" s="60">
        <v>18</v>
      </c>
    </row>
    <row r="853" spans="1:15" x14ac:dyDescent="0.25">
      <c r="A853" s="209" t="s">
        <v>368</v>
      </c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60">
        <v>18</v>
      </c>
    </row>
    <row r="854" spans="1:15" x14ac:dyDescent="0.25">
      <c r="A854" s="209" t="s">
        <v>444</v>
      </c>
      <c r="B854" s="209" t="s">
        <v>445</v>
      </c>
      <c r="C854" s="209" t="s">
        <v>446</v>
      </c>
      <c r="D854" s="209" t="s">
        <v>447</v>
      </c>
      <c r="E854" s="209" t="s">
        <v>448</v>
      </c>
      <c r="F854" s="209" t="s">
        <v>449</v>
      </c>
      <c r="G854" s="209" t="s">
        <v>450</v>
      </c>
      <c r="H854" s="209" t="s">
        <v>451</v>
      </c>
      <c r="I854" s="209" t="s">
        <v>452</v>
      </c>
      <c r="J854" s="209" t="s">
        <v>453</v>
      </c>
      <c r="K854" s="209" t="s">
        <v>454</v>
      </c>
      <c r="L854" s="209" t="s">
        <v>455</v>
      </c>
      <c r="M854" s="209" t="s">
        <v>456</v>
      </c>
      <c r="N854" s="209" t="s">
        <v>457</v>
      </c>
      <c r="O854" s="60">
        <v>18</v>
      </c>
    </row>
    <row r="855" spans="1:15" x14ac:dyDescent="0.25">
      <c r="A855" s="209" t="s">
        <v>484</v>
      </c>
      <c r="B855" s="210">
        <v>45995</v>
      </c>
      <c r="C855" s="211">
        <v>0.20200000000000001</v>
      </c>
      <c r="D855" s="209">
        <v>12.9</v>
      </c>
      <c r="E855" s="211">
        <v>1</v>
      </c>
      <c r="F855" s="211">
        <v>2.1999999999999999E-2</v>
      </c>
      <c r="G855" s="211">
        <v>0.22500000000000001</v>
      </c>
      <c r="H855" s="211">
        <v>0.65500000000000003</v>
      </c>
      <c r="I855" s="211">
        <v>0</v>
      </c>
      <c r="J855" s="211">
        <v>2.1999999999999999E-2</v>
      </c>
      <c r="K855" s="211">
        <v>7.4999999999999997E-2</v>
      </c>
      <c r="L855" s="211">
        <v>0</v>
      </c>
      <c r="M855" s="211">
        <v>0.90300000000000002</v>
      </c>
      <c r="N855" s="211">
        <v>9.7000000000000003E-2</v>
      </c>
      <c r="O855" s="60">
        <v>18</v>
      </c>
    </row>
    <row r="856" spans="1:15" x14ac:dyDescent="0.25">
      <c r="A856" s="209" t="s">
        <v>486</v>
      </c>
      <c r="B856" s="210">
        <v>45966</v>
      </c>
      <c r="C856" s="211">
        <v>0.156</v>
      </c>
      <c r="D856" s="209">
        <v>11.8</v>
      </c>
      <c r="E856" s="211">
        <v>1</v>
      </c>
      <c r="F856" s="211">
        <v>0</v>
      </c>
      <c r="G856" s="211">
        <v>0</v>
      </c>
      <c r="H856" s="211">
        <v>9.7000000000000003E-2</v>
      </c>
      <c r="I856" s="211">
        <v>0</v>
      </c>
      <c r="J856" s="211">
        <v>0.67600000000000005</v>
      </c>
      <c r="K856" s="211">
        <v>0.191</v>
      </c>
      <c r="L856" s="211">
        <v>3.5999999999999997E-2</v>
      </c>
      <c r="M856" s="211">
        <v>9.7000000000000003E-2</v>
      </c>
      <c r="N856" s="211">
        <v>0.90300000000000002</v>
      </c>
      <c r="O856" s="60">
        <v>18</v>
      </c>
    </row>
    <row r="857" spans="1:15" x14ac:dyDescent="0.25">
      <c r="A857" s="209" t="s">
        <v>485</v>
      </c>
      <c r="B857" s="210">
        <v>45877</v>
      </c>
      <c r="C857" s="211">
        <v>-5.2999999999999999E-2</v>
      </c>
      <c r="D857" s="209">
        <v>8.1999999999999993</v>
      </c>
      <c r="E857" s="211">
        <v>0</v>
      </c>
      <c r="F857" s="211">
        <v>0</v>
      </c>
      <c r="G857" s="211">
        <v>0</v>
      </c>
      <c r="H857" s="211">
        <v>0</v>
      </c>
      <c r="I857" s="211">
        <v>0</v>
      </c>
      <c r="J857" s="211">
        <v>0</v>
      </c>
      <c r="K857" s="211">
        <v>0</v>
      </c>
      <c r="L857" s="211">
        <v>0</v>
      </c>
      <c r="M857" s="211">
        <v>0</v>
      </c>
      <c r="N857" s="211">
        <v>0</v>
      </c>
      <c r="O857" s="60">
        <v>18</v>
      </c>
    </row>
    <row r="858" spans="1:15" x14ac:dyDescent="0.25">
      <c r="A858" s="209" t="s">
        <v>487</v>
      </c>
      <c r="B858" s="210">
        <v>45729</v>
      </c>
      <c r="C858" s="211">
        <v>-0.20399999999999999</v>
      </c>
      <c r="D858" s="209">
        <v>3.1</v>
      </c>
      <c r="E858" s="211">
        <v>0</v>
      </c>
      <c r="F858" s="211">
        <v>0</v>
      </c>
      <c r="G858" s="211">
        <v>0</v>
      </c>
      <c r="H858" s="211">
        <v>0</v>
      </c>
      <c r="I858" s="211">
        <v>0</v>
      </c>
      <c r="J858" s="211">
        <v>0</v>
      </c>
      <c r="K858" s="211">
        <v>0</v>
      </c>
      <c r="L858" s="211">
        <v>0</v>
      </c>
      <c r="M858" s="211">
        <v>0</v>
      </c>
      <c r="N858" s="211">
        <v>0</v>
      </c>
      <c r="O858" s="60">
        <v>18</v>
      </c>
    </row>
    <row r="859" spans="1:15" x14ac:dyDescent="0.25">
      <c r="A859" s="209" t="s">
        <v>367</v>
      </c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60">
        <v>18</v>
      </c>
    </row>
    <row r="860" spans="1:15" x14ac:dyDescent="0.25">
      <c r="A860" s="209" t="s">
        <v>444</v>
      </c>
      <c r="B860" s="209" t="s">
        <v>445</v>
      </c>
      <c r="C860" s="209" t="s">
        <v>446</v>
      </c>
      <c r="D860" s="209" t="s">
        <v>447</v>
      </c>
      <c r="E860" s="209" t="s">
        <v>448</v>
      </c>
      <c r="F860" s="209" t="s">
        <v>449</v>
      </c>
      <c r="G860" s="209" t="s">
        <v>450</v>
      </c>
      <c r="H860" s="209" t="s">
        <v>451</v>
      </c>
      <c r="I860" s="209" t="s">
        <v>452</v>
      </c>
      <c r="J860" s="209" t="s">
        <v>453</v>
      </c>
      <c r="K860" s="209" t="s">
        <v>454</v>
      </c>
      <c r="L860" s="209" t="s">
        <v>455</v>
      </c>
      <c r="M860" s="209" t="s">
        <v>456</v>
      </c>
      <c r="N860" s="209" t="s">
        <v>457</v>
      </c>
      <c r="O860" s="60">
        <v>18</v>
      </c>
    </row>
    <row r="861" spans="1:15" x14ac:dyDescent="0.25">
      <c r="A861" s="209" t="s">
        <v>491</v>
      </c>
      <c r="B861" s="210" t="s">
        <v>510</v>
      </c>
      <c r="C861" s="211">
        <v>0.13800000000000001</v>
      </c>
      <c r="D861" s="209">
        <v>13.8</v>
      </c>
      <c r="E861" s="211">
        <v>1</v>
      </c>
      <c r="F861" s="211">
        <v>0.84899999999999998</v>
      </c>
      <c r="G861" s="211">
        <v>4.1000000000000002E-2</v>
      </c>
      <c r="H861" s="211">
        <v>0.11</v>
      </c>
      <c r="I861" s="211">
        <v>0</v>
      </c>
      <c r="J861" s="211">
        <v>0</v>
      </c>
      <c r="K861" s="211">
        <v>0</v>
      </c>
      <c r="L861" s="211">
        <v>0</v>
      </c>
      <c r="M861" s="211">
        <v>1</v>
      </c>
      <c r="N861" s="211">
        <v>0</v>
      </c>
      <c r="O861" s="60">
        <v>18</v>
      </c>
    </row>
    <row r="862" spans="1:15" x14ac:dyDescent="0.25">
      <c r="A862" s="209" t="s">
        <v>489</v>
      </c>
      <c r="B862" s="210">
        <v>45966</v>
      </c>
      <c r="C862" s="211">
        <v>1.7000000000000001E-2</v>
      </c>
      <c r="D862" s="209">
        <v>11.2</v>
      </c>
      <c r="E862" s="211">
        <v>1</v>
      </c>
      <c r="F862" s="211">
        <v>0</v>
      </c>
      <c r="G862" s="211">
        <v>0</v>
      </c>
      <c r="H862" s="211">
        <v>0</v>
      </c>
      <c r="I862" s="211">
        <v>0</v>
      </c>
      <c r="J862" s="211">
        <v>3.9E-2</v>
      </c>
      <c r="K862" s="211">
        <v>0.189</v>
      </c>
      <c r="L862" s="211">
        <v>0.77200000000000002</v>
      </c>
      <c r="M862" s="211">
        <v>0</v>
      </c>
      <c r="N862" s="211">
        <v>1</v>
      </c>
      <c r="O862" s="60">
        <v>18</v>
      </c>
    </row>
    <row r="863" spans="1:15" x14ac:dyDescent="0.25">
      <c r="A863" s="209" t="s">
        <v>488</v>
      </c>
      <c r="B863" s="210">
        <v>45818</v>
      </c>
      <c r="C863" s="211">
        <v>-0.22900000000000001</v>
      </c>
      <c r="D863" s="209">
        <v>6.6</v>
      </c>
      <c r="E863" s="211">
        <v>0</v>
      </c>
      <c r="F863" s="211">
        <v>0</v>
      </c>
      <c r="G863" s="211">
        <v>0</v>
      </c>
      <c r="H863" s="211">
        <v>0</v>
      </c>
      <c r="I863" s="211">
        <v>0</v>
      </c>
      <c r="J863" s="211">
        <v>0</v>
      </c>
      <c r="K863" s="211">
        <v>0</v>
      </c>
      <c r="L863" s="211">
        <v>0</v>
      </c>
      <c r="M863" s="211">
        <v>0</v>
      </c>
      <c r="N863" s="211">
        <v>0</v>
      </c>
      <c r="O863" s="60">
        <v>18</v>
      </c>
    </row>
    <row r="864" spans="1:15" x14ac:dyDescent="0.25">
      <c r="A864" s="209" t="s">
        <v>490</v>
      </c>
      <c r="B864" s="210">
        <v>45702</v>
      </c>
      <c r="C864" s="211">
        <v>-0.38600000000000001</v>
      </c>
      <c r="D864" s="209">
        <v>2.4</v>
      </c>
      <c r="E864" s="211">
        <v>0</v>
      </c>
      <c r="F864" s="211">
        <v>0</v>
      </c>
      <c r="G864" s="211">
        <v>0</v>
      </c>
      <c r="H864" s="211">
        <v>0</v>
      </c>
      <c r="I864" s="211">
        <v>0</v>
      </c>
      <c r="J864" s="211">
        <v>0</v>
      </c>
      <c r="K864" s="211">
        <v>0</v>
      </c>
      <c r="L864" s="211">
        <v>0</v>
      </c>
      <c r="M864" s="211">
        <v>0</v>
      </c>
      <c r="N864" s="211">
        <v>0</v>
      </c>
      <c r="O864" s="60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2602-BCAB-461B-A4F9-24317D77A47B}">
  <sheetPr>
    <tabColor theme="7" tint="0.79998168889431442"/>
  </sheetPr>
  <dimension ref="A1:AX786"/>
  <sheetViews>
    <sheetView zoomScale="80" zoomScaleNormal="80" workbookViewId="0">
      <pane xSplit="1" ySplit="1" topLeftCell="G720" activePane="bottomRight" state="frozen"/>
      <selection pane="topRight" activeCell="A403" sqref="A403"/>
      <selection pane="bottomLeft" activeCell="A403" sqref="A403"/>
      <selection pane="bottomRight" activeCell="P743" sqref="P743"/>
    </sheetView>
  </sheetViews>
  <sheetFormatPr defaultRowHeight="15" x14ac:dyDescent="0.25"/>
  <cols>
    <col min="1" max="1" width="18.140625" bestFit="1" customWidth="1"/>
    <col min="2" max="2" width="10.28515625" bestFit="1" customWidth="1"/>
    <col min="3" max="3" width="10.28515625" customWidth="1"/>
    <col min="4" max="4" width="9.28515625" bestFit="1" customWidth="1"/>
    <col min="5" max="5" width="11.5703125" bestFit="1" customWidth="1"/>
    <col min="6" max="6" width="17.85546875" bestFit="1" customWidth="1"/>
    <col min="7" max="7" width="16.42578125" bestFit="1" customWidth="1"/>
    <col min="8" max="8" width="9.140625" bestFit="1" customWidth="1"/>
    <col min="9" max="9" width="7.7109375" bestFit="1" customWidth="1"/>
    <col min="10" max="10" width="10.7109375" bestFit="1" customWidth="1"/>
    <col min="11" max="11" width="8.7109375" bestFit="1" customWidth="1"/>
    <col min="12" max="13" width="7.42578125" bestFit="1" customWidth="1"/>
    <col min="14" max="14" width="8" bestFit="1" customWidth="1"/>
    <col min="15" max="15" width="9.140625" bestFit="1" customWidth="1"/>
    <col min="16" max="16" width="10.140625" bestFit="1" customWidth="1"/>
    <col min="17" max="17" width="8.85546875" bestFit="1" customWidth="1"/>
    <col min="18" max="18" width="7.28515625" bestFit="1" customWidth="1"/>
    <col min="19" max="19" width="7.42578125" bestFit="1" customWidth="1"/>
    <col min="20" max="20" width="8.140625" bestFit="1" customWidth="1"/>
    <col min="21" max="21" width="8.7109375" bestFit="1" customWidth="1"/>
    <col min="22" max="22" width="13.5703125" bestFit="1" customWidth="1"/>
    <col min="23" max="23" width="10.85546875" bestFit="1" customWidth="1"/>
    <col min="24" max="24" width="13.42578125" bestFit="1" customWidth="1"/>
    <col min="25" max="26" width="10" bestFit="1" customWidth="1"/>
    <col min="27" max="27" width="8" bestFit="1" customWidth="1"/>
    <col min="28" max="28" width="8.5703125" bestFit="1" customWidth="1"/>
    <col min="29" max="29" width="8.140625" bestFit="1" customWidth="1"/>
    <col min="30" max="30" width="11" bestFit="1" customWidth="1"/>
    <col min="31" max="31" width="9.140625" bestFit="1" customWidth="1"/>
    <col min="32" max="32" width="6.5703125" bestFit="1" customWidth="1"/>
    <col min="33" max="33" width="8" bestFit="1" customWidth="1"/>
    <col min="34" max="34" width="12" bestFit="1" customWidth="1"/>
    <col min="35" max="35" width="7.42578125" bestFit="1" customWidth="1"/>
    <col min="36" max="36" width="12.140625" bestFit="1" customWidth="1"/>
    <col min="37" max="37" width="9.140625" bestFit="1" customWidth="1"/>
    <col min="38" max="38" width="11.7109375" bestFit="1" customWidth="1"/>
    <col min="39" max="39" width="6" bestFit="1" customWidth="1"/>
    <col min="40" max="40" width="5" bestFit="1" customWidth="1"/>
    <col min="41" max="41" width="5.140625" bestFit="1" customWidth="1"/>
    <col min="42" max="42" width="6.42578125" bestFit="1" customWidth="1"/>
    <col min="43" max="43" width="11.42578125" bestFit="1" customWidth="1"/>
    <col min="44" max="44" width="8" bestFit="1" customWidth="1"/>
    <col min="45" max="45" width="13" bestFit="1" customWidth="1"/>
    <col min="46" max="46" width="13.42578125" bestFit="1" customWidth="1"/>
    <col min="47" max="47" width="9.140625" bestFit="1" customWidth="1"/>
    <col min="48" max="48" width="13.5703125" bestFit="1" customWidth="1"/>
    <col min="49" max="49" width="10.140625" bestFit="1" customWidth="1"/>
    <col min="50" max="50" width="9.28515625" bestFit="1" customWidth="1"/>
  </cols>
  <sheetData>
    <row r="1" spans="1:50" x14ac:dyDescent="0.25">
      <c r="A1" s="99" t="s">
        <v>511</v>
      </c>
      <c r="B1" s="100" t="s">
        <v>386</v>
      </c>
      <c r="C1" s="100" t="s">
        <v>512</v>
      </c>
      <c r="D1" s="100" t="s">
        <v>513</v>
      </c>
      <c r="E1" s="100" t="s">
        <v>514</v>
      </c>
      <c r="F1" s="100" t="s">
        <v>515</v>
      </c>
      <c r="G1" s="100" t="s">
        <v>360</v>
      </c>
      <c r="H1" s="100" t="s">
        <v>516</v>
      </c>
      <c r="I1" s="100" t="s">
        <v>517</v>
      </c>
      <c r="J1" s="100" t="s">
        <v>518</v>
      </c>
      <c r="K1" s="100" t="s">
        <v>519</v>
      </c>
      <c r="L1" s="100" t="s">
        <v>520</v>
      </c>
      <c r="M1" s="100" t="s">
        <v>521</v>
      </c>
      <c r="N1" s="100" t="s">
        <v>522</v>
      </c>
      <c r="O1" s="100" t="s">
        <v>523</v>
      </c>
      <c r="P1" s="100" t="s">
        <v>524</v>
      </c>
      <c r="Q1" s="100" t="s">
        <v>525</v>
      </c>
      <c r="R1" s="100" t="s">
        <v>526</v>
      </c>
      <c r="S1" s="100" t="s">
        <v>521</v>
      </c>
      <c r="T1" s="100" t="s">
        <v>527</v>
      </c>
      <c r="U1" s="100" t="s">
        <v>523</v>
      </c>
      <c r="V1" s="100" t="s">
        <v>528</v>
      </c>
      <c r="W1" s="100" t="s">
        <v>529</v>
      </c>
      <c r="X1" s="100" t="s">
        <v>530</v>
      </c>
      <c r="Y1" s="100" t="s">
        <v>531</v>
      </c>
      <c r="Z1" s="100" t="s">
        <v>532</v>
      </c>
      <c r="AA1" s="100" t="s">
        <v>533</v>
      </c>
      <c r="AB1" s="100" t="s">
        <v>534</v>
      </c>
      <c r="AC1" s="100" t="s">
        <v>535</v>
      </c>
      <c r="AD1" s="100" t="s">
        <v>536</v>
      </c>
      <c r="AE1" s="100" t="s">
        <v>525</v>
      </c>
      <c r="AF1" s="100" t="s">
        <v>537</v>
      </c>
      <c r="AG1" s="100" t="s">
        <v>524</v>
      </c>
      <c r="AH1" s="100" t="s">
        <v>538</v>
      </c>
      <c r="AI1" s="100" t="s">
        <v>539</v>
      </c>
      <c r="AJ1" s="100" t="s">
        <v>540</v>
      </c>
      <c r="AK1" s="100" t="s">
        <v>541</v>
      </c>
      <c r="AL1" s="100" t="s">
        <v>542</v>
      </c>
      <c r="AM1" s="100" t="s">
        <v>417</v>
      </c>
      <c r="AN1" s="100" t="s">
        <v>418</v>
      </c>
      <c r="AO1" s="100" t="s">
        <v>419</v>
      </c>
      <c r="AP1" s="100" t="s">
        <v>543</v>
      </c>
      <c r="AQ1" s="100" t="s">
        <v>544</v>
      </c>
      <c r="AR1" s="100" t="s">
        <v>545</v>
      </c>
      <c r="AS1" s="100" t="s">
        <v>546</v>
      </c>
      <c r="AT1" s="100" t="s">
        <v>547</v>
      </c>
      <c r="AU1" s="99" t="s">
        <v>333</v>
      </c>
      <c r="AV1" s="100" t="s">
        <v>548</v>
      </c>
      <c r="AW1" s="100" t="s">
        <v>549</v>
      </c>
      <c r="AX1" s="101" t="s">
        <v>397</v>
      </c>
    </row>
    <row r="2" spans="1:50" x14ac:dyDescent="0.25">
      <c r="A2" s="95" t="s">
        <v>550</v>
      </c>
      <c r="B2" s="96">
        <v>2025</v>
      </c>
      <c r="C2" s="96">
        <v>2</v>
      </c>
      <c r="D2" s="115">
        <v>3.72987</v>
      </c>
      <c r="E2" s="115">
        <v>8.5229499999999996E-3</v>
      </c>
      <c r="F2" s="115"/>
      <c r="G2" s="115" t="s">
        <v>550</v>
      </c>
      <c r="H2" s="115">
        <v>33</v>
      </c>
      <c r="I2" s="115">
        <v>48</v>
      </c>
      <c r="J2" s="115">
        <v>0.6875</v>
      </c>
      <c r="K2" s="115">
        <v>7.5251000000000001</v>
      </c>
      <c r="L2" s="115">
        <v>9.0417000000000005</v>
      </c>
      <c r="M2" s="115">
        <v>6</v>
      </c>
      <c r="N2" s="115">
        <v>0</v>
      </c>
      <c r="O2" s="115">
        <v>5</v>
      </c>
      <c r="P2" s="115">
        <v>8</v>
      </c>
      <c r="Q2" s="115">
        <v>83</v>
      </c>
      <c r="R2" s="115">
        <v>10.375</v>
      </c>
      <c r="S2" s="115">
        <v>1</v>
      </c>
      <c r="T2" s="115">
        <v>0.125</v>
      </c>
      <c r="U2" s="115">
        <v>0</v>
      </c>
      <c r="V2" s="115">
        <v>0.125</v>
      </c>
      <c r="W2" s="115">
        <v>0.52310000000000001</v>
      </c>
      <c r="X2" s="115">
        <v>136.63200000000001</v>
      </c>
      <c r="Y2" s="115">
        <v>9.6415000000000006</v>
      </c>
      <c r="Z2" s="115">
        <v>319.60599999999999</v>
      </c>
      <c r="AA2" s="115">
        <v>83.7</v>
      </c>
      <c r="AB2" s="115">
        <v>28.4771</v>
      </c>
      <c r="AC2" s="115">
        <v>0.43809999999999999</v>
      </c>
      <c r="AD2" s="115">
        <v>0.1226</v>
      </c>
      <c r="AE2" s="115">
        <v>-2.4199999999999999E-2</v>
      </c>
      <c r="AF2" s="115">
        <v>4.7E-2</v>
      </c>
      <c r="AG2" s="115">
        <v>6.1699999999999998E-2</v>
      </c>
      <c r="AH2" s="115">
        <v>0.12520000000000001</v>
      </c>
      <c r="AI2" s="115">
        <v>3.7199999999999997E-2</v>
      </c>
      <c r="AJ2" s="115">
        <v>-3.0200000000000001E-2</v>
      </c>
      <c r="AK2" s="115">
        <v>9.2917000000000005</v>
      </c>
      <c r="AL2" s="115">
        <v>0.3125</v>
      </c>
      <c r="AM2" s="115">
        <v>1</v>
      </c>
      <c r="AN2" s="115">
        <v>1</v>
      </c>
      <c r="AO2" s="115">
        <v>0</v>
      </c>
      <c r="AP2" s="115">
        <v>0</v>
      </c>
      <c r="AQ2" s="115">
        <v>0</v>
      </c>
      <c r="AR2" s="115"/>
      <c r="AS2" s="115">
        <v>7.1000000000000004E-3</v>
      </c>
      <c r="AT2" s="115">
        <v>0.46429999999999999</v>
      </c>
      <c r="AU2" s="114" t="str">
        <f>IF(A2&lt;&gt;"",INDEX(Index!$B$1:$B$77,MATCH($A2,Index!$A$1:$A$77,0)),"")</f>
        <v>BAL</v>
      </c>
      <c r="AV2" s="123" t="str">
        <f>IF(B2&lt;&gt;"",INDEX(Index!$C$1:$C$77,MATCH($A2,Index!$A$1:$A$77,0)),"")</f>
        <v>Jackson</v>
      </c>
      <c r="AW2" s="123">
        <f t="shared" ref="AW2:AW65" si="0">IF(AT2&lt;&gt;"",COUNTIFS($AX$2:$AX$994,AX2,$Q$2:$Q$994,"&gt;"&amp;$Q2)+1,"")</f>
        <v>6</v>
      </c>
      <c r="AX2" s="113">
        <v>2</v>
      </c>
    </row>
    <row r="3" spans="1:50" x14ac:dyDescent="0.25">
      <c r="A3" s="95" t="s">
        <v>551</v>
      </c>
      <c r="B3" s="96">
        <v>2025</v>
      </c>
      <c r="C3" s="96">
        <v>2</v>
      </c>
      <c r="D3" s="115">
        <v>3.6936</v>
      </c>
      <c r="E3" s="115">
        <v>-0.39208399999999999</v>
      </c>
      <c r="F3" s="115"/>
      <c r="G3" s="115" t="s">
        <v>551</v>
      </c>
      <c r="H3" s="115">
        <v>47</v>
      </c>
      <c r="I3" s="115">
        <v>70</v>
      </c>
      <c r="J3" s="115">
        <v>0.6714</v>
      </c>
      <c r="K3" s="115">
        <v>2.5131000000000001</v>
      </c>
      <c r="L3" s="115">
        <v>7.7428999999999997</v>
      </c>
      <c r="M3" s="115">
        <v>2</v>
      </c>
      <c r="N3" s="115">
        <v>0</v>
      </c>
      <c r="O3" s="115">
        <v>2</v>
      </c>
      <c r="P3" s="115">
        <v>16</v>
      </c>
      <c r="Q3" s="115">
        <v>95</v>
      </c>
      <c r="R3" s="115">
        <v>5.9375</v>
      </c>
      <c r="S3" s="115">
        <v>2</v>
      </c>
      <c r="T3" s="115">
        <v>2.86E-2</v>
      </c>
      <c r="U3" s="115">
        <v>0</v>
      </c>
      <c r="V3" s="115">
        <v>2.86E-2</v>
      </c>
      <c r="W3" s="115">
        <v>0.4894</v>
      </c>
      <c r="X3" s="115">
        <v>99.821399999999997</v>
      </c>
      <c r="Y3" s="115">
        <v>8</v>
      </c>
      <c r="Z3" s="115">
        <v>339.21300000000002</v>
      </c>
      <c r="AA3" s="115">
        <v>81.400000000000006</v>
      </c>
      <c r="AB3" s="115">
        <v>34.9315</v>
      </c>
      <c r="AC3" s="115">
        <v>0.37159999999999999</v>
      </c>
      <c r="AD3" s="115">
        <v>9.0499999999999997E-2</v>
      </c>
      <c r="AE3" s="115">
        <v>8.1299999999999997E-2</v>
      </c>
      <c r="AF3" s="115">
        <v>1.26E-2</v>
      </c>
      <c r="AG3" s="115">
        <v>6.1699999999999998E-2</v>
      </c>
      <c r="AH3" s="115">
        <v>-4.0800000000000003E-2</v>
      </c>
      <c r="AI3" s="115">
        <v>1.1599999999999999E-2</v>
      </c>
      <c r="AJ3" s="115">
        <v>5.6000000000000001E-2</v>
      </c>
      <c r="AK3" s="115">
        <v>7.4428999999999998</v>
      </c>
      <c r="AL3" s="115">
        <v>-1.5143</v>
      </c>
      <c r="AM3" s="115">
        <v>2</v>
      </c>
      <c r="AN3" s="115">
        <v>0</v>
      </c>
      <c r="AO3" s="115">
        <v>0</v>
      </c>
      <c r="AP3" s="115">
        <v>1</v>
      </c>
      <c r="AQ3" s="115">
        <v>1</v>
      </c>
      <c r="AR3" s="115">
        <v>1</v>
      </c>
      <c r="AS3" s="115">
        <v>9.1000000000000004E-3</v>
      </c>
      <c r="AT3" s="115">
        <v>0.85619999999999996</v>
      </c>
      <c r="AU3" s="114" t="str">
        <f>IF(A3&lt;&gt;"",INDEX(Index!$B$1:$B$77,MATCH($A3,Index!$A$1:$A$77,0)),"")</f>
        <v>BUF</v>
      </c>
      <c r="AV3" s="123" t="str">
        <f>IF(B3&lt;&gt;"",INDEX(Index!$C$1:$C$77,MATCH($A3,Index!$A$1:$A$77,0)),"")</f>
        <v>Allen</v>
      </c>
      <c r="AW3" s="123">
        <f t="shared" si="0"/>
        <v>3</v>
      </c>
      <c r="AX3" s="113">
        <v>2</v>
      </c>
    </row>
    <row r="4" spans="1:50" x14ac:dyDescent="0.25">
      <c r="A4" s="95" t="s">
        <v>552</v>
      </c>
      <c r="B4" s="96">
        <v>2025</v>
      </c>
      <c r="C4" s="96">
        <v>2</v>
      </c>
      <c r="D4" s="115">
        <v>2.2443300000000002</v>
      </c>
      <c r="E4" s="115">
        <v>-2.2934E-2</v>
      </c>
      <c r="F4" s="115"/>
      <c r="G4" s="115" t="s">
        <v>552</v>
      </c>
      <c r="H4" s="115">
        <v>40</v>
      </c>
      <c r="I4" s="115">
        <v>67</v>
      </c>
      <c r="J4" s="115">
        <v>0.59699999999999998</v>
      </c>
      <c r="K4" s="115">
        <v>-5.9271000000000003</v>
      </c>
      <c r="L4" s="115">
        <v>6.6417999999999999</v>
      </c>
      <c r="M4" s="115">
        <v>2</v>
      </c>
      <c r="N4" s="115">
        <v>1</v>
      </c>
      <c r="O4" s="115">
        <v>4</v>
      </c>
      <c r="P4" s="115">
        <v>13</v>
      </c>
      <c r="Q4" s="115">
        <v>123</v>
      </c>
      <c r="R4" s="115">
        <v>9.4614999999999991</v>
      </c>
      <c r="S4" s="115">
        <v>2</v>
      </c>
      <c r="T4" s="115">
        <v>2.9899999999999999E-2</v>
      </c>
      <c r="U4" s="115">
        <v>1.49E-2</v>
      </c>
      <c r="V4" s="115">
        <v>1.49E-2</v>
      </c>
      <c r="W4" s="115">
        <v>0.45450000000000002</v>
      </c>
      <c r="X4" s="115">
        <v>83.24</v>
      </c>
      <c r="Y4" s="115">
        <v>5.8731999999999998</v>
      </c>
      <c r="Z4" s="115">
        <v>268.32100000000003</v>
      </c>
      <c r="AA4" s="115">
        <v>78.599999999999994</v>
      </c>
      <c r="AB4" s="115">
        <v>11.2072</v>
      </c>
      <c r="AC4" s="115">
        <v>0.12740000000000001</v>
      </c>
      <c r="AD4" s="115">
        <v>0.1153</v>
      </c>
      <c r="AE4" s="115">
        <v>3.7100000000000001E-2</v>
      </c>
      <c r="AF4" s="115">
        <v>-4.41E-2</v>
      </c>
      <c r="AG4" s="115">
        <v>-1.8499999999999999E-2</v>
      </c>
      <c r="AH4" s="115">
        <v>-2.4E-2</v>
      </c>
      <c r="AI4" s="115">
        <v>-1.26E-2</v>
      </c>
      <c r="AJ4" s="115">
        <v>-2.4400000000000002E-2</v>
      </c>
      <c r="AK4" s="115">
        <v>8.6567000000000007</v>
      </c>
      <c r="AL4" s="115">
        <v>0.31340000000000001</v>
      </c>
      <c r="AM4" s="115">
        <v>0</v>
      </c>
      <c r="AN4" s="115">
        <v>2</v>
      </c>
      <c r="AO4" s="115">
        <v>0</v>
      </c>
      <c r="AP4" s="115">
        <v>0</v>
      </c>
      <c r="AQ4" s="115">
        <v>2</v>
      </c>
      <c r="AR4" s="115">
        <v>0</v>
      </c>
      <c r="AS4" s="115">
        <v>3.3999999999999998E-3</v>
      </c>
      <c r="AT4" s="115">
        <v>0.29609999999999997</v>
      </c>
      <c r="AU4" s="114" t="str">
        <f>IF(A4&lt;&gt;"",INDEX(Index!$B$1:$B$77,MATCH($A4,Index!$A$1:$A$77,0)),"")</f>
        <v>KC</v>
      </c>
      <c r="AV4" s="123" t="str">
        <f>IF(B4&lt;&gt;"",INDEX(Index!$C$1:$C$77,MATCH($A4,Index!$A$1:$A$77,0)),"")</f>
        <v>Mahomes</v>
      </c>
      <c r="AW4" s="123">
        <f t="shared" si="0"/>
        <v>1</v>
      </c>
      <c r="AX4" s="113">
        <v>2</v>
      </c>
    </row>
    <row r="5" spans="1:50" x14ac:dyDescent="0.25">
      <c r="A5" s="95" t="s">
        <v>553</v>
      </c>
      <c r="B5" s="96">
        <v>2025</v>
      </c>
      <c r="C5" s="96">
        <v>2</v>
      </c>
      <c r="D5" s="115">
        <v>1.6080099999999999</v>
      </c>
      <c r="E5" s="115">
        <v>1.01847</v>
      </c>
      <c r="F5" s="115"/>
      <c r="G5" s="115" t="s">
        <v>553</v>
      </c>
      <c r="H5" s="115">
        <v>54</v>
      </c>
      <c r="I5" s="115">
        <v>67</v>
      </c>
      <c r="J5" s="115">
        <v>0.80600000000000005</v>
      </c>
      <c r="K5" s="115">
        <v>12.868</v>
      </c>
      <c r="L5" s="115">
        <v>8.3432999999999993</v>
      </c>
      <c r="M5" s="115">
        <v>6</v>
      </c>
      <c r="N5" s="115">
        <v>1</v>
      </c>
      <c r="O5" s="115">
        <v>4</v>
      </c>
      <c r="P5" s="115">
        <v>1</v>
      </c>
      <c r="Q5" s="115">
        <v>6</v>
      </c>
      <c r="R5" s="115">
        <v>6</v>
      </c>
      <c r="S5" s="115">
        <v>0</v>
      </c>
      <c r="T5" s="115">
        <v>8.9599999999999999E-2</v>
      </c>
      <c r="U5" s="115">
        <v>1.49E-2</v>
      </c>
      <c r="V5" s="115">
        <v>7.46E-2</v>
      </c>
      <c r="W5" s="115">
        <v>0.54049999999999998</v>
      </c>
      <c r="X5" s="115">
        <v>125.062</v>
      </c>
      <c r="Y5" s="115">
        <v>8.5775000000000006</v>
      </c>
      <c r="Z5" s="115">
        <v>308.65199999999999</v>
      </c>
      <c r="AA5" s="115">
        <v>81.7</v>
      </c>
      <c r="AB5" s="115">
        <v>25.573599999999999</v>
      </c>
      <c r="AC5" s="115">
        <v>0.34560000000000002</v>
      </c>
      <c r="AD5" s="115">
        <v>-4.65E-2</v>
      </c>
      <c r="AE5" s="115">
        <v>-8.8999999999999999E-3</v>
      </c>
      <c r="AF5" s="115">
        <v>7.3300000000000004E-2</v>
      </c>
      <c r="AG5" s="115">
        <v>9.7999999999999997E-3</v>
      </c>
      <c r="AH5" s="115">
        <v>3.39E-2</v>
      </c>
      <c r="AI5" s="115">
        <v>0.20399999999999999</v>
      </c>
      <c r="AJ5" s="115">
        <v>-1.8800000000000001E-2</v>
      </c>
      <c r="AK5" s="115">
        <v>6.5224000000000002</v>
      </c>
      <c r="AL5" s="115">
        <v>-1.3731</v>
      </c>
      <c r="AM5" s="115">
        <v>1</v>
      </c>
      <c r="AN5" s="115">
        <v>1</v>
      </c>
      <c r="AO5" s="115">
        <v>0</v>
      </c>
      <c r="AP5" s="115">
        <v>0</v>
      </c>
      <c r="AQ5" s="115">
        <v>0</v>
      </c>
      <c r="AR5" s="115"/>
      <c r="AS5" s="115">
        <v>4.4999999999999997E-3</v>
      </c>
      <c r="AT5" s="115">
        <v>0.3306</v>
      </c>
      <c r="AU5" s="114" t="str">
        <f>IF(A5&lt;&gt;"",INDEX(Index!$B$1:$B$77,MATCH($A5,Index!$A$1:$A$77,0)),"")</f>
        <v>DET</v>
      </c>
      <c r="AV5" s="123" t="str">
        <f>IF(B5&lt;&gt;"",INDEX(Index!$C$1:$C$77,MATCH($A5,Index!$A$1:$A$77,0)),"")</f>
        <v>Goff</v>
      </c>
      <c r="AW5" s="123">
        <f t="shared" si="0"/>
        <v>30</v>
      </c>
      <c r="AX5" s="113">
        <v>2</v>
      </c>
    </row>
    <row r="6" spans="1:50" x14ac:dyDescent="0.25">
      <c r="A6" s="95" t="s">
        <v>554</v>
      </c>
      <c r="B6" s="96">
        <v>2025</v>
      </c>
      <c r="C6" s="96">
        <v>2</v>
      </c>
      <c r="D6" s="115">
        <v>1.16354</v>
      </c>
      <c r="E6" s="115">
        <v>-0.45737299999999997</v>
      </c>
      <c r="F6" s="115"/>
      <c r="G6" s="115" t="s">
        <v>554</v>
      </c>
      <c r="H6" s="115">
        <v>34</v>
      </c>
      <c r="I6" s="115">
        <v>45</v>
      </c>
      <c r="J6" s="115">
        <v>0.75560000000000005</v>
      </c>
      <c r="K6" s="115">
        <v>12.888999999999999</v>
      </c>
      <c r="L6" s="115">
        <v>5.6222000000000003</v>
      </c>
      <c r="M6" s="115">
        <v>0</v>
      </c>
      <c r="N6" s="115">
        <v>0</v>
      </c>
      <c r="O6" s="115">
        <v>3</v>
      </c>
      <c r="P6" s="115">
        <v>18</v>
      </c>
      <c r="Q6" s="115">
        <v>82</v>
      </c>
      <c r="R6" s="115">
        <v>4.5556000000000001</v>
      </c>
      <c r="S6" s="115">
        <v>3</v>
      </c>
      <c r="T6" s="115">
        <v>0</v>
      </c>
      <c r="U6" s="115">
        <v>0</v>
      </c>
      <c r="V6" s="115">
        <v>0</v>
      </c>
      <c r="W6" s="115">
        <v>0.49249999999999999</v>
      </c>
      <c r="X6" s="115">
        <v>88.472200000000001</v>
      </c>
      <c r="Y6" s="115">
        <v>4.9583000000000004</v>
      </c>
      <c r="Z6" s="115">
        <v>207.45400000000001</v>
      </c>
      <c r="AA6" s="115">
        <v>71.7</v>
      </c>
      <c r="AB6" s="115">
        <v>5.8788999999999998</v>
      </c>
      <c r="AC6" s="115">
        <v>8.77E-2</v>
      </c>
      <c r="AD6" s="115">
        <v>0.1168</v>
      </c>
      <c r="AE6" s="115">
        <v>3.7499999999999999E-2</v>
      </c>
      <c r="AF6" s="115">
        <v>0.10100000000000001</v>
      </c>
      <c r="AG6" s="115">
        <v>6.1699999999999998E-2</v>
      </c>
      <c r="AH6" s="115">
        <v>-0.219</v>
      </c>
      <c r="AI6" s="115">
        <v>-6.2E-2</v>
      </c>
      <c r="AJ6" s="115">
        <v>-4.6899999999999997E-2</v>
      </c>
      <c r="AK6" s="115">
        <v>6.2</v>
      </c>
      <c r="AL6" s="115">
        <v>-2.6888999999999998</v>
      </c>
      <c r="AM6" s="115">
        <v>2</v>
      </c>
      <c r="AN6" s="115">
        <v>0</v>
      </c>
      <c r="AO6" s="115">
        <v>0</v>
      </c>
      <c r="AP6" s="115">
        <v>0</v>
      </c>
      <c r="AQ6" s="115">
        <v>0</v>
      </c>
      <c r="AR6" s="115"/>
      <c r="AS6" s="115">
        <v>5.7000000000000002E-3</v>
      </c>
      <c r="AT6" s="115">
        <v>0.3831</v>
      </c>
      <c r="AU6" s="114" t="str">
        <f>IF(A6&lt;&gt;"",INDEX(Index!$B$1:$B$77,MATCH($A6,Index!$A$1:$A$77,0)),"")</f>
        <v>PHI</v>
      </c>
      <c r="AV6" s="123" t="str">
        <f>IF(B6&lt;&gt;"",INDEX(Index!$C$1:$C$77,MATCH($A6,Index!$A$1:$A$77,0)),"")</f>
        <v>Hurts</v>
      </c>
      <c r="AW6" s="123">
        <f t="shared" si="0"/>
        <v>7</v>
      </c>
      <c r="AX6" s="113">
        <v>2</v>
      </c>
    </row>
    <row r="7" spans="1:50" x14ac:dyDescent="0.25">
      <c r="A7" s="95" t="s">
        <v>555</v>
      </c>
      <c r="B7" s="96">
        <v>2025</v>
      </c>
      <c r="C7" s="96">
        <v>2</v>
      </c>
      <c r="D7" s="115">
        <v>1.1515599999999999</v>
      </c>
      <c r="E7" s="115">
        <v>0.29253299999999999</v>
      </c>
      <c r="F7" s="115"/>
      <c r="G7" s="115" t="s">
        <v>555</v>
      </c>
      <c r="H7" s="115">
        <v>59</v>
      </c>
      <c r="I7" s="115">
        <v>85</v>
      </c>
      <c r="J7" s="115">
        <v>0.69410000000000005</v>
      </c>
      <c r="K7" s="115">
        <v>1.3529</v>
      </c>
      <c r="L7" s="115">
        <v>6.4588000000000001</v>
      </c>
      <c r="M7" s="115">
        <v>2</v>
      </c>
      <c r="N7" s="115">
        <v>1</v>
      </c>
      <c r="O7" s="115">
        <v>3</v>
      </c>
      <c r="P7" s="115">
        <v>3</v>
      </c>
      <c r="Q7" s="115">
        <v>20</v>
      </c>
      <c r="R7" s="115">
        <v>6.6666999999999996</v>
      </c>
      <c r="S7" s="115">
        <v>0</v>
      </c>
      <c r="T7" s="115">
        <v>2.35E-2</v>
      </c>
      <c r="U7" s="115">
        <v>1.18E-2</v>
      </c>
      <c r="V7" s="115">
        <v>1.18E-2</v>
      </c>
      <c r="W7" s="115">
        <v>0.45540000000000003</v>
      </c>
      <c r="X7" s="115">
        <v>89.779399999999995</v>
      </c>
      <c r="Y7" s="115">
        <v>5.9772999999999996</v>
      </c>
      <c r="Z7" s="115">
        <v>219.63200000000001</v>
      </c>
      <c r="AA7" s="115">
        <v>65.3</v>
      </c>
      <c r="AB7" s="115">
        <v>18.273900000000001</v>
      </c>
      <c r="AC7" s="115">
        <v>0.18090000000000001</v>
      </c>
      <c r="AD7" s="115">
        <v>-4.6800000000000001E-2</v>
      </c>
      <c r="AE7" s="115">
        <v>5.4699999999999999E-2</v>
      </c>
      <c r="AF7" s="115">
        <v>4.3900000000000002E-2</v>
      </c>
      <c r="AG7" s="115">
        <v>2.3300000000000001E-2</v>
      </c>
      <c r="AH7" s="115">
        <v>1.7100000000000001E-2</v>
      </c>
      <c r="AI7" s="115">
        <v>-5.9400000000000001E-2</v>
      </c>
      <c r="AJ7" s="115">
        <v>4.9099999999999998E-2</v>
      </c>
      <c r="AK7" s="115">
        <v>8.0117999999999991</v>
      </c>
      <c r="AL7" s="115">
        <v>-1.0353000000000001</v>
      </c>
      <c r="AM7" s="115">
        <v>1</v>
      </c>
      <c r="AN7" s="115">
        <v>1</v>
      </c>
      <c r="AO7" s="115">
        <v>0</v>
      </c>
      <c r="AP7" s="115">
        <v>1</v>
      </c>
      <c r="AQ7" s="115">
        <v>2</v>
      </c>
      <c r="AR7" s="115">
        <v>0.5</v>
      </c>
      <c r="AS7" s="115">
        <v>1.0500000000000001E-2</v>
      </c>
      <c r="AT7" s="115">
        <v>1.0648</v>
      </c>
      <c r="AU7" s="114" t="str">
        <f>IF(A7&lt;&gt;"",INDEX(Index!$B$1:$B$77,MATCH($A7,Index!$A$1:$A$77,0)),"")</f>
        <v>DAL</v>
      </c>
      <c r="AV7" s="123" t="str">
        <f>IF(B7&lt;&gt;"",INDEX(Index!$C$1:$C$77,MATCH($A7,Index!$A$1:$A$77,0)),"")</f>
        <v>Prescott</v>
      </c>
      <c r="AW7" s="123">
        <f t="shared" si="0"/>
        <v>20</v>
      </c>
      <c r="AX7" s="113">
        <v>2</v>
      </c>
    </row>
    <row r="8" spans="1:50" x14ac:dyDescent="0.25">
      <c r="A8" s="95" t="s">
        <v>556</v>
      </c>
      <c r="B8" s="96">
        <v>2025</v>
      </c>
      <c r="C8" s="96">
        <v>2</v>
      </c>
      <c r="D8" s="115">
        <v>0.82663900000000001</v>
      </c>
      <c r="E8" s="115">
        <v>-0.14729800000000001</v>
      </c>
      <c r="F8" s="115"/>
      <c r="G8" s="115" t="s">
        <v>556</v>
      </c>
      <c r="H8" s="115">
        <v>38</v>
      </c>
      <c r="I8" s="115">
        <v>54</v>
      </c>
      <c r="J8" s="115">
        <v>0.70369999999999999</v>
      </c>
      <c r="K8" s="115">
        <v>-0.57750000000000001</v>
      </c>
      <c r="L8" s="115">
        <v>7.0926</v>
      </c>
      <c r="M8" s="115">
        <v>3</v>
      </c>
      <c r="N8" s="115">
        <v>1</v>
      </c>
      <c r="O8" s="115">
        <v>6</v>
      </c>
      <c r="P8" s="115">
        <v>13</v>
      </c>
      <c r="Q8" s="115">
        <v>72</v>
      </c>
      <c r="R8" s="115">
        <v>5.5385</v>
      </c>
      <c r="S8" s="115">
        <v>0</v>
      </c>
      <c r="T8" s="115">
        <v>5.5599999999999997E-2</v>
      </c>
      <c r="U8" s="115">
        <v>1.8499999999999999E-2</v>
      </c>
      <c r="V8" s="115">
        <v>3.6999999999999998E-2</v>
      </c>
      <c r="W8" s="115">
        <v>0.48780000000000001</v>
      </c>
      <c r="X8" s="115">
        <v>101.08</v>
      </c>
      <c r="Y8" s="115">
        <v>5.9333</v>
      </c>
      <c r="Z8" s="115">
        <v>154.45500000000001</v>
      </c>
      <c r="AA8" s="115">
        <v>56.4</v>
      </c>
      <c r="AB8" s="115">
        <v>12.415800000000001</v>
      </c>
      <c r="AC8" s="115">
        <v>0.15140000000000001</v>
      </c>
      <c r="AD8" s="115">
        <v>-2.63E-2</v>
      </c>
      <c r="AE8" s="115">
        <v>-1.5299999999999999E-2</v>
      </c>
      <c r="AF8" s="115">
        <v>0.10390000000000001</v>
      </c>
      <c r="AG8" s="115">
        <v>2.0999999999999999E-3</v>
      </c>
      <c r="AH8" s="115">
        <v>-8.2799999999999999E-2</v>
      </c>
      <c r="AI8" s="115">
        <v>5.3400000000000003E-2</v>
      </c>
      <c r="AJ8" s="115">
        <v>1.7600000000000001E-2</v>
      </c>
      <c r="AK8" s="115">
        <v>6.0369999999999999</v>
      </c>
      <c r="AL8" s="115">
        <v>-3.4443999999999999</v>
      </c>
      <c r="AM8" s="115">
        <v>2</v>
      </c>
      <c r="AN8" s="115">
        <v>0</v>
      </c>
      <c r="AO8" s="115">
        <v>0</v>
      </c>
      <c r="AP8" s="115">
        <v>0</v>
      </c>
      <c r="AQ8" s="115">
        <v>0</v>
      </c>
      <c r="AR8" s="115"/>
      <c r="AS8" s="115">
        <v>6.6E-3</v>
      </c>
      <c r="AT8" s="115">
        <v>0.5444</v>
      </c>
      <c r="AU8" s="114" t="str">
        <f>IF(A8&lt;&gt;"",INDEX(Index!$B$1:$B$77,MATCH($A8,Index!$A$1:$A$77,0)),"")</f>
        <v>ARI</v>
      </c>
      <c r="AV8" s="123" t="str">
        <f>IF(B8&lt;&gt;"",INDEX(Index!$C$1:$C$77,MATCH($A8,Index!$A$1:$A$77,0)),"")</f>
        <v>Murray</v>
      </c>
      <c r="AW8" s="123">
        <f t="shared" si="0"/>
        <v>8</v>
      </c>
      <c r="AX8" s="113">
        <v>2</v>
      </c>
    </row>
    <row r="9" spans="1:50" x14ac:dyDescent="0.25">
      <c r="A9" s="95" t="s">
        <v>557</v>
      </c>
      <c r="B9" s="96">
        <v>2025</v>
      </c>
      <c r="C9" s="96">
        <v>2</v>
      </c>
      <c r="D9" s="115">
        <v>0.80696699999999999</v>
      </c>
      <c r="E9" s="115">
        <v>-0.72667300000000001</v>
      </c>
      <c r="F9" s="115"/>
      <c r="G9" s="115" t="s">
        <v>557</v>
      </c>
      <c r="H9" s="115">
        <v>21</v>
      </c>
      <c r="I9" s="115">
        <v>36</v>
      </c>
      <c r="J9" s="115">
        <v>0.58330000000000004</v>
      </c>
      <c r="K9" s="115">
        <v>-1.5459000000000001</v>
      </c>
      <c r="L9" s="115">
        <v>5.25</v>
      </c>
      <c r="M9" s="115">
        <v>2</v>
      </c>
      <c r="N9" s="115">
        <v>0</v>
      </c>
      <c r="O9" s="115">
        <v>5</v>
      </c>
      <c r="P9" s="115">
        <v>2</v>
      </c>
      <c r="Q9" s="115">
        <v>3</v>
      </c>
      <c r="R9" s="115">
        <v>1.5</v>
      </c>
      <c r="S9" s="115">
        <v>0</v>
      </c>
      <c r="T9" s="115">
        <v>5.5599999999999997E-2</v>
      </c>
      <c r="U9" s="115">
        <v>0</v>
      </c>
      <c r="V9" s="115">
        <v>5.5599999999999997E-2</v>
      </c>
      <c r="W9" s="115">
        <v>0.43480000000000002</v>
      </c>
      <c r="X9" s="115">
        <v>91.087999999999994</v>
      </c>
      <c r="Y9" s="115">
        <v>4.9512</v>
      </c>
      <c r="Z9" s="115">
        <v>25.4633</v>
      </c>
      <c r="AA9" s="115">
        <v>55.4</v>
      </c>
      <c r="AB9" s="115">
        <v>-0.90390000000000004</v>
      </c>
      <c r="AC9" s="115">
        <v>-1.9599999999999999E-2</v>
      </c>
      <c r="AD9" s="115">
        <v>-7.5200000000000003E-2</v>
      </c>
      <c r="AE9" s="115">
        <v>-4.4499999999999998E-2</v>
      </c>
      <c r="AF9" s="115">
        <v>-5.5300000000000002E-2</v>
      </c>
      <c r="AG9" s="115">
        <v>6.1699999999999998E-2</v>
      </c>
      <c r="AH9" s="115">
        <v>0.1769</v>
      </c>
      <c r="AI9" s="115">
        <v>-0.1739</v>
      </c>
      <c r="AJ9" s="115">
        <v>-8.0999999999999996E-3</v>
      </c>
      <c r="AK9" s="115">
        <v>6.8611000000000004</v>
      </c>
      <c r="AL9" s="115">
        <v>-1.0832999999999999</v>
      </c>
      <c r="AM9" s="115">
        <v>2</v>
      </c>
      <c r="AN9" s="115">
        <v>0</v>
      </c>
      <c r="AO9" s="115">
        <v>0</v>
      </c>
      <c r="AP9" s="115">
        <v>0</v>
      </c>
      <c r="AQ9" s="115">
        <v>0</v>
      </c>
      <c r="AR9" s="115"/>
      <c r="AS9" s="115">
        <v>1.6000000000000001E-3</v>
      </c>
      <c r="AT9" s="115">
        <v>7.4800000000000005E-2</v>
      </c>
      <c r="AU9" s="114" t="str">
        <f>IF(A9&lt;&gt;"",INDEX(Index!$B$1:$B$77,MATCH($A9,Index!$A$1:$A$77,0)),"")</f>
        <v>CIN</v>
      </c>
      <c r="AV9" s="123" t="str">
        <f>IF(B9&lt;&gt;"",INDEX(Index!$C$1:$C$77,MATCH($A9,Index!$A$1:$A$77,0)),"")</f>
        <v>Burrow</v>
      </c>
      <c r="AW9" s="123">
        <f t="shared" si="0"/>
        <v>31</v>
      </c>
      <c r="AX9" s="113">
        <v>2</v>
      </c>
    </row>
    <row r="10" spans="1:50" x14ac:dyDescent="0.25">
      <c r="A10" s="95" t="s">
        <v>558</v>
      </c>
      <c r="B10" s="96">
        <v>2025</v>
      </c>
      <c r="C10" s="96">
        <v>2</v>
      </c>
      <c r="D10" s="115">
        <v>0.642181</v>
      </c>
      <c r="E10" s="115">
        <v>-0.77653300000000003</v>
      </c>
      <c r="F10" s="115"/>
      <c r="G10" s="115" t="s">
        <v>558</v>
      </c>
      <c r="H10" s="115">
        <v>40</v>
      </c>
      <c r="I10" s="115">
        <v>63</v>
      </c>
      <c r="J10" s="115">
        <v>0.63490000000000002</v>
      </c>
      <c r="K10" s="115">
        <v>-0.13089999999999999</v>
      </c>
      <c r="L10" s="115">
        <v>7.0952000000000002</v>
      </c>
      <c r="M10" s="115">
        <v>5</v>
      </c>
      <c r="N10" s="115">
        <v>2</v>
      </c>
      <c r="O10" s="115">
        <v>7</v>
      </c>
      <c r="P10" s="115">
        <v>1</v>
      </c>
      <c r="Q10" s="115">
        <v>3</v>
      </c>
      <c r="R10" s="115">
        <v>3</v>
      </c>
      <c r="S10" s="115">
        <v>0</v>
      </c>
      <c r="T10" s="115">
        <v>7.9399999999999998E-2</v>
      </c>
      <c r="U10" s="115">
        <v>3.1699999999999999E-2</v>
      </c>
      <c r="V10" s="115">
        <v>4.7600000000000003E-2</v>
      </c>
      <c r="W10" s="115">
        <v>0.38669999999999999</v>
      </c>
      <c r="X10" s="115">
        <v>97.784400000000005</v>
      </c>
      <c r="Y10" s="115">
        <v>5.8714000000000004</v>
      </c>
      <c r="Z10" s="115">
        <v>125.812</v>
      </c>
      <c r="AA10" s="115">
        <v>45.9</v>
      </c>
      <c r="AB10" s="115">
        <v>3.5897999999999999</v>
      </c>
      <c r="AC10" s="115">
        <v>4.7899999999999998E-2</v>
      </c>
      <c r="AD10" s="115">
        <v>-5.3900000000000003E-2</v>
      </c>
      <c r="AE10" s="115">
        <v>-1.7299999999999999E-2</v>
      </c>
      <c r="AF10" s="115">
        <v>-1.2699999999999999E-2</v>
      </c>
      <c r="AG10" s="115">
        <v>-3.6200000000000003E-2</v>
      </c>
      <c r="AH10" s="115">
        <v>-0.221</v>
      </c>
      <c r="AI10" s="115">
        <v>0.27450000000000002</v>
      </c>
      <c r="AJ10" s="115">
        <v>1.55E-2</v>
      </c>
      <c r="AK10" s="115">
        <v>5.1269999999999998</v>
      </c>
      <c r="AL10" s="115">
        <v>-4.1586999999999996</v>
      </c>
      <c r="AM10" s="115">
        <v>1</v>
      </c>
      <c r="AN10" s="115">
        <v>1</v>
      </c>
      <c r="AO10" s="115">
        <v>0</v>
      </c>
      <c r="AP10" s="115">
        <v>1</v>
      </c>
      <c r="AQ10" s="115">
        <v>1</v>
      </c>
      <c r="AR10" s="115">
        <v>1</v>
      </c>
      <c r="AS10" s="115">
        <v>-2.0000000000000001E-4</v>
      </c>
      <c r="AT10" s="115">
        <v>-1.5299999999999999E-2</v>
      </c>
      <c r="AU10" s="114" t="str">
        <f>IF(A10&lt;&gt;"",INDEX(Index!$B$1:$B$77,MATCH($A10,Index!$A$1:$A$77,0)),"")</f>
        <v>GB</v>
      </c>
      <c r="AV10" s="123" t="str">
        <f>IF(B10&lt;&gt;"",INDEX(Index!$C$1:$C$77,MATCH($A10,Index!$A$1:$A$77,0)),"")</f>
        <v>Rodgers</v>
      </c>
      <c r="AW10" s="123">
        <f t="shared" si="0"/>
        <v>31</v>
      </c>
      <c r="AX10" s="113">
        <v>2</v>
      </c>
    </row>
    <row r="11" spans="1:50" x14ac:dyDescent="0.25">
      <c r="A11" s="95" t="s">
        <v>559</v>
      </c>
      <c r="B11" s="96">
        <v>2025</v>
      </c>
      <c r="C11" s="96">
        <v>2</v>
      </c>
      <c r="D11" s="115">
        <v>0.62761599999999995</v>
      </c>
      <c r="E11" s="115">
        <v>0.10212300000000001</v>
      </c>
      <c r="F11" s="115"/>
      <c r="G11" s="115" t="s">
        <v>559</v>
      </c>
      <c r="H11" s="115">
        <v>17</v>
      </c>
      <c r="I11" s="115">
        <v>32</v>
      </c>
      <c r="J11" s="115">
        <v>0.53120000000000001</v>
      </c>
      <c r="K11" s="115">
        <v>-10.401300000000001</v>
      </c>
      <c r="L11" s="115">
        <v>5.2187999999999999</v>
      </c>
      <c r="M11" s="115">
        <v>3</v>
      </c>
      <c r="N11" s="115">
        <v>0</v>
      </c>
      <c r="O11" s="115">
        <v>1</v>
      </c>
      <c r="P11" s="115">
        <v>4</v>
      </c>
      <c r="Q11" s="115">
        <v>40</v>
      </c>
      <c r="R11" s="115">
        <v>10</v>
      </c>
      <c r="S11" s="115">
        <v>0</v>
      </c>
      <c r="T11" s="115">
        <v>9.3799999999999994E-2</v>
      </c>
      <c r="U11" s="115">
        <v>0</v>
      </c>
      <c r="V11" s="115">
        <v>9.3799999999999994E-2</v>
      </c>
      <c r="W11" s="115">
        <v>0.42109999999999997</v>
      </c>
      <c r="X11" s="115">
        <v>99.349000000000004</v>
      </c>
      <c r="Y11" s="115">
        <v>6.6364000000000001</v>
      </c>
      <c r="Z11" s="115">
        <v>212.649</v>
      </c>
      <c r="AA11" s="115">
        <v>88.3</v>
      </c>
      <c r="AB11" s="115">
        <v>11.3598</v>
      </c>
      <c r="AC11" s="115">
        <v>0.2989</v>
      </c>
      <c r="AD11" s="115">
        <v>8.0399999999999999E-2</v>
      </c>
      <c r="AE11" s="115">
        <v>9.3200000000000005E-2</v>
      </c>
      <c r="AF11" s="115">
        <v>-7.7100000000000002E-2</v>
      </c>
      <c r="AG11" s="115">
        <v>6.1699999999999998E-2</v>
      </c>
      <c r="AH11" s="115">
        <v>0.12180000000000001</v>
      </c>
      <c r="AI11" s="115">
        <v>-0.08</v>
      </c>
      <c r="AJ11" s="115">
        <v>1E-4</v>
      </c>
      <c r="AK11" s="115">
        <v>10.4375</v>
      </c>
      <c r="AL11" s="115">
        <v>2.625</v>
      </c>
      <c r="AM11" s="115">
        <v>1</v>
      </c>
      <c r="AN11" s="115">
        <v>0</v>
      </c>
      <c r="AO11" s="115">
        <v>0</v>
      </c>
      <c r="AP11" s="115">
        <v>1</v>
      </c>
      <c r="AQ11" s="115">
        <v>1</v>
      </c>
      <c r="AR11" s="115">
        <v>1</v>
      </c>
      <c r="AS11" s="115">
        <v>1.67E-2</v>
      </c>
      <c r="AT11" s="115">
        <v>0.63639999999999997</v>
      </c>
      <c r="AU11" s="114" t="str">
        <f>IF(A11&lt;&gt;"",INDEX(Index!$B$1:$B$77,MATCH($A11,Index!$A$1:$A$77,0)),"")</f>
        <v>TB</v>
      </c>
      <c r="AV11" s="123" t="str">
        <f>IF(B11&lt;&gt;"",INDEX(Index!$C$1:$C$77,MATCH($A11,Index!$A$1:$A$77,0)),"")</f>
        <v>Mayfield</v>
      </c>
      <c r="AW11" s="123">
        <f t="shared" si="0"/>
        <v>14</v>
      </c>
      <c r="AX11" s="113">
        <v>2</v>
      </c>
    </row>
    <row r="12" spans="1:50" x14ac:dyDescent="0.25">
      <c r="A12" s="95" t="s">
        <v>560</v>
      </c>
      <c r="B12" s="96">
        <v>2025</v>
      </c>
      <c r="C12" s="96">
        <v>1</v>
      </c>
      <c r="D12" s="115">
        <v>0.60833199999999998</v>
      </c>
      <c r="E12" s="115">
        <v>0.115067</v>
      </c>
      <c r="F12" s="115"/>
      <c r="G12" s="115" t="s">
        <v>560</v>
      </c>
      <c r="H12" s="115">
        <v>26</v>
      </c>
      <c r="I12" s="115">
        <v>35</v>
      </c>
      <c r="J12" s="115">
        <v>0.7429</v>
      </c>
      <c r="K12" s="115">
        <v>15.3415</v>
      </c>
      <c r="L12" s="115">
        <v>7.9142999999999999</v>
      </c>
      <c r="M12" s="115">
        <v>2</v>
      </c>
      <c r="N12" s="115">
        <v>2</v>
      </c>
      <c r="O12" s="115">
        <v>1</v>
      </c>
      <c r="P12" s="115">
        <v>3</v>
      </c>
      <c r="Q12" s="115">
        <v>19</v>
      </c>
      <c r="R12" s="115">
        <v>6.3333000000000004</v>
      </c>
      <c r="S12" s="115">
        <v>0</v>
      </c>
      <c r="T12" s="115">
        <v>5.7099999999999998E-2</v>
      </c>
      <c r="U12" s="115">
        <v>5.7099999999999998E-2</v>
      </c>
      <c r="V12" s="115">
        <v>0</v>
      </c>
      <c r="W12" s="115">
        <v>0.59519999999999995</v>
      </c>
      <c r="X12" s="115">
        <v>92.202399999999997</v>
      </c>
      <c r="Y12" s="115">
        <v>5.9722</v>
      </c>
      <c r="Z12" s="115">
        <v>223.53399999999999</v>
      </c>
      <c r="AA12" s="115">
        <v>78.900000000000006</v>
      </c>
      <c r="AB12" s="115">
        <v>17.254999999999999</v>
      </c>
      <c r="AC12" s="115">
        <v>0.4108</v>
      </c>
      <c r="AD12" s="115">
        <v>-1.47E-2</v>
      </c>
      <c r="AE12" s="115">
        <v>5.7700000000000001E-2</v>
      </c>
      <c r="AF12" s="115">
        <v>7.5499999999999998E-2</v>
      </c>
      <c r="AG12" s="115">
        <v>-0.12690000000000001</v>
      </c>
      <c r="AH12" s="115">
        <v>0.14580000000000001</v>
      </c>
      <c r="AI12" s="115">
        <v>0.13320000000000001</v>
      </c>
      <c r="AJ12" s="115">
        <v>4.1500000000000002E-2</v>
      </c>
      <c r="AK12" s="115">
        <v>7.4286000000000003</v>
      </c>
      <c r="AL12" s="115">
        <v>-0.62860000000000005</v>
      </c>
      <c r="AM12" s="115">
        <v>1</v>
      </c>
      <c r="AN12" s="115">
        <v>0</v>
      </c>
      <c r="AO12" s="115">
        <v>0</v>
      </c>
      <c r="AP12" s="115">
        <v>1</v>
      </c>
      <c r="AQ12" s="115">
        <v>1</v>
      </c>
      <c r="AR12" s="115">
        <v>1</v>
      </c>
      <c r="AS12" s="115">
        <v>1.9599999999999999E-2</v>
      </c>
      <c r="AT12" s="115">
        <v>0.82450000000000001</v>
      </c>
      <c r="AU12" s="114" t="str">
        <f>IF(A12&lt;&gt;"",INDEX(Index!$B$1:$B$77,MATCH($A12,Index!$A$1:$A$77,0)),"")</f>
        <v>SF</v>
      </c>
      <c r="AV12" s="123" t="str">
        <f>IF(B12&lt;&gt;"",INDEX(Index!$C$1:$C$77,MATCH($A12,Index!$A$1:$A$77,0)),"")</f>
        <v>Purdy</v>
      </c>
      <c r="AW12" s="123">
        <f t="shared" si="0"/>
        <v>21</v>
      </c>
      <c r="AX12" s="113">
        <v>2</v>
      </c>
    </row>
    <row r="13" spans="1:50" x14ac:dyDescent="0.25">
      <c r="A13" s="95" t="s">
        <v>561</v>
      </c>
      <c r="B13" s="96">
        <v>2025</v>
      </c>
      <c r="C13" s="96">
        <v>2</v>
      </c>
      <c r="D13" s="115">
        <v>0.60630499999999998</v>
      </c>
      <c r="E13" s="115">
        <v>0.31523200000000001</v>
      </c>
      <c r="F13" s="115"/>
      <c r="G13" s="115" t="s">
        <v>561</v>
      </c>
      <c r="H13" s="115">
        <v>47</v>
      </c>
      <c r="I13" s="115">
        <v>70</v>
      </c>
      <c r="J13" s="115">
        <v>0.6714</v>
      </c>
      <c r="K13" s="115">
        <v>-0.47960000000000003</v>
      </c>
      <c r="L13" s="115">
        <v>5.4570999999999996</v>
      </c>
      <c r="M13" s="115">
        <v>4</v>
      </c>
      <c r="N13" s="115">
        <v>3</v>
      </c>
      <c r="O13" s="115">
        <v>1</v>
      </c>
      <c r="P13" s="115">
        <v>9</v>
      </c>
      <c r="Q13" s="115">
        <v>40</v>
      </c>
      <c r="R13" s="115">
        <v>4.4443999999999999</v>
      </c>
      <c r="S13" s="115">
        <v>0</v>
      </c>
      <c r="T13" s="115">
        <v>5.7099999999999998E-2</v>
      </c>
      <c r="U13" s="115">
        <v>4.2900000000000001E-2</v>
      </c>
      <c r="V13" s="115">
        <v>1.43E-2</v>
      </c>
      <c r="W13" s="115">
        <v>0.4607</v>
      </c>
      <c r="X13" s="115">
        <v>81.964299999999994</v>
      </c>
      <c r="Y13" s="115">
        <v>4.4648000000000003</v>
      </c>
      <c r="Z13" s="115">
        <v>161.53299999999999</v>
      </c>
      <c r="AA13" s="115">
        <v>43.6</v>
      </c>
      <c r="AB13" s="115">
        <v>2.5133999999999999</v>
      </c>
      <c r="AC13" s="115">
        <v>2.8199999999999999E-2</v>
      </c>
      <c r="AD13" s="115">
        <v>-6.2199999999999998E-2</v>
      </c>
      <c r="AE13" s="115">
        <v>4.2200000000000001E-2</v>
      </c>
      <c r="AF13" s="115">
        <v>3.3500000000000002E-2</v>
      </c>
      <c r="AG13" s="115">
        <v>-7.5800000000000006E-2</v>
      </c>
      <c r="AH13" s="115">
        <v>-0.1772</v>
      </c>
      <c r="AI13" s="115">
        <v>0.15290000000000001</v>
      </c>
      <c r="AJ13" s="115">
        <v>1.6E-2</v>
      </c>
      <c r="AK13" s="115">
        <v>5.1429</v>
      </c>
      <c r="AL13" s="115">
        <v>-3.8</v>
      </c>
      <c r="AM13" s="115">
        <v>1</v>
      </c>
      <c r="AN13" s="115">
        <v>1</v>
      </c>
      <c r="AO13" s="115">
        <v>0</v>
      </c>
      <c r="AP13" s="115">
        <v>0</v>
      </c>
      <c r="AQ13" s="115">
        <v>0</v>
      </c>
      <c r="AR13" s="115"/>
      <c r="AS13" s="115">
        <v>1.6000000000000001E-3</v>
      </c>
      <c r="AT13" s="115">
        <v>0.13950000000000001</v>
      </c>
      <c r="AU13" s="114" t="str">
        <f>IF(A13&lt;&gt;"",INDEX(Index!$B$1:$B$77,MATCH($A13,Index!$A$1:$A$77,0)),"")</f>
        <v>DEN</v>
      </c>
      <c r="AV13" s="123" t="str">
        <f>IF(B13&lt;&gt;"",INDEX(Index!$C$1:$C$77,MATCH($A13,Index!$A$1:$A$77,0)),"")</f>
        <v>Nix</v>
      </c>
      <c r="AW13" s="123">
        <f t="shared" si="0"/>
        <v>14</v>
      </c>
      <c r="AX13" s="113">
        <v>2</v>
      </c>
    </row>
    <row r="14" spans="1:50" x14ac:dyDescent="0.25">
      <c r="A14" s="95" t="s">
        <v>562</v>
      </c>
      <c r="B14" s="96">
        <v>2025</v>
      </c>
      <c r="C14" s="96">
        <v>2</v>
      </c>
      <c r="D14" s="115">
        <v>0.59710099999999999</v>
      </c>
      <c r="E14" s="115">
        <v>-0.36813800000000002</v>
      </c>
      <c r="F14" s="115"/>
      <c r="G14" s="115" t="s">
        <v>562</v>
      </c>
      <c r="H14" s="115">
        <v>43</v>
      </c>
      <c r="I14" s="115">
        <v>71</v>
      </c>
      <c r="J14" s="115">
        <v>0.60560000000000003</v>
      </c>
      <c r="K14" s="115">
        <v>-4.7148000000000003</v>
      </c>
      <c r="L14" s="115">
        <v>6.0986000000000002</v>
      </c>
      <c r="M14" s="115">
        <v>3</v>
      </c>
      <c r="N14" s="115">
        <v>0</v>
      </c>
      <c r="O14" s="115">
        <v>7</v>
      </c>
      <c r="P14" s="115">
        <v>15</v>
      </c>
      <c r="Q14" s="115">
        <v>88</v>
      </c>
      <c r="R14" s="115">
        <v>5.8666999999999998</v>
      </c>
      <c r="S14" s="115">
        <v>0</v>
      </c>
      <c r="T14" s="115">
        <v>4.2299999999999997E-2</v>
      </c>
      <c r="U14" s="115">
        <v>0</v>
      </c>
      <c r="V14" s="115">
        <v>4.2299999999999997E-2</v>
      </c>
      <c r="W14" s="115">
        <v>0.44</v>
      </c>
      <c r="X14" s="115">
        <v>92.048100000000005</v>
      </c>
      <c r="Y14" s="115">
        <v>5.7820999999999998</v>
      </c>
      <c r="Z14" s="115">
        <v>152.56700000000001</v>
      </c>
      <c r="AA14" s="115">
        <v>39.1</v>
      </c>
      <c r="AB14" s="115">
        <v>-2.0758000000000001</v>
      </c>
      <c r="AC14" s="115">
        <v>-2.0799999999999999E-2</v>
      </c>
      <c r="AD14" s="115">
        <v>-6.1999999999999998E-3</v>
      </c>
      <c r="AE14" s="115">
        <v>6.7999999999999996E-3</v>
      </c>
      <c r="AF14" s="115">
        <v>-8.8300000000000003E-2</v>
      </c>
      <c r="AG14" s="115">
        <v>6.1699999999999998E-2</v>
      </c>
      <c r="AH14" s="115">
        <v>-0.1067</v>
      </c>
      <c r="AI14" s="115">
        <v>1.8200000000000001E-2</v>
      </c>
      <c r="AJ14" s="115">
        <v>-4.8999999999999998E-3</v>
      </c>
      <c r="AK14" s="115">
        <v>7.8592000000000004</v>
      </c>
      <c r="AL14" s="115">
        <v>-0.90139999999999998</v>
      </c>
      <c r="AM14" s="115">
        <v>1</v>
      </c>
      <c r="AN14" s="115">
        <v>1</v>
      </c>
      <c r="AO14" s="115">
        <v>0</v>
      </c>
      <c r="AP14" s="115">
        <v>0</v>
      </c>
      <c r="AQ14" s="115">
        <v>0</v>
      </c>
      <c r="AR14" s="115"/>
      <c r="AS14" s="115">
        <v>-1.2999999999999999E-3</v>
      </c>
      <c r="AT14" s="115">
        <v>-0.1338</v>
      </c>
      <c r="AU14" s="114" t="str">
        <f>IF(A14&lt;&gt;"",INDEX(Index!$B$1:$B$77,MATCH($A14,Index!$A$1:$A$77,0)),"")</f>
        <v>WAS</v>
      </c>
      <c r="AV14" s="123" t="str">
        <f>IF(B14&lt;&gt;"",INDEX(Index!$C$1:$C$77,MATCH($A14,Index!$A$1:$A$77,0)),"")</f>
        <v>Daniels</v>
      </c>
      <c r="AW14" s="123">
        <f t="shared" si="0"/>
        <v>4</v>
      </c>
      <c r="AX14" s="113">
        <v>2</v>
      </c>
    </row>
    <row r="15" spans="1:50" x14ac:dyDescent="0.25">
      <c r="A15" s="95" t="s">
        <v>563</v>
      </c>
      <c r="B15" s="96">
        <v>2025</v>
      </c>
      <c r="C15" s="96">
        <v>2</v>
      </c>
      <c r="D15" s="115">
        <v>0.51255899999999999</v>
      </c>
      <c r="E15" s="115">
        <v>0.17990200000000001</v>
      </c>
      <c r="F15" s="115"/>
      <c r="G15" s="115" t="s">
        <v>563</v>
      </c>
      <c r="H15" s="115">
        <v>25</v>
      </c>
      <c r="I15" s="115">
        <v>34</v>
      </c>
      <c r="J15" s="115">
        <v>0.73529999999999995</v>
      </c>
      <c r="K15" s="115">
        <v>5.7888000000000002</v>
      </c>
      <c r="L15" s="115">
        <v>9.3529</v>
      </c>
      <c r="M15" s="115">
        <v>3</v>
      </c>
      <c r="N15" s="115">
        <v>0</v>
      </c>
      <c r="O15" s="115">
        <v>3</v>
      </c>
      <c r="P15" s="115">
        <v>4</v>
      </c>
      <c r="Q15" s="115">
        <v>36</v>
      </c>
      <c r="R15" s="115">
        <v>9</v>
      </c>
      <c r="S15" s="115">
        <v>0</v>
      </c>
      <c r="T15" s="115">
        <v>8.8200000000000001E-2</v>
      </c>
      <c r="U15" s="115">
        <v>0</v>
      </c>
      <c r="V15" s="115">
        <v>8.8200000000000001E-2</v>
      </c>
      <c r="W15" s="115">
        <v>0.62790000000000001</v>
      </c>
      <c r="X15" s="115">
        <v>131.74</v>
      </c>
      <c r="Y15" s="115">
        <v>9.8377999999999997</v>
      </c>
      <c r="Z15" s="115">
        <v>286.85199999999998</v>
      </c>
      <c r="AA15" s="115">
        <v>85.4</v>
      </c>
      <c r="AB15" s="115">
        <v>18.836600000000001</v>
      </c>
      <c r="AC15" s="115">
        <v>0.43809999999999999</v>
      </c>
      <c r="AD15" s="115">
        <v>-7.0000000000000001E-3</v>
      </c>
      <c r="AE15" s="115">
        <v>5.7000000000000002E-3</v>
      </c>
      <c r="AF15" s="115">
        <v>8.2000000000000003E-2</v>
      </c>
      <c r="AG15" s="115">
        <v>6.1699999999999998E-2</v>
      </c>
      <c r="AH15" s="115">
        <v>0.19850000000000001</v>
      </c>
      <c r="AI15" s="115">
        <v>2.8500000000000001E-2</v>
      </c>
      <c r="AJ15" s="115">
        <v>-3.0200000000000001E-2</v>
      </c>
      <c r="AK15" s="115">
        <v>10.0588</v>
      </c>
      <c r="AL15" s="115">
        <v>-0.1176</v>
      </c>
      <c r="AM15" s="115">
        <v>1</v>
      </c>
      <c r="AN15" s="115">
        <v>0</v>
      </c>
      <c r="AO15" s="115">
        <v>0</v>
      </c>
      <c r="AP15" s="115">
        <v>0</v>
      </c>
      <c r="AQ15" s="115">
        <v>0</v>
      </c>
      <c r="AR15" s="115"/>
      <c r="AS15" s="115">
        <v>1.32E-2</v>
      </c>
      <c r="AT15" s="115">
        <v>0.56710000000000005</v>
      </c>
      <c r="AU15" s="114" t="str">
        <f>IF(A15&lt;&gt;"",INDEX(Index!$B$1:$B$77,MATCH($A15,Index!$A$1:$A$77,0)),"")</f>
        <v>LAC</v>
      </c>
      <c r="AV15" s="123" t="str">
        <f>IF(B15&lt;&gt;"",INDEX(Index!$C$1:$C$77,MATCH($A15,Index!$A$1:$A$77,0)),"")</f>
        <v>Herbert</v>
      </c>
      <c r="AW15" s="123">
        <f t="shared" si="0"/>
        <v>16</v>
      </c>
      <c r="AX15" s="113">
        <v>2</v>
      </c>
    </row>
    <row r="16" spans="1:50" x14ac:dyDescent="0.25">
      <c r="A16" s="95" t="s">
        <v>564</v>
      </c>
      <c r="B16" s="96">
        <v>2025</v>
      </c>
      <c r="C16" s="96">
        <v>2</v>
      </c>
      <c r="D16" s="115">
        <v>0.430647</v>
      </c>
      <c r="E16" s="115">
        <v>0.73749699999999996</v>
      </c>
      <c r="F16" s="115"/>
      <c r="G16" s="115" t="s">
        <v>564</v>
      </c>
      <c r="H16" s="115">
        <v>47</v>
      </c>
      <c r="I16" s="115">
        <v>78</v>
      </c>
      <c r="J16" s="115">
        <v>0.60260000000000002</v>
      </c>
      <c r="K16" s="115">
        <v>1.4722999999999999</v>
      </c>
      <c r="L16" s="115">
        <v>7.9230999999999998</v>
      </c>
      <c r="M16" s="115">
        <v>3</v>
      </c>
      <c r="N16" s="115">
        <v>1</v>
      </c>
      <c r="O16" s="115">
        <v>5</v>
      </c>
      <c r="P16" s="115">
        <v>11</v>
      </c>
      <c r="Q16" s="115">
        <v>67</v>
      </c>
      <c r="R16" s="115">
        <v>6.0909000000000004</v>
      </c>
      <c r="S16" s="115">
        <v>0</v>
      </c>
      <c r="T16" s="115">
        <v>3.85E-2</v>
      </c>
      <c r="U16" s="115">
        <v>1.2800000000000001E-2</v>
      </c>
      <c r="V16" s="115">
        <v>2.5600000000000001E-2</v>
      </c>
      <c r="W16" s="115">
        <v>0.45540000000000003</v>
      </c>
      <c r="X16" s="115">
        <v>92.788499999999999</v>
      </c>
      <c r="Y16" s="115">
        <v>7.1566000000000001</v>
      </c>
      <c r="Z16" s="115">
        <v>220.94200000000001</v>
      </c>
      <c r="AA16" s="115">
        <v>54.4</v>
      </c>
      <c r="AB16" s="115">
        <v>15.1365</v>
      </c>
      <c r="AC16" s="115">
        <v>0.14990000000000001</v>
      </c>
      <c r="AD16" s="115">
        <v>-1.5599999999999999E-2</v>
      </c>
      <c r="AE16" s="115">
        <v>2.41E-2</v>
      </c>
      <c r="AF16" s="115">
        <v>-8.8800000000000004E-2</v>
      </c>
      <c r="AG16" s="115">
        <v>3.9100000000000003E-2</v>
      </c>
      <c r="AH16" s="115">
        <v>0.123</v>
      </c>
      <c r="AI16" s="115">
        <v>-7.3300000000000004E-2</v>
      </c>
      <c r="AJ16" s="115">
        <v>4.2599999999999999E-2</v>
      </c>
      <c r="AK16" s="115">
        <v>9.5897000000000006</v>
      </c>
      <c r="AL16" s="115">
        <v>0.5</v>
      </c>
      <c r="AM16" s="115">
        <v>0</v>
      </c>
      <c r="AN16" s="115">
        <v>2</v>
      </c>
      <c r="AO16" s="115">
        <v>0</v>
      </c>
      <c r="AP16" s="115">
        <v>0</v>
      </c>
      <c r="AQ16" s="115">
        <v>2</v>
      </c>
      <c r="AR16" s="115">
        <v>0</v>
      </c>
      <c r="AS16" s="115">
        <v>1.3299999999999999E-2</v>
      </c>
      <c r="AT16" s="115">
        <v>1.3429</v>
      </c>
      <c r="AU16" s="114" t="str">
        <f>IF(A16&lt;&gt;"",INDEX(Index!$B$1:$B$77,MATCH($A16,Index!$A$1:$A$77,0)),"")</f>
        <v>NYG</v>
      </c>
      <c r="AV16" s="123" t="str">
        <f>IF(B16&lt;&gt;"",INDEX(Index!$C$1:$C$77,MATCH($A16,Index!$A$1:$A$77,0)),"")</f>
        <v>Wilson</v>
      </c>
      <c r="AW16" s="123">
        <f t="shared" si="0"/>
        <v>9</v>
      </c>
      <c r="AX16" s="113">
        <v>2</v>
      </c>
    </row>
    <row r="17" spans="1:50" x14ac:dyDescent="0.25">
      <c r="A17" s="95" t="s">
        <v>565</v>
      </c>
      <c r="B17" s="96">
        <v>2025</v>
      </c>
      <c r="C17" s="96">
        <v>2</v>
      </c>
      <c r="D17" s="115">
        <v>0.238232</v>
      </c>
      <c r="E17" s="115">
        <v>2.3017599999999999E-2</v>
      </c>
      <c r="F17" s="115"/>
      <c r="G17" s="115" t="s">
        <v>565</v>
      </c>
      <c r="H17" s="115">
        <v>40</v>
      </c>
      <c r="I17" s="115">
        <v>55</v>
      </c>
      <c r="J17" s="115">
        <v>0.72729999999999995</v>
      </c>
      <c r="K17" s="115">
        <v>4.8398000000000003</v>
      </c>
      <c r="L17" s="115">
        <v>7.8</v>
      </c>
      <c r="M17" s="115">
        <v>3</v>
      </c>
      <c r="N17" s="115">
        <v>3</v>
      </c>
      <c r="O17" s="115">
        <v>8</v>
      </c>
      <c r="P17" s="115">
        <v>1</v>
      </c>
      <c r="Q17" s="115">
        <v>7</v>
      </c>
      <c r="R17" s="115">
        <v>7</v>
      </c>
      <c r="S17" s="115">
        <v>0</v>
      </c>
      <c r="T17" s="115">
        <v>5.45E-2</v>
      </c>
      <c r="U17" s="115">
        <v>5.45E-2</v>
      </c>
      <c r="V17" s="115">
        <v>0</v>
      </c>
      <c r="W17" s="115">
        <v>0.46379999999999999</v>
      </c>
      <c r="X17" s="115">
        <v>90.643900000000002</v>
      </c>
      <c r="Y17" s="115">
        <v>5.1269999999999998</v>
      </c>
      <c r="Z17" s="115">
        <v>64.961500000000001</v>
      </c>
      <c r="AA17" s="115">
        <v>22.4</v>
      </c>
      <c r="AB17" s="115">
        <v>-8.3148</v>
      </c>
      <c r="AC17" s="115">
        <v>-0.1205</v>
      </c>
      <c r="AD17" s="115">
        <v>-3.3099999999999997E-2</v>
      </c>
      <c r="AE17" s="115">
        <v>-0.1188</v>
      </c>
      <c r="AF17" s="115">
        <v>2.9600000000000001E-2</v>
      </c>
      <c r="AG17" s="115">
        <v>-8.2199999999999995E-2</v>
      </c>
      <c r="AH17" s="115">
        <v>-4.3099999999999999E-2</v>
      </c>
      <c r="AI17" s="115">
        <v>0.1028</v>
      </c>
      <c r="AJ17" s="115">
        <v>-7.4499999999999997E-2</v>
      </c>
      <c r="AK17" s="115">
        <v>7.5818000000000003</v>
      </c>
      <c r="AL17" s="115">
        <v>-1.2726999999999999</v>
      </c>
      <c r="AM17" s="115">
        <v>0</v>
      </c>
      <c r="AN17" s="115">
        <v>2</v>
      </c>
      <c r="AO17" s="115">
        <v>0</v>
      </c>
      <c r="AP17" s="115">
        <v>0</v>
      </c>
      <c r="AQ17" s="115">
        <v>1</v>
      </c>
      <c r="AR17" s="115">
        <v>0</v>
      </c>
      <c r="AS17" s="115">
        <v>-3.3E-3</v>
      </c>
      <c r="AT17" s="115">
        <v>-0.23080000000000001</v>
      </c>
      <c r="AU17" s="114" t="str">
        <f>IF(A17&lt;&gt;"",INDEX(Index!$B$1:$B$77,MATCH($A17,Index!$A$1:$A$77,0)),"")</f>
        <v>MIA</v>
      </c>
      <c r="AV17" s="123" t="str">
        <f>IF(B17&lt;&gt;"",INDEX(Index!$C$1:$C$77,MATCH($A17,Index!$A$1:$A$77,0)),"")</f>
        <v>Tagovailoa</v>
      </c>
      <c r="AW17" s="123">
        <f t="shared" si="0"/>
        <v>29</v>
      </c>
      <c r="AX17" s="113">
        <v>2</v>
      </c>
    </row>
    <row r="18" spans="1:50" x14ac:dyDescent="0.25">
      <c r="A18" s="95" t="s">
        <v>566</v>
      </c>
      <c r="B18" s="96">
        <v>2025</v>
      </c>
      <c r="C18" s="96">
        <v>2</v>
      </c>
      <c r="D18" s="115">
        <v>2.3447300000000001E-2</v>
      </c>
      <c r="E18" s="115">
        <v>0.23336499999999999</v>
      </c>
      <c r="F18" s="115"/>
      <c r="G18" s="115" t="s">
        <v>566</v>
      </c>
      <c r="H18" s="115">
        <v>35</v>
      </c>
      <c r="I18" s="115">
        <v>53</v>
      </c>
      <c r="J18" s="115">
        <v>0.66039999999999999</v>
      </c>
      <c r="K18" s="115">
        <v>11.582100000000001</v>
      </c>
      <c r="L18" s="115">
        <v>9.0565999999999995</v>
      </c>
      <c r="M18" s="115">
        <v>4</v>
      </c>
      <c r="N18" s="115">
        <v>0</v>
      </c>
      <c r="O18" s="115">
        <v>2</v>
      </c>
      <c r="P18" s="115">
        <v>3</v>
      </c>
      <c r="Q18" s="115">
        <v>19</v>
      </c>
      <c r="R18" s="115">
        <v>6.3333000000000004</v>
      </c>
      <c r="S18" s="115">
        <v>0</v>
      </c>
      <c r="T18" s="115">
        <v>7.5499999999999998E-2</v>
      </c>
      <c r="U18" s="115">
        <v>0</v>
      </c>
      <c r="V18" s="115">
        <v>7.5499999999999998E-2</v>
      </c>
      <c r="W18" s="115">
        <v>0.5</v>
      </c>
      <c r="X18" s="115">
        <v>120.008</v>
      </c>
      <c r="Y18" s="115">
        <v>9.7636000000000003</v>
      </c>
      <c r="Z18" s="115">
        <v>229.67099999999999</v>
      </c>
      <c r="AA18" s="115">
        <v>78.3</v>
      </c>
      <c r="AB18" s="115">
        <v>21.846699999999998</v>
      </c>
      <c r="AC18" s="115">
        <v>0.35239999999999999</v>
      </c>
      <c r="AD18" s="115">
        <v>0.02</v>
      </c>
      <c r="AE18" s="115">
        <v>5.0200000000000002E-2</v>
      </c>
      <c r="AF18" s="115">
        <v>-7.7700000000000005E-2</v>
      </c>
      <c r="AG18" s="115">
        <v>6.1699999999999998E-2</v>
      </c>
      <c r="AH18" s="115">
        <v>0.26989999999999997</v>
      </c>
      <c r="AI18" s="115">
        <v>-6.6400000000000001E-2</v>
      </c>
      <c r="AJ18" s="115">
        <v>-4.1000000000000003E-3</v>
      </c>
      <c r="AK18" s="115">
        <v>12.4717</v>
      </c>
      <c r="AL18" s="115">
        <v>3.4340000000000002</v>
      </c>
      <c r="AM18" s="115">
        <v>2</v>
      </c>
      <c r="AN18" s="115">
        <v>0</v>
      </c>
      <c r="AO18" s="115">
        <v>0</v>
      </c>
      <c r="AP18" s="115">
        <v>0</v>
      </c>
      <c r="AQ18" s="115">
        <v>0</v>
      </c>
      <c r="AR18" s="115"/>
      <c r="AS18" s="115">
        <v>1.03E-2</v>
      </c>
      <c r="AT18" s="115">
        <v>0.64049999999999996</v>
      </c>
      <c r="AU18" s="114" t="str">
        <f>IF(A18&lt;&gt;"",INDEX(Index!$B$1:$B$77,MATCH($A18,Index!$A$1:$A$77,0)),"")</f>
        <v>GB</v>
      </c>
      <c r="AV18" s="123" t="str">
        <f>IF(B18&lt;&gt;"",INDEX(Index!$C$1:$C$77,MATCH($A18,Index!$A$1:$A$77,0)),"")</f>
        <v>Love</v>
      </c>
      <c r="AW18" s="123">
        <f t="shared" si="0"/>
        <v>21</v>
      </c>
      <c r="AX18" s="113">
        <v>2</v>
      </c>
    </row>
    <row r="19" spans="1:50" x14ac:dyDescent="0.25">
      <c r="A19" s="95" t="s">
        <v>567</v>
      </c>
      <c r="B19" s="96">
        <v>2025</v>
      </c>
      <c r="C19" s="96">
        <v>2</v>
      </c>
      <c r="D19" s="115">
        <v>-2.3447300000000001E-2</v>
      </c>
      <c r="E19" s="115">
        <v>0.153618</v>
      </c>
      <c r="F19" s="115"/>
      <c r="G19" s="115" t="s">
        <v>567</v>
      </c>
      <c r="H19" s="115">
        <v>44</v>
      </c>
      <c r="I19" s="115">
        <v>62</v>
      </c>
      <c r="J19" s="115">
        <v>0.7097</v>
      </c>
      <c r="K19" s="115">
        <v>8.2529000000000003</v>
      </c>
      <c r="L19" s="115">
        <v>8.7581000000000007</v>
      </c>
      <c r="M19" s="115">
        <v>3</v>
      </c>
      <c r="N19" s="115">
        <v>1</v>
      </c>
      <c r="O19" s="115">
        <v>4</v>
      </c>
      <c r="P19" s="115">
        <v>1</v>
      </c>
      <c r="Q19" s="115">
        <v>0</v>
      </c>
      <c r="R19" s="115">
        <v>0</v>
      </c>
      <c r="S19" s="115">
        <v>0</v>
      </c>
      <c r="T19" s="115">
        <v>4.8399999999999999E-2</v>
      </c>
      <c r="U19" s="115">
        <v>1.61E-2</v>
      </c>
      <c r="V19" s="115">
        <v>3.2300000000000002E-2</v>
      </c>
      <c r="W19" s="115">
        <v>0.47889999999999999</v>
      </c>
      <c r="X19" s="115">
        <v>107.124</v>
      </c>
      <c r="Y19" s="115">
        <v>8.0152000000000001</v>
      </c>
      <c r="Z19" s="115">
        <v>195.49600000000001</v>
      </c>
      <c r="AA19" s="115">
        <v>68.400000000000006</v>
      </c>
      <c r="AB19" s="115">
        <v>10.166</v>
      </c>
      <c r="AC19" s="115">
        <v>0.14319999999999999</v>
      </c>
      <c r="AD19" s="115">
        <v>-5.5399999999999998E-2</v>
      </c>
      <c r="AE19" s="115">
        <v>-5.4000000000000003E-3</v>
      </c>
      <c r="AF19" s="115">
        <v>-7.7000000000000002E-3</v>
      </c>
      <c r="AG19" s="115">
        <v>3.0700000000000002E-2</v>
      </c>
      <c r="AH19" s="115">
        <v>0.13239999999999999</v>
      </c>
      <c r="AI19" s="115">
        <v>-1.6400000000000001E-2</v>
      </c>
      <c r="AJ19" s="115">
        <v>-3.3799999999999997E-2</v>
      </c>
      <c r="AK19" s="115">
        <v>7.8710000000000004</v>
      </c>
      <c r="AL19" s="115">
        <v>-0.1774</v>
      </c>
      <c r="AM19" s="115">
        <v>2</v>
      </c>
      <c r="AN19" s="115">
        <v>0</v>
      </c>
      <c r="AO19" s="115">
        <v>0</v>
      </c>
      <c r="AP19" s="115">
        <v>0</v>
      </c>
      <c r="AQ19" s="115">
        <v>0</v>
      </c>
      <c r="AR19" s="115"/>
      <c r="AS19" s="115">
        <v>7.0000000000000001E-3</v>
      </c>
      <c r="AT19" s="115">
        <v>0.49719999999999998</v>
      </c>
      <c r="AU19" s="114" t="str">
        <f>IF(A19&lt;&gt;"",INDEX(Index!$B$1:$B$77,MATCH($A19,Index!$A$1:$A$77,0)),"")</f>
        <v>LAR</v>
      </c>
      <c r="AV19" s="123" t="str">
        <f>IF(B19&lt;&gt;"",INDEX(Index!$C$1:$C$77,MATCH($A19,Index!$A$1:$A$77,0)),"")</f>
        <v>Stafford</v>
      </c>
      <c r="AW19" s="123">
        <f t="shared" si="0"/>
        <v>33</v>
      </c>
      <c r="AX19" s="113">
        <v>2</v>
      </c>
    </row>
    <row r="20" spans="1:50" x14ac:dyDescent="0.25">
      <c r="A20" s="95" t="s">
        <v>568</v>
      </c>
      <c r="B20" s="96">
        <v>2025</v>
      </c>
      <c r="C20" s="96">
        <v>2</v>
      </c>
      <c r="D20" s="115">
        <v>-0.48075299999999999</v>
      </c>
      <c r="E20" s="115">
        <v>0.52232400000000001</v>
      </c>
      <c r="F20" s="115"/>
      <c r="G20" s="115" t="s">
        <v>568</v>
      </c>
      <c r="H20" s="115">
        <v>45</v>
      </c>
      <c r="I20" s="115">
        <v>63</v>
      </c>
      <c r="J20" s="115">
        <v>0.71430000000000005</v>
      </c>
      <c r="K20" s="115">
        <v>4.891</v>
      </c>
      <c r="L20" s="115">
        <v>9.3332999999999995</v>
      </c>
      <c r="M20" s="115">
        <v>2</v>
      </c>
      <c r="N20" s="115">
        <v>0</v>
      </c>
      <c r="O20" s="115">
        <v>2</v>
      </c>
      <c r="P20" s="115">
        <v>13</v>
      </c>
      <c r="Q20" s="115">
        <v>28</v>
      </c>
      <c r="R20" s="115">
        <v>2.1537999999999999</v>
      </c>
      <c r="S20" s="115">
        <v>3</v>
      </c>
      <c r="T20" s="115">
        <v>3.1699999999999999E-2</v>
      </c>
      <c r="U20" s="115">
        <v>0</v>
      </c>
      <c r="V20" s="115">
        <v>3.1699999999999999E-2</v>
      </c>
      <c r="W20" s="115">
        <v>0.58020000000000005</v>
      </c>
      <c r="X20" s="115">
        <v>111.078</v>
      </c>
      <c r="Y20" s="115">
        <v>9.3537999999999997</v>
      </c>
      <c r="Z20" s="115">
        <v>342.19</v>
      </c>
      <c r="AA20" s="115">
        <v>80.900000000000006</v>
      </c>
      <c r="AB20" s="115">
        <v>27.474399999999999</v>
      </c>
      <c r="AC20" s="115">
        <v>0.3392</v>
      </c>
      <c r="AD20" s="115">
        <v>1.6999999999999999E-3</v>
      </c>
      <c r="AE20" s="115">
        <v>6.1600000000000002E-2</v>
      </c>
      <c r="AF20" s="115">
        <v>1.3899999999999999E-2</v>
      </c>
      <c r="AG20" s="115">
        <v>6.1699999999999998E-2</v>
      </c>
      <c r="AH20" s="115">
        <v>3.1099999999999999E-2</v>
      </c>
      <c r="AI20" s="115">
        <v>9.5200000000000007E-2</v>
      </c>
      <c r="AJ20" s="115">
        <v>-2.4899999999999999E-2</v>
      </c>
      <c r="AK20" s="115">
        <v>8.3332999999999995</v>
      </c>
      <c r="AL20" s="115">
        <v>0.254</v>
      </c>
      <c r="AM20" s="115">
        <v>2</v>
      </c>
      <c r="AN20" s="115">
        <v>0</v>
      </c>
      <c r="AO20" s="115">
        <v>0</v>
      </c>
      <c r="AP20" s="115">
        <v>1</v>
      </c>
      <c r="AQ20" s="115">
        <v>1</v>
      </c>
      <c r="AR20" s="115">
        <v>1</v>
      </c>
      <c r="AS20" s="115">
        <v>7.4000000000000003E-3</v>
      </c>
      <c r="AT20" s="115">
        <v>0.6008</v>
      </c>
      <c r="AU20" s="114" t="str">
        <f>IF(A20&lt;&gt;"",INDEX(Index!$B$1:$B$77,MATCH($A20,Index!$A$1:$A$77,0)),"")</f>
        <v>IND</v>
      </c>
      <c r="AV20" s="123" t="str">
        <f>IF(B20&lt;&gt;"",INDEX(Index!$C$1:$C$77,MATCH($A20,Index!$A$1:$A$77,0)),"")</f>
        <v>Jones</v>
      </c>
      <c r="AW20" s="123">
        <f t="shared" si="0"/>
        <v>18</v>
      </c>
      <c r="AX20" s="113">
        <v>2</v>
      </c>
    </row>
    <row r="21" spans="1:50" x14ac:dyDescent="0.25">
      <c r="A21" s="95" t="s">
        <v>569</v>
      </c>
      <c r="B21" s="96">
        <v>2025</v>
      </c>
      <c r="C21" s="96">
        <v>2</v>
      </c>
      <c r="D21" s="115">
        <v>-0.50579399999999997</v>
      </c>
      <c r="E21" s="115">
        <v>-0.62981699999999996</v>
      </c>
      <c r="F21" s="115"/>
      <c r="G21" s="115" t="s">
        <v>569</v>
      </c>
      <c r="H21" s="115">
        <v>19</v>
      </c>
      <c r="I21" s="115">
        <v>33</v>
      </c>
      <c r="J21" s="115">
        <v>0.57579999999999998</v>
      </c>
      <c r="K21" s="115">
        <v>-5.0894000000000004</v>
      </c>
      <c r="L21" s="115">
        <v>7.4241999999999999</v>
      </c>
      <c r="M21" s="115">
        <v>1</v>
      </c>
      <c r="N21" s="115">
        <v>0</v>
      </c>
      <c r="O21" s="115">
        <v>3</v>
      </c>
      <c r="P21" s="115">
        <v>17</v>
      </c>
      <c r="Q21" s="115">
        <v>97</v>
      </c>
      <c r="R21" s="115">
        <v>5.7058999999999997</v>
      </c>
      <c r="S21" s="115">
        <v>2</v>
      </c>
      <c r="T21" s="115">
        <v>3.0300000000000001E-2</v>
      </c>
      <c r="U21" s="115">
        <v>0</v>
      </c>
      <c r="V21" s="115">
        <v>3.0300000000000001E-2</v>
      </c>
      <c r="W21" s="115">
        <v>0.49059999999999998</v>
      </c>
      <c r="X21" s="115">
        <v>91.098500000000001</v>
      </c>
      <c r="Y21" s="115">
        <v>6.6666999999999996</v>
      </c>
      <c r="Z21" s="115">
        <v>178.37</v>
      </c>
      <c r="AA21" s="115">
        <v>41.7</v>
      </c>
      <c r="AB21" s="115">
        <v>0.82779999999999998</v>
      </c>
      <c r="AC21" s="115">
        <v>1.5599999999999999E-2</v>
      </c>
      <c r="AD21" s="115">
        <v>-5.1700000000000003E-2</v>
      </c>
      <c r="AE21" s="115">
        <v>-5.1000000000000004E-3</v>
      </c>
      <c r="AF21" s="115">
        <v>2.6700000000000002E-2</v>
      </c>
      <c r="AG21" s="115">
        <v>6.1699999999999998E-2</v>
      </c>
      <c r="AH21" s="115">
        <v>2.46E-2</v>
      </c>
      <c r="AI21" s="115">
        <v>-0.11210000000000001</v>
      </c>
      <c r="AJ21" s="115">
        <v>-2.7199999999999998E-2</v>
      </c>
      <c r="AK21" s="115">
        <v>7.9394</v>
      </c>
      <c r="AL21" s="115">
        <v>-1</v>
      </c>
      <c r="AM21" s="115">
        <v>0</v>
      </c>
      <c r="AN21" s="115">
        <v>2</v>
      </c>
      <c r="AO21" s="115">
        <v>0</v>
      </c>
      <c r="AP21" s="115">
        <v>0</v>
      </c>
      <c r="AQ21" s="115">
        <v>1</v>
      </c>
      <c r="AR21" s="115">
        <v>0</v>
      </c>
      <c r="AS21" s="115">
        <v>-2.0000000000000001E-4</v>
      </c>
      <c r="AT21" s="115">
        <v>-1.0500000000000001E-2</v>
      </c>
      <c r="AU21" s="114" t="str">
        <f>IF(A21&lt;&gt;"",INDEX(Index!$B$1:$B$77,MATCH($A21,Index!$A$1:$A$77,0)),"")</f>
        <v>NYJ</v>
      </c>
      <c r="AV21" s="123" t="str">
        <f>IF(B21&lt;&gt;"",INDEX(Index!$C$1:$C$77,MATCH($A21,Index!$A$1:$A$77,0)),"")</f>
        <v>Fields</v>
      </c>
      <c r="AW21" s="123">
        <f t="shared" si="0"/>
        <v>2</v>
      </c>
      <c r="AX21" s="113">
        <v>2</v>
      </c>
    </row>
    <row r="22" spans="1:50" x14ac:dyDescent="0.25">
      <c r="A22" s="95" t="s">
        <v>570</v>
      </c>
      <c r="B22" s="96">
        <v>2025</v>
      </c>
      <c r="C22" s="96">
        <v>2</v>
      </c>
      <c r="D22" s="115">
        <v>-0.62968500000000005</v>
      </c>
      <c r="E22" s="115">
        <v>0.44821800000000001</v>
      </c>
      <c r="F22" s="115"/>
      <c r="G22" s="115" t="s">
        <v>570</v>
      </c>
      <c r="H22" s="115">
        <v>49</v>
      </c>
      <c r="I22" s="115">
        <v>69</v>
      </c>
      <c r="J22" s="115">
        <v>0.71009999999999995</v>
      </c>
      <c r="K22" s="115">
        <v>6.3148</v>
      </c>
      <c r="L22" s="115">
        <v>7.4927999999999999</v>
      </c>
      <c r="M22" s="115">
        <v>3</v>
      </c>
      <c r="N22" s="115">
        <v>1</v>
      </c>
      <c r="O22" s="115">
        <v>7</v>
      </c>
      <c r="P22" s="115">
        <v>10</v>
      </c>
      <c r="Q22" s="115">
        <v>45</v>
      </c>
      <c r="R22" s="115">
        <v>4.5</v>
      </c>
      <c r="S22" s="115">
        <v>1</v>
      </c>
      <c r="T22" s="115">
        <v>4.3499999999999997E-2</v>
      </c>
      <c r="U22" s="115">
        <v>1.4500000000000001E-2</v>
      </c>
      <c r="V22" s="115">
        <v>2.9000000000000001E-2</v>
      </c>
      <c r="W22" s="115">
        <v>0.48309999999999997</v>
      </c>
      <c r="X22" s="115">
        <v>100.93600000000001</v>
      </c>
      <c r="Y22" s="115">
        <v>6.6052999999999997</v>
      </c>
      <c r="Z22" s="115">
        <v>192.017</v>
      </c>
      <c r="AA22" s="115">
        <v>60.3</v>
      </c>
      <c r="AB22" s="115">
        <v>21.444199999999999</v>
      </c>
      <c r="AC22" s="115">
        <v>0.2409</v>
      </c>
      <c r="AD22" s="115">
        <v>-8.0000000000000002E-3</v>
      </c>
      <c r="AE22" s="115">
        <v>-3.0999999999999999E-3</v>
      </c>
      <c r="AF22" s="115">
        <v>5.3800000000000001E-2</v>
      </c>
      <c r="AG22" s="115">
        <v>2.0299999999999999E-2</v>
      </c>
      <c r="AH22" s="115">
        <v>9.5799999999999996E-2</v>
      </c>
      <c r="AI22" s="115">
        <v>-3.4200000000000001E-2</v>
      </c>
      <c r="AJ22" s="115">
        <v>1.7600000000000001E-2</v>
      </c>
      <c r="AK22" s="115">
        <v>7.0579999999999998</v>
      </c>
      <c r="AL22" s="115">
        <v>-2.2753999999999999</v>
      </c>
      <c r="AM22" s="115">
        <v>1</v>
      </c>
      <c r="AN22" s="115">
        <v>1</v>
      </c>
      <c r="AO22" s="115">
        <v>0</v>
      </c>
      <c r="AP22" s="115">
        <v>0</v>
      </c>
      <c r="AQ22" s="115">
        <v>1</v>
      </c>
      <c r="AR22" s="115">
        <v>0</v>
      </c>
      <c r="AS22" s="115">
        <v>6.4999999999999997E-3</v>
      </c>
      <c r="AT22" s="115">
        <v>0.57479999999999998</v>
      </c>
      <c r="AU22" s="114" t="str">
        <f>IF(A22&lt;&gt;"",INDEX(Index!$B$1:$B$77,MATCH($A22,Index!$A$1:$A$77,0)),"")</f>
        <v>NE</v>
      </c>
      <c r="AV22" s="123" t="str">
        <f>IF(B22&lt;&gt;"",INDEX(Index!$C$1:$C$77,MATCH($A22,Index!$A$1:$A$77,0)),"")</f>
        <v>Maye</v>
      </c>
      <c r="AW22" s="123">
        <f t="shared" si="0"/>
        <v>11</v>
      </c>
      <c r="AX22" s="113">
        <v>2</v>
      </c>
    </row>
    <row r="23" spans="1:50" x14ac:dyDescent="0.25">
      <c r="A23" s="95" t="s">
        <v>571</v>
      </c>
      <c r="B23" s="96">
        <v>2025</v>
      </c>
      <c r="C23" s="96">
        <v>2</v>
      </c>
      <c r="D23" s="115">
        <v>-0.724634</v>
      </c>
      <c r="E23" s="115">
        <v>5.4789999999999998E-2</v>
      </c>
      <c r="F23" s="115"/>
      <c r="G23" s="115" t="s">
        <v>571</v>
      </c>
      <c r="H23" s="115">
        <v>44</v>
      </c>
      <c r="I23" s="115">
        <v>73</v>
      </c>
      <c r="J23" s="115">
        <v>0.60270000000000001</v>
      </c>
      <c r="K23" s="115">
        <v>-4.2333999999999996</v>
      </c>
      <c r="L23" s="115">
        <v>6.4657999999999998</v>
      </c>
      <c r="M23" s="115">
        <v>4</v>
      </c>
      <c r="N23" s="115">
        <v>3</v>
      </c>
      <c r="O23" s="115">
        <v>1</v>
      </c>
      <c r="P23" s="115">
        <v>3</v>
      </c>
      <c r="Q23" s="115">
        <v>17</v>
      </c>
      <c r="R23" s="115">
        <v>5.6666999999999996</v>
      </c>
      <c r="S23" s="115">
        <v>0</v>
      </c>
      <c r="T23" s="115">
        <v>5.4800000000000001E-2</v>
      </c>
      <c r="U23" s="115">
        <v>4.1099999999999998E-2</v>
      </c>
      <c r="V23" s="115">
        <v>1.37E-2</v>
      </c>
      <c r="W23" s="115">
        <v>0.48720000000000002</v>
      </c>
      <c r="X23" s="115">
        <v>80.393799999999999</v>
      </c>
      <c r="Y23" s="115">
        <v>5.5</v>
      </c>
      <c r="Z23" s="115">
        <v>142.209</v>
      </c>
      <c r="AA23" s="115">
        <v>48.9</v>
      </c>
      <c r="AB23" s="115">
        <v>6.2320000000000002</v>
      </c>
      <c r="AC23" s="115">
        <v>7.9899999999999999E-2</v>
      </c>
      <c r="AD23" s="115">
        <v>-3.1199999999999999E-2</v>
      </c>
      <c r="AE23" s="115">
        <v>9.7900000000000001E-2</v>
      </c>
      <c r="AF23" s="115">
        <v>-5.9700000000000003E-2</v>
      </c>
      <c r="AG23" s="115">
        <v>-8.4000000000000005E-2</v>
      </c>
      <c r="AH23" s="115">
        <v>-9.9000000000000008E-3</v>
      </c>
      <c r="AI23" s="115">
        <v>0.10630000000000001</v>
      </c>
      <c r="AJ23" s="115">
        <v>-3.8300000000000001E-2</v>
      </c>
      <c r="AK23" s="115">
        <v>7.3425000000000002</v>
      </c>
      <c r="AL23" s="115">
        <v>-1.589</v>
      </c>
      <c r="AM23" s="115">
        <v>1</v>
      </c>
      <c r="AN23" s="115">
        <v>1</v>
      </c>
      <c r="AO23" s="115">
        <v>0</v>
      </c>
      <c r="AP23" s="115">
        <v>0</v>
      </c>
      <c r="AQ23" s="115">
        <v>1</v>
      </c>
      <c r="AR23" s="115">
        <v>0</v>
      </c>
      <c r="AS23" s="115">
        <v>1.2999999999999999E-3</v>
      </c>
      <c r="AT23" s="115">
        <v>0.1051</v>
      </c>
      <c r="AU23" s="114" t="str">
        <f>IF(A23&lt;&gt;"",INDEX(Index!$B$1:$B$77,MATCH($A23,Index!$A$1:$A$77,0)),"")</f>
        <v>JAX</v>
      </c>
      <c r="AV23" s="123" t="str">
        <f>IF(B23&lt;&gt;"",INDEX(Index!$C$1:$C$77,MATCH($A23,Index!$A$1:$A$77,0)),"")</f>
        <v>Lawrence</v>
      </c>
      <c r="AW23" s="123">
        <f t="shared" si="0"/>
        <v>23</v>
      </c>
      <c r="AX23" s="113">
        <v>2</v>
      </c>
    </row>
    <row r="24" spans="1:50" x14ac:dyDescent="0.25">
      <c r="A24" s="95" t="s">
        <v>572</v>
      </c>
      <c r="B24" s="96">
        <v>2025</v>
      </c>
      <c r="C24" s="96">
        <v>2</v>
      </c>
      <c r="D24" s="115">
        <v>-1.1467000000000001</v>
      </c>
      <c r="E24" s="115">
        <v>-0.92376800000000003</v>
      </c>
      <c r="F24" s="115"/>
      <c r="G24" s="115" t="s">
        <v>572</v>
      </c>
      <c r="H24" s="115">
        <v>24</v>
      </c>
      <c r="I24" s="115">
        <v>33</v>
      </c>
      <c r="J24" s="115">
        <v>0.72729999999999995</v>
      </c>
      <c r="K24" s="115">
        <v>9.6202000000000005</v>
      </c>
      <c r="L24" s="115">
        <v>10.9697</v>
      </c>
      <c r="M24" s="115">
        <v>1</v>
      </c>
      <c r="N24" s="115">
        <v>1</v>
      </c>
      <c r="O24" s="115">
        <v>4</v>
      </c>
      <c r="P24" s="115">
        <v>1</v>
      </c>
      <c r="Q24" s="115">
        <v>11</v>
      </c>
      <c r="R24" s="115">
        <v>11</v>
      </c>
      <c r="S24" s="115">
        <v>0</v>
      </c>
      <c r="T24" s="115">
        <v>3.0300000000000001E-2</v>
      </c>
      <c r="U24" s="115">
        <v>3.0300000000000001E-2</v>
      </c>
      <c r="V24" s="115">
        <v>0</v>
      </c>
      <c r="W24" s="115">
        <v>0.55259999999999998</v>
      </c>
      <c r="X24" s="115">
        <v>105.871</v>
      </c>
      <c r="Y24" s="115">
        <v>8.3242999999999991</v>
      </c>
      <c r="Z24" s="115">
        <v>41.823099999999997</v>
      </c>
      <c r="AA24" s="115">
        <v>65.599999999999994</v>
      </c>
      <c r="AB24" s="115">
        <v>14.366899999999999</v>
      </c>
      <c r="AC24" s="115">
        <v>0.37809999999999999</v>
      </c>
      <c r="AD24" s="115">
        <v>-3.6299999999999999E-2</v>
      </c>
      <c r="AE24" s="115">
        <v>-5.11E-2</v>
      </c>
      <c r="AF24" s="115">
        <v>7.2400000000000006E-2</v>
      </c>
      <c r="AG24" s="115">
        <v>-3.0099999999999998E-2</v>
      </c>
      <c r="AH24" s="115">
        <v>0.26479999999999998</v>
      </c>
      <c r="AI24" s="115">
        <v>8.6699999999999999E-2</v>
      </c>
      <c r="AJ24" s="115">
        <v>-2.7199999999999998E-2</v>
      </c>
      <c r="AK24" s="115">
        <v>10.6364</v>
      </c>
      <c r="AL24" s="115">
        <v>1.0303</v>
      </c>
      <c r="AM24" s="115">
        <v>1</v>
      </c>
      <c r="AN24" s="115">
        <v>0</v>
      </c>
      <c r="AO24" s="115">
        <v>0</v>
      </c>
      <c r="AP24" s="115">
        <v>0</v>
      </c>
      <c r="AQ24" s="115">
        <v>0</v>
      </c>
      <c r="AR24" s="115"/>
      <c r="AS24" s="115">
        <v>8.2000000000000007E-3</v>
      </c>
      <c r="AT24" s="115">
        <v>0.3135</v>
      </c>
      <c r="AU24" s="114" t="str">
        <f>IF(A24&lt;&gt;"",INDEX(Index!$B$1:$B$77,MATCH($A24,Index!$A$1:$A$77,0)),"")</f>
        <v>LV</v>
      </c>
      <c r="AV24" s="123" t="str">
        <f>IF(B24&lt;&gt;"",INDEX(Index!$C$1:$C$77,MATCH($A24,Index!$A$1:$A$77,0)),"")</f>
        <v>Smith</v>
      </c>
      <c r="AW24" s="123">
        <f t="shared" si="0"/>
        <v>26</v>
      </c>
      <c r="AX24" s="113">
        <v>2</v>
      </c>
    </row>
    <row r="25" spans="1:50" x14ac:dyDescent="0.25">
      <c r="A25" s="95" t="s">
        <v>573</v>
      </c>
      <c r="B25" s="96">
        <v>2025</v>
      </c>
      <c r="C25" s="96">
        <v>2</v>
      </c>
      <c r="D25" s="115">
        <v>-1.1957899999999999</v>
      </c>
      <c r="E25" s="115">
        <v>3.12085E-2</v>
      </c>
      <c r="F25" s="115"/>
      <c r="G25" s="115" t="s">
        <v>573</v>
      </c>
      <c r="H25" s="115">
        <v>38</v>
      </c>
      <c r="I25" s="115">
        <v>55</v>
      </c>
      <c r="J25" s="115">
        <v>0.69089999999999996</v>
      </c>
      <c r="K25" s="115">
        <v>7.1638000000000002</v>
      </c>
      <c r="L25" s="115">
        <v>8.0908999999999995</v>
      </c>
      <c r="M25" s="115">
        <v>2</v>
      </c>
      <c r="N25" s="115">
        <v>2</v>
      </c>
      <c r="O25" s="115">
        <v>3</v>
      </c>
      <c r="P25" s="115">
        <v>2</v>
      </c>
      <c r="Q25" s="115">
        <v>14</v>
      </c>
      <c r="R25" s="115">
        <v>7</v>
      </c>
      <c r="S25" s="115">
        <v>0</v>
      </c>
      <c r="T25" s="115">
        <v>3.6400000000000002E-2</v>
      </c>
      <c r="U25" s="115">
        <v>3.6400000000000002E-2</v>
      </c>
      <c r="V25" s="115">
        <v>0</v>
      </c>
      <c r="W25" s="115">
        <v>0.49209999999999998</v>
      </c>
      <c r="X25" s="115">
        <v>90.340900000000005</v>
      </c>
      <c r="Y25" s="115">
        <v>6.4482999999999997</v>
      </c>
      <c r="Z25" s="115">
        <v>145.08600000000001</v>
      </c>
      <c r="AA25" s="115">
        <v>51.1</v>
      </c>
      <c r="AB25" s="115">
        <v>-2.9428000000000001</v>
      </c>
      <c r="AC25" s="115">
        <v>-4.6699999999999998E-2</v>
      </c>
      <c r="AD25" s="115">
        <v>-2.3300000000000001E-2</v>
      </c>
      <c r="AE25" s="115">
        <v>-1.9699999999999999E-2</v>
      </c>
      <c r="AF25" s="115">
        <v>3.1899999999999998E-2</v>
      </c>
      <c r="AG25" s="115">
        <v>-0.1096</v>
      </c>
      <c r="AH25" s="115">
        <v>-9.4000000000000004E-3</v>
      </c>
      <c r="AI25" s="115">
        <v>-3.9300000000000002E-2</v>
      </c>
      <c r="AJ25" s="115">
        <v>2.3900000000000001E-2</v>
      </c>
      <c r="AK25" s="115">
        <v>8.4</v>
      </c>
      <c r="AL25" s="115">
        <v>-0.90910000000000002</v>
      </c>
      <c r="AM25" s="115">
        <v>1</v>
      </c>
      <c r="AN25" s="115">
        <v>1</v>
      </c>
      <c r="AO25" s="115">
        <v>0</v>
      </c>
      <c r="AP25" s="115">
        <v>0</v>
      </c>
      <c r="AQ25" s="115">
        <v>1</v>
      </c>
      <c r="AR25" s="115">
        <v>0</v>
      </c>
      <c r="AS25" s="115">
        <v>-7.7999999999999996E-3</v>
      </c>
      <c r="AT25" s="115">
        <v>-0.4924</v>
      </c>
      <c r="AU25" s="114" t="str">
        <f>IF(A25&lt;&gt;"",INDEX(Index!$B$1:$B$77,MATCH($A25,Index!$A$1:$A$77,0)),"")</f>
        <v>SEA</v>
      </c>
      <c r="AV25" s="123" t="str">
        <f>IF(B25&lt;&gt;"",INDEX(Index!$C$1:$C$77,MATCH($A25,Index!$A$1:$A$77,0)),"")</f>
        <v>Darnold</v>
      </c>
      <c r="AW25" s="123">
        <f t="shared" si="0"/>
        <v>24</v>
      </c>
      <c r="AX25" s="113">
        <v>2</v>
      </c>
    </row>
    <row r="26" spans="1:50" x14ac:dyDescent="0.25">
      <c r="A26" s="95" t="s">
        <v>574</v>
      </c>
      <c r="B26" s="96">
        <v>2025</v>
      </c>
      <c r="C26" s="96">
        <v>2</v>
      </c>
      <c r="D26" s="115">
        <v>-1.3971100000000001</v>
      </c>
      <c r="E26" s="115">
        <v>-0.18756800000000001</v>
      </c>
      <c r="F26" s="115"/>
      <c r="G26" s="115" t="s">
        <v>574</v>
      </c>
      <c r="H26" s="115">
        <v>40</v>
      </c>
      <c r="I26" s="115">
        <v>65</v>
      </c>
      <c r="J26" s="115">
        <v>0.61539999999999995</v>
      </c>
      <c r="K26" s="115">
        <v>-6.1852999999999998</v>
      </c>
      <c r="L26" s="115">
        <v>6.4154</v>
      </c>
      <c r="M26" s="115">
        <v>3</v>
      </c>
      <c r="N26" s="115">
        <v>1</v>
      </c>
      <c r="O26" s="115">
        <v>6</v>
      </c>
      <c r="P26" s="115">
        <v>11</v>
      </c>
      <c r="Q26" s="115">
        <v>85</v>
      </c>
      <c r="R26" s="115">
        <v>7.7272999999999996</v>
      </c>
      <c r="S26" s="115">
        <v>1</v>
      </c>
      <c r="T26" s="115">
        <v>4.6199999999999998E-2</v>
      </c>
      <c r="U26" s="115">
        <v>1.54E-2</v>
      </c>
      <c r="V26" s="115">
        <v>3.0800000000000001E-2</v>
      </c>
      <c r="W26" s="115">
        <v>0.42699999999999999</v>
      </c>
      <c r="X26" s="115">
        <v>89.070499999999996</v>
      </c>
      <c r="Y26" s="115">
        <v>5.5069999999999997</v>
      </c>
      <c r="Z26" s="115">
        <v>186.27799999999999</v>
      </c>
      <c r="AA26" s="115">
        <v>57.7</v>
      </c>
      <c r="AB26" s="115">
        <v>-5.1134000000000004</v>
      </c>
      <c r="AC26" s="115">
        <v>-5.7500000000000002E-2</v>
      </c>
      <c r="AD26" s="115">
        <v>-5.7999999999999996E-3</v>
      </c>
      <c r="AE26" s="115">
        <v>-2.0000000000000001E-4</v>
      </c>
      <c r="AF26" s="115">
        <v>-4.5499999999999999E-2</v>
      </c>
      <c r="AG26" s="115">
        <v>2.81E-2</v>
      </c>
      <c r="AH26" s="115">
        <v>-1.54E-2</v>
      </c>
      <c r="AI26" s="115">
        <v>-8.8999999999999996E-2</v>
      </c>
      <c r="AJ26" s="115">
        <v>-2.8500000000000001E-2</v>
      </c>
      <c r="AK26" s="115">
        <v>8.6922999999999995</v>
      </c>
      <c r="AL26" s="115">
        <v>-2.1846000000000001</v>
      </c>
      <c r="AM26" s="115">
        <v>0</v>
      </c>
      <c r="AN26" s="115">
        <v>2</v>
      </c>
      <c r="AO26" s="115">
        <v>0</v>
      </c>
      <c r="AP26" s="115">
        <v>0</v>
      </c>
      <c r="AQ26" s="115">
        <v>1</v>
      </c>
      <c r="AR26" s="115">
        <v>0</v>
      </c>
      <c r="AS26" s="115">
        <v>-1.1000000000000001E-3</v>
      </c>
      <c r="AT26" s="115">
        <v>-0.1014</v>
      </c>
      <c r="AU26" s="114" t="str">
        <f>IF(A26&lt;&gt;"",INDEX(Index!$B$1:$B$77,MATCH($A26,Index!$A$1:$A$77,0)),"")</f>
        <v>CHI</v>
      </c>
      <c r="AV26" s="123" t="str">
        <f>IF(B26&lt;&gt;"",INDEX(Index!$C$1:$C$77,MATCH($A26,Index!$A$1:$A$77,0)),"")</f>
        <v>Williams</v>
      </c>
      <c r="AW26" s="123">
        <f t="shared" si="0"/>
        <v>5</v>
      </c>
      <c r="AX26" s="113">
        <v>2</v>
      </c>
    </row>
    <row r="27" spans="1:50" x14ac:dyDescent="0.25">
      <c r="A27" s="95" t="s">
        <v>575</v>
      </c>
      <c r="B27" s="96">
        <v>2025</v>
      </c>
      <c r="C27" s="96">
        <v>1</v>
      </c>
      <c r="D27" s="115">
        <v>-1.58958</v>
      </c>
      <c r="E27" s="115">
        <v>0.40651300000000001</v>
      </c>
      <c r="F27" s="115"/>
      <c r="G27" s="115" t="s">
        <v>575</v>
      </c>
      <c r="H27" s="115">
        <v>26</v>
      </c>
      <c r="I27" s="115">
        <v>38</v>
      </c>
      <c r="J27" s="115">
        <v>0.68420000000000003</v>
      </c>
      <c r="K27" s="115">
        <v>-3.6295999999999999</v>
      </c>
      <c r="L27" s="115">
        <v>7.3421000000000003</v>
      </c>
      <c r="M27" s="115">
        <v>3</v>
      </c>
      <c r="N27" s="115">
        <v>0</v>
      </c>
      <c r="O27" s="115">
        <v>3</v>
      </c>
      <c r="P27" s="115">
        <v>3</v>
      </c>
      <c r="Q27" s="115">
        <v>9</v>
      </c>
      <c r="R27" s="115">
        <v>3</v>
      </c>
      <c r="S27" s="115">
        <v>0</v>
      </c>
      <c r="T27" s="115">
        <v>7.8899999999999998E-2</v>
      </c>
      <c r="U27" s="115">
        <v>0</v>
      </c>
      <c r="V27" s="115">
        <v>7.8899999999999998E-2</v>
      </c>
      <c r="W27" s="115">
        <v>0.5</v>
      </c>
      <c r="X27" s="115">
        <v>116.009</v>
      </c>
      <c r="Y27" s="115">
        <v>7.9756</v>
      </c>
      <c r="Z27" s="115">
        <v>245.48699999999999</v>
      </c>
      <c r="AA27" s="115">
        <v>67</v>
      </c>
      <c r="AB27" s="115">
        <v>7.8707000000000003</v>
      </c>
      <c r="AC27" s="115">
        <v>0.1711</v>
      </c>
      <c r="AD27" s="115">
        <v>-2.5000000000000001E-2</v>
      </c>
      <c r="AE27" s="115">
        <v>-8.9399999999999993E-2</v>
      </c>
      <c r="AF27" s="115">
        <v>-2.0400000000000001E-2</v>
      </c>
      <c r="AG27" s="115">
        <v>6.1699999999999998E-2</v>
      </c>
      <c r="AH27" s="115">
        <v>0.10489999999999999</v>
      </c>
      <c r="AI27" s="115">
        <v>-2.64E-2</v>
      </c>
      <c r="AJ27" s="115">
        <v>6.7000000000000004E-2</v>
      </c>
      <c r="AK27" s="115">
        <v>6.6841999999999997</v>
      </c>
      <c r="AL27" s="115">
        <v>-2.5</v>
      </c>
      <c r="AM27" s="115">
        <v>1</v>
      </c>
      <c r="AN27" s="115">
        <v>0</v>
      </c>
      <c r="AO27" s="115">
        <v>0</v>
      </c>
      <c r="AP27" s="115">
        <v>0</v>
      </c>
      <c r="AQ27" s="115">
        <v>0</v>
      </c>
      <c r="AR27" s="115"/>
      <c r="AS27" s="115">
        <v>7.4000000000000003E-3</v>
      </c>
      <c r="AT27" s="115">
        <v>0.34079999999999999</v>
      </c>
      <c r="AU27" s="114" t="str">
        <f>IF(A27&lt;&gt;"",INDEX(Index!$B$1:$B$77,MATCH($A27,Index!$A$1:$A$77,0)),"")</f>
        <v>SF</v>
      </c>
      <c r="AV27" s="123" t="str">
        <f>IF(B27&lt;&gt;"",INDEX(Index!$C$1:$C$77,MATCH($A27,Index!$A$1:$A$77,0)),"")</f>
        <v>Jones</v>
      </c>
      <c r="AW27" s="123">
        <f t="shared" si="0"/>
        <v>27</v>
      </c>
      <c r="AX27" s="113">
        <v>2</v>
      </c>
    </row>
    <row r="28" spans="1:50" x14ac:dyDescent="0.25">
      <c r="A28" s="95" t="s">
        <v>576</v>
      </c>
      <c r="B28" s="96">
        <v>2025</v>
      </c>
      <c r="C28" s="96">
        <v>2</v>
      </c>
      <c r="D28" s="115">
        <v>-1.65713</v>
      </c>
      <c r="E28" s="115">
        <v>0.294877</v>
      </c>
      <c r="F28" s="115"/>
      <c r="G28" s="115" t="s">
        <v>576</v>
      </c>
      <c r="H28" s="115">
        <v>53</v>
      </c>
      <c r="I28" s="115">
        <v>90</v>
      </c>
      <c r="J28" s="115">
        <v>0.58889999999999998</v>
      </c>
      <c r="K28" s="115">
        <v>-6.2660999999999998</v>
      </c>
      <c r="L28" s="115">
        <v>5.3555999999999999</v>
      </c>
      <c r="M28" s="115">
        <v>4</v>
      </c>
      <c r="N28" s="115">
        <v>3</v>
      </c>
      <c r="O28" s="115">
        <v>4</v>
      </c>
      <c r="P28" s="115">
        <v>5</v>
      </c>
      <c r="Q28" s="115">
        <v>44</v>
      </c>
      <c r="R28" s="115">
        <v>8.8000000000000007</v>
      </c>
      <c r="S28" s="115">
        <v>0</v>
      </c>
      <c r="T28" s="115">
        <v>4.4400000000000002E-2</v>
      </c>
      <c r="U28" s="115">
        <v>3.3300000000000003E-2</v>
      </c>
      <c r="V28" s="115">
        <v>1.11E-2</v>
      </c>
      <c r="W28" s="115">
        <v>0.46729999999999999</v>
      </c>
      <c r="X28" s="115">
        <v>74.398099999999999</v>
      </c>
      <c r="Y28" s="115">
        <v>4.1489000000000003</v>
      </c>
      <c r="Z28" s="115">
        <v>115.925</v>
      </c>
      <c r="AA28" s="115">
        <v>36.4</v>
      </c>
      <c r="AB28" s="115">
        <v>-1.9148000000000001</v>
      </c>
      <c r="AC28" s="115">
        <v>-1.7899999999999999E-2</v>
      </c>
      <c r="AD28" s="115">
        <v>-2.58E-2</v>
      </c>
      <c r="AE28" s="115">
        <v>-1.35E-2</v>
      </c>
      <c r="AF28" s="115">
        <v>-5.74E-2</v>
      </c>
      <c r="AG28" s="115">
        <v>-4.2799999999999998E-2</v>
      </c>
      <c r="AH28" s="115">
        <v>-9.1999999999999998E-3</v>
      </c>
      <c r="AI28" s="115">
        <v>-2.3099999999999999E-2</v>
      </c>
      <c r="AJ28" s="115">
        <v>5.5E-2</v>
      </c>
      <c r="AK28" s="115">
        <v>7.1555999999999997</v>
      </c>
      <c r="AL28" s="115">
        <v>-1.4556</v>
      </c>
      <c r="AM28" s="115">
        <v>0</v>
      </c>
      <c r="AN28" s="115">
        <v>2</v>
      </c>
      <c r="AO28" s="115">
        <v>0</v>
      </c>
      <c r="AP28" s="115">
        <v>0</v>
      </c>
      <c r="AQ28" s="115">
        <v>1</v>
      </c>
      <c r="AR28" s="115">
        <v>0</v>
      </c>
      <c r="AS28" s="115">
        <v>-5.5999999999999999E-3</v>
      </c>
      <c r="AT28" s="115">
        <v>-0.6038</v>
      </c>
      <c r="AU28" s="114" t="str">
        <f>IF(A28&lt;&gt;"",INDEX(Index!$B$1:$B$77,MATCH($A28,Index!$A$1:$A$77,0)),"")</f>
        <v>CAR</v>
      </c>
      <c r="AV28" s="123" t="str">
        <f>IF(B28&lt;&gt;"",INDEX(Index!$C$1:$C$77,MATCH($A28,Index!$A$1:$A$77,0)),"")</f>
        <v>Young</v>
      </c>
      <c r="AW28" s="123">
        <f t="shared" si="0"/>
        <v>12</v>
      </c>
      <c r="AX28" s="113">
        <v>2</v>
      </c>
    </row>
    <row r="29" spans="1:50" x14ac:dyDescent="0.25">
      <c r="A29" s="95" t="s">
        <v>577</v>
      </c>
      <c r="B29" s="96">
        <v>2025</v>
      </c>
      <c r="C29" s="96">
        <v>2</v>
      </c>
      <c r="D29" s="115">
        <v>-1.6616200000000001</v>
      </c>
      <c r="E29" s="115">
        <v>-0.26552399999999998</v>
      </c>
      <c r="F29" s="115"/>
      <c r="G29" s="115" t="s">
        <v>577</v>
      </c>
      <c r="H29" s="115">
        <v>56</v>
      </c>
      <c r="I29" s="115">
        <v>90</v>
      </c>
      <c r="J29" s="115">
        <v>0.62219999999999998</v>
      </c>
      <c r="K29" s="115">
        <v>-0.22570000000000001</v>
      </c>
      <c r="L29" s="115">
        <v>5.4333</v>
      </c>
      <c r="M29" s="115">
        <v>2</v>
      </c>
      <c r="N29" s="115">
        <v>3</v>
      </c>
      <c r="O29" s="115">
        <v>4</v>
      </c>
      <c r="P29" s="115">
        <v>3</v>
      </c>
      <c r="Q29" s="115">
        <v>14</v>
      </c>
      <c r="R29" s="115">
        <v>4.6666999999999996</v>
      </c>
      <c r="S29" s="115">
        <v>0</v>
      </c>
      <c r="T29" s="115">
        <v>2.2200000000000001E-2</v>
      </c>
      <c r="U29" s="115">
        <v>3.3300000000000003E-2</v>
      </c>
      <c r="V29" s="115">
        <v>-1.11E-2</v>
      </c>
      <c r="W29" s="115">
        <v>0.39810000000000001</v>
      </c>
      <c r="X29" s="115">
        <v>70.092600000000004</v>
      </c>
      <c r="Y29" s="115">
        <v>3.9468000000000001</v>
      </c>
      <c r="Z29" s="115">
        <v>103.04</v>
      </c>
      <c r="AA29" s="115">
        <v>36.700000000000003</v>
      </c>
      <c r="AB29" s="115">
        <v>-26.718599999999999</v>
      </c>
      <c r="AC29" s="115">
        <v>-0.25940000000000002</v>
      </c>
      <c r="AD29" s="115">
        <v>-2.5100000000000001E-2</v>
      </c>
      <c r="AE29" s="115">
        <v>-1.21E-2</v>
      </c>
      <c r="AF29" s="115">
        <v>-5.91E-2</v>
      </c>
      <c r="AG29" s="115">
        <v>-8.1600000000000006E-2</v>
      </c>
      <c r="AH29" s="115">
        <v>-0.14580000000000001</v>
      </c>
      <c r="AI29" s="115">
        <v>-1.11E-2</v>
      </c>
      <c r="AJ29" s="115">
        <v>-2.35E-2</v>
      </c>
      <c r="AK29" s="115">
        <v>6.4443999999999999</v>
      </c>
      <c r="AL29" s="115">
        <v>-2.5</v>
      </c>
      <c r="AM29" s="115">
        <v>0</v>
      </c>
      <c r="AN29" s="115">
        <v>2</v>
      </c>
      <c r="AO29" s="115">
        <v>0</v>
      </c>
      <c r="AP29" s="115">
        <v>0</v>
      </c>
      <c r="AQ29" s="115">
        <v>1</v>
      </c>
      <c r="AR29" s="115">
        <v>0</v>
      </c>
      <c r="AS29" s="115">
        <v>-9.1000000000000004E-3</v>
      </c>
      <c r="AT29" s="115">
        <v>-0.93510000000000004</v>
      </c>
      <c r="AU29" s="114" t="str">
        <f>IF(A29&lt;&gt;"",INDEX(Index!$B$1:$B$77,MATCH($A29,Index!$A$1:$A$77,0)),"")</f>
        <v>CIN</v>
      </c>
      <c r="AV29" s="123" t="str">
        <f>IF(B29&lt;&gt;"",INDEX(Index!$C$1:$C$77,MATCH($A29,Index!$A$1:$A$77,0)),"")</f>
        <v>Flacco</v>
      </c>
      <c r="AW29" s="123">
        <f t="shared" si="0"/>
        <v>24</v>
      </c>
      <c r="AX29" s="113">
        <v>2</v>
      </c>
    </row>
    <row r="30" spans="1:50" x14ac:dyDescent="0.25">
      <c r="A30" s="95" t="s">
        <v>578</v>
      </c>
      <c r="B30" s="96">
        <v>2025</v>
      </c>
      <c r="C30" s="96">
        <v>2</v>
      </c>
      <c r="D30" s="115">
        <v>-1.9925600000000001</v>
      </c>
      <c r="E30" s="115">
        <v>-0.44581900000000002</v>
      </c>
      <c r="F30" s="115"/>
      <c r="G30" s="115" t="s">
        <v>578</v>
      </c>
      <c r="H30" s="115">
        <v>40</v>
      </c>
      <c r="I30" s="115">
        <v>63</v>
      </c>
      <c r="J30" s="115">
        <v>0.63490000000000002</v>
      </c>
      <c r="K30" s="115">
        <v>-6.4423000000000004</v>
      </c>
      <c r="L30" s="115">
        <v>6.8730000000000002</v>
      </c>
      <c r="M30" s="115">
        <v>1</v>
      </c>
      <c r="N30" s="115">
        <v>0</v>
      </c>
      <c r="O30" s="115">
        <v>4</v>
      </c>
      <c r="P30" s="115">
        <v>4</v>
      </c>
      <c r="Q30" s="115">
        <v>22</v>
      </c>
      <c r="R30" s="115">
        <v>5.5</v>
      </c>
      <c r="S30" s="115">
        <v>1</v>
      </c>
      <c r="T30" s="115">
        <v>1.5900000000000001E-2</v>
      </c>
      <c r="U30" s="115">
        <v>0</v>
      </c>
      <c r="V30" s="115">
        <v>1.5900000000000001E-2</v>
      </c>
      <c r="W30" s="115">
        <v>0.48049999999999998</v>
      </c>
      <c r="X30" s="115">
        <v>88.921999999999997</v>
      </c>
      <c r="Y30" s="115">
        <v>6.2239000000000004</v>
      </c>
      <c r="Z30" s="115">
        <v>146.09100000000001</v>
      </c>
      <c r="AA30" s="115">
        <v>62.6</v>
      </c>
      <c r="AB30" s="115">
        <v>9.032</v>
      </c>
      <c r="AC30" s="115">
        <v>0.1173</v>
      </c>
      <c r="AD30" s="115">
        <v>5.4199999999999998E-2</v>
      </c>
      <c r="AE30" s="115">
        <v>3.0000000000000001E-3</v>
      </c>
      <c r="AF30" s="115">
        <v>-8.0999999999999996E-3</v>
      </c>
      <c r="AG30" s="115">
        <v>6.1699999999999998E-2</v>
      </c>
      <c r="AH30" s="115">
        <v>-7.8600000000000003E-2</v>
      </c>
      <c r="AI30" s="115">
        <v>-8.5000000000000006E-3</v>
      </c>
      <c r="AJ30" s="115">
        <v>-6.4000000000000003E-3</v>
      </c>
      <c r="AK30" s="115">
        <v>6.6666999999999996</v>
      </c>
      <c r="AL30" s="115">
        <v>-2.5078999999999998</v>
      </c>
      <c r="AM30" s="115">
        <v>1</v>
      </c>
      <c r="AN30" s="115">
        <v>1</v>
      </c>
      <c r="AO30" s="115">
        <v>0</v>
      </c>
      <c r="AP30" s="115">
        <v>0</v>
      </c>
      <c r="AQ30" s="115">
        <v>1</v>
      </c>
      <c r="AR30" s="115">
        <v>0</v>
      </c>
      <c r="AS30" s="115">
        <v>7.1000000000000004E-3</v>
      </c>
      <c r="AT30" s="115">
        <v>0.54479999999999995</v>
      </c>
      <c r="AU30" s="114" t="str">
        <f>IF(A30&lt;&gt;"",INDEX(Index!$B$1:$B$77,MATCH($A30,Index!$A$1:$A$77,0)),"")</f>
        <v>ATL</v>
      </c>
      <c r="AV30" s="123" t="str">
        <f>IF(B30&lt;&gt;"",INDEX(Index!$C$1:$C$77,MATCH($A30,Index!$A$1:$A$77,0)),"")</f>
        <v>Penix</v>
      </c>
      <c r="AW30" s="123">
        <f t="shared" si="0"/>
        <v>19</v>
      </c>
      <c r="AX30" s="113">
        <v>2</v>
      </c>
    </row>
    <row r="31" spans="1:50" x14ac:dyDescent="0.25">
      <c r="A31" s="95" t="s">
        <v>579</v>
      </c>
      <c r="B31" s="96">
        <v>2025</v>
      </c>
      <c r="C31" s="96">
        <v>2</v>
      </c>
      <c r="D31" s="115">
        <v>-2.2455099999999999</v>
      </c>
      <c r="E31" s="115">
        <v>-0.13083500000000001</v>
      </c>
      <c r="F31" s="115"/>
      <c r="G31" s="115" t="s">
        <v>579</v>
      </c>
      <c r="H31" s="115">
        <v>19</v>
      </c>
      <c r="I31" s="115">
        <v>27</v>
      </c>
      <c r="J31" s="115">
        <v>0.70369999999999999</v>
      </c>
      <c r="K31" s="115">
        <v>-0.97470000000000001</v>
      </c>
      <c r="L31" s="115">
        <v>6.9630000000000001</v>
      </c>
      <c r="M31" s="115">
        <v>0</v>
      </c>
      <c r="N31" s="115">
        <v>1</v>
      </c>
      <c r="O31" s="115">
        <v>3</v>
      </c>
      <c r="P31" s="115">
        <v>5</v>
      </c>
      <c r="Q31" s="115">
        <v>32</v>
      </c>
      <c r="R31" s="115">
        <v>6.4</v>
      </c>
      <c r="S31" s="115">
        <v>0</v>
      </c>
      <c r="T31" s="115">
        <v>0</v>
      </c>
      <c r="U31" s="115">
        <v>3.6999999999999998E-2</v>
      </c>
      <c r="V31" s="115">
        <v>-3.6999999999999998E-2</v>
      </c>
      <c r="W31" s="115">
        <v>0.46150000000000002</v>
      </c>
      <c r="X31" s="115">
        <v>74.305599999999998</v>
      </c>
      <c r="Y31" s="115">
        <v>3.5333000000000001</v>
      </c>
      <c r="Z31" s="115">
        <v>85.053899999999999</v>
      </c>
      <c r="AA31" s="115">
        <v>49.7</v>
      </c>
      <c r="AB31" s="115">
        <v>-3.3161</v>
      </c>
      <c r="AC31" s="115">
        <v>-8.5000000000000006E-2</v>
      </c>
      <c r="AD31" s="115">
        <v>0.1051</v>
      </c>
      <c r="AE31" s="115">
        <v>-5.4800000000000001E-2</v>
      </c>
      <c r="AF31" s="115">
        <v>0.10150000000000001</v>
      </c>
      <c r="AG31" s="115">
        <v>-2.7799999999999998E-2</v>
      </c>
      <c r="AH31" s="115">
        <v>-6.9099999999999995E-2</v>
      </c>
      <c r="AI31" s="115">
        <v>-0.20250000000000001</v>
      </c>
      <c r="AJ31" s="115">
        <v>-3.6299999999999999E-2</v>
      </c>
      <c r="AK31" s="115">
        <v>6.3704000000000001</v>
      </c>
      <c r="AL31" s="115">
        <v>-4.5926</v>
      </c>
      <c r="AM31" s="115">
        <v>0</v>
      </c>
      <c r="AN31" s="115">
        <v>1</v>
      </c>
      <c r="AO31" s="115">
        <v>0</v>
      </c>
      <c r="AP31" s="115">
        <v>0</v>
      </c>
      <c r="AQ31" s="115">
        <v>1</v>
      </c>
      <c r="AR31" s="115">
        <v>0</v>
      </c>
      <c r="AS31" s="115">
        <v>-2.8E-3</v>
      </c>
      <c r="AT31" s="115">
        <v>-0.1077</v>
      </c>
      <c r="AU31" s="114" t="str">
        <f>IF(A31&lt;&gt;"",INDEX(Index!$B$1:$B$77,MATCH($A31,Index!$A$1:$A$77,0)),"")</f>
        <v>HOU</v>
      </c>
      <c r="AV31" s="123" t="str">
        <f>IF(B31&lt;&gt;"",INDEX(Index!$C$1:$C$77,MATCH($A31,Index!$A$1:$A$77,0)),"")</f>
        <v>Stroud</v>
      </c>
      <c r="AW31" s="123">
        <f t="shared" si="0"/>
        <v>17</v>
      </c>
      <c r="AX31" s="113">
        <v>2</v>
      </c>
    </row>
    <row r="32" spans="1:50" x14ac:dyDescent="0.25">
      <c r="A32" s="95" t="s">
        <v>580</v>
      </c>
      <c r="B32" s="96">
        <v>2025</v>
      </c>
      <c r="C32" s="96">
        <v>2</v>
      </c>
      <c r="D32" s="115">
        <v>-2.7213599999999998</v>
      </c>
      <c r="E32" s="115">
        <v>-0.98064499999999999</v>
      </c>
      <c r="F32" s="115"/>
      <c r="G32" s="115" t="s">
        <v>580</v>
      </c>
      <c r="H32" s="115">
        <v>24</v>
      </c>
      <c r="I32" s="115">
        <v>41</v>
      </c>
      <c r="J32" s="115">
        <v>0.58540000000000003</v>
      </c>
      <c r="K32" s="115">
        <v>-7.2812999999999999</v>
      </c>
      <c r="L32" s="115">
        <v>7.3414999999999999</v>
      </c>
      <c r="M32" s="115">
        <v>2</v>
      </c>
      <c r="N32" s="115">
        <v>3</v>
      </c>
      <c r="O32" s="115">
        <v>9</v>
      </c>
      <c r="P32" s="115">
        <v>6</v>
      </c>
      <c r="Q32" s="115">
        <v>50</v>
      </c>
      <c r="R32" s="115">
        <v>8.3332999999999995</v>
      </c>
      <c r="S32" s="115">
        <v>1</v>
      </c>
      <c r="T32" s="115">
        <v>4.8800000000000003E-2</v>
      </c>
      <c r="U32" s="115">
        <v>7.3200000000000001E-2</v>
      </c>
      <c r="V32" s="115">
        <v>-2.4400000000000002E-2</v>
      </c>
      <c r="W32" s="115">
        <v>0.42370000000000002</v>
      </c>
      <c r="X32" s="115">
        <v>67.2256</v>
      </c>
      <c r="Y32" s="115">
        <v>3.18</v>
      </c>
      <c r="Z32" s="115">
        <v>-1.2098</v>
      </c>
      <c r="AA32" s="115">
        <v>20.399999999999999</v>
      </c>
      <c r="AB32" s="115">
        <v>-17.266200000000001</v>
      </c>
      <c r="AC32" s="115">
        <v>-0.29260000000000003</v>
      </c>
      <c r="AD32" s="115">
        <v>5.2299999999999999E-2</v>
      </c>
      <c r="AE32" s="115">
        <v>-0.2059</v>
      </c>
      <c r="AF32" s="115">
        <v>0</v>
      </c>
      <c r="AG32" s="115">
        <v>-0.23699999999999999</v>
      </c>
      <c r="AH32" s="115">
        <v>1.6199999999999999E-2</v>
      </c>
      <c r="AI32" s="115">
        <v>-7.8100000000000003E-2</v>
      </c>
      <c r="AJ32" s="115">
        <v>6.1100000000000002E-2</v>
      </c>
      <c r="AK32" s="115">
        <v>9</v>
      </c>
      <c r="AL32" s="115">
        <v>-0.31709999999999999</v>
      </c>
      <c r="AM32" s="115">
        <v>1</v>
      </c>
      <c r="AN32" s="115">
        <v>1</v>
      </c>
      <c r="AO32" s="115">
        <v>0</v>
      </c>
      <c r="AP32" s="115">
        <v>1</v>
      </c>
      <c r="AQ32" s="115">
        <v>2</v>
      </c>
      <c r="AR32" s="115">
        <v>0.5</v>
      </c>
      <c r="AS32" s="115">
        <v>-2.0999999999999999E-3</v>
      </c>
      <c r="AT32" s="115">
        <v>-0.1216</v>
      </c>
      <c r="AU32" s="114" t="str">
        <f>IF(A32&lt;&gt;"",INDEX(Index!$B$1:$B$77,MATCH($A32,Index!$A$1:$A$77,0)),"")</f>
        <v>MIN</v>
      </c>
      <c r="AV32" s="123" t="str">
        <f>IF(B32&lt;&gt;"",INDEX(Index!$C$1:$C$77,MATCH($A32,Index!$A$1:$A$77,0)),"")</f>
        <v>McCarthy</v>
      </c>
      <c r="AW32" s="123">
        <f t="shared" si="0"/>
        <v>10</v>
      </c>
      <c r="AX32" s="113">
        <v>2</v>
      </c>
    </row>
    <row r="33" spans="1:50" x14ac:dyDescent="0.25">
      <c r="A33" s="95" t="s">
        <v>581</v>
      </c>
      <c r="B33" s="96">
        <v>2025</v>
      </c>
      <c r="C33" s="96">
        <v>2</v>
      </c>
      <c r="D33" s="115">
        <v>-2.7991899999999998</v>
      </c>
      <c r="E33" s="115">
        <v>0.54223500000000002</v>
      </c>
      <c r="F33" s="115"/>
      <c r="G33" s="115" t="s">
        <v>581</v>
      </c>
      <c r="H33" s="115">
        <v>52</v>
      </c>
      <c r="I33" s="115">
        <v>78</v>
      </c>
      <c r="J33" s="115">
        <v>0.66669999999999996</v>
      </c>
      <c r="K33" s="115">
        <v>-1.0556000000000001</v>
      </c>
      <c r="L33" s="115">
        <v>5.3845999999999998</v>
      </c>
      <c r="M33" s="115">
        <v>3</v>
      </c>
      <c r="N33" s="115">
        <v>0</v>
      </c>
      <c r="O33" s="115">
        <v>4</v>
      </c>
      <c r="P33" s="115">
        <v>8</v>
      </c>
      <c r="Q33" s="115">
        <v>43</v>
      </c>
      <c r="R33" s="115">
        <v>5.375</v>
      </c>
      <c r="S33" s="115">
        <v>0</v>
      </c>
      <c r="T33" s="115">
        <v>3.85E-2</v>
      </c>
      <c r="U33" s="115">
        <v>0</v>
      </c>
      <c r="V33" s="115">
        <v>3.85E-2</v>
      </c>
      <c r="W33" s="115">
        <v>0.4592</v>
      </c>
      <c r="X33" s="115">
        <v>92.895300000000006</v>
      </c>
      <c r="Y33" s="115">
        <v>5.5244</v>
      </c>
      <c r="Z33" s="115">
        <v>197.05500000000001</v>
      </c>
      <c r="AA33" s="115">
        <v>57.6</v>
      </c>
      <c r="AB33" s="115">
        <v>-3.3370000000000002</v>
      </c>
      <c r="AC33" s="115">
        <v>-3.4099999999999998E-2</v>
      </c>
      <c r="AD33" s="115">
        <v>1.6400000000000001E-2</v>
      </c>
      <c r="AE33" s="115">
        <v>7.1999999999999998E-3</v>
      </c>
      <c r="AF33" s="115">
        <v>-1.5900000000000001E-2</v>
      </c>
      <c r="AG33" s="115">
        <v>6.1699999999999998E-2</v>
      </c>
      <c r="AH33" s="115">
        <v>-7.8600000000000003E-2</v>
      </c>
      <c r="AI33" s="115">
        <v>-0.1196</v>
      </c>
      <c r="AJ33" s="115">
        <v>-4.1000000000000003E-3</v>
      </c>
      <c r="AK33" s="115">
        <v>7.5</v>
      </c>
      <c r="AL33" s="115">
        <v>-0.88460000000000005</v>
      </c>
      <c r="AM33" s="115">
        <v>0</v>
      </c>
      <c r="AN33" s="115">
        <v>2</v>
      </c>
      <c r="AO33" s="115">
        <v>0</v>
      </c>
      <c r="AP33" s="115">
        <v>0</v>
      </c>
      <c r="AQ33" s="115">
        <v>2</v>
      </c>
      <c r="AR33" s="115">
        <v>0</v>
      </c>
      <c r="AS33" s="115">
        <v>-2.5999999999999999E-3</v>
      </c>
      <c r="AT33" s="115">
        <v>-0.25</v>
      </c>
      <c r="AU33" s="114" t="str">
        <f>IF(A33&lt;&gt;"",INDEX(Index!$B$1:$B$77,MATCH($A33,Index!$A$1:$A$77,0)),"")</f>
        <v>NO</v>
      </c>
      <c r="AV33" s="123" t="str">
        <f>IF(B33&lt;&gt;"",INDEX(Index!$C$1:$C$77,MATCH($A33,Index!$A$1:$A$77,0)),"")</f>
        <v>Rattler</v>
      </c>
      <c r="AW33" s="123">
        <f t="shared" si="0"/>
        <v>13</v>
      </c>
      <c r="AX33" s="113">
        <v>2</v>
      </c>
    </row>
    <row r="34" spans="1:50" ht="15.75" thickBot="1" x14ac:dyDescent="0.3">
      <c r="A34" s="95" t="s">
        <v>582</v>
      </c>
      <c r="B34" s="96">
        <v>2025</v>
      </c>
      <c r="C34" s="96">
        <v>2</v>
      </c>
      <c r="D34" s="115">
        <v>-2.9443299999999999</v>
      </c>
      <c r="E34" s="115">
        <v>-0.331515</v>
      </c>
      <c r="F34" s="115"/>
      <c r="G34" s="115" t="s">
        <v>582</v>
      </c>
      <c r="H34" s="115">
        <v>31</v>
      </c>
      <c r="I34" s="115">
        <v>61</v>
      </c>
      <c r="J34" s="115">
        <v>0.50819999999999999</v>
      </c>
      <c r="K34" s="115">
        <v>-8.2771000000000008</v>
      </c>
      <c r="L34" s="115">
        <v>4.7049000000000003</v>
      </c>
      <c r="M34" s="115">
        <v>1</v>
      </c>
      <c r="N34" s="115">
        <v>0</v>
      </c>
      <c r="O34" s="115">
        <v>11</v>
      </c>
      <c r="P34" s="115">
        <v>4</v>
      </c>
      <c r="Q34" s="115">
        <v>8</v>
      </c>
      <c r="R34" s="115">
        <v>2</v>
      </c>
      <c r="S34" s="115">
        <v>0</v>
      </c>
      <c r="T34" s="115">
        <v>1.6400000000000001E-2</v>
      </c>
      <c r="U34" s="115">
        <v>0</v>
      </c>
      <c r="V34" s="115">
        <v>1.6400000000000001E-2</v>
      </c>
      <c r="W34" s="115">
        <v>0.3</v>
      </c>
      <c r="X34" s="115">
        <v>69.501400000000004</v>
      </c>
      <c r="Y34" s="115">
        <v>3.125</v>
      </c>
      <c r="Z34" s="115">
        <v>-57.535800000000002</v>
      </c>
      <c r="AA34" s="115">
        <v>19.899999999999999</v>
      </c>
      <c r="AB34" s="115">
        <v>-21.851700000000001</v>
      </c>
      <c r="AC34" s="115">
        <v>-0.27310000000000001</v>
      </c>
      <c r="AD34" s="115">
        <v>-4.0399999999999998E-2</v>
      </c>
      <c r="AE34" s="115">
        <v>-0.15770000000000001</v>
      </c>
      <c r="AF34" s="115">
        <v>-4.2099999999999999E-2</v>
      </c>
      <c r="AG34" s="115">
        <v>6.1699999999999998E-2</v>
      </c>
      <c r="AH34" s="115">
        <v>-5.2299999999999999E-2</v>
      </c>
      <c r="AI34" s="115">
        <v>-9.3200000000000005E-2</v>
      </c>
      <c r="AJ34" s="115">
        <v>-4.7800000000000002E-2</v>
      </c>
      <c r="AK34" s="115">
        <v>8.3443000000000005</v>
      </c>
      <c r="AL34" s="115">
        <v>-1.9508000000000001</v>
      </c>
      <c r="AM34" s="115">
        <v>0</v>
      </c>
      <c r="AN34" s="115">
        <v>2</v>
      </c>
      <c r="AO34" s="115">
        <v>0</v>
      </c>
      <c r="AP34" s="115">
        <v>0</v>
      </c>
      <c r="AQ34" s="115">
        <v>2</v>
      </c>
      <c r="AR34" s="115">
        <v>0</v>
      </c>
      <c r="AS34" s="115">
        <v>-1.15E-2</v>
      </c>
      <c r="AT34" s="115">
        <v>-0.91839999999999999</v>
      </c>
      <c r="AU34" s="114" t="str">
        <f>IF(A34&lt;&gt;"",INDEX(Index!$B$1:$B$77,MATCH($A34,Index!$A$1:$A$77,0)),"")</f>
        <v>TEN</v>
      </c>
      <c r="AV34" s="123" t="str">
        <f>IF(B34&lt;&gt;"",INDEX(Index!$C$1:$C$77,MATCH($A34,Index!$A$1:$A$77,0)),"")</f>
        <v>Ward</v>
      </c>
      <c r="AW34" s="123">
        <f t="shared" si="0"/>
        <v>28</v>
      </c>
      <c r="AX34" s="113">
        <v>2</v>
      </c>
    </row>
    <row r="35" spans="1:50" x14ac:dyDescent="0.25">
      <c r="A35" s="117" t="s">
        <v>551</v>
      </c>
      <c r="B35" s="118">
        <v>2025</v>
      </c>
      <c r="C35" s="118">
        <v>3</v>
      </c>
      <c r="D35" s="119">
        <v>3.9417599999999999</v>
      </c>
      <c r="E35" s="119">
        <v>5.4665499999999999E-2</v>
      </c>
      <c r="F35" s="119"/>
      <c r="G35" s="119" t="s">
        <v>551</v>
      </c>
      <c r="H35" s="119">
        <v>69</v>
      </c>
      <c r="I35" s="119">
        <v>98</v>
      </c>
      <c r="J35" s="119">
        <v>0.70409999999999995</v>
      </c>
      <c r="K35" s="119">
        <v>3.9819</v>
      </c>
      <c r="L35" s="119">
        <v>7.7041000000000004</v>
      </c>
      <c r="M35" s="119">
        <v>5</v>
      </c>
      <c r="N35" s="119">
        <v>0</v>
      </c>
      <c r="O35" s="119">
        <v>4</v>
      </c>
      <c r="P35" s="119">
        <v>19</v>
      </c>
      <c r="Q35" s="119">
        <v>120</v>
      </c>
      <c r="R35" s="119">
        <v>6.3158000000000003</v>
      </c>
      <c r="S35" s="119">
        <v>2</v>
      </c>
      <c r="T35" s="119">
        <v>5.0999999999999997E-2</v>
      </c>
      <c r="U35" s="119">
        <v>0</v>
      </c>
      <c r="V35" s="119">
        <v>5.0999999999999997E-2</v>
      </c>
      <c r="W35" s="119">
        <v>0.51939999999999997</v>
      </c>
      <c r="X35" s="119">
        <v>109.864</v>
      </c>
      <c r="Y35" s="119">
        <v>8.2255000000000003</v>
      </c>
      <c r="Z35" s="119">
        <v>321.58999999999997</v>
      </c>
      <c r="AA35" s="119">
        <v>74.900000000000006</v>
      </c>
      <c r="AB35" s="119">
        <v>48.016800000000003</v>
      </c>
      <c r="AC35" s="119">
        <v>0.37219999999999998</v>
      </c>
      <c r="AD35" s="119">
        <v>7.5499999999999998E-2</v>
      </c>
      <c r="AE35" s="119">
        <v>7.4999999999999997E-2</v>
      </c>
      <c r="AF35" s="119">
        <v>3.1199999999999999E-2</v>
      </c>
      <c r="AG35" s="119">
        <v>6.9199999999999998E-2</v>
      </c>
      <c r="AH35" s="119">
        <v>-7.4899999999999994E-2</v>
      </c>
      <c r="AI35" s="119">
        <v>8.1799999999999998E-2</v>
      </c>
      <c r="AJ35" s="119">
        <v>3.6200000000000003E-2</v>
      </c>
      <c r="AK35" s="119">
        <v>6.4489999999999998</v>
      </c>
      <c r="AL35" s="119">
        <v>-2.2244999999999999</v>
      </c>
      <c r="AM35" s="119">
        <v>3</v>
      </c>
      <c r="AN35" s="119">
        <v>0</v>
      </c>
      <c r="AO35" s="119">
        <v>0</v>
      </c>
      <c r="AP35" s="119">
        <v>1</v>
      </c>
      <c r="AQ35" s="119">
        <v>1</v>
      </c>
      <c r="AR35" s="119">
        <v>1</v>
      </c>
      <c r="AS35" s="119">
        <v>9.9000000000000008E-3</v>
      </c>
      <c r="AT35" s="119">
        <v>1.2725</v>
      </c>
      <c r="AU35" s="121" t="str">
        <f>IF(A35&lt;&gt;"",INDEX(Index!$B$1:$B$77,MATCH($A35,Index!$A$1:$A$77,0)),"")</f>
        <v>BUF</v>
      </c>
      <c r="AV35" s="124" t="str">
        <f>IF(B35&lt;&gt;"",INDEX(Index!$C$1:$C$77,MATCH($A35,Index!$A$1:$A$77,0)),"")</f>
        <v>Allen</v>
      </c>
      <c r="AW35" s="124">
        <f t="shared" si="0"/>
        <v>3</v>
      </c>
      <c r="AX35" s="120">
        <f>IF(A35&lt;&gt;"",AX2+1,"")</f>
        <v>3</v>
      </c>
    </row>
    <row r="36" spans="1:50" x14ac:dyDescent="0.25">
      <c r="A36" s="95" t="s">
        <v>550</v>
      </c>
      <c r="B36" s="96">
        <v>2025</v>
      </c>
      <c r="C36" s="96">
        <v>3</v>
      </c>
      <c r="D36" s="115">
        <v>3.7056399999999998</v>
      </c>
      <c r="E36" s="115">
        <v>-0.217721</v>
      </c>
      <c r="F36" s="115"/>
      <c r="G36" s="115" t="s">
        <v>550</v>
      </c>
      <c r="H36" s="115">
        <v>54</v>
      </c>
      <c r="I36" s="115">
        <v>75</v>
      </c>
      <c r="J36" s="115">
        <v>0.72</v>
      </c>
      <c r="K36" s="115">
        <v>9.6584000000000003</v>
      </c>
      <c r="L36" s="115">
        <v>9.6266999999999996</v>
      </c>
      <c r="M36" s="115">
        <v>9</v>
      </c>
      <c r="N36" s="115">
        <v>0</v>
      </c>
      <c r="O36" s="115">
        <v>12</v>
      </c>
      <c r="P36" s="115">
        <v>15</v>
      </c>
      <c r="Q36" s="115">
        <v>118</v>
      </c>
      <c r="R36" s="115">
        <v>7.8666999999999998</v>
      </c>
      <c r="S36" s="115">
        <v>1</v>
      </c>
      <c r="T36" s="115">
        <v>0.12</v>
      </c>
      <c r="U36" s="115">
        <v>0</v>
      </c>
      <c r="V36" s="115">
        <v>0.12</v>
      </c>
      <c r="W36" s="115">
        <v>0.52339999999999998</v>
      </c>
      <c r="X36" s="115">
        <v>141.77799999999999</v>
      </c>
      <c r="Y36" s="115">
        <v>9.2414000000000005</v>
      </c>
      <c r="Z36" s="115">
        <v>282.976</v>
      </c>
      <c r="AA36" s="115">
        <v>78.2</v>
      </c>
      <c r="AB36" s="115">
        <v>41.001199999999997</v>
      </c>
      <c r="AC36" s="115">
        <v>0.38319999999999999</v>
      </c>
      <c r="AD36" s="115">
        <v>5.2299999999999999E-2</v>
      </c>
      <c r="AE36" s="115">
        <v>-8.0500000000000002E-2</v>
      </c>
      <c r="AF36" s="115">
        <v>6.8599999999999994E-2</v>
      </c>
      <c r="AG36" s="115">
        <v>6.9199999999999998E-2</v>
      </c>
      <c r="AH36" s="115">
        <v>0.1764</v>
      </c>
      <c r="AI36" s="115">
        <v>3.2000000000000001E-2</v>
      </c>
      <c r="AJ36" s="115">
        <v>-1.2999999999999999E-2</v>
      </c>
      <c r="AK36" s="115">
        <v>9.6</v>
      </c>
      <c r="AL36" s="115">
        <v>0.29330000000000001</v>
      </c>
      <c r="AM36" s="115">
        <v>1</v>
      </c>
      <c r="AN36" s="115">
        <v>2</v>
      </c>
      <c r="AO36" s="115">
        <v>0</v>
      </c>
      <c r="AP36" s="115">
        <v>0</v>
      </c>
      <c r="AQ36" s="115">
        <v>1</v>
      </c>
      <c r="AR36" s="115">
        <v>0</v>
      </c>
      <c r="AS36" s="115">
        <v>6.6E-3</v>
      </c>
      <c r="AT36" s="115">
        <v>0.70679999999999998</v>
      </c>
      <c r="AU36" s="114" t="str">
        <f>IF(A36&lt;&gt;"",INDEX(Index!$B$1:$B$77,MATCH($A36,Index!$A$1:$A$77,0)),"")</f>
        <v>BAL</v>
      </c>
      <c r="AV36" s="123" t="str">
        <f>IF(B36&lt;&gt;"",INDEX(Index!$C$1:$C$77,MATCH($A36,Index!$A$1:$A$77,0)),"")</f>
        <v>Jackson</v>
      </c>
      <c r="AW36" s="123">
        <f t="shared" si="0"/>
        <v>4</v>
      </c>
      <c r="AX36" s="113">
        <v>3</v>
      </c>
    </row>
    <row r="37" spans="1:50" x14ac:dyDescent="0.25">
      <c r="A37" s="95" t="s">
        <v>552</v>
      </c>
      <c r="B37" s="96">
        <v>2025</v>
      </c>
      <c r="C37" s="96">
        <v>3</v>
      </c>
      <c r="D37" s="115">
        <v>1.97919</v>
      </c>
      <c r="E37" s="115">
        <v>-0.45863199999999998</v>
      </c>
      <c r="F37" s="115"/>
      <c r="G37" s="115" t="s">
        <v>552</v>
      </c>
      <c r="H37" s="115">
        <v>62</v>
      </c>
      <c r="I37" s="115">
        <v>104</v>
      </c>
      <c r="J37" s="115">
        <v>0.59619999999999995</v>
      </c>
      <c r="K37" s="115">
        <v>-4.4058999999999999</v>
      </c>
      <c r="L37" s="115">
        <v>6.4326999999999996</v>
      </c>
      <c r="M37" s="115">
        <v>3</v>
      </c>
      <c r="N37" s="115">
        <v>1</v>
      </c>
      <c r="O37" s="115">
        <v>6</v>
      </c>
      <c r="P37" s="115">
        <v>15</v>
      </c>
      <c r="Q37" s="115">
        <v>128</v>
      </c>
      <c r="R37" s="115">
        <v>8.5333000000000006</v>
      </c>
      <c r="S37" s="115">
        <v>2</v>
      </c>
      <c r="T37" s="115">
        <v>2.8799999999999999E-2</v>
      </c>
      <c r="U37" s="115">
        <v>9.5999999999999992E-3</v>
      </c>
      <c r="V37" s="115">
        <v>1.9199999999999998E-2</v>
      </c>
      <c r="W37" s="115">
        <v>0.47010000000000002</v>
      </c>
      <c r="X37" s="115">
        <v>84.174700000000001</v>
      </c>
      <c r="Y37" s="115">
        <v>5.8</v>
      </c>
      <c r="Z37" s="115">
        <v>212.85300000000001</v>
      </c>
      <c r="AA37" s="115">
        <v>73.3</v>
      </c>
      <c r="AB37" s="115">
        <v>21.247399999999999</v>
      </c>
      <c r="AC37" s="115">
        <v>0.15859999999999999</v>
      </c>
      <c r="AD37" s="115">
        <v>6.4000000000000001E-2</v>
      </c>
      <c r="AE37" s="115">
        <v>3.6600000000000001E-2</v>
      </c>
      <c r="AF37" s="115">
        <v>-1.61E-2</v>
      </c>
      <c r="AG37" s="115">
        <v>1.66E-2</v>
      </c>
      <c r="AH37" s="115">
        <v>8.3999999999999995E-3</v>
      </c>
      <c r="AI37" s="115">
        <v>-1.9300000000000001E-2</v>
      </c>
      <c r="AJ37" s="115">
        <v>-9.4000000000000004E-3</v>
      </c>
      <c r="AK37" s="115">
        <v>8.6441999999999997</v>
      </c>
      <c r="AL37" s="115">
        <v>0.44230000000000003</v>
      </c>
      <c r="AM37" s="115">
        <v>1</v>
      </c>
      <c r="AN37" s="115">
        <v>2</v>
      </c>
      <c r="AO37" s="115">
        <v>0</v>
      </c>
      <c r="AP37" s="115">
        <v>0</v>
      </c>
      <c r="AQ37" s="115">
        <v>2</v>
      </c>
      <c r="AR37" s="115">
        <v>0</v>
      </c>
      <c r="AS37" s="115">
        <v>3.5000000000000001E-3</v>
      </c>
      <c r="AT37" s="115">
        <v>0.46360000000000001</v>
      </c>
      <c r="AU37" s="114" t="str">
        <f>IF(A37&lt;&gt;"",INDEX(Index!$B$1:$B$77,MATCH($A37,Index!$A$1:$A$77,0)),"")</f>
        <v>KC</v>
      </c>
      <c r="AV37" s="123" t="str">
        <f>IF(B37&lt;&gt;"",INDEX(Index!$C$1:$C$77,MATCH($A37,Index!$A$1:$A$77,0)),"")</f>
        <v>Mahomes</v>
      </c>
      <c r="AW37" s="123">
        <f t="shared" si="0"/>
        <v>1</v>
      </c>
      <c r="AX37" s="113">
        <v>3</v>
      </c>
    </row>
    <row r="38" spans="1:50" x14ac:dyDescent="0.25">
      <c r="A38" s="95" t="s">
        <v>553</v>
      </c>
      <c r="B38" s="96">
        <v>2025</v>
      </c>
      <c r="C38" s="96">
        <v>3</v>
      </c>
      <c r="D38" s="115">
        <v>1.8052299999999999</v>
      </c>
      <c r="E38" s="115">
        <v>3.72742E-3</v>
      </c>
      <c r="F38" s="115"/>
      <c r="G38" s="115" t="s">
        <v>553</v>
      </c>
      <c r="H38" s="115">
        <v>74</v>
      </c>
      <c r="I38" s="115">
        <v>95</v>
      </c>
      <c r="J38" s="115">
        <v>0.77890000000000004</v>
      </c>
      <c r="K38" s="115">
        <v>12.5647</v>
      </c>
      <c r="L38" s="115">
        <v>8.0105000000000004</v>
      </c>
      <c r="M38" s="115">
        <v>7</v>
      </c>
      <c r="N38" s="115">
        <v>1</v>
      </c>
      <c r="O38" s="115">
        <v>4</v>
      </c>
      <c r="P38" s="115">
        <v>3</v>
      </c>
      <c r="Q38" s="115">
        <v>13</v>
      </c>
      <c r="R38" s="115">
        <v>4.3333000000000004</v>
      </c>
      <c r="S38" s="115">
        <v>0</v>
      </c>
      <c r="T38" s="115">
        <v>7.3700000000000002E-2</v>
      </c>
      <c r="U38" s="115">
        <v>1.0500000000000001E-2</v>
      </c>
      <c r="V38" s="115">
        <v>6.3200000000000006E-2</v>
      </c>
      <c r="W38" s="115">
        <v>0.5524</v>
      </c>
      <c r="X38" s="115">
        <v>120.21899999999999</v>
      </c>
      <c r="Y38" s="115">
        <v>8.3939000000000004</v>
      </c>
      <c r="Z38" s="115">
        <v>279.048</v>
      </c>
      <c r="AA38" s="115">
        <v>79.400000000000006</v>
      </c>
      <c r="AB38" s="115">
        <v>40.7301</v>
      </c>
      <c r="AC38" s="115">
        <v>0.38790000000000002</v>
      </c>
      <c r="AD38" s="115">
        <v>-3.4099999999999998E-2</v>
      </c>
      <c r="AE38" s="115">
        <v>2.18E-2</v>
      </c>
      <c r="AF38" s="115">
        <v>6.4899999999999999E-2</v>
      </c>
      <c r="AG38" s="115">
        <v>3.27E-2</v>
      </c>
      <c r="AH38" s="115">
        <v>0.1245</v>
      </c>
      <c r="AI38" s="115">
        <v>0.1188</v>
      </c>
      <c r="AJ38" s="115">
        <v>-1.8700000000000001E-2</v>
      </c>
      <c r="AK38" s="115">
        <v>6.8211000000000004</v>
      </c>
      <c r="AL38" s="115">
        <v>-1.1157999999999999</v>
      </c>
      <c r="AM38" s="115">
        <v>2</v>
      </c>
      <c r="AN38" s="115">
        <v>1</v>
      </c>
      <c r="AO38" s="115">
        <v>0</v>
      </c>
      <c r="AP38" s="115">
        <v>0</v>
      </c>
      <c r="AQ38" s="115">
        <v>0</v>
      </c>
      <c r="AR38" s="115"/>
      <c r="AS38" s="115">
        <v>6.7000000000000002E-3</v>
      </c>
      <c r="AT38" s="115">
        <v>0.70820000000000005</v>
      </c>
      <c r="AU38" s="114" t="str">
        <f>IF(A38&lt;&gt;"",INDEX(Index!$B$1:$B$77,MATCH($A38,Index!$A$1:$A$77,0)),"")</f>
        <v>DET</v>
      </c>
      <c r="AV38" s="123" t="str">
        <f>IF(B38&lt;&gt;"",INDEX(Index!$C$1:$C$77,MATCH($A38,Index!$A$1:$A$77,0)),"")</f>
        <v>Goff</v>
      </c>
      <c r="AW38" s="123">
        <f t="shared" si="0"/>
        <v>31</v>
      </c>
      <c r="AX38" s="113">
        <v>3</v>
      </c>
    </row>
    <row r="39" spans="1:50" x14ac:dyDescent="0.25">
      <c r="A39" s="95" t="s">
        <v>554</v>
      </c>
      <c r="B39" s="96">
        <v>2025</v>
      </c>
      <c r="C39" s="96">
        <v>3</v>
      </c>
      <c r="D39" s="115">
        <v>1.6408</v>
      </c>
      <c r="E39" s="115">
        <v>0.28376000000000001</v>
      </c>
      <c r="F39" s="115"/>
      <c r="G39" s="115" t="s">
        <v>554</v>
      </c>
      <c r="H39" s="115">
        <v>55</v>
      </c>
      <c r="I39" s="115">
        <v>77</v>
      </c>
      <c r="J39" s="115">
        <v>0.71430000000000005</v>
      </c>
      <c r="K39" s="115">
        <v>9.9596999999999998</v>
      </c>
      <c r="L39" s="115">
        <v>6.2207999999999997</v>
      </c>
      <c r="M39" s="115">
        <v>3</v>
      </c>
      <c r="N39" s="115">
        <v>0</v>
      </c>
      <c r="O39" s="115">
        <v>7</v>
      </c>
      <c r="P39" s="115">
        <v>26</v>
      </c>
      <c r="Q39" s="115">
        <v>123</v>
      </c>
      <c r="R39" s="115">
        <v>4.7308000000000003</v>
      </c>
      <c r="S39" s="115">
        <v>4</v>
      </c>
      <c r="T39" s="115">
        <v>3.9E-2</v>
      </c>
      <c r="U39" s="115">
        <v>0</v>
      </c>
      <c r="V39" s="115">
        <v>3.9E-2</v>
      </c>
      <c r="W39" s="115">
        <v>0.49559999999999998</v>
      </c>
      <c r="X39" s="115">
        <v>100.514</v>
      </c>
      <c r="Y39" s="115">
        <v>5.9523999999999999</v>
      </c>
      <c r="Z39" s="115">
        <v>234.58500000000001</v>
      </c>
      <c r="AA39" s="115">
        <v>70.3</v>
      </c>
      <c r="AB39" s="115">
        <v>13.6828</v>
      </c>
      <c r="AC39" s="115">
        <v>0.1211</v>
      </c>
      <c r="AD39" s="115">
        <v>0.11020000000000001</v>
      </c>
      <c r="AE39" s="115">
        <v>-3.2500000000000001E-2</v>
      </c>
      <c r="AF39" s="115">
        <v>5.7799999999999997E-2</v>
      </c>
      <c r="AG39" s="115">
        <v>6.9199999999999998E-2</v>
      </c>
      <c r="AH39" s="115">
        <v>-1.84E-2</v>
      </c>
      <c r="AI39" s="115">
        <v>-0.1143</v>
      </c>
      <c r="AJ39" s="115">
        <v>-2.9100000000000001E-2</v>
      </c>
      <c r="AK39" s="115">
        <v>7.1818</v>
      </c>
      <c r="AL39" s="115">
        <v>-1.6623000000000001</v>
      </c>
      <c r="AM39" s="115">
        <v>3</v>
      </c>
      <c r="AN39" s="115">
        <v>0</v>
      </c>
      <c r="AO39" s="115">
        <v>0</v>
      </c>
      <c r="AP39" s="115">
        <v>1</v>
      </c>
      <c r="AQ39" s="115">
        <v>1</v>
      </c>
      <c r="AR39" s="115">
        <v>1</v>
      </c>
      <c r="AS39" s="115">
        <v>6.3E-3</v>
      </c>
      <c r="AT39" s="115">
        <v>0.71220000000000006</v>
      </c>
      <c r="AU39" s="114" t="str">
        <f>IF(A39&lt;&gt;"",INDEX(Index!$B$1:$B$77,MATCH($A39,Index!$A$1:$A$77,0)),"")</f>
        <v>PHI</v>
      </c>
      <c r="AV39" s="123" t="str">
        <f>IF(B39&lt;&gt;"",INDEX(Index!$C$1:$C$77,MATCH($A39,Index!$A$1:$A$77,0)),"")</f>
        <v>Hurts</v>
      </c>
      <c r="AW39" s="123">
        <f t="shared" si="0"/>
        <v>2</v>
      </c>
      <c r="AX39" s="113">
        <v>3</v>
      </c>
    </row>
    <row r="40" spans="1:50" x14ac:dyDescent="0.25">
      <c r="A40" s="95" t="s">
        <v>559</v>
      </c>
      <c r="B40" s="96">
        <v>2025</v>
      </c>
      <c r="C40" s="96">
        <v>3</v>
      </c>
      <c r="D40" s="115">
        <v>1.10562</v>
      </c>
      <c r="E40" s="115">
        <v>0.28450799999999998</v>
      </c>
      <c r="F40" s="115"/>
      <c r="G40" s="115" t="s">
        <v>559</v>
      </c>
      <c r="H40" s="115">
        <v>61</v>
      </c>
      <c r="I40" s="115">
        <v>99</v>
      </c>
      <c r="J40" s="115">
        <v>0.61619999999999997</v>
      </c>
      <c r="K40" s="115">
        <v>-1.5863</v>
      </c>
      <c r="L40" s="115">
        <v>6.2121000000000004</v>
      </c>
      <c r="M40" s="115">
        <v>6</v>
      </c>
      <c r="N40" s="115">
        <v>0</v>
      </c>
      <c r="O40" s="115">
        <v>6</v>
      </c>
      <c r="P40" s="115">
        <v>10</v>
      </c>
      <c r="Q40" s="115">
        <v>118</v>
      </c>
      <c r="R40" s="115">
        <v>11.8</v>
      </c>
      <c r="S40" s="115">
        <v>0</v>
      </c>
      <c r="T40" s="115">
        <v>6.0600000000000001E-2</v>
      </c>
      <c r="U40" s="115">
        <v>0</v>
      </c>
      <c r="V40" s="115">
        <v>6.0600000000000001E-2</v>
      </c>
      <c r="W40" s="115">
        <v>0.47239999999999999</v>
      </c>
      <c r="X40" s="115">
        <v>99.516000000000005</v>
      </c>
      <c r="Y40" s="115">
        <v>6.6189999999999998</v>
      </c>
      <c r="Z40" s="115">
        <v>233.72399999999999</v>
      </c>
      <c r="AA40" s="115">
        <v>72.900000000000006</v>
      </c>
      <c r="AB40" s="115">
        <v>30.559699999999999</v>
      </c>
      <c r="AC40" s="115">
        <v>0.24060000000000001</v>
      </c>
      <c r="AD40" s="115">
        <v>8.5099999999999995E-2</v>
      </c>
      <c r="AE40" s="115">
        <v>2.64E-2</v>
      </c>
      <c r="AF40" s="115">
        <v>2.3999999999999998E-3</v>
      </c>
      <c r="AG40" s="115">
        <v>6.9199999999999998E-2</v>
      </c>
      <c r="AH40" s="115">
        <v>0</v>
      </c>
      <c r="AI40" s="115">
        <v>-8.0000000000000004E-4</v>
      </c>
      <c r="AJ40" s="115">
        <v>-1.9800000000000002E-2</v>
      </c>
      <c r="AK40" s="115">
        <v>8.7879000000000005</v>
      </c>
      <c r="AL40" s="115">
        <v>0.1111</v>
      </c>
      <c r="AM40" s="115">
        <v>3</v>
      </c>
      <c r="AN40" s="115">
        <v>0</v>
      </c>
      <c r="AO40" s="115">
        <v>0</v>
      </c>
      <c r="AP40" s="115">
        <v>3</v>
      </c>
      <c r="AQ40" s="115">
        <v>3</v>
      </c>
      <c r="AR40" s="115">
        <v>1</v>
      </c>
      <c r="AS40" s="115">
        <v>1.0999999999999999E-2</v>
      </c>
      <c r="AT40" s="115">
        <v>1.3963000000000001</v>
      </c>
      <c r="AU40" s="114" t="str">
        <f>IF(A40&lt;&gt;"",INDEX(Index!$B$1:$B$77,MATCH($A40,Index!$A$1:$A$77,0)),"")</f>
        <v>TB</v>
      </c>
      <c r="AV40" s="123" t="str">
        <f>IF(B40&lt;&gt;"",INDEX(Index!$C$1:$C$77,MATCH($A40,Index!$A$1:$A$77,0)),"")</f>
        <v>Mayfield</v>
      </c>
      <c r="AW40" s="123">
        <f t="shared" si="0"/>
        <v>4</v>
      </c>
      <c r="AX40" s="113">
        <v>3</v>
      </c>
    </row>
    <row r="41" spans="1:50" x14ac:dyDescent="0.25">
      <c r="A41" s="95" t="s">
        <v>555</v>
      </c>
      <c r="B41" s="96">
        <v>2025</v>
      </c>
      <c r="C41" s="96">
        <v>3</v>
      </c>
      <c r="D41" s="115">
        <v>1.10487</v>
      </c>
      <c r="E41" s="115">
        <v>-0.24018100000000001</v>
      </c>
      <c r="F41" s="115"/>
      <c r="G41" s="115">
        <v>-0.11844200000000001</v>
      </c>
      <c r="H41" s="115">
        <v>90</v>
      </c>
      <c r="I41" s="115">
        <v>125</v>
      </c>
      <c r="J41" s="115">
        <v>0.72</v>
      </c>
      <c r="K41" s="115">
        <v>4.3415999999999997</v>
      </c>
      <c r="L41" s="115">
        <v>6.4</v>
      </c>
      <c r="M41" s="115">
        <v>3</v>
      </c>
      <c r="N41" s="115">
        <v>3</v>
      </c>
      <c r="O41" s="115">
        <v>5</v>
      </c>
      <c r="P41" s="115">
        <v>3</v>
      </c>
      <c r="Q41" s="115">
        <v>20</v>
      </c>
      <c r="R41" s="115">
        <v>6.6666999999999996</v>
      </c>
      <c r="S41" s="115">
        <v>0</v>
      </c>
      <c r="T41" s="115">
        <v>2.4E-2</v>
      </c>
      <c r="U41" s="115">
        <v>2.4E-2</v>
      </c>
      <c r="V41" s="115">
        <v>0</v>
      </c>
      <c r="W41" s="115">
        <v>0.45519999999999999</v>
      </c>
      <c r="X41" s="115">
        <v>86.75</v>
      </c>
      <c r="Y41" s="115">
        <v>5.3076999999999996</v>
      </c>
      <c r="Z41" s="115">
        <v>192.721</v>
      </c>
      <c r="AA41" s="115">
        <v>58.8</v>
      </c>
      <c r="AB41" s="115">
        <v>18.573699999999999</v>
      </c>
      <c r="AC41" s="115">
        <v>0.12809999999999999</v>
      </c>
      <c r="AD41" s="115">
        <v>-4.0399999999999998E-2</v>
      </c>
      <c r="AE41" s="115">
        <v>4.0500000000000001E-2</v>
      </c>
      <c r="AF41" s="115">
        <v>6.2899999999999998E-2</v>
      </c>
      <c r="AG41" s="115">
        <v>-2.5899999999999999E-2</v>
      </c>
      <c r="AH41" s="115">
        <v>-6.9999999999999999E-4</v>
      </c>
      <c r="AI41" s="115">
        <v>-3.5000000000000003E-2</v>
      </c>
      <c r="AJ41" s="115">
        <v>4.8399999999999999E-2</v>
      </c>
      <c r="AK41" s="115">
        <v>7.056</v>
      </c>
      <c r="AL41" s="115">
        <v>-1.5760000000000001</v>
      </c>
      <c r="AM41" s="115">
        <v>1</v>
      </c>
      <c r="AN41" s="115">
        <v>2</v>
      </c>
      <c r="AO41" s="115">
        <v>0</v>
      </c>
      <c r="AP41" s="115">
        <v>1</v>
      </c>
      <c r="AQ41" s="115">
        <v>2</v>
      </c>
      <c r="AR41" s="115">
        <v>0.5</v>
      </c>
      <c r="AS41" s="115">
        <v>7.0000000000000001E-3</v>
      </c>
      <c r="AT41" s="115">
        <v>1.0169999999999999</v>
      </c>
      <c r="AU41" s="114" t="str">
        <f>IF(A41&lt;&gt;"",INDEX(Index!$B$1:$B$77,MATCH($A41,Index!$A$1:$A$77,0)),"")</f>
        <v>DAL</v>
      </c>
      <c r="AV41" s="123" t="str">
        <f>IF(B41&lt;&gt;"",INDEX(Index!$C$1:$C$77,MATCH($A41,Index!$A$1:$A$77,0)),"")</f>
        <v>Prescott</v>
      </c>
      <c r="AW41" s="123">
        <f t="shared" si="0"/>
        <v>25</v>
      </c>
      <c r="AX41" s="113">
        <v>3</v>
      </c>
    </row>
    <row r="42" spans="1:50" x14ac:dyDescent="0.25">
      <c r="A42" s="95" t="s">
        <v>557</v>
      </c>
      <c r="B42" s="96">
        <v>2025</v>
      </c>
      <c r="C42" s="96">
        <v>2</v>
      </c>
      <c r="D42" s="115">
        <v>1.0004599999999999</v>
      </c>
      <c r="E42" s="115">
        <v>-0.72667300000000001</v>
      </c>
      <c r="F42" s="115"/>
      <c r="G42" s="115">
        <v>-1.3634200000000001</v>
      </c>
      <c r="H42" s="115">
        <v>21</v>
      </c>
      <c r="I42" s="115">
        <v>36</v>
      </c>
      <c r="J42" s="115">
        <v>0.58330000000000004</v>
      </c>
      <c r="K42" s="115">
        <v>-1.5459000000000001</v>
      </c>
      <c r="L42" s="115">
        <v>5.25</v>
      </c>
      <c r="M42" s="115">
        <v>2</v>
      </c>
      <c r="N42" s="115">
        <v>0</v>
      </c>
      <c r="O42" s="115">
        <v>5</v>
      </c>
      <c r="P42" s="115">
        <v>2</v>
      </c>
      <c r="Q42" s="115">
        <v>3</v>
      </c>
      <c r="R42" s="115">
        <v>1.5</v>
      </c>
      <c r="S42" s="115">
        <v>0</v>
      </c>
      <c r="T42" s="115">
        <v>5.5599999999999997E-2</v>
      </c>
      <c r="U42" s="115">
        <v>0</v>
      </c>
      <c r="V42" s="115">
        <v>5.5599999999999997E-2</v>
      </c>
      <c r="W42" s="115">
        <v>0.43480000000000002</v>
      </c>
      <c r="X42" s="115">
        <v>91.087999999999994</v>
      </c>
      <c r="Y42" s="115">
        <v>4.9512</v>
      </c>
      <c r="Z42" s="115">
        <v>25.4633</v>
      </c>
      <c r="AA42" s="115">
        <v>55.5</v>
      </c>
      <c r="AB42" s="115">
        <v>-0.90390000000000004</v>
      </c>
      <c r="AC42" s="115">
        <v>-1.9599999999999999E-2</v>
      </c>
      <c r="AD42" s="115">
        <v>-7.0999999999999994E-2</v>
      </c>
      <c r="AE42" s="115">
        <v>-4.6199999999999998E-2</v>
      </c>
      <c r="AF42" s="115">
        <v>-5.5800000000000002E-2</v>
      </c>
      <c r="AG42" s="115">
        <v>6.9199999999999998E-2</v>
      </c>
      <c r="AH42" s="115">
        <v>0.18990000000000001</v>
      </c>
      <c r="AI42" s="115">
        <v>-0.1759</v>
      </c>
      <c r="AJ42" s="115">
        <v>-8.0999999999999996E-3</v>
      </c>
      <c r="AK42" s="115">
        <v>6.8611000000000004</v>
      </c>
      <c r="AL42" s="115">
        <v>-1.0832999999999999</v>
      </c>
      <c r="AM42" s="115">
        <v>2</v>
      </c>
      <c r="AN42" s="115">
        <v>0</v>
      </c>
      <c r="AO42" s="115">
        <v>0</v>
      </c>
      <c r="AP42" s="115">
        <v>0</v>
      </c>
      <c r="AQ42" s="115">
        <v>0</v>
      </c>
      <c r="AR42" s="115"/>
      <c r="AS42" s="115">
        <v>1.6000000000000001E-3</v>
      </c>
      <c r="AT42" s="115">
        <v>7.4800000000000005E-2</v>
      </c>
      <c r="AU42" s="114" t="str">
        <f>IF(A42&lt;&gt;"",INDEX(Index!$B$1:$B$77,MATCH($A42,Index!$A$1:$A$77,0)),"")</f>
        <v>CIN</v>
      </c>
      <c r="AV42" s="123" t="str">
        <f>IF(B42&lt;&gt;"",INDEX(Index!$C$1:$C$77,MATCH($A42,Index!$A$1:$A$77,0)),"")</f>
        <v>Burrow</v>
      </c>
      <c r="AW42" s="123">
        <f t="shared" si="0"/>
        <v>36</v>
      </c>
      <c r="AX42" s="113">
        <v>3</v>
      </c>
    </row>
    <row r="43" spans="1:50" x14ac:dyDescent="0.25">
      <c r="A43" s="95" t="s">
        <v>556</v>
      </c>
      <c r="B43" s="96">
        <v>2025</v>
      </c>
      <c r="C43" s="96">
        <v>3</v>
      </c>
      <c r="D43" s="115">
        <v>0.98392900000000005</v>
      </c>
      <c r="E43" s="115">
        <v>-3.6201799999999999E-2</v>
      </c>
      <c r="F43" s="115"/>
      <c r="G43" s="115">
        <v>-0.39604400000000001</v>
      </c>
      <c r="H43" s="115">
        <v>60</v>
      </c>
      <c r="I43" s="115">
        <v>89</v>
      </c>
      <c r="J43" s="115">
        <v>0.67420000000000002</v>
      </c>
      <c r="K43" s="115">
        <v>-0.98580000000000001</v>
      </c>
      <c r="L43" s="115">
        <v>6.0899000000000001</v>
      </c>
      <c r="M43" s="115">
        <v>4</v>
      </c>
      <c r="N43" s="115">
        <v>1</v>
      </c>
      <c r="O43" s="115">
        <v>7</v>
      </c>
      <c r="P43" s="115">
        <v>19</v>
      </c>
      <c r="Q43" s="115">
        <v>109</v>
      </c>
      <c r="R43" s="115">
        <v>5.7367999999999997</v>
      </c>
      <c r="S43" s="115">
        <v>0</v>
      </c>
      <c r="T43" s="115">
        <v>4.4900000000000002E-2</v>
      </c>
      <c r="U43" s="115">
        <v>1.12E-2</v>
      </c>
      <c r="V43" s="115">
        <v>3.3700000000000001E-2</v>
      </c>
      <c r="W43" s="115">
        <v>0.47199999999999998</v>
      </c>
      <c r="X43" s="115">
        <v>93.937299999999993</v>
      </c>
      <c r="Y43" s="115">
        <v>5.5208000000000004</v>
      </c>
      <c r="Z43" s="115">
        <v>165.98</v>
      </c>
      <c r="AA43" s="115">
        <v>57.1</v>
      </c>
      <c r="AB43" s="115">
        <v>18.098299999999998</v>
      </c>
      <c r="AC43" s="115">
        <v>0.14480000000000001</v>
      </c>
      <c r="AD43" s="115">
        <v>-5.7999999999999996E-3</v>
      </c>
      <c r="AE43" s="115">
        <v>2.1399999999999999E-2</v>
      </c>
      <c r="AF43" s="115">
        <v>3.8300000000000001E-2</v>
      </c>
      <c r="AG43" s="115">
        <v>3.0200000000000001E-2</v>
      </c>
      <c r="AH43" s="115">
        <v>-6.4500000000000002E-2</v>
      </c>
      <c r="AI43" s="115">
        <v>1.5299999999999999E-2</v>
      </c>
      <c r="AJ43" s="115">
        <v>3.1699999999999999E-2</v>
      </c>
      <c r="AK43" s="115">
        <v>5.8989000000000003</v>
      </c>
      <c r="AL43" s="115">
        <v>-3.0449000000000002</v>
      </c>
      <c r="AM43" s="115">
        <v>2</v>
      </c>
      <c r="AN43" s="115">
        <v>1</v>
      </c>
      <c r="AO43" s="115">
        <v>0</v>
      </c>
      <c r="AP43" s="115">
        <v>0</v>
      </c>
      <c r="AQ43" s="115">
        <v>1</v>
      </c>
      <c r="AR43" s="115">
        <v>0</v>
      </c>
      <c r="AS43" s="115">
        <v>5.4999999999999997E-3</v>
      </c>
      <c r="AT43" s="115">
        <v>0.68279999999999996</v>
      </c>
      <c r="AU43" s="114" t="str">
        <f>IF(A43&lt;&gt;"",INDEX(Index!$B$1:$B$77,MATCH($A43,Index!$A$1:$A$77,0)),"")</f>
        <v>ARI</v>
      </c>
      <c r="AV43" s="123" t="str">
        <f>IF(B43&lt;&gt;"",INDEX(Index!$C$1:$C$77,MATCH($A43,Index!$A$1:$A$77,0)),"")</f>
        <v>Murray</v>
      </c>
      <c r="AW43" s="123">
        <f t="shared" si="0"/>
        <v>6</v>
      </c>
      <c r="AX43" s="113">
        <v>3</v>
      </c>
    </row>
    <row r="44" spans="1:50" x14ac:dyDescent="0.25">
      <c r="A44" s="95" t="s">
        <v>560</v>
      </c>
      <c r="B44" s="96">
        <v>2025</v>
      </c>
      <c r="C44" s="96">
        <v>1</v>
      </c>
      <c r="D44" s="115">
        <v>0.80182399999999998</v>
      </c>
      <c r="E44" s="115">
        <v>0.115067</v>
      </c>
      <c r="F44" s="115"/>
      <c r="G44" s="115">
        <v>0.115067</v>
      </c>
      <c r="H44" s="115">
        <v>26</v>
      </c>
      <c r="I44" s="115">
        <v>35</v>
      </c>
      <c r="J44" s="115">
        <v>0.7429</v>
      </c>
      <c r="K44" s="115">
        <v>15.3415</v>
      </c>
      <c r="L44" s="115">
        <v>7.9142999999999999</v>
      </c>
      <c r="M44" s="115">
        <v>2</v>
      </c>
      <c r="N44" s="115">
        <v>2</v>
      </c>
      <c r="O44" s="115">
        <v>1</v>
      </c>
      <c r="P44" s="115">
        <v>3</v>
      </c>
      <c r="Q44" s="115">
        <v>19</v>
      </c>
      <c r="R44" s="115">
        <v>6.3333000000000004</v>
      </c>
      <c r="S44" s="115">
        <v>0</v>
      </c>
      <c r="T44" s="115">
        <v>5.7099999999999998E-2</v>
      </c>
      <c r="U44" s="115">
        <v>5.7099999999999998E-2</v>
      </c>
      <c r="V44" s="115">
        <v>0</v>
      </c>
      <c r="W44" s="115">
        <v>0.59519999999999995</v>
      </c>
      <c r="X44" s="115">
        <v>92.202399999999997</v>
      </c>
      <c r="Y44" s="115">
        <v>5.9722</v>
      </c>
      <c r="Z44" s="115">
        <v>223.53399999999999</v>
      </c>
      <c r="AA44" s="115">
        <v>80.2</v>
      </c>
      <c r="AB44" s="115">
        <v>17.254999999999999</v>
      </c>
      <c r="AC44" s="115">
        <v>0.4108</v>
      </c>
      <c r="AD44" s="115">
        <v>-1.0500000000000001E-2</v>
      </c>
      <c r="AE44" s="115">
        <v>5.5899999999999998E-2</v>
      </c>
      <c r="AF44" s="115">
        <v>7.4999999999999997E-2</v>
      </c>
      <c r="AG44" s="115">
        <v>-0.1193</v>
      </c>
      <c r="AH44" s="115">
        <v>0.15890000000000001</v>
      </c>
      <c r="AI44" s="115">
        <v>0.1313</v>
      </c>
      <c r="AJ44" s="115">
        <v>4.1500000000000002E-2</v>
      </c>
      <c r="AK44" s="115">
        <v>7.4286000000000003</v>
      </c>
      <c r="AL44" s="115">
        <v>-0.62860000000000005</v>
      </c>
      <c r="AM44" s="115">
        <v>1</v>
      </c>
      <c r="AN44" s="115">
        <v>0</v>
      </c>
      <c r="AO44" s="115">
        <v>0</v>
      </c>
      <c r="AP44" s="115">
        <v>1</v>
      </c>
      <c r="AQ44" s="115">
        <v>1</v>
      </c>
      <c r="AR44" s="115">
        <v>1</v>
      </c>
      <c r="AS44" s="115">
        <v>1.9599999999999999E-2</v>
      </c>
      <c r="AT44" s="115">
        <v>0.82450000000000001</v>
      </c>
      <c r="AU44" s="114" t="str">
        <f>IF(A44&lt;&gt;"",INDEX(Index!$B$1:$B$77,MATCH($A44,Index!$A$1:$A$77,0)),"")</f>
        <v>SF</v>
      </c>
      <c r="AV44" s="123" t="str">
        <f>IF(B44&lt;&gt;"",INDEX(Index!$C$1:$C$77,MATCH($A44,Index!$A$1:$A$77,0)),"")</f>
        <v>Purdy</v>
      </c>
      <c r="AW44" s="123">
        <f t="shared" si="0"/>
        <v>27</v>
      </c>
      <c r="AX44" s="113">
        <v>3</v>
      </c>
    </row>
    <row r="45" spans="1:50" x14ac:dyDescent="0.25">
      <c r="A45" s="95" t="s">
        <v>562</v>
      </c>
      <c r="B45" s="96">
        <v>2025</v>
      </c>
      <c r="C45" s="96">
        <v>2</v>
      </c>
      <c r="D45" s="115">
        <v>0.79059299999999999</v>
      </c>
      <c r="E45" s="115">
        <v>-0.36813800000000002</v>
      </c>
      <c r="F45" s="115"/>
      <c r="G45" s="115">
        <v>-0.34819800000000001</v>
      </c>
      <c r="H45" s="115">
        <v>43</v>
      </c>
      <c r="I45" s="115">
        <v>71</v>
      </c>
      <c r="J45" s="115">
        <v>0.60560000000000003</v>
      </c>
      <c r="K45" s="115">
        <v>-4.7148000000000003</v>
      </c>
      <c r="L45" s="115">
        <v>6.0986000000000002</v>
      </c>
      <c r="M45" s="115">
        <v>3</v>
      </c>
      <c r="N45" s="115">
        <v>0</v>
      </c>
      <c r="O45" s="115">
        <v>7</v>
      </c>
      <c r="P45" s="115">
        <v>15</v>
      </c>
      <c r="Q45" s="115">
        <v>88</v>
      </c>
      <c r="R45" s="115">
        <v>5.8666999999999998</v>
      </c>
      <c r="S45" s="115">
        <v>0</v>
      </c>
      <c r="T45" s="115">
        <v>4.2299999999999997E-2</v>
      </c>
      <c r="U45" s="115">
        <v>0</v>
      </c>
      <c r="V45" s="115">
        <v>4.2299999999999997E-2</v>
      </c>
      <c r="W45" s="115">
        <v>0.44</v>
      </c>
      <c r="X45" s="115">
        <v>92.048100000000005</v>
      </c>
      <c r="Y45" s="115">
        <v>5.7820999999999998</v>
      </c>
      <c r="Z45" s="115">
        <v>152.56700000000001</v>
      </c>
      <c r="AA45" s="115">
        <v>39</v>
      </c>
      <c r="AB45" s="115">
        <v>-2.0758000000000001</v>
      </c>
      <c r="AC45" s="115">
        <v>-2.0799999999999999E-2</v>
      </c>
      <c r="AD45" s="115">
        <v>-2E-3</v>
      </c>
      <c r="AE45" s="115">
        <v>5.1000000000000004E-3</v>
      </c>
      <c r="AF45" s="115">
        <v>-8.8800000000000004E-2</v>
      </c>
      <c r="AG45" s="115">
        <v>6.9199999999999998E-2</v>
      </c>
      <c r="AH45" s="115">
        <v>-9.3700000000000006E-2</v>
      </c>
      <c r="AI45" s="115">
        <v>1.6299999999999999E-2</v>
      </c>
      <c r="AJ45" s="115">
        <v>-4.8999999999999998E-3</v>
      </c>
      <c r="AK45" s="115">
        <v>7.8592000000000004</v>
      </c>
      <c r="AL45" s="115">
        <v>-0.90139999999999998</v>
      </c>
      <c r="AM45" s="115">
        <v>1</v>
      </c>
      <c r="AN45" s="115">
        <v>1</v>
      </c>
      <c r="AO45" s="115">
        <v>0</v>
      </c>
      <c r="AP45" s="115">
        <v>0</v>
      </c>
      <c r="AQ45" s="115">
        <v>0</v>
      </c>
      <c r="AR45" s="115"/>
      <c r="AS45" s="115">
        <v>-1.2999999999999999E-3</v>
      </c>
      <c r="AT45" s="115">
        <v>-0.1338</v>
      </c>
      <c r="AU45" s="114" t="str">
        <f>IF(A45&lt;&gt;"",INDEX(Index!$B$1:$B$77,MATCH($A45,Index!$A$1:$A$77,0)),"")</f>
        <v>WAS</v>
      </c>
      <c r="AV45" s="123" t="str">
        <f>IF(B45&lt;&gt;"",INDEX(Index!$C$1:$C$77,MATCH($A45,Index!$A$1:$A$77,0)),"")</f>
        <v>Daniels</v>
      </c>
      <c r="AW45" s="123">
        <f t="shared" si="0"/>
        <v>11</v>
      </c>
      <c r="AX45" s="113">
        <v>3</v>
      </c>
    </row>
    <row r="46" spans="1:50" x14ac:dyDescent="0.25">
      <c r="A46" s="95" t="s">
        <v>558</v>
      </c>
      <c r="B46" s="96">
        <v>2025</v>
      </c>
      <c r="C46" s="96">
        <v>3</v>
      </c>
      <c r="D46" s="115">
        <v>0.63186500000000001</v>
      </c>
      <c r="E46" s="115">
        <v>-0.20380799999999999</v>
      </c>
      <c r="F46" s="115"/>
      <c r="G46" s="115">
        <v>-0.78507499999999997</v>
      </c>
      <c r="H46" s="115">
        <v>56</v>
      </c>
      <c r="I46" s="115">
        <v>86</v>
      </c>
      <c r="J46" s="115">
        <v>0.6512</v>
      </c>
      <c r="K46" s="115">
        <v>1.2169000000000001</v>
      </c>
      <c r="L46" s="115">
        <v>6.8140000000000001</v>
      </c>
      <c r="M46" s="115">
        <v>7</v>
      </c>
      <c r="N46" s="115">
        <v>3</v>
      </c>
      <c r="O46" s="115">
        <v>7</v>
      </c>
      <c r="P46" s="115">
        <v>2</v>
      </c>
      <c r="Q46" s="115">
        <v>6</v>
      </c>
      <c r="R46" s="115">
        <v>3</v>
      </c>
      <c r="S46" s="115">
        <v>0</v>
      </c>
      <c r="T46" s="115">
        <v>8.14E-2</v>
      </c>
      <c r="U46" s="115">
        <v>3.49E-2</v>
      </c>
      <c r="V46" s="115">
        <v>4.65E-2</v>
      </c>
      <c r="W46" s="115">
        <v>0.43140000000000001</v>
      </c>
      <c r="X46" s="115">
        <v>97.335300000000004</v>
      </c>
      <c r="Y46" s="115">
        <v>5.8601999999999999</v>
      </c>
      <c r="Z46" s="115">
        <v>129.46100000000001</v>
      </c>
      <c r="AA46" s="115">
        <v>44.8</v>
      </c>
      <c r="AB46" s="115">
        <v>8.7537000000000003</v>
      </c>
      <c r="AC46" s="115">
        <v>8.5800000000000001E-2</v>
      </c>
      <c r="AD46" s="115">
        <v>-4.9399999999999999E-2</v>
      </c>
      <c r="AE46" s="115">
        <v>1.2200000000000001E-2</v>
      </c>
      <c r="AF46" s="115">
        <v>-1.09E-2</v>
      </c>
      <c r="AG46" s="115">
        <v>-5.4800000000000001E-2</v>
      </c>
      <c r="AH46" s="115">
        <v>-0.18659999999999999</v>
      </c>
      <c r="AI46" s="115">
        <v>0.2407</v>
      </c>
      <c r="AJ46" s="115">
        <v>5.6500000000000002E-2</v>
      </c>
      <c r="AK46" s="115">
        <v>5.1395</v>
      </c>
      <c r="AL46" s="115">
        <v>-4.5232999999999999</v>
      </c>
      <c r="AM46" s="115">
        <v>2</v>
      </c>
      <c r="AN46" s="115">
        <v>1</v>
      </c>
      <c r="AO46" s="115">
        <v>0</v>
      </c>
      <c r="AP46" s="115">
        <v>1</v>
      </c>
      <c r="AQ46" s="115">
        <v>1</v>
      </c>
      <c r="AR46" s="115">
        <v>1</v>
      </c>
      <c r="AS46" s="115">
        <v>2.8999999999999998E-3</v>
      </c>
      <c r="AT46" s="115">
        <v>0.30020000000000002</v>
      </c>
      <c r="AU46" s="114" t="str">
        <f>IF(A46&lt;&gt;"",INDEX(Index!$B$1:$B$77,MATCH($A46,Index!$A$1:$A$77,0)),"")</f>
        <v>GB</v>
      </c>
      <c r="AV46" s="123" t="str">
        <f>IF(B46&lt;&gt;"",INDEX(Index!$C$1:$C$77,MATCH($A46,Index!$A$1:$A$77,0)),"")</f>
        <v>Rodgers</v>
      </c>
      <c r="AW46" s="123">
        <f t="shared" si="0"/>
        <v>33</v>
      </c>
      <c r="AX46" s="113">
        <v>3</v>
      </c>
    </row>
    <row r="47" spans="1:50" x14ac:dyDescent="0.25">
      <c r="A47" s="95" t="s">
        <v>561</v>
      </c>
      <c r="B47" s="96">
        <v>2025</v>
      </c>
      <c r="C47" s="96">
        <v>3</v>
      </c>
      <c r="D47" s="115">
        <v>0.53354400000000002</v>
      </c>
      <c r="E47" s="115">
        <v>-0.26625199999999999</v>
      </c>
      <c r="F47" s="115"/>
      <c r="G47" s="115">
        <v>-0.47441499999999998</v>
      </c>
      <c r="H47" s="115">
        <v>61</v>
      </c>
      <c r="I47" s="115">
        <v>95</v>
      </c>
      <c r="J47" s="115">
        <v>0.6421</v>
      </c>
      <c r="K47" s="115">
        <v>-2.4056000000000002</v>
      </c>
      <c r="L47" s="115">
        <v>5.6315999999999997</v>
      </c>
      <c r="M47" s="115">
        <v>5</v>
      </c>
      <c r="N47" s="115">
        <v>3</v>
      </c>
      <c r="O47" s="115">
        <v>3</v>
      </c>
      <c r="P47" s="115">
        <v>16</v>
      </c>
      <c r="Q47" s="115">
        <v>74</v>
      </c>
      <c r="R47" s="115">
        <v>4.625</v>
      </c>
      <c r="S47" s="115">
        <v>0</v>
      </c>
      <c r="T47" s="115">
        <v>5.2600000000000001E-2</v>
      </c>
      <c r="U47" s="115">
        <v>3.1600000000000003E-2</v>
      </c>
      <c r="V47" s="115">
        <v>2.1100000000000001E-2</v>
      </c>
      <c r="W47" s="115">
        <v>0.39679999999999999</v>
      </c>
      <c r="X47" s="115">
        <v>83.442999999999998</v>
      </c>
      <c r="Y47" s="115">
        <v>4.9387999999999996</v>
      </c>
      <c r="Z47" s="115">
        <v>147.03299999999999</v>
      </c>
      <c r="AA47" s="115">
        <v>41.8</v>
      </c>
      <c r="AB47" s="115">
        <v>-3.5007000000000001</v>
      </c>
      <c r="AC47" s="115">
        <v>-2.7799999999999998E-2</v>
      </c>
      <c r="AD47" s="115">
        <v>-6.3200000000000006E-2</v>
      </c>
      <c r="AE47" s="115">
        <v>4.3299999999999998E-2</v>
      </c>
      <c r="AF47" s="115">
        <v>8.9999999999999993E-3</v>
      </c>
      <c r="AG47" s="115">
        <v>-2.7900000000000001E-2</v>
      </c>
      <c r="AH47" s="115">
        <v>-0.13039999999999999</v>
      </c>
      <c r="AI47" s="115">
        <v>8.3799999999999999E-2</v>
      </c>
      <c r="AJ47" s="115">
        <v>-2.0400000000000001E-2</v>
      </c>
      <c r="AK47" s="115">
        <v>6.6211000000000002</v>
      </c>
      <c r="AL47" s="115">
        <v>-2.5263</v>
      </c>
      <c r="AM47" s="115">
        <v>1</v>
      </c>
      <c r="AN47" s="115">
        <v>2</v>
      </c>
      <c r="AO47" s="115">
        <v>0</v>
      </c>
      <c r="AP47" s="115">
        <v>0</v>
      </c>
      <c r="AQ47" s="115">
        <v>0</v>
      </c>
      <c r="AR47" s="115"/>
      <c r="AS47" s="115">
        <v>5.0000000000000001E-4</v>
      </c>
      <c r="AT47" s="115">
        <v>6.9099999999999995E-2</v>
      </c>
      <c r="AU47" s="114" t="str">
        <f>IF(A47&lt;&gt;"",INDEX(Index!$B$1:$B$77,MATCH($A47,Index!$A$1:$A$77,0)),"")</f>
        <v>DEN</v>
      </c>
      <c r="AV47" s="123" t="str">
        <f>IF(B47&lt;&gt;"",INDEX(Index!$C$1:$C$77,MATCH($A47,Index!$A$1:$A$77,0)),"")</f>
        <v>Nix</v>
      </c>
      <c r="AW47" s="123">
        <f t="shared" si="0"/>
        <v>14</v>
      </c>
      <c r="AX47" s="113">
        <v>3</v>
      </c>
    </row>
    <row r="48" spans="1:50" x14ac:dyDescent="0.25">
      <c r="A48" s="95" t="s">
        <v>565</v>
      </c>
      <c r="B48" s="96">
        <v>2025</v>
      </c>
      <c r="C48" s="96">
        <v>3</v>
      </c>
      <c r="D48" s="115">
        <v>0.35937999999999998</v>
      </c>
      <c r="E48" s="115">
        <v>-7.23438E-2</v>
      </c>
      <c r="F48" s="115"/>
      <c r="G48" s="115">
        <v>-0.94616299999999998</v>
      </c>
      <c r="H48" s="115">
        <v>62</v>
      </c>
      <c r="I48" s="115">
        <v>89</v>
      </c>
      <c r="J48" s="115">
        <v>0.6966</v>
      </c>
      <c r="K48" s="115">
        <v>2.3921000000000001</v>
      </c>
      <c r="L48" s="115">
        <v>6.4607000000000001</v>
      </c>
      <c r="M48" s="115">
        <v>5</v>
      </c>
      <c r="N48" s="115">
        <v>4</v>
      </c>
      <c r="O48" s="115">
        <v>8</v>
      </c>
      <c r="P48" s="115">
        <v>2</v>
      </c>
      <c r="Q48" s="115">
        <v>15</v>
      </c>
      <c r="R48" s="115">
        <v>7.5</v>
      </c>
      <c r="S48" s="115">
        <v>0</v>
      </c>
      <c r="T48" s="115">
        <v>5.62E-2</v>
      </c>
      <c r="U48" s="115">
        <v>4.4900000000000002E-2</v>
      </c>
      <c r="V48" s="115">
        <v>1.12E-2</v>
      </c>
      <c r="W48" s="115">
        <v>0.434</v>
      </c>
      <c r="X48" s="115">
        <v>87.055199999999999</v>
      </c>
      <c r="Y48" s="115">
        <v>4.7835000000000001</v>
      </c>
      <c r="Z48" s="115">
        <v>98.0107</v>
      </c>
      <c r="AA48" s="115">
        <v>35.799999999999997</v>
      </c>
      <c r="AB48" s="115">
        <v>-7.7161</v>
      </c>
      <c r="AC48" s="115">
        <v>-7.2800000000000004E-2</v>
      </c>
      <c r="AD48" s="115">
        <v>-1.66E-2</v>
      </c>
      <c r="AE48" s="115">
        <v>-4.3900000000000002E-2</v>
      </c>
      <c r="AF48" s="115">
        <v>2.5700000000000001E-2</v>
      </c>
      <c r="AG48" s="115">
        <v>-7.9399999999999998E-2</v>
      </c>
      <c r="AH48" s="115">
        <v>-4.2599999999999999E-2</v>
      </c>
      <c r="AI48" s="115">
        <v>7.3999999999999996E-2</v>
      </c>
      <c r="AJ48" s="115">
        <v>-6.83E-2</v>
      </c>
      <c r="AK48" s="115">
        <v>6.9775</v>
      </c>
      <c r="AL48" s="115">
        <v>-1.7191000000000001</v>
      </c>
      <c r="AM48" s="115">
        <v>0</v>
      </c>
      <c r="AN48" s="115">
        <v>3</v>
      </c>
      <c r="AO48" s="115">
        <v>0</v>
      </c>
      <c r="AP48" s="115">
        <v>0</v>
      </c>
      <c r="AQ48" s="115">
        <v>2</v>
      </c>
      <c r="AR48" s="115">
        <v>0</v>
      </c>
      <c r="AS48" s="115">
        <v>-1.6000000000000001E-3</v>
      </c>
      <c r="AT48" s="115">
        <v>-0.17369999999999999</v>
      </c>
      <c r="AU48" s="114" t="str">
        <f>IF(A48&lt;&gt;"",INDEX(Index!$B$1:$B$77,MATCH($A48,Index!$A$1:$A$77,0)),"")</f>
        <v>MIA</v>
      </c>
      <c r="AV48" s="123" t="str">
        <f>IF(B48&lt;&gt;"",INDEX(Index!$C$1:$C$77,MATCH($A48,Index!$A$1:$A$77,0)),"")</f>
        <v>Tagovailoa</v>
      </c>
      <c r="AW48" s="123">
        <f t="shared" si="0"/>
        <v>28</v>
      </c>
      <c r="AX48" s="113">
        <v>3</v>
      </c>
    </row>
    <row r="49" spans="1:50" x14ac:dyDescent="0.25">
      <c r="A49" s="95" t="s">
        <v>563</v>
      </c>
      <c r="B49" s="96">
        <v>2025</v>
      </c>
      <c r="C49" s="96">
        <v>3</v>
      </c>
      <c r="D49" s="115">
        <v>0.29435600000000001</v>
      </c>
      <c r="E49" s="115">
        <v>-0.41169499999999998</v>
      </c>
      <c r="F49" s="115"/>
      <c r="G49" s="115">
        <v>0.33210499999999998</v>
      </c>
      <c r="H49" s="115">
        <v>72</v>
      </c>
      <c r="I49" s="115">
        <v>108</v>
      </c>
      <c r="J49" s="115">
        <v>0.66669999999999996</v>
      </c>
      <c r="K49" s="115">
        <v>-0.13339999999999999</v>
      </c>
      <c r="L49" s="115">
        <v>7.9630000000000001</v>
      </c>
      <c r="M49" s="115">
        <v>6</v>
      </c>
      <c r="N49" s="115">
        <v>1</v>
      </c>
      <c r="O49" s="115">
        <v>10</v>
      </c>
      <c r="P49" s="115">
        <v>11</v>
      </c>
      <c r="Q49" s="115">
        <v>75</v>
      </c>
      <c r="R49" s="115">
        <v>6.8182</v>
      </c>
      <c r="S49" s="115">
        <v>0</v>
      </c>
      <c r="T49" s="115">
        <v>5.5599999999999997E-2</v>
      </c>
      <c r="U49" s="115">
        <v>9.2999999999999992E-3</v>
      </c>
      <c r="V49" s="115">
        <v>4.6300000000000001E-2</v>
      </c>
      <c r="W49" s="115">
        <v>0.51090000000000002</v>
      </c>
      <c r="X49" s="115">
        <v>105.47799999999999</v>
      </c>
      <c r="Y49" s="115">
        <v>7.5</v>
      </c>
      <c r="Z49" s="115">
        <v>215.79</v>
      </c>
      <c r="AA49" s="115">
        <v>69.8</v>
      </c>
      <c r="AB49" s="115">
        <v>31.791</v>
      </c>
      <c r="AC49" s="115">
        <v>0.2321</v>
      </c>
      <c r="AD49" s="115">
        <v>1.8E-3</v>
      </c>
      <c r="AE49" s="115">
        <v>-1.9300000000000001E-2</v>
      </c>
      <c r="AF49" s="115">
        <v>1.41E-2</v>
      </c>
      <c r="AG49" s="115">
        <v>4.5100000000000001E-2</v>
      </c>
      <c r="AH49" s="115">
        <v>0.1158</v>
      </c>
      <c r="AI49" s="115">
        <v>1.46E-2</v>
      </c>
      <c r="AJ49" s="115">
        <v>-1.8100000000000002E-2</v>
      </c>
      <c r="AK49" s="115">
        <v>9.3980999999999995</v>
      </c>
      <c r="AL49" s="115">
        <v>0.28699999999999998</v>
      </c>
      <c r="AM49" s="115">
        <v>3</v>
      </c>
      <c r="AN49" s="115">
        <v>0</v>
      </c>
      <c r="AO49" s="115">
        <v>0</v>
      </c>
      <c r="AP49" s="115">
        <v>1</v>
      </c>
      <c r="AQ49" s="115">
        <v>1</v>
      </c>
      <c r="AR49" s="115">
        <v>1</v>
      </c>
      <c r="AS49" s="115">
        <v>8.5000000000000006E-3</v>
      </c>
      <c r="AT49" s="115">
        <v>1.1645000000000001</v>
      </c>
      <c r="AU49" s="114" t="str">
        <f>IF(A49&lt;&gt;"",INDEX(Index!$B$1:$B$77,MATCH($A49,Index!$A$1:$A$77,0)),"")</f>
        <v>LAC</v>
      </c>
      <c r="AV49" s="123" t="str">
        <f>IF(B49&lt;&gt;"",INDEX(Index!$C$1:$C$77,MATCH($A49,Index!$A$1:$A$77,0)),"")</f>
        <v>Herbert</v>
      </c>
      <c r="AW49" s="123">
        <f t="shared" si="0"/>
        <v>13</v>
      </c>
      <c r="AX49" s="113">
        <v>3</v>
      </c>
    </row>
    <row r="50" spans="1:50" x14ac:dyDescent="0.25">
      <c r="A50" s="95" t="s">
        <v>568</v>
      </c>
      <c r="B50" s="96">
        <v>2025</v>
      </c>
      <c r="C50" s="96">
        <v>3</v>
      </c>
      <c r="D50" s="115">
        <v>4.73395E-2</v>
      </c>
      <c r="E50" s="115">
        <v>0.33460000000000001</v>
      </c>
      <c r="F50" s="115"/>
      <c r="G50" s="115">
        <v>1.6939599999999999</v>
      </c>
      <c r="H50" s="115">
        <v>63</v>
      </c>
      <c r="I50" s="115">
        <v>88</v>
      </c>
      <c r="J50" s="115">
        <v>0.71589999999999998</v>
      </c>
      <c r="K50" s="115">
        <v>4.1593999999999998</v>
      </c>
      <c r="L50" s="115">
        <v>9.2727000000000004</v>
      </c>
      <c r="M50" s="115">
        <v>3</v>
      </c>
      <c r="N50" s="115">
        <v>0</v>
      </c>
      <c r="O50" s="115">
        <v>2</v>
      </c>
      <c r="P50" s="115">
        <v>17</v>
      </c>
      <c r="Q50" s="115">
        <v>55</v>
      </c>
      <c r="R50" s="115">
        <v>3.2353000000000001</v>
      </c>
      <c r="S50" s="115">
        <v>3</v>
      </c>
      <c r="T50" s="115">
        <v>3.4099999999999998E-2</v>
      </c>
      <c r="U50" s="115">
        <v>0</v>
      </c>
      <c r="V50" s="115">
        <v>3.4099999999999998E-2</v>
      </c>
      <c r="W50" s="115">
        <v>0.59819999999999995</v>
      </c>
      <c r="X50" s="115">
        <v>111.742</v>
      </c>
      <c r="Y50" s="115">
        <v>9.5111000000000008</v>
      </c>
      <c r="Z50" s="115">
        <v>315.5</v>
      </c>
      <c r="AA50" s="115">
        <v>85.8</v>
      </c>
      <c r="AB50" s="115">
        <v>46.875799999999998</v>
      </c>
      <c r="AC50" s="115">
        <v>0.41849999999999998</v>
      </c>
      <c r="AD50" s="115">
        <v>3.85E-2</v>
      </c>
      <c r="AE50" s="115">
        <v>7.0699999999999999E-2</v>
      </c>
      <c r="AF50" s="115">
        <v>2.3400000000000001E-2</v>
      </c>
      <c r="AG50" s="115">
        <v>6.9199999999999998E-2</v>
      </c>
      <c r="AH50" s="115">
        <v>1.67E-2</v>
      </c>
      <c r="AI50" s="115">
        <v>0.1148</v>
      </c>
      <c r="AJ50" s="115">
        <v>7.1000000000000004E-3</v>
      </c>
      <c r="AK50" s="115">
        <v>7.9545000000000003</v>
      </c>
      <c r="AL50" s="115">
        <v>-0.42049999999999998</v>
      </c>
      <c r="AM50" s="115">
        <v>3</v>
      </c>
      <c r="AN50" s="115">
        <v>0</v>
      </c>
      <c r="AO50" s="115">
        <v>0</v>
      </c>
      <c r="AP50" s="115">
        <v>1</v>
      </c>
      <c r="AQ50" s="115">
        <v>1</v>
      </c>
      <c r="AR50" s="115">
        <v>1</v>
      </c>
      <c r="AS50" s="115">
        <v>7.4000000000000003E-3</v>
      </c>
      <c r="AT50" s="115">
        <v>0.82330000000000003</v>
      </c>
      <c r="AU50" s="114" t="str">
        <f>IF(A50&lt;&gt;"",INDEX(Index!$B$1:$B$77,MATCH($A50,Index!$A$1:$A$77,0)),"")</f>
        <v>IND</v>
      </c>
      <c r="AV50" s="123" t="str">
        <f>IF(B50&lt;&gt;"",INDEX(Index!$C$1:$C$77,MATCH($A50,Index!$A$1:$A$77,0)),"")</f>
        <v>Jones</v>
      </c>
      <c r="AW50" s="123">
        <f t="shared" si="0"/>
        <v>16</v>
      </c>
      <c r="AX50" s="113">
        <v>3</v>
      </c>
    </row>
    <row r="51" spans="1:50" x14ac:dyDescent="0.25">
      <c r="A51" s="95" t="s">
        <v>567</v>
      </c>
      <c r="B51" s="96">
        <v>2025</v>
      </c>
      <c r="C51" s="96">
        <v>3</v>
      </c>
      <c r="D51" s="115">
        <v>4.0386999999999999E-2</v>
      </c>
      <c r="E51" s="115">
        <v>-0.129658</v>
      </c>
      <c r="F51" s="115"/>
      <c r="G51" s="115">
        <v>2.0538299999999999E-2</v>
      </c>
      <c r="H51" s="115">
        <v>63</v>
      </c>
      <c r="I51" s="115">
        <v>95</v>
      </c>
      <c r="J51" s="115">
        <v>0.66320000000000001</v>
      </c>
      <c r="K51" s="115">
        <v>3.9169999999999998</v>
      </c>
      <c r="L51" s="115">
        <v>7.7789000000000001</v>
      </c>
      <c r="M51" s="115">
        <v>5</v>
      </c>
      <c r="N51" s="115">
        <v>2</v>
      </c>
      <c r="O51" s="115">
        <v>5</v>
      </c>
      <c r="P51" s="115">
        <v>1</v>
      </c>
      <c r="Q51" s="115">
        <v>0</v>
      </c>
      <c r="R51" s="115">
        <v>0</v>
      </c>
      <c r="S51" s="115">
        <v>0</v>
      </c>
      <c r="T51" s="115">
        <v>5.2600000000000001E-2</v>
      </c>
      <c r="U51" s="115">
        <v>2.1100000000000001E-2</v>
      </c>
      <c r="V51" s="115">
        <v>3.1600000000000003E-2</v>
      </c>
      <c r="W51" s="115">
        <v>0.46229999999999999</v>
      </c>
      <c r="X51" s="115">
        <v>98.530699999999996</v>
      </c>
      <c r="Y51" s="115">
        <v>7.2</v>
      </c>
      <c r="Z51" s="115">
        <v>177.459</v>
      </c>
      <c r="AA51" s="115">
        <v>65.5</v>
      </c>
      <c r="AB51" s="115">
        <v>10.079000000000001</v>
      </c>
      <c r="AC51" s="115">
        <v>9.5100000000000004E-2</v>
      </c>
      <c r="AD51" s="115">
        <v>-4.5900000000000003E-2</v>
      </c>
      <c r="AE51" s="115">
        <v>0.01</v>
      </c>
      <c r="AF51" s="115">
        <v>-2.2200000000000001E-2</v>
      </c>
      <c r="AG51" s="115">
        <v>2.2000000000000001E-3</v>
      </c>
      <c r="AH51" s="115">
        <v>0.1173</v>
      </c>
      <c r="AI51" s="115">
        <v>-3.5499999999999997E-2</v>
      </c>
      <c r="AJ51" s="115">
        <v>-8.8999999999999999E-3</v>
      </c>
      <c r="AK51" s="115">
        <v>6.9579000000000004</v>
      </c>
      <c r="AL51" s="115">
        <v>-1.1052999999999999</v>
      </c>
      <c r="AM51" s="115">
        <v>2</v>
      </c>
      <c r="AN51" s="115">
        <v>1</v>
      </c>
      <c r="AO51" s="115">
        <v>0</v>
      </c>
      <c r="AP51" s="115">
        <v>0</v>
      </c>
      <c r="AQ51" s="115">
        <v>1</v>
      </c>
      <c r="AR51" s="115">
        <v>0</v>
      </c>
      <c r="AS51" s="115">
        <v>4.7999999999999996E-3</v>
      </c>
      <c r="AT51" s="115">
        <v>0.51019999999999999</v>
      </c>
      <c r="AU51" s="114" t="str">
        <f>IF(A51&lt;&gt;"",INDEX(Index!$B$1:$B$77,MATCH($A51,Index!$A$1:$A$77,0)),"")</f>
        <v>LAR</v>
      </c>
      <c r="AV51" s="123" t="str">
        <f>IF(B51&lt;&gt;"",INDEX(Index!$C$1:$C$77,MATCH($A51,Index!$A$1:$A$77,0)),"")</f>
        <v>Stafford</v>
      </c>
      <c r="AW51" s="123">
        <f t="shared" si="0"/>
        <v>37</v>
      </c>
      <c r="AX51" s="113">
        <v>3</v>
      </c>
    </row>
    <row r="52" spans="1:50" x14ac:dyDescent="0.25">
      <c r="A52" s="95" t="s">
        <v>564</v>
      </c>
      <c r="B52" s="96">
        <v>2025</v>
      </c>
      <c r="C52" s="96">
        <v>3</v>
      </c>
      <c r="D52" s="115">
        <v>-9.6745600000000001E-2</v>
      </c>
      <c r="E52" s="115">
        <v>-0.72088399999999997</v>
      </c>
      <c r="F52" s="115"/>
      <c r="G52" s="115">
        <v>-0.424373</v>
      </c>
      <c r="H52" s="115">
        <v>65</v>
      </c>
      <c r="I52" s="115">
        <v>110</v>
      </c>
      <c r="J52" s="115">
        <v>0.59089999999999998</v>
      </c>
      <c r="K52" s="115">
        <v>-0.79149999999999998</v>
      </c>
      <c r="L52" s="115">
        <v>7.0727000000000002</v>
      </c>
      <c r="M52" s="115">
        <v>3</v>
      </c>
      <c r="N52" s="115">
        <v>3</v>
      </c>
      <c r="O52" s="115">
        <v>7</v>
      </c>
      <c r="P52" s="115">
        <v>16</v>
      </c>
      <c r="Q52" s="115">
        <v>94</v>
      </c>
      <c r="R52" s="115">
        <v>5.875</v>
      </c>
      <c r="S52" s="115">
        <v>0</v>
      </c>
      <c r="T52" s="115">
        <v>2.7300000000000001E-2</v>
      </c>
      <c r="U52" s="115">
        <v>2.7300000000000001E-2</v>
      </c>
      <c r="V52" s="115">
        <v>0</v>
      </c>
      <c r="W52" s="115">
        <v>0.42359999999999998</v>
      </c>
      <c r="X52" s="115">
        <v>78.5227</v>
      </c>
      <c r="Y52" s="115">
        <v>5.5983000000000001</v>
      </c>
      <c r="Z52" s="115">
        <v>140.059</v>
      </c>
      <c r="AA52" s="115">
        <v>34</v>
      </c>
      <c r="AB52" s="115">
        <v>3.798</v>
      </c>
      <c r="AC52" s="115">
        <v>2.64E-2</v>
      </c>
      <c r="AD52" s="115">
        <v>-3.5400000000000001E-2</v>
      </c>
      <c r="AE52" s="115">
        <v>2.6200000000000001E-2</v>
      </c>
      <c r="AF52" s="115">
        <v>-9.9599999999999994E-2</v>
      </c>
      <c r="AG52" s="115">
        <v>8.0000000000000002E-3</v>
      </c>
      <c r="AH52" s="115">
        <v>4.07E-2</v>
      </c>
      <c r="AI52" s="115">
        <v>-5.4399999999999997E-2</v>
      </c>
      <c r="AJ52" s="115">
        <v>6.2799999999999995E-2</v>
      </c>
      <c r="AK52" s="115">
        <v>9.3818000000000001</v>
      </c>
      <c r="AL52" s="115">
        <v>0.46360000000000001</v>
      </c>
      <c r="AM52" s="115">
        <v>0</v>
      </c>
      <c r="AN52" s="115">
        <v>3</v>
      </c>
      <c r="AO52" s="115">
        <v>0</v>
      </c>
      <c r="AP52" s="115">
        <v>0</v>
      </c>
      <c r="AQ52" s="115">
        <v>2</v>
      </c>
      <c r="AR52" s="115">
        <v>0</v>
      </c>
      <c r="AS52" s="115">
        <v>8.0999999999999996E-3</v>
      </c>
      <c r="AT52" s="115">
        <v>1.1620999999999999</v>
      </c>
      <c r="AU52" s="114" t="str">
        <f>IF(A52&lt;&gt;"",INDEX(Index!$B$1:$B$77,MATCH($A52,Index!$A$1:$A$77,0)),"")</f>
        <v>NYG</v>
      </c>
      <c r="AV52" s="123" t="str">
        <f>IF(B52&lt;&gt;"",INDEX(Index!$C$1:$C$77,MATCH($A52,Index!$A$1:$A$77,0)),"")</f>
        <v>Wilson</v>
      </c>
      <c r="AW52" s="123">
        <f t="shared" si="0"/>
        <v>9</v>
      </c>
      <c r="AX52" s="113">
        <v>3</v>
      </c>
    </row>
    <row r="53" spans="1:50" x14ac:dyDescent="0.25">
      <c r="A53" s="95" t="s">
        <v>566</v>
      </c>
      <c r="B53" s="96">
        <v>2025</v>
      </c>
      <c r="C53" s="96">
        <v>3</v>
      </c>
      <c r="D53" s="115">
        <v>-0.204211</v>
      </c>
      <c r="E53" s="115">
        <v>-0.421151</v>
      </c>
      <c r="F53" s="115"/>
      <c r="G53" s="115">
        <v>-8.7597700000000001E-3</v>
      </c>
      <c r="H53" s="115">
        <v>53</v>
      </c>
      <c r="I53" s="115">
        <v>78</v>
      </c>
      <c r="J53" s="115">
        <v>0.67949999999999999</v>
      </c>
      <c r="K53" s="115">
        <v>6.7647000000000004</v>
      </c>
      <c r="L53" s="115">
        <v>8.5</v>
      </c>
      <c r="M53" s="115">
        <v>5</v>
      </c>
      <c r="N53" s="115">
        <v>1</v>
      </c>
      <c r="O53" s="115">
        <v>7</v>
      </c>
      <c r="P53" s="115">
        <v>6</v>
      </c>
      <c r="Q53" s="115">
        <v>38</v>
      </c>
      <c r="R53" s="115">
        <v>6.3333000000000004</v>
      </c>
      <c r="S53" s="115">
        <v>0</v>
      </c>
      <c r="T53" s="115">
        <v>6.4100000000000004E-2</v>
      </c>
      <c r="U53" s="115">
        <v>1.2800000000000001E-2</v>
      </c>
      <c r="V53" s="115">
        <v>5.1299999999999998E-2</v>
      </c>
      <c r="W53" s="115">
        <v>0.49490000000000001</v>
      </c>
      <c r="X53" s="115">
        <v>110.15</v>
      </c>
      <c r="Y53" s="115">
        <v>7.7765000000000004</v>
      </c>
      <c r="Z53" s="115">
        <v>172.768</v>
      </c>
      <c r="AA53" s="115">
        <v>66</v>
      </c>
      <c r="AB53" s="115">
        <v>24.704699999999999</v>
      </c>
      <c r="AC53" s="115">
        <v>0.2495</v>
      </c>
      <c r="AD53" s="115">
        <v>1.7100000000000001E-2</v>
      </c>
      <c r="AE53" s="115">
        <v>-2.4299999999999999E-2</v>
      </c>
      <c r="AF53" s="115">
        <v>-1.6E-2</v>
      </c>
      <c r="AG53" s="115">
        <v>1.0699999999999999E-2</v>
      </c>
      <c r="AH53" s="115">
        <v>0.15359999999999999</v>
      </c>
      <c r="AI53" s="115">
        <v>1.9900000000000001E-2</v>
      </c>
      <c r="AJ53" s="115">
        <v>1.06E-2</v>
      </c>
      <c r="AK53" s="115">
        <v>9.0897000000000006</v>
      </c>
      <c r="AL53" s="115">
        <v>0.30769999999999997</v>
      </c>
      <c r="AM53" s="115">
        <v>2</v>
      </c>
      <c r="AN53" s="115">
        <v>1</v>
      </c>
      <c r="AO53" s="115">
        <v>0</v>
      </c>
      <c r="AP53" s="115">
        <v>0</v>
      </c>
      <c r="AQ53" s="115">
        <v>0</v>
      </c>
      <c r="AR53" s="115"/>
      <c r="AS53" s="115">
        <v>7.7000000000000002E-3</v>
      </c>
      <c r="AT53" s="115">
        <v>0.76270000000000004</v>
      </c>
      <c r="AU53" s="114" t="str">
        <f>IF(A53&lt;&gt;"",INDEX(Index!$B$1:$B$77,MATCH($A53,Index!$A$1:$A$77,0)),"")</f>
        <v>GB</v>
      </c>
      <c r="AV53" s="123" t="str">
        <f>IF(B53&lt;&gt;"",INDEX(Index!$C$1:$C$77,MATCH($A53,Index!$A$1:$A$77,0)),"")</f>
        <v>Love</v>
      </c>
      <c r="AW53" s="123">
        <f t="shared" si="0"/>
        <v>21</v>
      </c>
      <c r="AX53" s="113">
        <v>3</v>
      </c>
    </row>
    <row r="54" spans="1:50" x14ac:dyDescent="0.25">
      <c r="A54" s="95" t="s">
        <v>570</v>
      </c>
      <c r="B54" s="96">
        <v>2025</v>
      </c>
      <c r="C54" s="96">
        <v>3</v>
      </c>
      <c r="D54" s="115">
        <v>-0.25673000000000001</v>
      </c>
      <c r="E54" s="115">
        <v>0.17946400000000001</v>
      </c>
      <c r="F54" s="115"/>
      <c r="G54" s="115">
        <v>0.44390800000000002</v>
      </c>
      <c r="H54" s="115">
        <v>77</v>
      </c>
      <c r="I54" s="115">
        <v>106</v>
      </c>
      <c r="J54" s="115">
        <v>0.72640000000000005</v>
      </c>
      <c r="K54" s="115">
        <v>6.8654999999999999</v>
      </c>
      <c r="L54" s="115">
        <v>7.4057000000000004</v>
      </c>
      <c r="M54" s="115">
        <v>5</v>
      </c>
      <c r="N54" s="115">
        <v>2</v>
      </c>
      <c r="O54" s="115">
        <v>12</v>
      </c>
      <c r="P54" s="115">
        <v>17</v>
      </c>
      <c r="Q54" s="115">
        <v>90</v>
      </c>
      <c r="R54" s="115">
        <v>5.2941000000000003</v>
      </c>
      <c r="S54" s="115">
        <v>1</v>
      </c>
      <c r="T54" s="115">
        <v>4.7199999999999999E-2</v>
      </c>
      <c r="U54" s="115">
        <v>1.89E-2</v>
      </c>
      <c r="V54" s="115">
        <v>2.8299999999999999E-2</v>
      </c>
      <c r="W54" s="115">
        <v>0.51060000000000005</v>
      </c>
      <c r="X54" s="115">
        <v>101.337</v>
      </c>
      <c r="Y54" s="115">
        <v>6.3304999999999998</v>
      </c>
      <c r="Z54" s="115">
        <v>199.28399999999999</v>
      </c>
      <c r="AA54" s="115">
        <v>57.5</v>
      </c>
      <c r="AB54" s="115">
        <v>28.133600000000001</v>
      </c>
      <c r="AC54" s="115">
        <v>0.19950000000000001</v>
      </c>
      <c r="AD54" s="115">
        <v>4.0000000000000002E-4</v>
      </c>
      <c r="AE54" s="115">
        <v>-3.9899999999999998E-2</v>
      </c>
      <c r="AF54" s="115">
        <v>8.0500000000000002E-2</v>
      </c>
      <c r="AG54" s="115">
        <v>1.1599999999999999E-2</v>
      </c>
      <c r="AH54" s="115">
        <v>6.1899999999999997E-2</v>
      </c>
      <c r="AI54" s="115">
        <v>-1.5699999999999999E-2</v>
      </c>
      <c r="AJ54" s="115">
        <v>2.2599999999999999E-2</v>
      </c>
      <c r="AK54" s="115">
        <v>6.5472000000000001</v>
      </c>
      <c r="AL54" s="115">
        <v>-2.4056999999999999</v>
      </c>
      <c r="AM54" s="115">
        <v>1</v>
      </c>
      <c r="AN54" s="115">
        <v>2</v>
      </c>
      <c r="AO54" s="115">
        <v>0</v>
      </c>
      <c r="AP54" s="115">
        <v>0</v>
      </c>
      <c r="AQ54" s="115">
        <v>2</v>
      </c>
      <c r="AR54" s="115">
        <v>0</v>
      </c>
      <c r="AS54" s="115">
        <v>4.7000000000000002E-3</v>
      </c>
      <c r="AT54" s="115">
        <v>0.66039999999999999</v>
      </c>
      <c r="AU54" s="114" t="str">
        <f>IF(A54&lt;&gt;"",INDEX(Index!$B$1:$B$77,MATCH($A54,Index!$A$1:$A$77,0)),"")</f>
        <v>NE</v>
      </c>
      <c r="AV54" s="123" t="str">
        <f>IF(B54&lt;&gt;"",INDEX(Index!$C$1:$C$77,MATCH($A54,Index!$A$1:$A$77,0)),"")</f>
        <v>Maye</v>
      </c>
      <c r="AW54" s="123">
        <f t="shared" si="0"/>
        <v>10</v>
      </c>
      <c r="AX54" s="113">
        <v>3</v>
      </c>
    </row>
    <row r="55" spans="1:50" x14ac:dyDescent="0.25">
      <c r="A55" s="95" t="s">
        <v>569</v>
      </c>
      <c r="B55" s="96">
        <v>2025</v>
      </c>
      <c r="C55" s="96">
        <v>2</v>
      </c>
      <c r="D55" s="115">
        <v>-0.31230200000000002</v>
      </c>
      <c r="E55" s="115">
        <v>-0.62981699999999996</v>
      </c>
      <c r="F55" s="115"/>
      <c r="G55" s="115">
        <v>3.0273399999999999E-2</v>
      </c>
      <c r="H55" s="115">
        <v>19</v>
      </c>
      <c r="I55" s="115">
        <v>33</v>
      </c>
      <c r="J55" s="115">
        <v>0.57579999999999998</v>
      </c>
      <c r="K55" s="115">
        <v>-5.0894000000000004</v>
      </c>
      <c r="L55" s="115">
        <v>7.4241999999999999</v>
      </c>
      <c r="M55" s="115">
        <v>1</v>
      </c>
      <c r="N55" s="115">
        <v>0</v>
      </c>
      <c r="O55" s="115">
        <v>3</v>
      </c>
      <c r="P55" s="115">
        <v>17</v>
      </c>
      <c r="Q55" s="115">
        <v>97</v>
      </c>
      <c r="R55" s="115">
        <v>5.7058999999999997</v>
      </c>
      <c r="S55" s="115">
        <v>2</v>
      </c>
      <c r="T55" s="115">
        <v>3.0300000000000001E-2</v>
      </c>
      <c r="U55" s="115">
        <v>0</v>
      </c>
      <c r="V55" s="115">
        <v>3.0300000000000001E-2</v>
      </c>
      <c r="W55" s="115">
        <v>0.49059999999999998</v>
      </c>
      <c r="X55" s="115">
        <v>91.098500000000001</v>
      </c>
      <c r="Y55" s="115">
        <v>6.6666999999999996</v>
      </c>
      <c r="Z55" s="115">
        <v>178.37</v>
      </c>
      <c r="AA55" s="115">
        <v>39</v>
      </c>
      <c r="AB55" s="115">
        <v>0.82779999999999998</v>
      </c>
      <c r="AC55" s="115">
        <v>1.5599999999999999E-2</v>
      </c>
      <c r="AD55" s="115">
        <v>-4.7500000000000001E-2</v>
      </c>
      <c r="AE55" s="115">
        <v>-6.8999999999999999E-3</v>
      </c>
      <c r="AF55" s="115">
        <v>2.6200000000000001E-2</v>
      </c>
      <c r="AG55" s="115">
        <v>6.9199999999999998E-2</v>
      </c>
      <c r="AH55" s="115">
        <v>3.7600000000000001E-2</v>
      </c>
      <c r="AI55" s="115">
        <v>-0.114</v>
      </c>
      <c r="AJ55" s="115">
        <v>-2.7199999999999998E-2</v>
      </c>
      <c r="AK55" s="115">
        <v>7.9394</v>
      </c>
      <c r="AL55" s="115">
        <v>-1</v>
      </c>
      <c r="AM55" s="115">
        <v>0</v>
      </c>
      <c r="AN55" s="115">
        <v>2</v>
      </c>
      <c r="AO55" s="115">
        <v>0</v>
      </c>
      <c r="AP55" s="115">
        <v>0</v>
      </c>
      <c r="AQ55" s="115">
        <v>1</v>
      </c>
      <c r="AR55" s="115">
        <v>0</v>
      </c>
      <c r="AS55" s="115">
        <v>-2.0000000000000001E-4</v>
      </c>
      <c r="AT55" s="115">
        <v>-1.0500000000000001E-2</v>
      </c>
      <c r="AU55" s="114" t="str">
        <f>IF(A55&lt;&gt;"",INDEX(Index!$B$1:$B$77,MATCH($A55,Index!$A$1:$A$77,0)),"")</f>
        <v>NYJ</v>
      </c>
      <c r="AV55" s="123" t="str">
        <f>IF(B55&lt;&gt;"",INDEX(Index!$C$1:$C$77,MATCH($A55,Index!$A$1:$A$77,0)),"")</f>
        <v>Fields</v>
      </c>
      <c r="AW55" s="123">
        <f t="shared" si="0"/>
        <v>8</v>
      </c>
      <c r="AX55" s="113">
        <v>3</v>
      </c>
    </row>
    <row r="56" spans="1:50" x14ac:dyDescent="0.25">
      <c r="A56" s="95" t="s">
        <v>574</v>
      </c>
      <c r="B56" s="96">
        <v>2025</v>
      </c>
      <c r="C56" s="96">
        <v>3</v>
      </c>
      <c r="D56" s="115">
        <v>-0.421539</v>
      </c>
      <c r="E56" s="115">
        <v>0.78208200000000005</v>
      </c>
      <c r="F56" s="115"/>
      <c r="G56" s="115">
        <v>1.0845199999999999</v>
      </c>
      <c r="H56" s="115">
        <v>59</v>
      </c>
      <c r="I56" s="115">
        <v>93</v>
      </c>
      <c r="J56" s="115">
        <v>0.63439999999999996</v>
      </c>
      <c r="K56" s="115">
        <v>-3.1905999999999999</v>
      </c>
      <c r="L56" s="115">
        <v>7.6882000000000001</v>
      </c>
      <c r="M56" s="115">
        <v>7</v>
      </c>
      <c r="N56" s="115">
        <v>1</v>
      </c>
      <c r="O56" s="115">
        <v>6</v>
      </c>
      <c r="P56" s="115">
        <v>14</v>
      </c>
      <c r="Q56" s="115">
        <v>99</v>
      </c>
      <c r="R56" s="115">
        <v>7.0713999999999997</v>
      </c>
      <c r="S56" s="115">
        <v>1</v>
      </c>
      <c r="T56" s="115">
        <v>7.5300000000000006E-2</v>
      </c>
      <c r="U56" s="115">
        <v>1.0800000000000001E-2</v>
      </c>
      <c r="V56" s="115">
        <v>6.4500000000000002E-2</v>
      </c>
      <c r="W56" s="115">
        <v>0.43440000000000001</v>
      </c>
      <c r="X56" s="115">
        <v>107.59399999999999</v>
      </c>
      <c r="Y56" s="115">
        <v>7.7676999999999996</v>
      </c>
      <c r="Z56" s="115">
        <v>248.33099999999999</v>
      </c>
      <c r="AA56" s="115">
        <v>66.7</v>
      </c>
      <c r="AB56" s="115">
        <v>11.3306</v>
      </c>
      <c r="AC56" s="115">
        <v>9.2899999999999996E-2</v>
      </c>
      <c r="AD56" s="115">
        <v>-1.1900000000000001E-2</v>
      </c>
      <c r="AE56" s="115">
        <v>2.5399999999999999E-2</v>
      </c>
      <c r="AF56" s="115">
        <v>-3.6400000000000002E-2</v>
      </c>
      <c r="AG56" s="115">
        <v>4.48E-2</v>
      </c>
      <c r="AH56" s="115">
        <v>4.9700000000000001E-2</v>
      </c>
      <c r="AI56" s="115">
        <v>-1.7299999999999999E-2</v>
      </c>
      <c r="AJ56" s="115">
        <v>-3.95E-2</v>
      </c>
      <c r="AK56" s="115">
        <v>8.7634000000000007</v>
      </c>
      <c r="AL56" s="115">
        <v>-1.8816999999999999</v>
      </c>
      <c r="AM56" s="115">
        <v>1</v>
      </c>
      <c r="AN56" s="115">
        <v>2</v>
      </c>
      <c r="AO56" s="115">
        <v>0</v>
      </c>
      <c r="AP56" s="115">
        <v>0</v>
      </c>
      <c r="AQ56" s="115">
        <v>1</v>
      </c>
      <c r="AR56" s="115">
        <v>0</v>
      </c>
      <c r="AS56" s="115">
        <v>2.7000000000000001E-3</v>
      </c>
      <c r="AT56" s="115">
        <v>0.32369999999999999</v>
      </c>
      <c r="AU56" s="114" t="str">
        <f>IF(A56&lt;&gt;"",INDEX(Index!$B$1:$B$77,MATCH($A56,Index!$A$1:$A$77,0)),"")</f>
        <v>CHI</v>
      </c>
      <c r="AV56" s="123" t="str">
        <f>IF(B56&lt;&gt;"",INDEX(Index!$C$1:$C$77,MATCH($A56,Index!$A$1:$A$77,0)),"")</f>
        <v>Williams</v>
      </c>
      <c r="AW56" s="123">
        <f t="shared" si="0"/>
        <v>7</v>
      </c>
      <c r="AX56" s="113">
        <v>3</v>
      </c>
    </row>
    <row r="57" spans="1:50" x14ac:dyDescent="0.25">
      <c r="A57" s="95" t="s">
        <v>573</v>
      </c>
      <c r="B57" s="96">
        <v>2025</v>
      </c>
      <c r="C57" s="96">
        <v>3</v>
      </c>
      <c r="D57" s="115">
        <v>-0.61857799999999996</v>
      </c>
      <c r="E57" s="115">
        <v>0.38372099999999998</v>
      </c>
      <c r="F57" s="115"/>
      <c r="G57" s="115">
        <v>0.35872799999999999</v>
      </c>
      <c r="H57" s="115">
        <v>52</v>
      </c>
      <c r="I57" s="115">
        <v>73</v>
      </c>
      <c r="J57" s="115">
        <v>0.71230000000000004</v>
      </c>
      <c r="K57" s="115">
        <v>11.5619</v>
      </c>
      <c r="L57" s="115">
        <v>9.0822000000000003</v>
      </c>
      <c r="M57" s="115">
        <v>4</v>
      </c>
      <c r="N57" s="115">
        <v>2</v>
      </c>
      <c r="O57" s="115">
        <v>3</v>
      </c>
      <c r="P57" s="115">
        <v>2</v>
      </c>
      <c r="Q57" s="115">
        <v>14</v>
      </c>
      <c r="R57" s="115">
        <v>7</v>
      </c>
      <c r="S57" s="115">
        <v>0</v>
      </c>
      <c r="T57" s="115">
        <v>5.4800000000000001E-2</v>
      </c>
      <c r="U57" s="115">
        <v>2.7400000000000001E-2</v>
      </c>
      <c r="V57" s="115">
        <v>2.7400000000000001E-2</v>
      </c>
      <c r="W57" s="115">
        <v>0.55559999999999998</v>
      </c>
      <c r="X57" s="115">
        <v>106.136</v>
      </c>
      <c r="Y57" s="115">
        <v>8.3157999999999994</v>
      </c>
      <c r="Z57" s="115">
        <v>182.94</v>
      </c>
      <c r="AA57" s="115">
        <v>61.1</v>
      </c>
      <c r="AB57" s="115">
        <v>14.023899999999999</v>
      </c>
      <c r="AC57" s="115">
        <v>0.1731</v>
      </c>
      <c r="AD57" s="115">
        <v>-2.2700000000000001E-2</v>
      </c>
      <c r="AE57" s="115">
        <v>5.3E-3</v>
      </c>
      <c r="AF57" s="115">
        <v>6.1800000000000001E-2</v>
      </c>
      <c r="AG57" s="115">
        <v>-6.3899999999999998E-2</v>
      </c>
      <c r="AH57" s="115">
        <v>6.5299999999999997E-2</v>
      </c>
      <c r="AI57" s="115">
        <v>3.6799999999999999E-2</v>
      </c>
      <c r="AJ57" s="115">
        <v>1.2500000000000001E-2</v>
      </c>
      <c r="AK57" s="115">
        <v>8.4931999999999999</v>
      </c>
      <c r="AL57" s="115">
        <v>-1.0822000000000001</v>
      </c>
      <c r="AM57" s="115">
        <v>2</v>
      </c>
      <c r="AN57" s="115">
        <v>1</v>
      </c>
      <c r="AO57" s="115">
        <v>0</v>
      </c>
      <c r="AP57" s="115">
        <v>0</v>
      </c>
      <c r="AQ57" s="115">
        <v>1</v>
      </c>
      <c r="AR57" s="115">
        <v>0</v>
      </c>
      <c r="AS57" s="115">
        <v>-3.8E-3</v>
      </c>
      <c r="AT57" s="115">
        <v>-0.30740000000000001</v>
      </c>
      <c r="AU57" s="114" t="str">
        <f>IF(A57&lt;&gt;"",INDEX(Index!$B$1:$B$77,MATCH($A57,Index!$A$1:$A$77,0)),"")</f>
        <v>SEA</v>
      </c>
      <c r="AV57" s="123" t="str">
        <f>IF(B57&lt;&gt;"",INDEX(Index!$C$1:$C$77,MATCH($A57,Index!$A$1:$A$77,0)),"")</f>
        <v>Darnold</v>
      </c>
      <c r="AW57" s="123">
        <f t="shared" si="0"/>
        <v>29</v>
      </c>
      <c r="AX57" s="113">
        <v>3</v>
      </c>
    </row>
    <row r="58" spans="1:50" x14ac:dyDescent="0.25">
      <c r="A58" s="95" t="s">
        <v>572</v>
      </c>
      <c r="B58" s="96">
        <v>2025</v>
      </c>
      <c r="C58" s="96">
        <v>3</v>
      </c>
      <c r="D58" s="115">
        <v>-0.78630599999999995</v>
      </c>
      <c r="E58" s="115">
        <v>0.166906</v>
      </c>
      <c r="F58" s="115"/>
      <c r="G58" s="115">
        <v>-0.71156200000000003</v>
      </c>
      <c r="H58" s="115">
        <v>67</v>
      </c>
      <c r="I58" s="115">
        <v>105</v>
      </c>
      <c r="J58" s="115">
        <v>0.6381</v>
      </c>
      <c r="K58" s="115">
        <v>-0.45519999999999999</v>
      </c>
      <c r="L58" s="115">
        <v>7.9142999999999999</v>
      </c>
      <c r="M58" s="115">
        <v>4</v>
      </c>
      <c r="N58" s="115">
        <v>4</v>
      </c>
      <c r="O58" s="115">
        <v>12</v>
      </c>
      <c r="P58" s="115">
        <v>8</v>
      </c>
      <c r="Q58" s="115">
        <v>36</v>
      </c>
      <c r="R58" s="115">
        <v>4.5</v>
      </c>
      <c r="S58" s="115">
        <v>0</v>
      </c>
      <c r="T58" s="115">
        <v>3.8100000000000002E-2</v>
      </c>
      <c r="U58" s="115">
        <v>3.8100000000000002E-2</v>
      </c>
      <c r="V58" s="115">
        <v>0</v>
      </c>
      <c r="W58" s="115">
        <v>0.41980000000000001</v>
      </c>
      <c r="X58" s="115">
        <v>85.0595</v>
      </c>
      <c r="Y58" s="115">
        <v>5.5042999999999997</v>
      </c>
      <c r="Z58" s="115">
        <v>93.641900000000007</v>
      </c>
      <c r="AA58" s="115">
        <v>47.3</v>
      </c>
      <c r="AB58" s="115">
        <v>8.1925000000000008</v>
      </c>
      <c r="AC58" s="115">
        <v>6.25E-2</v>
      </c>
      <c r="AD58" s="115">
        <v>4.5999999999999999E-3</v>
      </c>
      <c r="AE58" s="115">
        <v>-5.5500000000000001E-2</v>
      </c>
      <c r="AF58" s="115">
        <v>2.3599999999999999E-2</v>
      </c>
      <c r="AG58" s="115">
        <v>-4.0800000000000003E-2</v>
      </c>
      <c r="AH58" s="115">
        <v>3.2300000000000002E-2</v>
      </c>
      <c r="AI58" s="115">
        <v>4.2900000000000001E-2</v>
      </c>
      <c r="AJ58" s="115">
        <v>-2.2499999999999999E-2</v>
      </c>
      <c r="AK58" s="115">
        <v>9.0190000000000001</v>
      </c>
      <c r="AL58" s="115">
        <v>0.1048</v>
      </c>
      <c r="AM58" s="115">
        <v>1</v>
      </c>
      <c r="AN58" s="115">
        <v>2</v>
      </c>
      <c r="AO58" s="115">
        <v>0</v>
      </c>
      <c r="AP58" s="115">
        <v>0</v>
      </c>
      <c r="AQ58" s="115">
        <v>0</v>
      </c>
      <c r="AR58" s="115"/>
      <c r="AS58" s="115">
        <v>-2.9999999999999997E-4</v>
      </c>
      <c r="AT58" s="115">
        <v>-3.95E-2</v>
      </c>
      <c r="AU58" s="114" t="str">
        <f>IF(A58&lt;&gt;"",INDEX(Index!$B$1:$B$77,MATCH($A58,Index!$A$1:$A$77,0)),"")</f>
        <v>LV</v>
      </c>
      <c r="AV58" s="123" t="str">
        <f>IF(B58&lt;&gt;"",INDEX(Index!$C$1:$C$77,MATCH($A58,Index!$A$1:$A$77,0)),"")</f>
        <v>Smith</v>
      </c>
      <c r="AW58" s="123">
        <f t="shared" si="0"/>
        <v>22</v>
      </c>
      <c r="AX58" s="113">
        <v>3</v>
      </c>
    </row>
    <row r="59" spans="1:50" x14ac:dyDescent="0.25">
      <c r="A59" s="95" t="s">
        <v>583</v>
      </c>
      <c r="B59" s="96">
        <v>2025</v>
      </c>
      <c r="C59" s="96">
        <v>1</v>
      </c>
      <c r="D59" s="115">
        <v>-0.96000200000000002</v>
      </c>
      <c r="E59" s="115">
        <v>0.48958400000000002</v>
      </c>
      <c r="F59" s="115"/>
      <c r="G59" s="115">
        <v>0.48958400000000002</v>
      </c>
      <c r="H59" s="115">
        <v>15</v>
      </c>
      <c r="I59" s="115">
        <v>20</v>
      </c>
      <c r="J59" s="115">
        <v>0.75</v>
      </c>
      <c r="K59" s="115">
        <v>14.572800000000001</v>
      </c>
      <c r="L59" s="115">
        <v>10.35</v>
      </c>
      <c r="M59" s="115">
        <v>1</v>
      </c>
      <c r="N59" s="115">
        <v>0</v>
      </c>
      <c r="O59" s="115">
        <v>1</v>
      </c>
      <c r="P59" s="115">
        <v>6</v>
      </c>
      <c r="Q59" s="115">
        <v>40</v>
      </c>
      <c r="R59" s="115">
        <v>6.6666999999999996</v>
      </c>
      <c r="S59" s="115">
        <v>1</v>
      </c>
      <c r="T59" s="115">
        <v>0.05</v>
      </c>
      <c r="U59" s="115">
        <v>0</v>
      </c>
      <c r="V59" s="115">
        <v>0.05</v>
      </c>
      <c r="W59" s="115">
        <v>0.5333</v>
      </c>
      <c r="X59" s="115">
        <v>124.375</v>
      </c>
      <c r="Y59" s="115">
        <v>10.428599999999999</v>
      </c>
      <c r="Z59" s="115">
        <v>278.14999999999998</v>
      </c>
      <c r="AA59" s="115">
        <v>54.9</v>
      </c>
      <c r="AB59" s="115">
        <v>7.5631000000000004</v>
      </c>
      <c r="AC59" s="115">
        <v>0.25209999999999999</v>
      </c>
      <c r="AD59" s="115">
        <v>-0.1009</v>
      </c>
      <c r="AE59" s="115">
        <v>5.0700000000000002E-2</v>
      </c>
      <c r="AF59" s="115">
        <v>2.3199999999999998E-2</v>
      </c>
      <c r="AG59" s="115">
        <v>6.9199999999999998E-2</v>
      </c>
      <c r="AH59" s="115">
        <v>-4.7000000000000002E-3</v>
      </c>
      <c r="AI59" s="115">
        <v>0.20730000000000001</v>
      </c>
      <c r="AJ59" s="115">
        <v>-7.0800000000000002E-2</v>
      </c>
      <c r="AK59" s="115">
        <v>7.85</v>
      </c>
      <c r="AL59" s="115">
        <v>-2.8</v>
      </c>
      <c r="AM59" s="115">
        <v>1</v>
      </c>
      <c r="AN59" s="115">
        <v>0</v>
      </c>
      <c r="AO59" s="115">
        <v>0</v>
      </c>
      <c r="AP59" s="115">
        <v>0</v>
      </c>
      <c r="AQ59" s="115">
        <v>0</v>
      </c>
      <c r="AR59" s="115"/>
      <c r="AS59" s="115">
        <v>1.1999999999999999E-3</v>
      </c>
      <c r="AT59" s="115">
        <v>3.5000000000000003E-2</v>
      </c>
      <c r="AU59" s="114" t="str">
        <f>IF(A59&lt;&gt;"",INDEX(Index!$B$1:$B$77,MATCH($A59,Index!$A$1:$A$77,0)),"")</f>
        <v>WAS</v>
      </c>
      <c r="AV59" s="123" t="str">
        <f>IF(B59&lt;&gt;"",INDEX(Index!$C$1:$C$77,MATCH($A59,Index!$A$1:$A$77,0)),"")</f>
        <v>Mariota</v>
      </c>
      <c r="AW59" s="123">
        <f t="shared" si="0"/>
        <v>20</v>
      </c>
      <c r="AX59" s="113">
        <v>3</v>
      </c>
    </row>
    <row r="60" spans="1:50" x14ac:dyDescent="0.25">
      <c r="A60" s="95" t="s">
        <v>571</v>
      </c>
      <c r="B60" s="96">
        <v>2025</v>
      </c>
      <c r="C60" s="96">
        <v>3</v>
      </c>
      <c r="D60" s="115">
        <v>-1.00742</v>
      </c>
      <c r="E60" s="115">
        <v>-0.40496599999999999</v>
      </c>
      <c r="F60" s="115"/>
      <c r="G60" s="115">
        <v>-0.61071799999999998</v>
      </c>
      <c r="H60" s="115">
        <v>63</v>
      </c>
      <c r="I60" s="115">
        <v>112</v>
      </c>
      <c r="J60" s="115">
        <v>0.5625</v>
      </c>
      <c r="K60" s="115">
        <v>-8.9717000000000002</v>
      </c>
      <c r="L60" s="115">
        <v>5.9911000000000003</v>
      </c>
      <c r="M60" s="115">
        <v>4</v>
      </c>
      <c r="N60" s="115">
        <v>4</v>
      </c>
      <c r="O60" s="115">
        <v>3</v>
      </c>
      <c r="P60" s="115">
        <v>4</v>
      </c>
      <c r="Q60" s="115">
        <v>27</v>
      </c>
      <c r="R60" s="115">
        <v>6.75</v>
      </c>
      <c r="S60" s="115">
        <v>0</v>
      </c>
      <c r="T60" s="115">
        <v>3.5700000000000003E-2</v>
      </c>
      <c r="U60" s="115">
        <v>3.5700000000000003E-2</v>
      </c>
      <c r="V60" s="115">
        <v>0</v>
      </c>
      <c r="W60" s="115">
        <v>0.44719999999999999</v>
      </c>
      <c r="X60" s="115">
        <v>70.944900000000004</v>
      </c>
      <c r="Y60" s="115">
        <v>4.7304000000000004</v>
      </c>
      <c r="Z60" s="115">
        <v>102.60299999999999</v>
      </c>
      <c r="AA60" s="115">
        <v>43</v>
      </c>
      <c r="AB60" s="115">
        <v>0.86199999999999999</v>
      </c>
      <c r="AC60" s="115">
        <v>7.0000000000000001E-3</v>
      </c>
      <c r="AD60" s="115">
        <v>-1.6799999999999999E-2</v>
      </c>
      <c r="AE60" s="115">
        <v>7.7200000000000005E-2</v>
      </c>
      <c r="AF60" s="115">
        <v>-8.4199999999999997E-2</v>
      </c>
      <c r="AG60" s="115">
        <v>-4.5499999999999999E-2</v>
      </c>
      <c r="AH60" s="115">
        <v>-2.63E-2</v>
      </c>
      <c r="AI60" s="115">
        <v>3.8100000000000002E-2</v>
      </c>
      <c r="AJ60" s="115">
        <v>-1.35E-2</v>
      </c>
      <c r="AK60" s="115">
        <v>7.5536000000000003</v>
      </c>
      <c r="AL60" s="115">
        <v>-1.3482000000000001</v>
      </c>
      <c r="AM60" s="115">
        <v>2</v>
      </c>
      <c r="AN60" s="115">
        <v>1</v>
      </c>
      <c r="AO60" s="115">
        <v>0</v>
      </c>
      <c r="AP60" s="115">
        <v>0</v>
      </c>
      <c r="AQ60" s="115">
        <v>1</v>
      </c>
      <c r="AR60" s="115">
        <v>0</v>
      </c>
      <c r="AS60" s="115">
        <v>-1E-4</v>
      </c>
      <c r="AT60" s="115">
        <v>-7.1999999999999998E-3</v>
      </c>
      <c r="AU60" s="114" t="str">
        <f>IF(A60&lt;&gt;"",INDEX(Index!$B$1:$B$77,MATCH($A60,Index!$A$1:$A$77,0)),"")</f>
        <v>JAX</v>
      </c>
      <c r="AV60" s="123" t="str">
        <f>IF(B60&lt;&gt;"",INDEX(Index!$C$1:$C$77,MATCH($A60,Index!$A$1:$A$77,0)),"")</f>
        <v>Lawrence</v>
      </c>
      <c r="AW60" s="123">
        <f t="shared" si="0"/>
        <v>24</v>
      </c>
      <c r="AX60" s="113">
        <v>3</v>
      </c>
    </row>
    <row r="61" spans="1:50" x14ac:dyDescent="0.25">
      <c r="A61" s="95" t="s">
        <v>575</v>
      </c>
      <c r="B61" s="96">
        <v>2025</v>
      </c>
      <c r="C61" s="96">
        <v>2</v>
      </c>
      <c r="D61" s="115">
        <v>-1.3138000000000001</v>
      </c>
      <c r="E61" s="115">
        <v>8.2284499999999997E-2</v>
      </c>
      <c r="F61" s="115"/>
      <c r="G61" s="115">
        <v>0.48879800000000001</v>
      </c>
      <c r="H61" s="115">
        <v>53</v>
      </c>
      <c r="I61" s="115">
        <v>78</v>
      </c>
      <c r="J61" s="115">
        <v>0.67949999999999999</v>
      </c>
      <c r="K61" s="115">
        <v>-0.187</v>
      </c>
      <c r="L61" s="115">
        <v>7.2179000000000002</v>
      </c>
      <c r="M61" s="115">
        <v>4</v>
      </c>
      <c r="N61" s="115">
        <v>1</v>
      </c>
      <c r="O61" s="115">
        <v>4</v>
      </c>
      <c r="P61" s="115">
        <v>3</v>
      </c>
      <c r="Q61" s="115">
        <v>9</v>
      </c>
      <c r="R61" s="115">
        <v>3</v>
      </c>
      <c r="S61" s="115">
        <v>0</v>
      </c>
      <c r="T61" s="115">
        <v>5.1299999999999998E-2</v>
      </c>
      <c r="U61" s="115">
        <v>1.2800000000000001E-2</v>
      </c>
      <c r="V61" s="115">
        <v>3.85E-2</v>
      </c>
      <c r="W61" s="115">
        <v>0.5333</v>
      </c>
      <c r="X61" s="115">
        <v>100.53400000000001</v>
      </c>
      <c r="Y61" s="115">
        <v>7.1219999999999999</v>
      </c>
      <c r="Z61" s="115">
        <v>203.774</v>
      </c>
      <c r="AA61" s="115">
        <v>66</v>
      </c>
      <c r="AB61" s="115">
        <v>7.0353000000000003</v>
      </c>
      <c r="AC61" s="115">
        <v>7.8200000000000006E-2</v>
      </c>
      <c r="AD61" s="115">
        <v>-2.7900000000000001E-2</v>
      </c>
      <c r="AE61" s="115">
        <v>-1.7299999999999999E-2</v>
      </c>
      <c r="AF61" s="115">
        <v>-2.6100000000000002E-2</v>
      </c>
      <c r="AG61" s="115">
        <v>2.29E-2</v>
      </c>
      <c r="AH61" s="115">
        <v>0.11609999999999999</v>
      </c>
      <c r="AI61" s="115">
        <v>-6.1699999999999998E-2</v>
      </c>
      <c r="AJ61" s="115">
        <v>-6.0000000000000001E-3</v>
      </c>
      <c r="AK61" s="115">
        <v>7.2179000000000002</v>
      </c>
      <c r="AL61" s="115">
        <v>-1.8846000000000001</v>
      </c>
      <c r="AM61" s="115">
        <v>2</v>
      </c>
      <c r="AN61" s="115">
        <v>0</v>
      </c>
      <c r="AO61" s="115">
        <v>0</v>
      </c>
      <c r="AP61" s="115">
        <v>1</v>
      </c>
      <c r="AQ61" s="115">
        <v>1</v>
      </c>
      <c r="AR61" s="115">
        <v>1</v>
      </c>
      <c r="AS61" s="115">
        <v>5.1999999999999998E-3</v>
      </c>
      <c r="AT61" s="115">
        <v>0.47160000000000002</v>
      </c>
      <c r="AU61" s="114" t="str">
        <f>IF(A61&lt;&gt;"",INDEX(Index!$B$1:$B$77,MATCH($A61,Index!$A$1:$A$77,0)),"")</f>
        <v>SF</v>
      </c>
      <c r="AV61" s="123" t="str">
        <f>IF(B61&lt;&gt;"",INDEX(Index!$C$1:$C$77,MATCH($A61,Index!$A$1:$A$77,0)),"")</f>
        <v>Jones</v>
      </c>
      <c r="AW61" s="123">
        <f t="shared" si="0"/>
        <v>32</v>
      </c>
      <c r="AX61" s="113">
        <v>3</v>
      </c>
    </row>
    <row r="62" spans="1:50" x14ac:dyDescent="0.25">
      <c r="A62" s="95" t="s">
        <v>576</v>
      </c>
      <c r="B62" s="96">
        <v>2025</v>
      </c>
      <c r="C62" s="96">
        <v>3</v>
      </c>
      <c r="D62" s="115">
        <v>-1.5224299999999999</v>
      </c>
      <c r="E62" s="115">
        <v>-5.8792700000000003E-2</v>
      </c>
      <c r="F62" s="115"/>
      <c r="G62" s="115">
        <v>-0.18428</v>
      </c>
      <c r="H62" s="115">
        <v>69</v>
      </c>
      <c r="I62" s="115">
        <v>114</v>
      </c>
      <c r="J62" s="115">
        <v>0.60529999999999995</v>
      </c>
      <c r="K62" s="115">
        <v>-5.1923000000000004</v>
      </c>
      <c r="L62" s="115">
        <v>5.2895000000000003</v>
      </c>
      <c r="M62" s="115">
        <v>4</v>
      </c>
      <c r="N62" s="115">
        <v>3</v>
      </c>
      <c r="O62" s="115">
        <v>5</v>
      </c>
      <c r="P62" s="115">
        <v>7</v>
      </c>
      <c r="Q62" s="115">
        <v>52</v>
      </c>
      <c r="R62" s="115">
        <v>7.4286000000000003</v>
      </c>
      <c r="S62" s="115">
        <v>1</v>
      </c>
      <c r="T62" s="115">
        <v>3.5099999999999999E-2</v>
      </c>
      <c r="U62" s="115">
        <v>2.63E-2</v>
      </c>
      <c r="V62" s="115">
        <v>8.8000000000000005E-3</v>
      </c>
      <c r="W62" s="115">
        <v>0.4632</v>
      </c>
      <c r="X62" s="115">
        <v>75.292400000000001</v>
      </c>
      <c r="Y62" s="115">
        <v>4.2352999999999996</v>
      </c>
      <c r="Z62" s="115">
        <v>117.44</v>
      </c>
      <c r="AA62" s="115">
        <v>42.5</v>
      </c>
      <c r="AB62" s="115">
        <v>-1.2447999999999999</v>
      </c>
      <c r="AC62" s="115">
        <v>-9.1999999999999998E-3</v>
      </c>
      <c r="AD62" s="115">
        <v>-1.26E-2</v>
      </c>
      <c r="AE62" s="115">
        <v>-6.7999999999999996E-3</v>
      </c>
      <c r="AF62" s="115">
        <v>-6.6100000000000006E-2</v>
      </c>
      <c r="AG62" s="115">
        <v>-1.29E-2</v>
      </c>
      <c r="AH62" s="115">
        <v>-4.2500000000000003E-2</v>
      </c>
      <c r="AI62" s="115">
        <v>5.0000000000000001E-3</v>
      </c>
      <c r="AJ62" s="115">
        <v>4.8800000000000003E-2</v>
      </c>
      <c r="AK62" s="115">
        <v>6.8158000000000003</v>
      </c>
      <c r="AL62" s="115">
        <v>-1.5439000000000001</v>
      </c>
      <c r="AM62" s="115">
        <v>1</v>
      </c>
      <c r="AN62" s="115">
        <v>2</v>
      </c>
      <c r="AO62" s="115">
        <v>0</v>
      </c>
      <c r="AP62" s="115">
        <v>0</v>
      </c>
      <c r="AQ62" s="115">
        <v>1</v>
      </c>
      <c r="AR62" s="115">
        <v>0</v>
      </c>
      <c r="AS62" s="115">
        <v>-4.0000000000000001E-3</v>
      </c>
      <c r="AT62" s="115">
        <v>-0.54259999999999997</v>
      </c>
      <c r="AU62" s="114" t="str">
        <f>IF(A62&lt;&gt;"",INDEX(Index!$B$1:$B$77,MATCH($A62,Index!$A$1:$A$77,0)),"")</f>
        <v>CAR</v>
      </c>
      <c r="AV62" s="123" t="str">
        <f>IF(B62&lt;&gt;"",INDEX(Index!$C$1:$C$77,MATCH($A62,Index!$A$1:$A$77,0)),"")</f>
        <v>Young</v>
      </c>
      <c r="AW62" s="123">
        <f t="shared" si="0"/>
        <v>18</v>
      </c>
      <c r="AX62" s="113">
        <v>3</v>
      </c>
    </row>
    <row r="63" spans="1:50" x14ac:dyDescent="0.25">
      <c r="A63" s="95" t="s">
        <v>584</v>
      </c>
      <c r="B63" s="96">
        <v>2025</v>
      </c>
      <c r="C63" s="96">
        <v>1</v>
      </c>
      <c r="D63" s="115">
        <v>-1.65971</v>
      </c>
      <c r="E63" s="115">
        <v>5.3765300000000002E-2</v>
      </c>
      <c r="F63" s="115"/>
      <c r="G63" s="115">
        <v>5.3765300000000002E-2</v>
      </c>
      <c r="H63" s="115">
        <v>33</v>
      </c>
      <c r="I63" s="115">
        <v>46</v>
      </c>
      <c r="J63" s="115">
        <v>0.71740000000000004</v>
      </c>
      <c r="K63" s="115">
        <v>6.0671999999999997</v>
      </c>
      <c r="L63" s="115">
        <v>5.5</v>
      </c>
      <c r="M63" s="115">
        <v>3</v>
      </c>
      <c r="N63" s="115">
        <v>1</v>
      </c>
      <c r="O63" s="115">
        <v>6</v>
      </c>
      <c r="P63" s="115">
        <v>10</v>
      </c>
      <c r="Q63" s="115">
        <v>70</v>
      </c>
      <c r="R63" s="115">
        <v>7</v>
      </c>
      <c r="S63" s="115">
        <v>0</v>
      </c>
      <c r="T63" s="115">
        <v>6.5199999999999994E-2</v>
      </c>
      <c r="U63" s="115">
        <v>2.1700000000000001E-2</v>
      </c>
      <c r="V63" s="115">
        <v>4.3499999999999997E-2</v>
      </c>
      <c r="W63" s="115">
        <v>0.5</v>
      </c>
      <c r="X63" s="115">
        <v>97.463800000000006</v>
      </c>
      <c r="Y63" s="115">
        <v>4.4038000000000004</v>
      </c>
      <c r="Z63" s="115">
        <v>146.06700000000001</v>
      </c>
      <c r="AA63" s="115">
        <v>54.1</v>
      </c>
      <c r="AB63" s="115">
        <v>2.0386000000000002</v>
      </c>
      <c r="AC63" s="115">
        <v>3.09E-2</v>
      </c>
      <c r="AD63" s="115">
        <v>-1.17E-2</v>
      </c>
      <c r="AE63" s="115">
        <v>-4.1500000000000002E-2</v>
      </c>
      <c r="AF63" s="115">
        <v>3.9699999999999999E-2</v>
      </c>
      <c r="AG63" s="115">
        <v>-4.7E-2</v>
      </c>
      <c r="AH63" s="115">
        <v>-2.6200000000000001E-2</v>
      </c>
      <c r="AI63" s="115">
        <v>2.3699999999999999E-2</v>
      </c>
      <c r="AJ63" s="115">
        <v>1.5900000000000001E-2</v>
      </c>
      <c r="AK63" s="115">
        <v>5.2173999999999996</v>
      </c>
      <c r="AL63" s="115">
        <v>-3.0217000000000001</v>
      </c>
      <c r="AM63" s="115">
        <v>0</v>
      </c>
      <c r="AN63" s="115">
        <v>2</v>
      </c>
      <c r="AO63" s="115">
        <v>0</v>
      </c>
      <c r="AP63" s="115">
        <v>0</v>
      </c>
      <c r="AQ63" s="115">
        <v>0</v>
      </c>
      <c r="AR63" s="115"/>
      <c r="AS63" s="115">
        <v>-3.5999999999999999E-3</v>
      </c>
      <c r="AT63" s="115">
        <v>-0.23960000000000001</v>
      </c>
      <c r="AU63" s="114" t="str">
        <f>IF(A63&lt;&gt;"",INDEX(Index!$B$1:$B$77,MATCH($A63,Index!$A$1:$A$77,0)),"")</f>
        <v>NYJ</v>
      </c>
      <c r="AV63" s="123" t="str">
        <f>IF(B63&lt;&gt;"",INDEX(Index!$C$1:$C$77,MATCH($A63,Index!$A$1:$A$77,0)),"")</f>
        <v>Taylor</v>
      </c>
      <c r="AW63" s="123">
        <f t="shared" si="0"/>
        <v>15</v>
      </c>
      <c r="AX63" s="113">
        <v>3</v>
      </c>
    </row>
    <row r="64" spans="1:50" x14ac:dyDescent="0.25">
      <c r="A64" s="95" t="s">
        <v>585</v>
      </c>
      <c r="B64" s="96">
        <v>2025</v>
      </c>
      <c r="C64" s="96">
        <v>1</v>
      </c>
      <c r="D64" s="115">
        <v>-1.6746700000000001</v>
      </c>
      <c r="E64" s="115">
        <v>-0.49552400000000002</v>
      </c>
      <c r="F64" s="115"/>
      <c r="G64" s="115">
        <v>-0.49552400000000002</v>
      </c>
      <c r="H64" s="115">
        <v>40</v>
      </c>
      <c r="I64" s="115">
        <v>59</v>
      </c>
      <c r="J64" s="115">
        <v>0.67800000000000005</v>
      </c>
      <c r="K64" s="115">
        <v>2.1316999999999999</v>
      </c>
      <c r="L64" s="115">
        <v>6.4576000000000002</v>
      </c>
      <c r="M64" s="115">
        <v>3</v>
      </c>
      <c r="N64" s="115">
        <v>5</v>
      </c>
      <c r="O64" s="115">
        <v>4</v>
      </c>
      <c r="P64" s="115">
        <v>2</v>
      </c>
      <c r="Q64" s="115">
        <v>4</v>
      </c>
      <c r="R64" s="115">
        <v>2</v>
      </c>
      <c r="S64" s="115">
        <v>1</v>
      </c>
      <c r="T64" s="115">
        <v>5.0799999999999998E-2</v>
      </c>
      <c r="U64" s="115">
        <v>8.4699999999999998E-2</v>
      </c>
      <c r="V64" s="115">
        <v>-3.39E-2</v>
      </c>
      <c r="W64" s="115">
        <v>0.43480000000000002</v>
      </c>
      <c r="X64" s="115">
        <v>67.125699999999995</v>
      </c>
      <c r="Y64" s="115">
        <v>3</v>
      </c>
      <c r="Z64" s="115">
        <v>1.6781999999999999</v>
      </c>
      <c r="AA64" s="115">
        <v>50.2</v>
      </c>
      <c r="AB64" s="115">
        <v>-28.0136</v>
      </c>
      <c r="AC64" s="115">
        <v>-0.40600000000000003</v>
      </c>
      <c r="AD64" s="115">
        <v>3.5999999999999999E-3</v>
      </c>
      <c r="AE64" s="115">
        <v>-9.7000000000000003E-3</v>
      </c>
      <c r="AF64" s="115">
        <v>7.8299999999999995E-2</v>
      </c>
      <c r="AG64" s="115">
        <v>-0.3256</v>
      </c>
      <c r="AH64" s="115">
        <v>-0.1047</v>
      </c>
      <c r="AI64" s="115">
        <v>-0.15529999999999999</v>
      </c>
      <c r="AJ64" s="115">
        <v>2.9399999999999999E-2</v>
      </c>
      <c r="AK64" s="115">
        <v>6.9661</v>
      </c>
      <c r="AL64" s="115">
        <v>-1.8305</v>
      </c>
      <c r="AM64" s="115">
        <v>1</v>
      </c>
      <c r="AN64" s="115">
        <v>1</v>
      </c>
      <c r="AO64" s="115">
        <v>0</v>
      </c>
      <c r="AP64" s="115">
        <v>1</v>
      </c>
      <c r="AQ64" s="115">
        <v>1</v>
      </c>
      <c r="AR64" s="115">
        <v>1</v>
      </c>
      <c r="AS64" s="115">
        <v>3.0000000000000001E-3</v>
      </c>
      <c r="AT64" s="115">
        <v>0.20549999999999999</v>
      </c>
      <c r="AU64" s="114" t="str">
        <f>IF(A64&lt;&gt;"",INDEX(Index!$B$1:$B$77,MATCH($A64,Index!$A$1:$A$77,0)),"")</f>
        <v>CIN</v>
      </c>
      <c r="AV64" s="123" t="str">
        <f>IF(B64&lt;&gt;"",INDEX(Index!$C$1:$C$77,MATCH($A64,Index!$A$1:$A$77,0)),"")</f>
        <v>Browning</v>
      </c>
      <c r="AW64" s="123">
        <f t="shared" si="0"/>
        <v>34</v>
      </c>
      <c r="AX64" s="113">
        <v>3</v>
      </c>
    </row>
    <row r="65" spans="1:50" x14ac:dyDescent="0.25">
      <c r="A65" s="95" t="s">
        <v>577</v>
      </c>
      <c r="B65" s="96">
        <v>2025</v>
      </c>
      <c r="C65" s="96">
        <v>3</v>
      </c>
      <c r="D65" s="115">
        <v>-1.9552799999999999</v>
      </c>
      <c r="E65" s="115">
        <v>-0.48715399999999998</v>
      </c>
      <c r="F65" s="115"/>
      <c r="G65" s="115">
        <v>-0.77524899999999997</v>
      </c>
      <c r="H65" s="115">
        <v>77</v>
      </c>
      <c r="I65" s="115">
        <v>125</v>
      </c>
      <c r="J65" s="115">
        <v>0.61599999999999999</v>
      </c>
      <c r="K65" s="115">
        <v>-1.1631</v>
      </c>
      <c r="L65" s="115">
        <v>5.048</v>
      </c>
      <c r="M65" s="115">
        <v>2</v>
      </c>
      <c r="N65" s="115">
        <v>4</v>
      </c>
      <c r="O65" s="115">
        <v>6</v>
      </c>
      <c r="P65" s="115">
        <v>3</v>
      </c>
      <c r="Q65" s="115">
        <v>14</v>
      </c>
      <c r="R65" s="115">
        <v>4.6666999999999996</v>
      </c>
      <c r="S65" s="115">
        <v>0</v>
      </c>
      <c r="T65" s="115">
        <v>1.6E-2</v>
      </c>
      <c r="U65" s="115">
        <v>3.2000000000000001E-2</v>
      </c>
      <c r="V65" s="115">
        <v>-1.6E-2</v>
      </c>
      <c r="W65" s="115">
        <v>0.37840000000000001</v>
      </c>
      <c r="X65" s="115">
        <v>66.45</v>
      </c>
      <c r="Y65" s="115">
        <v>3.4426999999999999</v>
      </c>
      <c r="Z65" s="115">
        <v>67.6935</v>
      </c>
      <c r="AA65" s="115">
        <v>37.5</v>
      </c>
      <c r="AB65" s="115">
        <v>-34.509500000000003</v>
      </c>
      <c r="AC65" s="115">
        <v>-0.23319999999999999</v>
      </c>
      <c r="AD65" s="115">
        <v>-2.53E-2</v>
      </c>
      <c r="AE65" s="115">
        <v>-9.9000000000000008E-3</v>
      </c>
      <c r="AF65" s="115">
        <v>-3.6799999999999999E-2</v>
      </c>
      <c r="AG65" s="115">
        <v>-3.2399999999999998E-2</v>
      </c>
      <c r="AH65" s="115">
        <v>-0.14649999999999999</v>
      </c>
      <c r="AI65" s="115">
        <v>-4.5100000000000001E-2</v>
      </c>
      <c r="AJ65" s="115">
        <v>-1.5299999999999999E-2</v>
      </c>
      <c r="AK65" s="115">
        <v>6.68</v>
      </c>
      <c r="AL65" s="115">
        <v>-2.2480000000000002</v>
      </c>
      <c r="AM65" s="115">
        <v>1</v>
      </c>
      <c r="AN65" s="115">
        <v>2</v>
      </c>
      <c r="AO65" s="115">
        <v>0</v>
      </c>
      <c r="AP65" s="115">
        <v>1</v>
      </c>
      <c r="AQ65" s="115">
        <v>2</v>
      </c>
      <c r="AR65" s="115">
        <v>0.5</v>
      </c>
      <c r="AS65" s="115">
        <v>-7.4999999999999997E-3</v>
      </c>
      <c r="AT65" s="115">
        <v>-1.1047</v>
      </c>
      <c r="AU65" s="114" t="str">
        <f>IF(A65&lt;&gt;"",INDEX(Index!$B$1:$B$77,MATCH($A65,Index!$A$1:$A$77,0)),"")</f>
        <v>CIN</v>
      </c>
      <c r="AV65" s="123" t="str">
        <f>IF(B65&lt;&gt;"",INDEX(Index!$C$1:$C$77,MATCH($A65,Index!$A$1:$A$77,0)),"")</f>
        <v>Flacco</v>
      </c>
      <c r="AW65" s="123">
        <f t="shared" si="0"/>
        <v>29</v>
      </c>
      <c r="AX65" s="113">
        <v>3</v>
      </c>
    </row>
    <row r="66" spans="1:50" x14ac:dyDescent="0.25">
      <c r="A66" s="95" t="s">
        <v>586</v>
      </c>
      <c r="B66" s="96">
        <v>2025</v>
      </c>
      <c r="C66" s="96">
        <v>1</v>
      </c>
      <c r="D66" s="115">
        <v>-2.1775899999999999</v>
      </c>
      <c r="E66" s="115">
        <v>4.3584900000000003E-2</v>
      </c>
      <c r="F66" s="115"/>
      <c r="G66" s="115">
        <v>4.3584900000000003E-2</v>
      </c>
      <c r="H66" s="115">
        <v>14</v>
      </c>
      <c r="I66" s="115">
        <v>20</v>
      </c>
      <c r="J66" s="115">
        <v>0.7</v>
      </c>
      <c r="K66" s="115">
        <v>3.8361000000000001</v>
      </c>
      <c r="L66" s="115">
        <v>8.65</v>
      </c>
      <c r="M66" s="115">
        <v>2</v>
      </c>
      <c r="N66" s="115">
        <v>0</v>
      </c>
      <c r="O66" s="115">
        <v>3</v>
      </c>
      <c r="P66" s="115">
        <v>2</v>
      </c>
      <c r="Q66" s="115">
        <v>4</v>
      </c>
      <c r="R66" s="115">
        <v>2</v>
      </c>
      <c r="S66" s="115">
        <v>0</v>
      </c>
      <c r="T66" s="115">
        <v>0.1</v>
      </c>
      <c r="U66" s="115">
        <v>0</v>
      </c>
      <c r="V66" s="115">
        <v>0.1</v>
      </c>
      <c r="W66" s="115">
        <v>0.6</v>
      </c>
      <c r="X66" s="115">
        <v>129.792</v>
      </c>
      <c r="Y66" s="115">
        <v>8.4347999999999992</v>
      </c>
      <c r="Z66" s="115">
        <v>130.51300000000001</v>
      </c>
      <c r="AA66" s="115">
        <v>34.799999999999997</v>
      </c>
      <c r="AB66" s="115">
        <v>7.3573000000000004</v>
      </c>
      <c r="AC66" s="115">
        <v>0.29430000000000001</v>
      </c>
      <c r="AD66" s="115">
        <v>-0.1187</v>
      </c>
      <c r="AE66" s="115">
        <v>-8.8800000000000004E-2</v>
      </c>
      <c r="AF66" s="115">
        <v>0.1158</v>
      </c>
      <c r="AG66" s="115">
        <v>6.9199999999999998E-2</v>
      </c>
      <c r="AH66" s="115">
        <v>0.15840000000000001</v>
      </c>
      <c r="AI66" s="115">
        <v>0.1075</v>
      </c>
      <c r="AJ66" s="115">
        <v>-2.7199999999999998E-2</v>
      </c>
      <c r="AK66" s="115">
        <v>9.0500000000000007</v>
      </c>
      <c r="AL66" s="115">
        <v>-1.5</v>
      </c>
      <c r="AM66" s="115">
        <v>1</v>
      </c>
      <c r="AN66" s="115">
        <v>0</v>
      </c>
      <c r="AO66" s="115">
        <v>0</v>
      </c>
      <c r="AP66" s="115">
        <v>0</v>
      </c>
      <c r="AQ66" s="115">
        <v>0</v>
      </c>
      <c r="AR66" s="115"/>
      <c r="AS66" s="115">
        <v>4.0000000000000002E-4</v>
      </c>
      <c r="AT66" s="115">
        <v>1.0500000000000001E-2</v>
      </c>
      <c r="AU66" s="114" t="str">
        <f>IF(A66&lt;&gt;"",INDEX(Index!$B$1:$B$77,MATCH($A66,Index!$A$1:$A$77,0)),"")</f>
        <v>MIN</v>
      </c>
      <c r="AV66" s="123" t="str">
        <f>IF(B66&lt;&gt;"",INDEX(Index!$C$1:$C$77,MATCH($A66,Index!$A$1:$A$77,0)),"")</f>
        <v>Wentz</v>
      </c>
      <c r="AW66" s="123">
        <f t="shared" ref="AW66:AW129" si="1">IF(AT66&lt;&gt;"",COUNTIFS($AX$2:$AX$994,AX66,$Q$2:$Q$994,"&gt;"&amp;$Q66)+1,"")</f>
        <v>34</v>
      </c>
      <c r="AX66" s="113">
        <v>3</v>
      </c>
    </row>
    <row r="67" spans="1:50" x14ac:dyDescent="0.25">
      <c r="A67" s="95" t="s">
        <v>579</v>
      </c>
      <c r="B67" s="96">
        <v>2025</v>
      </c>
      <c r="C67" s="96">
        <v>3</v>
      </c>
      <c r="D67" s="115">
        <v>-2.2157200000000001</v>
      </c>
      <c r="E67" s="115">
        <v>-0.16370399999999999</v>
      </c>
      <c r="F67" s="115"/>
      <c r="G67" s="115">
        <v>-0.46420499999999998</v>
      </c>
      <c r="H67" s="115">
        <v>57</v>
      </c>
      <c r="I67" s="115">
        <v>88</v>
      </c>
      <c r="J67" s="115">
        <v>0.64770000000000005</v>
      </c>
      <c r="K67" s="115">
        <v>-2.3105000000000002</v>
      </c>
      <c r="L67" s="115">
        <v>6.8068</v>
      </c>
      <c r="M67" s="115">
        <v>2</v>
      </c>
      <c r="N67" s="115">
        <v>3</v>
      </c>
      <c r="O67" s="115">
        <v>8</v>
      </c>
      <c r="P67" s="115">
        <v>11</v>
      </c>
      <c r="Q67" s="115">
        <v>82</v>
      </c>
      <c r="R67" s="115">
        <v>7.4545000000000003</v>
      </c>
      <c r="S67" s="115">
        <v>0</v>
      </c>
      <c r="T67" s="115">
        <v>2.2700000000000001E-2</v>
      </c>
      <c r="U67" s="115">
        <v>3.4099999999999998E-2</v>
      </c>
      <c r="V67" s="115">
        <v>-1.14E-2</v>
      </c>
      <c r="W67" s="115">
        <v>0.43480000000000002</v>
      </c>
      <c r="X67" s="115">
        <v>77.793599999999998</v>
      </c>
      <c r="Y67" s="115">
        <v>4.3958000000000004</v>
      </c>
      <c r="Z67" s="115">
        <v>82.005300000000005</v>
      </c>
      <c r="AA67" s="115">
        <v>40.1</v>
      </c>
      <c r="AB67" s="115">
        <v>-12.722</v>
      </c>
      <c r="AC67" s="115">
        <v>-0.1106</v>
      </c>
      <c r="AD67" s="115">
        <v>3.4599999999999999E-2</v>
      </c>
      <c r="AE67" s="115">
        <v>-4.1099999999999998E-2</v>
      </c>
      <c r="AF67" s="115">
        <v>7.0000000000000001E-3</v>
      </c>
      <c r="AG67" s="115">
        <v>-2.4500000000000001E-2</v>
      </c>
      <c r="AH67" s="115">
        <v>-1.6500000000000001E-2</v>
      </c>
      <c r="AI67" s="115">
        <v>-0.1191</v>
      </c>
      <c r="AJ67" s="115">
        <v>-2.9000000000000001E-2</v>
      </c>
      <c r="AK67" s="115">
        <v>7.4432</v>
      </c>
      <c r="AL67" s="115">
        <v>-1.6364000000000001</v>
      </c>
      <c r="AM67" s="115">
        <v>0</v>
      </c>
      <c r="AN67" s="115">
        <v>3</v>
      </c>
      <c r="AO67" s="115">
        <v>0</v>
      </c>
      <c r="AP67" s="115">
        <v>0</v>
      </c>
      <c r="AQ67" s="115">
        <v>3</v>
      </c>
      <c r="AR67" s="115">
        <v>0</v>
      </c>
      <c r="AS67" s="115">
        <v>-4.7999999999999996E-3</v>
      </c>
      <c r="AT67" s="115">
        <v>-0.54690000000000005</v>
      </c>
      <c r="AU67" s="114" t="str">
        <f>IF(A67&lt;&gt;"",INDEX(Index!$B$1:$B$77,MATCH($A67,Index!$A$1:$A$77,0)),"")</f>
        <v>HOU</v>
      </c>
      <c r="AV67" s="123" t="str">
        <f>IF(B67&lt;&gt;"",INDEX(Index!$C$1:$C$77,MATCH($A67,Index!$A$1:$A$77,0)),"")</f>
        <v>Stroud</v>
      </c>
      <c r="AW67" s="123">
        <f t="shared" si="1"/>
        <v>12</v>
      </c>
      <c r="AX67" s="113">
        <v>3</v>
      </c>
    </row>
    <row r="68" spans="1:50" x14ac:dyDescent="0.25">
      <c r="A68" s="95" t="s">
        <v>578</v>
      </c>
      <c r="B68" s="96">
        <v>2025</v>
      </c>
      <c r="C68" s="96">
        <v>3</v>
      </c>
      <c r="D68" s="115">
        <v>-2.3175599999999998</v>
      </c>
      <c r="E68" s="115">
        <v>-0.51849400000000001</v>
      </c>
      <c r="F68" s="115"/>
      <c r="G68" s="115">
        <v>-0.42755700000000002</v>
      </c>
      <c r="H68" s="115">
        <v>58</v>
      </c>
      <c r="I68" s="115">
        <v>99</v>
      </c>
      <c r="J68" s="115">
        <v>0.58589999999999998</v>
      </c>
      <c r="K68" s="115">
        <v>-8.5820000000000007</v>
      </c>
      <c r="L68" s="115">
        <v>6.1111000000000004</v>
      </c>
      <c r="M68" s="115">
        <v>1</v>
      </c>
      <c r="N68" s="115">
        <v>2</v>
      </c>
      <c r="O68" s="115">
        <v>4</v>
      </c>
      <c r="P68" s="115">
        <v>6</v>
      </c>
      <c r="Q68" s="115">
        <v>31</v>
      </c>
      <c r="R68" s="115">
        <v>5.1666999999999996</v>
      </c>
      <c r="S68" s="115">
        <v>1</v>
      </c>
      <c r="T68" s="115">
        <v>1.01E-2</v>
      </c>
      <c r="U68" s="115">
        <v>2.0199999999999999E-2</v>
      </c>
      <c r="V68" s="115">
        <v>-1.01E-2</v>
      </c>
      <c r="W68" s="115">
        <v>0.42609999999999998</v>
      </c>
      <c r="X68" s="115">
        <v>71.317300000000003</v>
      </c>
      <c r="Y68" s="115">
        <v>4.8446999999999996</v>
      </c>
      <c r="Z68" s="115">
        <v>90.209599999999995</v>
      </c>
      <c r="AA68" s="115">
        <v>47.9</v>
      </c>
      <c r="AB68" s="115">
        <v>-10.459899999999999</v>
      </c>
      <c r="AC68" s="115">
        <v>-9.0999999999999998E-2</v>
      </c>
      <c r="AD68" s="115">
        <v>2.1499999999999998E-2</v>
      </c>
      <c r="AE68" s="115">
        <v>3.3599999999999998E-2</v>
      </c>
      <c r="AF68" s="115">
        <v>-6.0600000000000001E-2</v>
      </c>
      <c r="AG68" s="115">
        <v>-3.5799999999999998E-2</v>
      </c>
      <c r="AH68" s="115">
        <v>-8.8400000000000006E-2</v>
      </c>
      <c r="AI68" s="115">
        <v>-2.6800000000000001E-2</v>
      </c>
      <c r="AJ68" s="115">
        <v>-1.32E-2</v>
      </c>
      <c r="AK68" s="115">
        <v>7.2323000000000004</v>
      </c>
      <c r="AL68" s="115">
        <v>-1.6465000000000001</v>
      </c>
      <c r="AM68" s="115">
        <v>1</v>
      </c>
      <c r="AN68" s="115">
        <v>2</v>
      </c>
      <c r="AO68" s="115">
        <v>0</v>
      </c>
      <c r="AP68" s="115">
        <v>0</v>
      </c>
      <c r="AQ68" s="115">
        <v>1</v>
      </c>
      <c r="AR68" s="115">
        <v>0</v>
      </c>
      <c r="AS68" s="115">
        <v>2.5999999999999999E-3</v>
      </c>
      <c r="AT68" s="115">
        <v>0.2989</v>
      </c>
      <c r="AU68" s="114" t="str">
        <f>IF(A68&lt;&gt;"",INDEX(Index!$B$1:$B$77,MATCH($A68,Index!$A$1:$A$77,0)),"")</f>
        <v>ATL</v>
      </c>
      <c r="AV68" s="123" t="str">
        <f>IF(B68&lt;&gt;"",INDEX(Index!$C$1:$C$77,MATCH($A68,Index!$A$1:$A$77,0)),"")</f>
        <v>Penix</v>
      </c>
      <c r="AW68" s="123">
        <f t="shared" si="1"/>
        <v>23</v>
      </c>
      <c r="AX68" s="113">
        <v>3</v>
      </c>
    </row>
    <row r="69" spans="1:50" x14ac:dyDescent="0.25">
      <c r="A69" s="95" t="s">
        <v>581</v>
      </c>
      <c r="B69" s="96">
        <v>2025</v>
      </c>
      <c r="C69" s="96">
        <v>3</v>
      </c>
      <c r="D69" s="115">
        <v>-2.39974</v>
      </c>
      <c r="E69" s="115">
        <v>0.20375699999999999</v>
      </c>
      <c r="F69" s="115"/>
      <c r="G69" s="115">
        <v>0.92846399999999996</v>
      </c>
      <c r="H69" s="115">
        <v>80</v>
      </c>
      <c r="I69" s="115">
        <v>117</v>
      </c>
      <c r="J69" s="115">
        <v>0.68379999999999996</v>
      </c>
      <c r="K69" s="115">
        <v>1.8187</v>
      </c>
      <c r="L69" s="115">
        <v>5.4615</v>
      </c>
      <c r="M69" s="115">
        <v>4</v>
      </c>
      <c r="N69" s="115">
        <v>1</v>
      </c>
      <c r="O69" s="115">
        <v>6</v>
      </c>
      <c r="P69" s="115">
        <v>10</v>
      </c>
      <c r="Q69" s="115">
        <v>53</v>
      </c>
      <c r="R69" s="115">
        <v>5.3</v>
      </c>
      <c r="S69" s="115">
        <v>0</v>
      </c>
      <c r="T69" s="115">
        <v>3.4200000000000001E-2</v>
      </c>
      <c r="U69" s="115">
        <v>8.5000000000000006E-3</v>
      </c>
      <c r="V69" s="115">
        <v>2.5600000000000001E-2</v>
      </c>
      <c r="W69" s="115">
        <v>0.47920000000000001</v>
      </c>
      <c r="X69" s="115">
        <v>89.654600000000002</v>
      </c>
      <c r="Y69" s="115">
        <v>5.1544999999999996</v>
      </c>
      <c r="Z69" s="115">
        <v>187.185</v>
      </c>
      <c r="AA69" s="115">
        <v>51.8</v>
      </c>
      <c r="AB69" s="115">
        <v>-1.5203</v>
      </c>
      <c r="AC69" s="115">
        <v>-1.06E-2</v>
      </c>
      <c r="AD69" s="115">
        <v>2.8E-3</v>
      </c>
      <c r="AE69" s="115">
        <v>3.0200000000000001E-2</v>
      </c>
      <c r="AF69" s="115">
        <v>-2.1499999999999998E-2</v>
      </c>
      <c r="AG69" s="115">
        <v>5.79E-2</v>
      </c>
      <c r="AH69" s="115">
        <v>-8.7900000000000006E-2</v>
      </c>
      <c r="AI69" s="115">
        <v>-6.1199999999999997E-2</v>
      </c>
      <c r="AJ69" s="115">
        <v>-8.8999999999999999E-3</v>
      </c>
      <c r="AK69" s="115">
        <v>7.6923000000000004</v>
      </c>
      <c r="AL69" s="115">
        <v>-0.75209999999999999</v>
      </c>
      <c r="AM69" s="115">
        <v>0</v>
      </c>
      <c r="AN69" s="115">
        <v>3</v>
      </c>
      <c r="AO69" s="115">
        <v>0</v>
      </c>
      <c r="AP69" s="115">
        <v>0</v>
      </c>
      <c r="AQ69" s="115">
        <v>2</v>
      </c>
      <c r="AR69" s="115">
        <v>0</v>
      </c>
      <c r="AS69" s="115">
        <v>-2.2000000000000001E-3</v>
      </c>
      <c r="AT69" s="115">
        <v>-0.31690000000000002</v>
      </c>
      <c r="AU69" s="114" t="str">
        <f>IF(A69&lt;&gt;"",INDEX(Index!$B$1:$B$77,MATCH($A69,Index!$A$1:$A$77,0)),"")</f>
        <v>NO</v>
      </c>
      <c r="AV69" s="123" t="str">
        <f>IF(B69&lt;&gt;"",INDEX(Index!$C$1:$C$77,MATCH($A69,Index!$A$1:$A$77,0)),"")</f>
        <v>Rattler</v>
      </c>
      <c r="AW69" s="123">
        <f t="shared" si="1"/>
        <v>17</v>
      </c>
      <c r="AX69" s="113">
        <v>3</v>
      </c>
    </row>
    <row r="70" spans="1:50" x14ac:dyDescent="0.25">
      <c r="A70" s="95" t="s">
        <v>580</v>
      </c>
      <c r="B70" s="96">
        <v>2025</v>
      </c>
      <c r="C70" s="96">
        <v>2</v>
      </c>
      <c r="D70" s="115">
        <v>-2.5278700000000001</v>
      </c>
      <c r="E70" s="115">
        <v>-0.98064499999999999</v>
      </c>
      <c r="F70" s="115"/>
      <c r="G70" s="115">
        <v>-0.89307400000000003</v>
      </c>
      <c r="H70" s="115">
        <v>24</v>
      </c>
      <c r="I70" s="115">
        <v>41</v>
      </c>
      <c r="J70" s="115">
        <v>0.58540000000000003</v>
      </c>
      <c r="K70" s="115">
        <v>-7.2812999999999999</v>
      </c>
      <c r="L70" s="115">
        <v>7.3414999999999999</v>
      </c>
      <c r="M70" s="115">
        <v>2</v>
      </c>
      <c r="N70" s="115">
        <v>3</v>
      </c>
      <c r="O70" s="115">
        <v>9</v>
      </c>
      <c r="P70" s="115">
        <v>6</v>
      </c>
      <c r="Q70" s="115">
        <v>50</v>
      </c>
      <c r="R70" s="115">
        <v>8.3332999999999995</v>
      </c>
      <c r="S70" s="115">
        <v>1</v>
      </c>
      <c r="T70" s="115">
        <v>4.8800000000000003E-2</v>
      </c>
      <c r="U70" s="115">
        <v>7.3200000000000001E-2</v>
      </c>
      <c r="V70" s="115">
        <v>-2.4400000000000002E-2</v>
      </c>
      <c r="W70" s="115">
        <v>0.42370000000000002</v>
      </c>
      <c r="X70" s="115">
        <v>67.2256</v>
      </c>
      <c r="Y70" s="115">
        <v>3.18</v>
      </c>
      <c r="Z70" s="115">
        <v>-1.2098</v>
      </c>
      <c r="AA70" s="115">
        <v>20.6</v>
      </c>
      <c r="AB70" s="115">
        <v>-17.266200000000001</v>
      </c>
      <c r="AC70" s="115">
        <v>-0.29260000000000003</v>
      </c>
      <c r="AD70" s="115">
        <v>5.6500000000000002E-2</v>
      </c>
      <c r="AE70" s="115">
        <v>-0.2077</v>
      </c>
      <c r="AF70" s="115">
        <v>-4.0000000000000002E-4</v>
      </c>
      <c r="AG70" s="115">
        <v>-0.22939999999999999</v>
      </c>
      <c r="AH70" s="115">
        <v>2.92E-2</v>
      </c>
      <c r="AI70" s="115">
        <v>-0.08</v>
      </c>
      <c r="AJ70" s="115">
        <v>6.1100000000000002E-2</v>
      </c>
      <c r="AK70" s="115">
        <v>9</v>
      </c>
      <c r="AL70" s="115">
        <v>-0.31709999999999999</v>
      </c>
      <c r="AM70" s="115">
        <v>1</v>
      </c>
      <c r="AN70" s="115">
        <v>1</v>
      </c>
      <c r="AO70" s="115">
        <v>0</v>
      </c>
      <c r="AP70" s="115">
        <v>1</v>
      </c>
      <c r="AQ70" s="115">
        <v>2</v>
      </c>
      <c r="AR70" s="115">
        <v>0.5</v>
      </c>
      <c r="AS70" s="115">
        <v>-2.0999999999999999E-3</v>
      </c>
      <c r="AT70" s="115">
        <v>-0.1216</v>
      </c>
      <c r="AU70" s="114" t="str">
        <f>IF(A70&lt;&gt;"",INDEX(Index!$B$1:$B$77,MATCH($A70,Index!$A$1:$A$77,0)),"")</f>
        <v>MIN</v>
      </c>
      <c r="AV70" s="123" t="str">
        <f>IF(B70&lt;&gt;"",INDEX(Index!$C$1:$C$77,MATCH($A70,Index!$A$1:$A$77,0)),"")</f>
        <v>McCarthy</v>
      </c>
      <c r="AW70" s="123">
        <f t="shared" si="1"/>
        <v>19</v>
      </c>
      <c r="AX70" s="113">
        <v>3</v>
      </c>
    </row>
    <row r="71" spans="1:50" ht="15.75" thickBot="1" x14ac:dyDescent="0.3">
      <c r="A71" s="95" t="s">
        <v>582</v>
      </c>
      <c r="B71" s="96">
        <v>2025</v>
      </c>
      <c r="C71" s="96">
        <v>3</v>
      </c>
      <c r="D71" s="115">
        <v>-2.9767299999999999</v>
      </c>
      <c r="E71" s="115">
        <v>-0.22588900000000001</v>
      </c>
      <c r="F71" s="115"/>
      <c r="G71" s="115">
        <v>-1.47174</v>
      </c>
      <c r="H71" s="115">
        <v>54</v>
      </c>
      <c r="I71" s="115">
        <v>99</v>
      </c>
      <c r="J71" s="115">
        <v>0.54549999999999998</v>
      </c>
      <c r="K71" s="115">
        <v>-5.4802</v>
      </c>
      <c r="L71" s="115">
        <v>5.1111000000000004</v>
      </c>
      <c r="M71" s="115">
        <v>2</v>
      </c>
      <c r="N71" s="115">
        <v>1</v>
      </c>
      <c r="O71" s="115">
        <v>15</v>
      </c>
      <c r="P71" s="115">
        <v>7</v>
      </c>
      <c r="Q71" s="115">
        <v>20</v>
      </c>
      <c r="R71" s="115">
        <v>2.8571</v>
      </c>
      <c r="S71" s="115">
        <v>0</v>
      </c>
      <c r="T71" s="115">
        <v>2.0199999999999999E-2</v>
      </c>
      <c r="U71" s="115">
        <v>1.01E-2</v>
      </c>
      <c r="V71" s="115">
        <v>1.01E-2</v>
      </c>
      <c r="W71" s="115">
        <v>0.36149999999999999</v>
      </c>
      <c r="X71" s="115">
        <v>71.359399999999994</v>
      </c>
      <c r="Y71" s="115">
        <v>3.4737</v>
      </c>
      <c r="Z71" s="115">
        <v>-24.820900000000002</v>
      </c>
      <c r="AA71" s="115">
        <v>23.4</v>
      </c>
      <c r="AB71" s="115">
        <v>-30.73</v>
      </c>
      <c r="AC71" s="115">
        <v>-0.2364</v>
      </c>
      <c r="AD71" s="115">
        <v>-2.6700000000000002E-2</v>
      </c>
      <c r="AE71" s="115">
        <v>-0.1033</v>
      </c>
      <c r="AF71" s="115">
        <v>-6.3200000000000006E-2</v>
      </c>
      <c r="AG71" s="115">
        <v>8.6999999999999994E-3</v>
      </c>
      <c r="AH71" s="115">
        <v>-2.7099999999999999E-2</v>
      </c>
      <c r="AI71" s="115">
        <v>-8.1900000000000001E-2</v>
      </c>
      <c r="AJ71" s="115">
        <v>-2.0899999999999998E-2</v>
      </c>
      <c r="AK71" s="115">
        <v>7.0808</v>
      </c>
      <c r="AL71" s="115">
        <v>-3.0303</v>
      </c>
      <c r="AM71" s="115">
        <v>0</v>
      </c>
      <c r="AN71" s="115">
        <v>3</v>
      </c>
      <c r="AO71" s="115">
        <v>0</v>
      </c>
      <c r="AP71" s="115">
        <v>0</v>
      </c>
      <c r="AQ71" s="115">
        <v>2</v>
      </c>
      <c r="AR71" s="115">
        <v>0</v>
      </c>
      <c r="AS71" s="115">
        <v>-9.5999999999999992E-3</v>
      </c>
      <c r="AT71" s="115">
        <v>-1.2528999999999999</v>
      </c>
      <c r="AU71" s="114" t="str">
        <f>IF(A71&lt;&gt;"",INDEX(Index!$B$1:$B$77,MATCH($A71,Index!$A$1:$A$77,0)),"")</f>
        <v>TEN</v>
      </c>
      <c r="AV71" s="123" t="str">
        <f>IF(B71&lt;&gt;"",INDEX(Index!$C$1:$C$77,MATCH($A71,Index!$A$1:$A$77,0)),"")</f>
        <v>Ward</v>
      </c>
      <c r="AW71" s="123">
        <f t="shared" si="1"/>
        <v>25</v>
      </c>
      <c r="AX71" s="113">
        <v>3</v>
      </c>
    </row>
    <row r="72" spans="1:50" x14ac:dyDescent="0.25">
      <c r="A72" s="117" t="s">
        <v>551</v>
      </c>
      <c r="B72" s="118">
        <v>2025</v>
      </c>
      <c r="C72" s="118">
        <v>4</v>
      </c>
      <c r="D72" s="119">
        <v>3.8110400000000002</v>
      </c>
      <c r="E72" s="119">
        <v>-0.130883</v>
      </c>
      <c r="F72" s="119"/>
      <c r="G72" s="119">
        <v>0.37338500000000002</v>
      </c>
      <c r="H72" s="119">
        <v>85</v>
      </c>
      <c r="I72" s="119">
        <v>120</v>
      </c>
      <c r="J72" s="119">
        <v>0.70830000000000004</v>
      </c>
      <c r="K72" s="119">
        <v>4.9730999999999996</v>
      </c>
      <c r="L72" s="119">
        <v>8.0333000000000006</v>
      </c>
      <c r="M72" s="119">
        <v>7</v>
      </c>
      <c r="N72" s="119">
        <v>1</v>
      </c>
      <c r="O72" s="119">
        <v>7</v>
      </c>
      <c r="P72" s="119">
        <v>23</v>
      </c>
      <c r="Q72" s="119">
        <v>168</v>
      </c>
      <c r="R72" s="119">
        <v>7.3042999999999996</v>
      </c>
      <c r="S72" s="119">
        <v>3</v>
      </c>
      <c r="T72" s="119">
        <v>5.8299999999999998E-2</v>
      </c>
      <c r="U72" s="119">
        <v>8.3000000000000001E-3</v>
      </c>
      <c r="V72" s="119">
        <v>0.05</v>
      </c>
      <c r="W72" s="119">
        <v>0.50939999999999996</v>
      </c>
      <c r="X72" s="119">
        <v>110.556</v>
      </c>
      <c r="Y72" s="119">
        <v>8.0709</v>
      </c>
      <c r="Z72" s="119">
        <v>299.988</v>
      </c>
      <c r="AA72" s="119">
        <v>77.599999999999994</v>
      </c>
      <c r="AB72" s="119">
        <v>56.48</v>
      </c>
      <c r="AC72" s="119">
        <v>0.35520000000000002</v>
      </c>
      <c r="AD72" s="119">
        <v>8.2600000000000007E-2</v>
      </c>
      <c r="AE72" s="119">
        <v>5.1499999999999997E-2</v>
      </c>
      <c r="AF72" s="119">
        <v>4.4900000000000002E-2</v>
      </c>
      <c r="AG72" s="119">
        <v>6.5500000000000003E-2</v>
      </c>
      <c r="AH72" s="119">
        <v>-9.7000000000000003E-2</v>
      </c>
      <c r="AI72" s="119">
        <v>0.10390000000000001</v>
      </c>
      <c r="AJ72" s="119">
        <v>2.2100000000000002E-2</v>
      </c>
      <c r="AK72" s="119">
        <v>7.1333000000000002</v>
      </c>
      <c r="AL72" s="119">
        <v>-1.4750000000000001</v>
      </c>
      <c r="AM72" s="119">
        <v>4</v>
      </c>
      <c r="AN72" s="119">
        <v>0</v>
      </c>
      <c r="AO72" s="119">
        <v>0</v>
      </c>
      <c r="AP72" s="119">
        <v>1</v>
      </c>
      <c r="AQ72" s="119">
        <v>1</v>
      </c>
      <c r="AR72" s="119">
        <v>1</v>
      </c>
      <c r="AS72" s="119">
        <v>0.01</v>
      </c>
      <c r="AT72" s="119">
        <v>1.591</v>
      </c>
      <c r="AU72" s="121" t="str">
        <f>IF(A72&lt;&gt;"",INDEX(Index!$B$1:$B$77,MATCH($A72,Index!$A$1:$A$77,0)),"")</f>
        <v>BUF</v>
      </c>
      <c r="AV72" s="124" t="str">
        <f>IF(B72&lt;&gt;"",INDEX(Index!$C$1:$C$77,MATCH($A72,Index!$A$1:$A$77,0)),"")</f>
        <v>Allen</v>
      </c>
      <c r="AW72" s="124">
        <f t="shared" si="1"/>
        <v>3</v>
      </c>
      <c r="AX72" s="120">
        <v>4</v>
      </c>
    </row>
    <row r="73" spans="1:50" x14ac:dyDescent="0.25">
      <c r="A73" s="95" t="s">
        <v>550</v>
      </c>
      <c r="B73" s="96">
        <v>2025</v>
      </c>
      <c r="C73" s="96">
        <v>4</v>
      </c>
      <c r="D73" s="115">
        <v>3.1848299999999998</v>
      </c>
      <c r="E73" s="115">
        <v>-0.52360799999999996</v>
      </c>
      <c r="F73" s="115"/>
      <c r="G73" s="115">
        <v>-0.37244300000000002</v>
      </c>
      <c r="H73" s="115">
        <v>68</v>
      </c>
      <c r="I73" s="115">
        <v>95</v>
      </c>
      <c r="J73" s="115">
        <v>0.71579999999999999</v>
      </c>
      <c r="K73" s="115">
        <v>9.0829000000000004</v>
      </c>
      <c r="L73" s="115">
        <v>9.1473999999999993</v>
      </c>
      <c r="M73" s="115">
        <v>10</v>
      </c>
      <c r="N73" s="115">
        <v>1</v>
      </c>
      <c r="O73" s="115">
        <v>15</v>
      </c>
      <c r="P73" s="115">
        <v>21</v>
      </c>
      <c r="Q73" s="115">
        <v>166</v>
      </c>
      <c r="R73" s="115">
        <v>7.9047999999999998</v>
      </c>
      <c r="S73" s="115">
        <v>1</v>
      </c>
      <c r="T73" s="115">
        <v>0.1053</v>
      </c>
      <c r="U73" s="115">
        <v>1.0500000000000001E-2</v>
      </c>
      <c r="V73" s="115">
        <v>9.4700000000000006E-2</v>
      </c>
      <c r="W73" s="115">
        <v>0.51819999999999999</v>
      </c>
      <c r="X73" s="115">
        <v>130.548</v>
      </c>
      <c r="Y73" s="115">
        <v>8.3727</v>
      </c>
      <c r="Z73" s="115">
        <v>241.33199999999999</v>
      </c>
      <c r="AA73" s="115">
        <v>72.599999999999994</v>
      </c>
      <c r="AB73" s="115">
        <v>37.932699999999997</v>
      </c>
      <c r="AC73" s="115">
        <v>0.27689999999999998</v>
      </c>
      <c r="AD73" s="115">
        <v>5.2400000000000002E-2</v>
      </c>
      <c r="AE73" s="115">
        <v>-9.4600000000000004E-2</v>
      </c>
      <c r="AF73" s="115">
        <v>5.6300000000000003E-2</v>
      </c>
      <c r="AG73" s="115">
        <v>4.1399999999999999E-2</v>
      </c>
      <c r="AH73" s="115">
        <v>0.1515</v>
      </c>
      <c r="AI73" s="115">
        <v>4.4000000000000003E-3</v>
      </c>
      <c r="AJ73" s="115">
        <v>-1.6199999999999999E-2</v>
      </c>
      <c r="AK73" s="115">
        <v>8.8210999999999995</v>
      </c>
      <c r="AL73" s="115">
        <v>-0.56840000000000002</v>
      </c>
      <c r="AM73" s="115">
        <v>1</v>
      </c>
      <c r="AN73" s="115">
        <v>3</v>
      </c>
      <c r="AO73" s="115">
        <v>0</v>
      </c>
      <c r="AP73" s="115">
        <v>0</v>
      </c>
      <c r="AQ73" s="115">
        <v>1</v>
      </c>
      <c r="AR73" s="115">
        <v>0</v>
      </c>
      <c r="AS73" s="115">
        <v>4.5999999999999999E-3</v>
      </c>
      <c r="AT73" s="115">
        <v>0.63619999999999999</v>
      </c>
      <c r="AU73" s="114" t="str">
        <f>IF(A73&lt;&gt;"",INDEX(Index!$B$1:$B$77,MATCH($A73,Index!$A$1:$A$77,0)),"")</f>
        <v>BAL</v>
      </c>
      <c r="AV73" s="123" t="str">
        <f>IF(B73&lt;&gt;"",INDEX(Index!$C$1:$C$77,MATCH($A73,Index!$A$1:$A$77,0)),"")</f>
        <v>Jackson</v>
      </c>
      <c r="AW73" s="123">
        <f t="shared" si="1"/>
        <v>4</v>
      </c>
      <c r="AX73" s="113">
        <v>4</v>
      </c>
    </row>
    <row r="74" spans="1:50" x14ac:dyDescent="0.25">
      <c r="A74" s="95" t="s">
        <v>552</v>
      </c>
      <c r="B74" s="96">
        <v>2025</v>
      </c>
      <c r="C74" s="96">
        <v>4</v>
      </c>
      <c r="D74" s="115">
        <v>2.4123199999999998</v>
      </c>
      <c r="E74" s="115">
        <v>0.432896</v>
      </c>
      <c r="F74" s="115"/>
      <c r="G74" s="115">
        <v>0.23041900000000001</v>
      </c>
      <c r="H74" s="115">
        <v>87</v>
      </c>
      <c r="I74" s="115">
        <v>141</v>
      </c>
      <c r="J74" s="115">
        <v>0.61699999999999999</v>
      </c>
      <c r="K74" s="115">
        <v>-1.7838000000000001</v>
      </c>
      <c r="L74" s="115">
        <v>6.6596000000000002</v>
      </c>
      <c r="M74" s="115">
        <v>7</v>
      </c>
      <c r="N74" s="115">
        <v>1</v>
      </c>
      <c r="O74" s="115">
        <v>7</v>
      </c>
      <c r="P74" s="115">
        <v>19</v>
      </c>
      <c r="Q74" s="115">
        <v>133</v>
      </c>
      <c r="R74" s="115">
        <v>7</v>
      </c>
      <c r="S74" s="115">
        <v>2</v>
      </c>
      <c r="T74" s="115">
        <v>4.9599999999999998E-2</v>
      </c>
      <c r="U74" s="115">
        <v>7.1000000000000004E-3</v>
      </c>
      <c r="V74" s="115">
        <v>4.2599999999999999E-2</v>
      </c>
      <c r="W74" s="115">
        <v>0.47749999999999998</v>
      </c>
      <c r="X74" s="115">
        <v>94.843400000000003</v>
      </c>
      <c r="Y74" s="115">
        <v>6.6351000000000004</v>
      </c>
      <c r="Z74" s="115">
        <v>246.71600000000001</v>
      </c>
      <c r="AA74" s="115">
        <v>75.099999999999994</v>
      </c>
      <c r="AB74" s="115">
        <v>35.189100000000003</v>
      </c>
      <c r="AC74" s="115">
        <v>0.19769999999999999</v>
      </c>
      <c r="AD74" s="115">
        <v>2.4E-2</v>
      </c>
      <c r="AE74" s="115">
        <v>4.3099999999999999E-2</v>
      </c>
      <c r="AF74" s="115">
        <v>-1.4500000000000001E-2</v>
      </c>
      <c r="AG74" s="115">
        <v>3.44E-2</v>
      </c>
      <c r="AH74" s="115">
        <v>1.8200000000000001E-2</v>
      </c>
      <c r="AI74" s="115">
        <v>1.8499999999999999E-2</v>
      </c>
      <c r="AJ74" s="115">
        <v>-7.4999999999999997E-3</v>
      </c>
      <c r="AK74" s="115">
        <v>8.2127999999999997</v>
      </c>
      <c r="AL74" s="115">
        <v>0.1348</v>
      </c>
      <c r="AM74" s="115">
        <v>2</v>
      </c>
      <c r="AN74" s="115">
        <v>2</v>
      </c>
      <c r="AO74" s="115">
        <v>0</v>
      </c>
      <c r="AP74" s="115">
        <v>0</v>
      </c>
      <c r="AQ74" s="115">
        <v>2</v>
      </c>
      <c r="AR74" s="115">
        <v>0</v>
      </c>
      <c r="AS74" s="115">
        <v>4.0000000000000001E-3</v>
      </c>
      <c r="AT74" s="115">
        <v>0.71919999999999995</v>
      </c>
      <c r="AU74" s="114" t="str">
        <f>IF(A74&lt;&gt;"",INDEX(Index!$B$1:$B$77,MATCH($A74,Index!$A$1:$A$77,0)),"")</f>
        <v>KC</v>
      </c>
      <c r="AV74" s="123" t="str">
        <f>IF(B74&lt;&gt;"",INDEX(Index!$C$1:$C$77,MATCH($A74,Index!$A$1:$A$77,0)),"")</f>
        <v>Mahomes</v>
      </c>
      <c r="AW74" s="123">
        <f t="shared" si="1"/>
        <v>6</v>
      </c>
      <c r="AX74" s="113">
        <v>4</v>
      </c>
    </row>
    <row r="75" spans="1:50" x14ac:dyDescent="0.25">
      <c r="A75" s="95" t="s">
        <v>555</v>
      </c>
      <c r="B75" s="96">
        <v>2025</v>
      </c>
      <c r="C75" s="96">
        <v>4</v>
      </c>
      <c r="D75" s="115">
        <v>1.9308399999999999</v>
      </c>
      <c r="E75" s="115">
        <v>0.82578200000000002</v>
      </c>
      <c r="F75" s="115"/>
      <c r="G75" s="115">
        <v>0.70736100000000002</v>
      </c>
      <c r="H75" s="115">
        <v>121</v>
      </c>
      <c r="I75" s="115">
        <v>165</v>
      </c>
      <c r="J75" s="115">
        <v>0.73329999999999995</v>
      </c>
      <c r="K75" s="115">
        <v>6.5148000000000001</v>
      </c>
      <c r="L75" s="115">
        <v>6.7817999999999996</v>
      </c>
      <c r="M75" s="115">
        <v>6</v>
      </c>
      <c r="N75" s="115">
        <v>3</v>
      </c>
      <c r="O75" s="115">
        <v>6</v>
      </c>
      <c r="P75" s="115">
        <v>4</v>
      </c>
      <c r="Q75" s="115">
        <v>22</v>
      </c>
      <c r="R75" s="115">
        <v>5.5</v>
      </c>
      <c r="S75" s="115">
        <v>1</v>
      </c>
      <c r="T75" s="115">
        <v>3.6400000000000002E-2</v>
      </c>
      <c r="U75" s="115">
        <v>1.8200000000000001E-2</v>
      </c>
      <c r="V75" s="115">
        <v>1.8200000000000001E-2</v>
      </c>
      <c r="W75" s="115">
        <v>0.48399999999999999</v>
      </c>
      <c r="X75" s="115">
        <v>95.997500000000002</v>
      </c>
      <c r="Y75" s="115">
        <v>6.2515000000000001</v>
      </c>
      <c r="Z75" s="115">
        <v>255.84200000000001</v>
      </c>
      <c r="AA75" s="115">
        <v>74.2</v>
      </c>
      <c r="AB75" s="115">
        <v>41.6004</v>
      </c>
      <c r="AC75" s="115">
        <v>0.2213</v>
      </c>
      <c r="AD75" s="115">
        <v>-3.2599999999999997E-2</v>
      </c>
      <c r="AE75" s="115">
        <v>4.3900000000000002E-2</v>
      </c>
      <c r="AF75" s="115">
        <v>5.4100000000000002E-2</v>
      </c>
      <c r="AG75" s="115">
        <v>5.9999999999999995E-4</v>
      </c>
      <c r="AH75" s="115">
        <v>4.7699999999999999E-2</v>
      </c>
      <c r="AI75" s="115">
        <v>-5.3E-3</v>
      </c>
      <c r="AJ75" s="115">
        <v>3.1199999999999999E-2</v>
      </c>
      <c r="AK75" s="115">
        <v>7.3273000000000001</v>
      </c>
      <c r="AL75" s="115">
        <v>-1.1091</v>
      </c>
      <c r="AM75" s="115">
        <v>1</v>
      </c>
      <c r="AN75" s="115">
        <v>2</v>
      </c>
      <c r="AO75" s="115">
        <v>1</v>
      </c>
      <c r="AP75" s="115">
        <v>1</v>
      </c>
      <c r="AQ75" s="115">
        <v>3</v>
      </c>
      <c r="AR75" s="115">
        <v>0.33329999999999999</v>
      </c>
      <c r="AS75" s="115">
        <v>9.4999999999999998E-3</v>
      </c>
      <c r="AT75" s="115">
        <v>1.7907999999999999</v>
      </c>
      <c r="AU75" s="114" t="str">
        <f>IF(A75&lt;&gt;"",INDEX(Index!$B$1:$B$77,MATCH($A75,Index!$A$1:$A$77,0)),"")</f>
        <v>DAL</v>
      </c>
      <c r="AV75" s="123" t="str">
        <f>IF(B75&lt;&gt;"",INDEX(Index!$C$1:$C$77,MATCH($A75,Index!$A$1:$A$77,0)),"")</f>
        <v>Prescott</v>
      </c>
      <c r="AW75" s="123">
        <f t="shared" si="1"/>
        <v>29</v>
      </c>
      <c r="AX75" s="113">
        <v>4</v>
      </c>
    </row>
    <row r="76" spans="1:50" x14ac:dyDescent="0.25">
      <c r="A76" s="95" t="s">
        <v>553</v>
      </c>
      <c r="B76" s="96">
        <v>2025</v>
      </c>
      <c r="C76" s="96">
        <v>4</v>
      </c>
      <c r="D76" s="115">
        <v>1.59372</v>
      </c>
      <c r="E76" s="115">
        <v>-0.214341</v>
      </c>
      <c r="F76" s="115"/>
      <c r="G76" s="115">
        <v>0.527582</v>
      </c>
      <c r="H76" s="115">
        <v>90</v>
      </c>
      <c r="I76" s="115">
        <v>122</v>
      </c>
      <c r="J76" s="115">
        <v>0.73770000000000002</v>
      </c>
      <c r="K76" s="115">
        <v>10.037800000000001</v>
      </c>
      <c r="L76" s="115">
        <v>7.6147999999999998</v>
      </c>
      <c r="M76" s="115">
        <v>9</v>
      </c>
      <c r="N76" s="115">
        <v>2</v>
      </c>
      <c r="O76" s="115">
        <v>4</v>
      </c>
      <c r="P76" s="115">
        <v>3</v>
      </c>
      <c r="Q76" s="115">
        <v>13</v>
      </c>
      <c r="R76" s="115">
        <v>4.3333000000000004</v>
      </c>
      <c r="S76" s="115">
        <v>0</v>
      </c>
      <c r="T76" s="115">
        <v>7.3800000000000004E-2</v>
      </c>
      <c r="U76" s="115">
        <v>1.6400000000000001E-2</v>
      </c>
      <c r="V76" s="115">
        <v>5.74E-2</v>
      </c>
      <c r="W76" s="115">
        <v>0.5333</v>
      </c>
      <c r="X76" s="115">
        <v>113.04600000000001</v>
      </c>
      <c r="Y76" s="115">
        <v>7.8888999999999996</v>
      </c>
      <c r="Z76" s="115">
        <v>249.04599999999999</v>
      </c>
      <c r="AA76" s="115">
        <v>70.099999999999994</v>
      </c>
      <c r="AB76" s="115">
        <v>39.155000000000001</v>
      </c>
      <c r="AC76" s="115">
        <v>0.28999999999999998</v>
      </c>
      <c r="AD76" s="115">
        <v>-3.5499999999999997E-2</v>
      </c>
      <c r="AE76" s="115">
        <v>3.4299999999999997E-2</v>
      </c>
      <c r="AF76" s="115">
        <v>2.86E-2</v>
      </c>
      <c r="AG76" s="115">
        <v>2.0199999999999999E-2</v>
      </c>
      <c r="AH76" s="115">
        <v>9.0899999999999995E-2</v>
      </c>
      <c r="AI76" s="115">
        <v>0.09</v>
      </c>
      <c r="AJ76" s="115">
        <v>-2.0199999999999999E-2</v>
      </c>
      <c r="AK76" s="115">
        <v>7.8769999999999998</v>
      </c>
      <c r="AL76" s="115">
        <v>-0.31969999999999998</v>
      </c>
      <c r="AM76" s="115">
        <v>3</v>
      </c>
      <c r="AN76" s="115">
        <v>1</v>
      </c>
      <c r="AO76" s="115">
        <v>0</v>
      </c>
      <c r="AP76" s="115">
        <v>0</v>
      </c>
      <c r="AQ76" s="115">
        <v>0</v>
      </c>
      <c r="AR76" s="115"/>
      <c r="AS76" s="115">
        <v>4.7000000000000002E-3</v>
      </c>
      <c r="AT76" s="115">
        <v>0.64090000000000003</v>
      </c>
      <c r="AU76" s="114" t="str">
        <f>IF(A76&lt;&gt;"",INDEX(Index!$B$1:$B$77,MATCH($A76,Index!$A$1:$A$77,0)),"")</f>
        <v>DET</v>
      </c>
      <c r="AV76" s="123" t="str">
        <f>IF(B76&lt;&gt;"",INDEX(Index!$C$1:$C$77,MATCH($A76,Index!$A$1:$A$77,0)),"")</f>
        <v>Goff</v>
      </c>
      <c r="AW76" s="123">
        <f t="shared" si="1"/>
        <v>34</v>
      </c>
      <c r="AX76" s="113">
        <v>4</v>
      </c>
    </row>
    <row r="77" spans="1:50" x14ac:dyDescent="0.25">
      <c r="A77" s="95" t="s">
        <v>554</v>
      </c>
      <c r="B77" s="96">
        <v>2025</v>
      </c>
      <c r="C77" s="96">
        <v>4</v>
      </c>
      <c r="D77" s="115">
        <v>1.51187</v>
      </c>
      <c r="E77" s="115">
        <v>-0.129161</v>
      </c>
      <c r="F77" s="115"/>
      <c r="G77" s="115">
        <v>0.10859099999999999</v>
      </c>
      <c r="H77" s="115">
        <v>70</v>
      </c>
      <c r="I77" s="115">
        <v>101</v>
      </c>
      <c r="J77" s="115">
        <v>0.69310000000000005</v>
      </c>
      <c r="K77" s="115">
        <v>6.1810999999999998</v>
      </c>
      <c r="L77" s="115">
        <v>6.0297000000000001</v>
      </c>
      <c r="M77" s="115">
        <v>5</v>
      </c>
      <c r="N77" s="115">
        <v>0</v>
      </c>
      <c r="O77" s="115">
        <v>9</v>
      </c>
      <c r="P77" s="115">
        <v>34</v>
      </c>
      <c r="Q77" s="115">
        <v>185</v>
      </c>
      <c r="R77" s="115">
        <v>5.4412000000000003</v>
      </c>
      <c r="S77" s="115">
        <v>4</v>
      </c>
      <c r="T77" s="115">
        <v>4.9500000000000002E-2</v>
      </c>
      <c r="U77" s="115">
        <v>0</v>
      </c>
      <c r="V77" s="115">
        <v>4.9500000000000002E-2</v>
      </c>
      <c r="W77" s="115">
        <v>0.49659999999999999</v>
      </c>
      <c r="X77" s="115">
        <v>101.465</v>
      </c>
      <c r="Y77" s="115">
        <v>5.9272999999999998</v>
      </c>
      <c r="Z77" s="115">
        <v>220.387</v>
      </c>
      <c r="AA77" s="115">
        <v>67.5</v>
      </c>
      <c r="AB77" s="115">
        <v>16.104700000000001</v>
      </c>
      <c r="AC77" s="115">
        <v>0.1096</v>
      </c>
      <c r="AD77" s="115">
        <v>0.1007</v>
      </c>
      <c r="AE77" s="115">
        <v>-3.0499999999999999E-2</v>
      </c>
      <c r="AF77" s="115">
        <v>3.6799999999999999E-2</v>
      </c>
      <c r="AG77" s="115">
        <v>7.3999999999999996E-2</v>
      </c>
      <c r="AH77" s="115">
        <v>-4.7600000000000003E-2</v>
      </c>
      <c r="AI77" s="115">
        <v>-8.1500000000000003E-2</v>
      </c>
      <c r="AJ77" s="115">
        <v>-2.41E-2</v>
      </c>
      <c r="AK77" s="115">
        <v>7.1287000000000003</v>
      </c>
      <c r="AL77" s="115">
        <v>-1.2969999999999999</v>
      </c>
      <c r="AM77" s="115">
        <v>4</v>
      </c>
      <c r="AN77" s="115">
        <v>0</v>
      </c>
      <c r="AO77" s="115">
        <v>0</v>
      </c>
      <c r="AP77" s="115">
        <v>1</v>
      </c>
      <c r="AQ77" s="115">
        <v>1</v>
      </c>
      <c r="AR77" s="115">
        <v>1</v>
      </c>
      <c r="AS77" s="115">
        <v>5.1000000000000004E-3</v>
      </c>
      <c r="AT77" s="115">
        <v>0.74329999999999996</v>
      </c>
      <c r="AU77" s="114" t="str">
        <f>IF(A77&lt;&gt;"",INDEX(Index!$B$1:$B$77,MATCH($A77,Index!$A$1:$A$77,0)),"")</f>
        <v>PHI</v>
      </c>
      <c r="AV77" s="123" t="str">
        <f>IF(B77&lt;&gt;"",INDEX(Index!$C$1:$C$77,MATCH($A77,Index!$A$1:$A$77,0)),"")</f>
        <v>Hurts</v>
      </c>
      <c r="AW77" s="123">
        <f t="shared" si="1"/>
        <v>1</v>
      </c>
      <c r="AX77" s="113">
        <v>4</v>
      </c>
    </row>
    <row r="78" spans="1:50" x14ac:dyDescent="0.25">
      <c r="A78" s="95" t="s">
        <v>561</v>
      </c>
      <c r="B78" s="96">
        <v>2025</v>
      </c>
      <c r="C78" s="96">
        <v>4</v>
      </c>
      <c r="D78" s="115">
        <v>1.03392</v>
      </c>
      <c r="E78" s="115">
        <v>0.500108</v>
      </c>
      <c r="F78" s="115"/>
      <c r="G78" s="115">
        <v>2.5692699999999999E-2</v>
      </c>
      <c r="H78" s="115">
        <v>90</v>
      </c>
      <c r="I78" s="115">
        <v>137</v>
      </c>
      <c r="J78" s="115">
        <v>0.65690000000000004</v>
      </c>
      <c r="K78" s="115">
        <v>-2.3258999999999999</v>
      </c>
      <c r="L78" s="115">
        <v>6.2847</v>
      </c>
      <c r="M78" s="115">
        <v>7</v>
      </c>
      <c r="N78" s="115">
        <v>4</v>
      </c>
      <c r="O78" s="115">
        <v>3</v>
      </c>
      <c r="P78" s="115">
        <v>19</v>
      </c>
      <c r="Q78" s="115">
        <v>84</v>
      </c>
      <c r="R78" s="115">
        <v>4.4211</v>
      </c>
      <c r="S78" s="115">
        <v>1</v>
      </c>
      <c r="T78" s="115">
        <v>5.11E-2</v>
      </c>
      <c r="U78" s="115">
        <v>2.92E-2</v>
      </c>
      <c r="V78" s="115">
        <v>2.1899999999999999E-2</v>
      </c>
      <c r="W78" s="115">
        <v>0.41520000000000001</v>
      </c>
      <c r="X78" s="115">
        <v>87.880200000000002</v>
      </c>
      <c r="Y78" s="115">
        <v>5.75</v>
      </c>
      <c r="Z78" s="115">
        <v>193.03</v>
      </c>
      <c r="AA78" s="115">
        <v>51.1</v>
      </c>
      <c r="AB78" s="115">
        <v>11.1958</v>
      </c>
      <c r="AC78" s="115">
        <v>6.5500000000000003E-2</v>
      </c>
      <c r="AD78" s="115">
        <v>-4.8599999999999997E-2</v>
      </c>
      <c r="AE78" s="115">
        <v>5.33E-2</v>
      </c>
      <c r="AF78" s="115">
        <v>2.3400000000000001E-2</v>
      </c>
      <c r="AG78" s="115">
        <v>-2.4E-2</v>
      </c>
      <c r="AH78" s="115">
        <v>-0.1419</v>
      </c>
      <c r="AI78" s="115">
        <v>0.13930000000000001</v>
      </c>
      <c r="AJ78" s="115">
        <v>-1.7600000000000001E-2</v>
      </c>
      <c r="AK78" s="115">
        <v>6.6349999999999998</v>
      </c>
      <c r="AL78" s="115">
        <v>-2.8029000000000002</v>
      </c>
      <c r="AM78" s="115">
        <v>2</v>
      </c>
      <c r="AN78" s="115">
        <v>2</v>
      </c>
      <c r="AO78" s="115">
        <v>0</v>
      </c>
      <c r="AP78" s="115">
        <v>0</v>
      </c>
      <c r="AQ78" s="115">
        <v>0</v>
      </c>
      <c r="AR78" s="115"/>
      <c r="AS78" s="115">
        <v>1.9E-3</v>
      </c>
      <c r="AT78" s="115">
        <v>0.32279999999999998</v>
      </c>
      <c r="AU78" s="114" t="str">
        <f>IF(A78&lt;&gt;"",INDEX(Index!$B$1:$B$77,MATCH($A78,Index!$A$1:$A$77,0)),"")</f>
        <v>DEN</v>
      </c>
      <c r="AV78" s="123" t="str">
        <f>IF(B78&lt;&gt;"",INDEX(Index!$C$1:$C$77,MATCH($A78,Index!$A$1:$A$77,0)),"")</f>
        <v>Nix</v>
      </c>
      <c r="AW78" s="123">
        <f t="shared" si="1"/>
        <v>15</v>
      </c>
      <c r="AX78" s="113">
        <v>4</v>
      </c>
    </row>
    <row r="79" spans="1:50" x14ac:dyDescent="0.25">
      <c r="A79" s="95" t="s">
        <v>559</v>
      </c>
      <c r="B79" s="96">
        <v>2025</v>
      </c>
      <c r="C79" s="96">
        <v>4</v>
      </c>
      <c r="D79" s="115">
        <v>1.02861</v>
      </c>
      <c r="E79" s="115">
        <v>-7.7221100000000001E-2</v>
      </c>
      <c r="F79" s="115"/>
      <c r="G79" s="115">
        <v>0.35883199999999998</v>
      </c>
      <c r="H79" s="115">
        <v>83</v>
      </c>
      <c r="I79" s="115">
        <v>138</v>
      </c>
      <c r="J79" s="115">
        <v>0.60140000000000005</v>
      </c>
      <c r="K79" s="115">
        <v>-4.524</v>
      </c>
      <c r="L79" s="115">
        <v>6.5507</v>
      </c>
      <c r="M79" s="115">
        <v>8</v>
      </c>
      <c r="N79" s="115">
        <v>1</v>
      </c>
      <c r="O79" s="115">
        <v>8</v>
      </c>
      <c r="P79" s="115">
        <v>12</v>
      </c>
      <c r="Q79" s="115">
        <v>131</v>
      </c>
      <c r="R79" s="115">
        <v>10.916700000000001</v>
      </c>
      <c r="S79" s="115">
        <v>0</v>
      </c>
      <c r="T79" s="115">
        <v>5.8000000000000003E-2</v>
      </c>
      <c r="U79" s="115">
        <v>7.1999999999999998E-3</v>
      </c>
      <c r="V79" s="115">
        <v>5.0700000000000002E-2</v>
      </c>
      <c r="W79" s="115">
        <v>0.45660000000000001</v>
      </c>
      <c r="X79" s="115">
        <v>95.803100000000001</v>
      </c>
      <c r="Y79" s="115">
        <v>6.5890000000000004</v>
      </c>
      <c r="Z79" s="115">
        <v>220.18899999999999</v>
      </c>
      <c r="AA79" s="115">
        <v>60.7</v>
      </c>
      <c r="AB79" s="115">
        <v>29.395499999999998</v>
      </c>
      <c r="AC79" s="115">
        <v>0.1699</v>
      </c>
      <c r="AD79" s="115">
        <v>6.0900000000000003E-2</v>
      </c>
      <c r="AE79" s="115">
        <v>2.46E-2</v>
      </c>
      <c r="AF79" s="115">
        <v>-2.29E-2</v>
      </c>
      <c r="AG79" s="115">
        <v>4.0500000000000001E-2</v>
      </c>
      <c r="AH79" s="115">
        <v>-4.5900000000000003E-2</v>
      </c>
      <c r="AI79" s="115">
        <v>3.3300000000000003E-2</v>
      </c>
      <c r="AJ79" s="115">
        <v>-2.3E-3</v>
      </c>
      <c r="AK79" s="115">
        <v>8.6158999999999999</v>
      </c>
      <c r="AL79" s="115">
        <v>-0.1232</v>
      </c>
      <c r="AM79" s="115">
        <v>3</v>
      </c>
      <c r="AN79" s="115">
        <v>1</v>
      </c>
      <c r="AO79" s="115">
        <v>0</v>
      </c>
      <c r="AP79" s="115">
        <v>3</v>
      </c>
      <c r="AQ79" s="115">
        <v>4</v>
      </c>
      <c r="AR79" s="115">
        <v>0.75</v>
      </c>
      <c r="AS79" s="115">
        <v>6.7000000000000002E-3</v>
      </c>
      <c r="AT79" s="115">
        <v>1.1639999999999999</v>
      </c>
      <c r="AU79" s="114" t="str">
        <f>IF(A79&lt;&gt;"",INDEX(Index!$B$1:$B$77,MATCH($A79,Index!$A$1:$A$77,0)),"")</f>
        <v>TB</v>
      </c>
      <c r="AV79" s="123" t="str">
        <f>IF(B79&lt;&gt;"",INDEX(Index!$C$1:$C$77,MATCH($A79,Index!$A$1:$A$77,0)),"")</f>
        <v>Mayfield</v>
      </c>
      <c r="AW79" s="123">
        <f t="shared" si="1"/>
        <v>7</v>
      </c>
      <c r="AX79" s="113">
        <v>4</v>
      </c>
    </row>
    <row r="80" spans="1:50" x14ac:dyDescent="0.25">
      <c r="A80" s="95" t="s">
        <v>557</v>
      </c>
      <c r="B80" s="96">
        <v>2025</v>
      </c>
      <c r="C80" s="96">
        <v>2</v>
      </c>
      <c r="D80" s="115">
        <v>1.0006999999999999</v>
      </c>
      <c r="E80" s="115">
        <v>-0.72667099999999996</v>
      </c>
      <c r="F80" s="115"/>
      <c r="G80" s="115">
        <v>-1.3634200000000001</v>
      </c>
      <c r="H80" s="115">
        <v>21</v>
      </c>
      <c r="I80" s="115">
        <v>36</v>
      </c>
      <c r="J80" s="115">
        <v>0.58330000000000004</v>
      </c>
      <c r="K80" s="115">
        <v>-1.5459000000000001</v>
      </c>
      <c r="L80" s="115">
        <v>5.25</v>
      </c>
      <c r="M80" s="115">
        <v>2</v>
      </c>
      <c r="N80" s="115">
        <v>0</v>
      </c>
      <c r="O80" s="115">
        <v>5</v>
      </c>
      <c r="P80" s="115">
        <v>2</v>
      </c>
      <c r="Q80" s="115">
        <v>3</v>
      </c>
      <c r="R80" s="115">
        <v>1.5</v>
      </c>
      <c r="S80" s="115">
        <v>0</v>
      </c>
      <c r="T80" s="115">
        <v>5.5599999999999997E-2</v>
      </c>
      <c r="U80" s="115">
        <v>0</v>
      </c>
      <c r="V80" s="115">
        <v>5.5599999999999997E-2</v>
      </c>
      <c r="W80" s="115">
        <v>0.43480000000000002</v>
      </c>
      <c r="X80" s="115">
        <v>91.087999999999994</v>
      </c>
      <c r="Y80" s="115">
        <v>4.9512</v>
      </c>
      <c r="Z80" s="115">
        <v>25.4618</v>
      </c>
      <c r="AA80" s="115">
        <v>56.7</v>
      </c>
      <c r="AB80" s="115">
        <v>-0.90390000000000004</v>
      </c>
      <c r="AC80" s="115">
        <v>-1.9599999999999999E-2</v>
      </c>
      <c r="AD80" s="115">
        <v>-7.2099999999999997E-2</v>
      </c>
      <c r="AE80" s="115">
        <v>-5.0900000000000001E-2</v>
      </c>
      <c r="AF80" s="115">
        <v>-5.7099999999999998E-2</v>
      </c>
      <c r="AG80" s="115">
        <v>7.3999999999999996E-2</v>
      </c>
      <c r="AH80" s="115">
        <v>0.1996</v>
      </c>
      <c r="AI80" s="115">
        <v>-0.19139999999999999</v>
      </c>
      <c r="AJ80" s="115">
        <v>-3.5000000000000001E-3</v>
      </c>
      <c r="AK80" s="115">
        <v>6.8611000000000004</v>
      </c>
      <c r="AL80" s="115">
        <v>-1.0832999999999999</v>
      </c>
      <c r="AM80" s="115">
        <v>2</v>
      </c>
      <c r="AN80" s="115">
        <v>0</v>
      </c>
      <c r="AO80" s="115">
        <v>0</v>
      </c>
      <c r="AP80" s="115">
        <v>0</v>
      </c>
      <c r="AQ80" s="115">
        <v>0</v>
      </c>
      <c r="AR80" s="115"/>
      <c r="AS80" s="115">
        <v>1.6000000000000001E-3</v>
      </c>
      <c r="AT80" s="115">
        <v>7.4800000000000005E-2</v>
      </c>
      <c r="AU80" s="114" t="str">
        <f>IF(A80&lt;&gt;"",INDEX(Index!$B$1:$B$77,MATCH($A80,Index!$A$1:$A$77,0)),"")</f>
        <v>CIN</v>
      </c>
      <c r="AV80" s="123" t="str">
        <f>IF(B80&lt;&gt;"",INDEX(Index!$C$1:$C$77,MATCH($A80,Index!$A$1:$A$77,0)),"")</f>
        <v>Burrow</v>
      </c>
      <c r="AW80" s="123">
        <f t="shared" si="1"/>
        <v>38</v>
      </c>
      <c r="AX80" s="113">
        <v>4</v>
      </c>
    </row>
    <row r="81" spans="1:50" x14ac:dyDescent="0.25">
      <c r="A81" s="95" t="s">
        <v>562</v>
      </c>
      <c r="B81" s="96">
        <v>2025</v>
      </c>
      <c r="C81" s="96">
        <v>2</v>
      </c>
      <c r="D81" s="115">
        <v>0.79085099999999997</v>
      </c>
      <c r="E81" s="115">
        <v>-0.36814000000000002</v>
      </c>
      <c r="F81" s="115"/>
      <c r="G81" s="115">
        <v>-0.34820000000000001</v>
      </c>
      <c r="H81" s="115">
        <v>43</v>
      </c>
      <c r="I81" s="115">
        <v>71</v>
      </c>
      <c r="J81" s="115">
        <v>0.60560000000000003</v>
      </c>
      <c r="K81" s="115">
        <v>-4.7148000000000003</v>
      </c>
      <c r="L81" s="115">
        <v>6.0986000000000002</v>
      </c>
      <c r="M81" s="115">
        <v>3</v>
      </c>
      <c r="N81" s="115">
        <v>0</v>
      </c>
      <c r="O81" s="115">
        <v>7</v>
      </c>
      <c r="P81" s="115">
        <v>15</v>
      </c>
      <c r="Q81" s="115">
        <v>88</v>
      </c>
      <c r="R81" s="115">
        <v>5.8666999999999998</v>
      </c>
      <c r="S81" s="115">
        <v>0</v>
      </c>
      <c r="T81" s="115">
        <v>4.2299999999999997E-2</v>
      </c>
      <c r="U81" s="115">
        <v>0</v>
      </c>
      <c r="V81" s="115">
        <v>4.2299999999999997E-2</v>
      </c>
      <c r="W81" s="115">
        <v>0.44</v>
      </c>
      <c r="X81" s="115">
        <v>92.048100000000005</v>
      </c>
      <c r="Y81" s="115">
        <v>5.7820999999999998</v>
      </c>
      <c r="Z81" s="115">
        <v>152.565</v>
      </c>
      <c r="AA81" s="115">
        <v>34.200000000000003</v>
      </c>
      <c r="AB81" s="115">
        <v>-2.0758000000000001</v>
      </c>
      <c r="AC81" s="115">
        <v>-2.0799999999999999E-2</v>
      </c>
      <c r="AD81" s="115">
        <v>-3.0999999999999999E-3</v>
      </c>
      <c r="AE81" s="115">
        <v>4.0000000000000002E-4</v>
      </c>
      <c r="AF81" s="115">
        <v>-9.01E-2</v>
      </c>
      <c r="AG81" s="115">
        <v>7.3999999999999996E-2</v>
      </c>
      <c r="AH81" s="115">
        <v>-8.4000000000000005E-2</v>
      </c>
      <c r="AI81" s="115">
        <v>8.0000000000000004E-4</v>
      </c>
      <c r="AJ81" s="115">
        <v>-4.0000000000000002E-4</v>
      </c>
      <c r="AK81" s="115">
        <v>7.8592000000000004</v>
      </c>
      <c r="AL81" s="115">
        <v>-0.90139999999999998</v>
      </c>
      <c r="AM81" s="115">
        <v>1</v>
      </c>
      <c r="AN81" s="115">
        <v>1</v>
      </c>
      <c r="AO81" s="115">
        <v>0</v>
      </c>
      <c r="AP81" s="115">
        <v>0</v>
      </c>
      <c r="AQ81" s="115">
        <v>0</v>
      </c>
      <c r="AR81" s="115"/>
      <c r="AS81" s="115">
        <v>-1.2999999999999999E-3</v>
      </c>
      <c r="AT81" s="115">
        <v>-0.1338</v>
      </c>
      <c r="AU81" s="114" t="str">
        <f>IF(A81&lt;&gt;"",INDEX(Index!$B$1:$B$77,MATCH($A81,Index!$A$1:$A$77,0)),"")</f>
        <v>WAS</v>
      </c>
      <c r="AV81" s="123" t="str">
        <f>IF(B81&lt;&gt;"",INDEX(Index!$C$1:$C$77,MATCH($A81,Index!$A$1:$A$77,0)),"")</f>
        <v>Daniels</v>
      </c>
      <c r="AW81" s="123">
        <f t="shared" si="1"/>
        <v>14</v>
      </c>
      <c r="AX81" s="113">
        <v>4</v>
      </c>
    </row>
    <row r="82" spans="1:50" x14ac:dyDescent="0.25">
      <c r="A82" s="95" t="s">
        <v>560</v>
      </c>
      <c r="B82" s="96">
        <v>2025</v>
      </c>
      <c r="C82" s="96">
        <v>2</v>
      </c>
      <c r="D82" s="115">
        <v>0.67374000000000001</v>
      </c>
      <c r="E82" s="115">
        <v>-0.12831300000000001</v>
      </c>
      <c r="F82" s="115"/>
      <c r="G82" s="115">
        <v>-1.32458E-2</v>
      </c>
      <c r="H82" s="115">
        <v>48</v>
      </c>
      <c r="I82" s="115">
        <v>73</v>
      </c>
      <c r="J82" s="115">
        <v>0.65749999999999997</v>
      </c>
      <c r="K82" s="115">
        <v>3.0061</v>
      </c>
      <c r="L82" s="115">
        <v>8.0274000000000001</v>
      </c>
      <c r="M82" s="115">
        <v>4</v>
      </c>
      <c r="N82" s="115">
        <v>4</v>
      </c>
      <c r="O82" s="115">
        <v>2</v>
      </c>
      <c r="P82" s="115">
        <v>5</v>
      </c>
      <c r="Q82" s="115">
        <v>32</v>
      </c>
      <c r="R82" s="115">
        <v>6.4</v>
      </c>
      <c r="S82" s="115">
        <v>0</v>
      </c>
      <c r="T82" s="115">
        <v>5.4800000000000001E-2</v>
      </c>
      <c r="U82" s="115">
        <v>5.4800000000000001E-2</v>
      </c>
      <c r="V82" s="115">
        <v>0</v>
      </c>
      <c r="W82" s="115">
        <v>0.57650000000000001</v>
      </c>
      <c r="X82" s="115">
        <v>85.759100000000004</v>
      </c>
      <c r="Y82" s="115">
        <v>6.28</v>
      </c>
      <c r="Z82" s="115">
        <v>190.423</v>
      </c>
      <c r="AA82" s="115">
        <v>70.2</v>
      </c>
      <c r="AB82" s="115">
        <v>16.7165</v>
      </c>
      <c r="AC82" s="115">
        <v>0.19670000000000001</v>
      </c>
      <c r="AD82" s="115">
        <v>-7.1999999999999998E-3</v>
      </c>
      <c r="AE82" s="115">
        <v>2.1899999999999999E-2</v>
      </c>
      <c r="AF82" s="115">
        <v>-4.4999999999999997E-3</v>
      </c>
      <c r="AG82" s="115">
        <v>-0.1191</v>
      </c>
      <c r="AH82" s="115">
        <v>0.16800000000000001</v>
      </c>
      <c r="AI82" s="115">
        <v>3.4099999999999998E-2</v>
      </c>
      <c r="AJ82" s="115">
        <v>2.1700000000000001E-2</v>
      </c>
      <c r="AK82" s="115">
        <v>7.7534000000000001</v>
      </c>
      <c r="AL82" s="115">
        <v>-0.39729999999999999</v>
      </c>
      <c r="AM82" s="115">
        <v>1</v>
      </c>
      <c r="AN82" s="115">
        <v>1</v>
      </c>
      <c r="AO82" s="115">
        <v>0</v>
      </c>
      <c r="AP82" s="115">
        <v>1</v>
      </c>
      <c r="AQ82" s="115">
        <v>2</v>
      </c>
      <c r="AR82" s="115">
        <v>0.5</v>
      </c>
      <c r="AS82" s="115">
        <v>8.0999999999999996E-3</v>
      </c>
      <c r="AT82" s="115">
        <v>0.68879999999999997</v>
      </c>
      <c r="AU82" s="114" t="str">
        <f>IF(A82&lt;&gt;"",INDEX(Index!$B$1:$B$77,MATCH($A82,Index!$A$1:$A$77,0)),"")</f>
        <v>SF</v>
      </c>
      <c r="AV82" s="123" t="str">
        <f>IF(B82&lt;&gt;"",INDEX(Index!$C$1:$C$77,MATCH($A82,Index!$A$1:$A$77,0)),"")</f>
        <v>Purdy</v>
      </c>
      <c r="AW82" s="123">
        <f t="shared" si="1"/>
        <v>28</v>
      </c>
      <c r="AX82" s="113">
        <v>4</v>
      </c>
    </row>
    <row r="83" spans="1:50" x14ac:dyDescent="0.25">
      <c r="A83" s="95" t="s">
        <v>558</v>
      </c>
      <c r="B83" s="96">
        <v>2025</v>
      </c>
      <c r="C83" s="96">
        <v>4</v>
      </c>
      <c r="D83" s="115">
        <v>0.64308799999999999</v>
      </c>
      <c r="E83" s="115">
        <v>1.1417800000000001E-2</v>
      </c>
      <c r="F83" s="115"/>
      <c r="G83" s="115">
        <v>-0.77352399999999999</v>
      </c>
      <c r="H83" s="115">
        <v>74</v>
      </c>
      <c r="I83" s="115">
        <v>108</v>
      </c>
      <c r="J83" s="115">
        <v>0.68520000000000003</v>
      </c>
      <c r="K83" s="115">
        <v>3.0230999999999999</v>
      </c>
      <c r="L83" s="115">
        <v>7.2778</v>
      </c>
      <c r="M83" s="115">
        <v>8</v>
      </c>
      <c r="N83" s="115">
        <v>3</v>
      </c>
      <c r="O83" s="115">
        <v>9</v>
      </c>
      <c r="P83" s="115">
        <v>3</v>
      </c>
      <c r="Q83" s="115">
        <v>16</v>
      </c>
      <c r="R83" s="115">
        <v>5.3333000000000004</v>
      </c>
      <c r="S83" s="115">
        <v>0</v>
      </c>
      <c r="T83" s="115">
        <v>7.4099999999999999E-2</v>
      </c>
      <c r="U83" s="115">
        <v>2.7799999999999998E-2</v>
      </c>
      <c r="V83" s="115">
        <v>4.6300000000000001E-2</v>
      </c>
      <c r="W83" s="115">
        <v>0.45669999999999999</v>
      </c>
      <c r="X83" s="115">
        <v>102.623</v>
      </c>
      <c r="Y83" s="115">
        <v>6.3845999999999998</v>
      </c>
      <c r="Z83" s="115">
        <v>145.285</v>
      </c>
      <c r="AA83" s="115">
        <v>45.9</v>
      </c>
      <c r="AB83" s="115">
        <v>14.739699999999999</v>
      </c>
      <c r="AC83" s="115">
        <v>0.11609999999999999</v>
      </c>
      <c r="AD83" s="115">
        <v>-3.0499999999999999E-2</v>
      </c>
      <c r="AE83" s="115">
        <v>1E-4</v>
      </c>
      <c r="AF83" s="115">
        <v>1.41E-2</v>
      </c>
      <c r="AG83" s="115">
        <v>-2.5600000000000001E-2</v>
      </c>
      <c r="AH83" s="115">
        <v>-0.2074</v>
      </c>
      <c r="AI83" s="115">
        <v>0.23910000000000001</v>
      </c>
      <c r="AJ83" s="115">
        <v>4.4600000000000001E-2</v>
      </c>
      <c r="AK83" s="115">
        <v>4.7685000000000004</v>
      </c>
      <c r="AL83" s="115">
        <v>-4.7314999999999996</v>
      </c>
      <c r="AM83" s="115">
        <v>3</v>
      </c>
      <c r="AN83" s="115">
        <v>1</v>
      </c>
      <c r="AO83" s="115">
        <v>0</v>
      </c>
      <c r="AP83" s="115">
        <v>1</v>
      </c>
      <c r="AQ83" s="115">
        <v>1</v>
      </c>
      <c r="AR83" s="115">
        <v>1</v>
      </c>
      <c r="AS83" s="115">
        <v>4.1999999999999997E-3</v>
      </c>
      <c r="AT83" s="115">
        <v>0.52829999999999999</v>
      </c>
      <c r="AU83" s="114" t="str">
        <f>IF(A83&lt;&gt;"",INDEX(Index!$B$1:$B$77,MATCH($A83,Index!$A$1:$A$77,0)),"")</f>
        <v>GB</v>
      </c>
      <c r="AV83" s="123" t="str">
        <f>IF(B83&lt;&gt;"",INDEX(Index!$C$1:$C$77,MATCH($A83,Index!$A$1:$A$77,0)),"")</f>
        <v>Rodgers</v>
      </c>
      <c r="AW83" s="123">
        <f t="shared" si="1"/>
        <v>31</v>
      </c>
      <c r="AX83" s="113">
        <v>4</v>
      </c>
    </row>
    <row r="84" spans="1:50" x14ac:dyDescent="0.25">
      <c r="A84" s="95" t="s">
        <v>566</v>
      </c>
      <c r="B84" s="96">
        <v>2025</v>
      </c>
      <c r="C84" s="96">
        <v>4</v>
      </c>
      <c r="D84" s="115">
        <v>0.59726100000000004</v>
      </c>
      <c r="E84" s="115">
        <v>0.80124899999999999</v>
      </c>
      <c r="F84" s="115"/>
      <c r="G84" s="115">
        <v>0.79249899999999995</v>
      </c>
      <c r="H84" s="115">
        <v>84</v>
      </c>
      <c r="I84" s="115">
        <v>121</v>
      </c>
      <c r="J84" s="115">
        <v>0.69420000000000004</v>
      </c>
      <c r="K84" s="115">
        <v>9.4678000000000004</v>
      </c>
      <c r="L84" s="115">
        <v>8.2645</v>
      </c>
      <c r="M84" s="115">
        <v>8</v>
      </c>
      <c r="N84" s="115">
        <v>1</v>
      </c>
      <c r="O84" s="115">
        <v>8</v>
      </c>
      <c r="P84" s="115">
        <v>8</v>
      </c>
      <c r="Q84" s="115">
        <v>67</v>
      </c>
      <c r="R84" s="115">
        <v>8.375</v>
      </c>
      <c r="S84" s="115">
        <v>0</v>
      </c>
      <c r="T84" s="115">
        <v>6.6100000000000006E-2</v>
      </c>
      <c r="U84" s="115">
        <v>8.3000000000000001E-3</v>
      </c>
      <c r="V84" s="115">
        <v>5.79E-2</v>
      </c>
      <c r="W84" s="115">
        <v>0.5302</v>
      </c>
      <c r="X84" s="115">
        <v>112.965</v>
      </c>
      <c r="Y84" s="115">
        <v>8.1084999999999994</v>
      </c>
      <c r="Z84" s="115">
        <v>230.215</v>
      </c>
      <c r="AA84" s="115">
        <v>63.5</v>
      </c>
      <c r="AB84" s="115">
        <v>51.788899999999998</v>
      </c>
      <c r="AC84" s="115">
        <v>0.34760000000000002</v>
      </c>
      <c r="AD84" s="115">
        <v>1.67E-2</v>
      </c>
      <c r="AE84" s="115">
        <v>-6.6E-3</v>
      </c>
      <c r="AF84" s="115">
        <v>2.7900000000000001E-2</v>
      </c>
      <c r="AG84" s="115">
        <v>3.5000000000000003E-2</v>
      </c>
      <c r="AH84" s="115">
        <v>7.5300000000000006E-2</v>
      </c>
      <c r="AI84" s="115">
        <v>9.5500000000000002E-2</v>
      </c>
      <c r="AJ84" s="115">
        <v>2.1999999999999999E-2</v>
      </c>
      <c r="AK84" s="115">
        <v>7.9668999999999999</v>
      </c>
      <c r="AL84" s="115">
        <v>-1.1488</v>
      </c>
      <c r="AM84" s="115">
        <v>2</v>
      </c>
      <c r="AN84" s="115">
        <v>1</v>
      </c>
      <c r="AO84" s="115">
        <v>1</v>
      </c>
      <c r="AP84" s="115">
        <v>0</v>
      </c>
      <c r="AQ84" s="115">
        <v>1</v>
      </c>
      <c r="AR84" s="115">
        <v>0</v>
      </c>
      <c r="AS84" s="115">
        <v>1.1900000000000001E-2</v>
      </c>
      <c r="AT84" s="115">
        <v>1.7721</v>
      </c>
      <c r="AU84" s="114" t="str">
        <f>IF(A84&lt;&gt;"",INDEX(Index!$B$1:$B$77,MATCH($A84,Index!$A$1:$A$77,0)),"")</f>
        <v>GB</v>
      </c>
      <c r="AV84" s="123" t="str">
        <f>IF(B84&lt;&gt;"",INDEX(Index!$C$1:$C$77,MATCH($A84,Index!$A$1:$A$77,0)),"")</f>
        <v>Love</v>
      </c>
      <c r="AW84" s="123">
        <f t="shared" si="1"/>
        <v>17</v>
      </c>
      <c r="AX84" s="113">
        <v>4</v>
      </c>
    </row>
    <row r="85" spans="1:50" x14ac:dyDescent="0.25">
      <c r="A85" s="95" t="s">
        <v>567</v>
      </c>
      <c r="B85" s="96">
        <v>2025</v>
      </c>
      <c r="C85" s="96">
        <v>4</v>
      </c>
      <c r="D85" s="115">
        <v>0.55818800000000002</v>
      </c>
      <c r="E85" s="115">
        <v>0.51793800000000001</v>
      </c>
      <c r="F85" s="115"/>
      <c r="G85" s="115">
        <v>0.53859999999999997</v>
      </c>
      <c r="H85" s="115">
        <v>92</v>
      </c>
      <c r="I85" s="115">
        <v>135</v>
      </c>
      <c r="J85" s="115">
        <v>0.68149999999999999</v>
      </c>
      <c r="K85" s="115">
        <v>4.1978</v>
      </c>
      <c r="L85" s="115">
        <v>8.2518999999999991</v>
      </c>
      <c r="M85" s="115">
        <v>8</v>
      </c>
      <c r="N85" s="115">
        <v>2</v>
      </c>
      <c r="O85" s="115">
        <v>8</v>
      </c>
      <c r="P85" s="115">
        <v>3</v>
      </c>
      <c r="Q85" s="115">
        <v>6</v>
      </c>
      <c r="R85" s="115">
        <v>2</v>
      </c>
      <c r="S85" s="115">
        <v>0</v>
      </c>
      <c r="T85" s="115">
        <v>5.9299999999999999E-2</v>
      </c>
      <c r="U85" s="115">
        <v>1.4800000000000001E-2</v>
      </c>
      <c r="V85" s="115">
        <v>4.4400000000000002E-2</v>
      </c>
      <c r="W85" s="115">
        <v>0.46450000000000002</v>
      </c>
      <c r="X85" s="115">
        <v>106.836</v>
      </c>
      <c r="Y85" s="115">
        <v>7.9720000000000004</v>
      </c>
      <c r="Z85" s="115">
        <v>214.083</v>
      </c>
      <c r="AA85" s="115">
        <v>69.099999999999994</v>
      </c>
      <c r="AB85" s="115">
        <v>18.045000000000002</v>
      </c>
      <c r="AC85" s="115">
        <v>0.1164</v>
      </c>
      <c r="AD85" s="115">
        <v>-6.7299999999999999E-2</v>
      </c>
      <c r="AE85" s="115">
        <v>8.6E-3</v>
      </c>
      <c r="AF85" s="115">
        <v>-1.2E-2</v>
      </c>
      <c r="AG85" s="115">
        <v>2.81E-2</v>
      </c>
      <c r="AH85" s="115">
        <v>0.13900000000000001</v>
      </c>
      <c r="AI85" s="115">
        <v>-3.3399999999999999E-2</v>
      </c>
      <c r="AJ85" s="115">
        <v>-2.8299999999999999E-2</v>
      </c>
      <c r="AK85" s="115">
        <v>7.3333000000000004</v>
      </c>
      <c r="AL85" s="115">
        <v>-1.2</v>
      </c>
      <c r="AM85" s="115">
        <v>3</v>
      </c>
      <c r="AN85" s="115">
        <v>1</v>
      </c>
      <c r="AO85" s="115">
        <v>0</v>
      </c>
      <c r="AP85" s="115">
        <v>1</v>
      </c>
      <c r="AQ85" s="115">
        <v>2</v>
      </c>
      <c r="AR85" s="115">
        <v>0.5</v>
      </c>
      <c r="AS85" s="115">
        <v>7.9000000000000008E-3</v>
      </c>
      <c r="AT85" s="115">
        <v>1.2251000000000001</v>
      </c>
      <c r="AU85" s="114" t="str">
        <f>IF(A85&lt;&gt;"",INDEX(Index!$B$1:$B$77,MATCH($A85,Index!$A$1:$A$77,0)),"")</f>
        <v>LAR</v>
      </c>
      <c r="AV85" s="123" t="str">
        <f>IF(B85&lt;&gt;"",INDEX(Index!$C$1:$C$77,MATCH($A85,Index!$A$1:$A$77,0)),"")</f>
        <v>Stafford</v>
      </c>
      <c r="AW85" s="123">
        <f t="shared" si="1"/>
        <v>37</v>
      </c>
      <c r="AX85" s="113">
        <v>4</v>
      </c>
    </row>
    <row r="86" spans="1:50" x14ac:dyDescent="0.25">
      <c r="A86" s="95" t="s">
        <v>565</v>
      </c>
      <c r="B86" s="96">
        <v>2025</v>
      </c>
      <c r="C86" s="96">
        <v>4</v>
      </c>
      <c r="D86" s="115">
        <v>0.53459400000000001</v>
      </c>
      <c r="E86" s="115">
        <v>0.17497799999999999</v>
      </c>
      <c r="F86" s="115"/>
      <c r="G86" s="115">
        <v>-0.77118200000000003</v>
      </c>
      <c r="H86" s="115">
        <v>79</v>
      </c>
      <c r="I86" s="115">
        <v>114</v>
      </c>
      <c r="J86" s="115">
        <v>0.69299999999999995</v>
      </c>
      <c r="K86" s="115">
        <v>1.4870000000000001</v>
      </c>
      <c r="L86" s="115">
        <v>6.5964999999999998</v>
      </c>
      <c r="M86" s="115">
        <v>7</v>
      </c>
      <c r="N86" s="115">
        <v>4</v>
      </c>
      <c r="O86" s="115">
        <v>8</v>
      </c>
      <c r="P86" s="115">
        <v>4</v>
      </c>
      <c r="Q86" s="115">
        <v>21</v>
      </c>
      <c r="R86" s="115">
        <v>5.25</v>
      </c>
      <c r="S86" s="115">
        <v>0</v>
      </c>
      <c r="T86" s="115">
        <v>6.1400000000000003E-2</v>
      </c>
      <c r="U86" s="115">
        <v>3.5099999999999999E-2</v>
      </c>
      <c r="V86" s="115">
        <v>2.63E-2</v>
      </c>
      <c r="W86" s="115">
        <v>0.44440000000000002</v>
      </c>
      <c r="X86" s="115">
        <v>93.165199999999999</v>
      </c>
      <c r="Y86" s="115">
        <v>5.5819999999999999</v>
      </c>
      <c r="Z86" s="115">
        <v>131.65299999999999</v>
      </c>
      <c r="AA86" s="115">
        <v>40.5</v>
      </c>
      <c r="AB86" s="115">
        <v>4.7347000000000001</v>
      </c>
      <c r="AC86" s="115">
        <v>3.5099999999999999E-2</v>
      </c>
      <c r="AD86" s="115">
        <v>-5.4000000000000003E-3</v>
      </c>
      <c r="AE86" s="115">
        <v>-1.78E-2</v>
      </c>
      <c r="AF86" s="115">
        <v>-2.9999999999999997E-4</v>
      </c>
      <c r="AG86" s="115">
        <v>-4.2700000000000002E-2</v>
      </c>
      <c r="AH86" s="115">
        <v>3.3300000000000003E-2</v>
      </c>
      <c r="AI86" s="115">
        <v>4.2000000000000003E-2</v>
      </c>
      <c r="AJ86" s="115">
        <v>-5.5800000000000002E-2</v>
      </c>
      <c r="AK86" s="115">
        <v>6.6490999999999998</v>
      </c>
      <c r="AL86" s="115">
        <v>-1.8772</v>
      </c>
      <c r="AM86" s="115">
        <v>1</v>
      </c>
      <c r="AN86" s="115">
        <v>3</v>
      </c>
      <c r="AO86" s="115">
        <v>0</v>
      </c>
      <c r="AP86" s="115">
        <v>0</v>
      </c>
      <c r="AQ86" s="115">
        <v>2</v>
      </c>
      <c r="AR86" s="115">
        <v>0</v>
      </c>
      <c r="AS86" s="115">
        <v>1.1999999999999999E-3</v>
      </c>
      <c r="AT86" s="115">
        <v>0.15770000000000001</v>
      </c>
      <c r="AU86" s="114" t="str">
        <f>IF(A86&lt;&gt;"",INDEX(Index!$B$1:$B$77,MATCH($A86,Index!$A$1:$A$77,0)),"")</f>
        <v>MIA</v>
      </c>
      <c r="AV86" s="123" t="str">
        <f>IF(B86&lt;&gt;"",INDEX(Index!$C$1:$C$77,MATCH($A86,Index!$A$1:$A$77,0)),"")</f>
        <v>Tagovailoa</v>
      </c>
      <c r="AW86" s="123">
        <f t="shared" si="1"/>
        <v>30</v>
      </c>
      <c r="AX86" s="113">
        <v>4</v>
      </c>
    </row>
    <row r="87" spans="1:50" x14ac:dyDescent="0.25">
      <c r="A87" s="95" t="s">
        <v>556</v>
      </c>
      <c r="B87" s="96">
        <v>2025</v>
      </c>
      <c r="C87" s="96">
        <v>4</v>
      </c>
      <c r="D87" s="115">
        <v>0.50779700000000005</v>
      </c>
      <c r="E87" s="115">
        <v>-0.47634199999999999</v>
      </c>
      <c r="F87" s="115"/>
      <c r="G87" s="115">
        <v>-0.87237399999999998</v>
      </c>
      <c r="H87" s="115">
        <v>87</v>
      </c>
      <c r="I87" s="115">
        <v>130</v>
      </c>
      <c r="J87" s="115">
        <v>0.66920000000000002</v>
      </c>
      <c r="K87" s="115">
        <v>-2.4904000000000002</v>
      </c>
      <c r="L87" s="115">
        <v>5.7077</v>
      </c>
      <c r="M87" s="115">
        <v>6</v>
      </c>
      <c r="N87" s="115">
        <v>3</v>
      </c>
      <c r="O87" s="115">
        <v>13</v>
      </c>
      <c r="P87" s="115">
        <v>24</v>
      </c>
      <c r="Q87" s="115">
        <v>150</v>
      </c>
      <c r="R87" s="115">
        <v>6.25</v>
      </c>
      <c r="S87" s="115">
        <v>0</v>
      </c>
      <c r="T87" s="115">
        <v>4.6199999999999998E-2</v>
      </c>
      <c r="U87" s="115">
        <v>2.3099999999999999E-2</v>
      </c>
      <c r="V87" s="115">
        <v>2.3099999999999999E-2</v>
      </c>
      <c r="W87" s="115">
        <v>0.45</v>
      </c>
      <c r="X87" s="115">
        <v>87.403800000000004</v>
      </c>
      <c r="Y87" s="115">
        <v>4.5034999999999998</v>
      </c>
      <c r="Z87" s="115">
        <v>139.899</v>
      </c>
      <c r="AA87" s="115">
        <v>45.7</v>
      </c>
      <c r="AB87" s="115">
        <v>16.043700000000001</v>
      </c>
      <c r="AC87" s="115">
        <v>8.9099999999999999E-2</v>
      </c>
      <c r="AD87" s="115">
        <v>-1.55E-2</v>
      </c>
      <c r="AE87" s="115">
        <v>-3.3E-3</v>
      </c>
      <c r="AF87" s="115">
        <v>4.0099999999999997E-2</v>
      </c>
      <c r="AG87" s="115">
        <v>2.3E-2</v>
      </c>
      <c r="AH87" s="115">
        <v>-7.9299999999999995E-2</v>
      </c>
      <c r="AI87" s="115">
        <v>1.7600000000000001E-2</v>
      </c>
      <c r="AJ87" s="115">
        <v>2.4799999999999999E-2</v>
      </c>
      <c r="AK87" s="115">
        <v>5.7</v>
      </c>
      <c r="AL87" s="115">
        <v>-3.1922999999999999</v>
      </c>
      <c r="AM87" s="115">
        <v>2</v>
      </c>
      <c r="AN87" s="115">
        <v>2</v>
      </c>
      <c r="AO87" s="115">
        <v>0</v>
      </c>
      <c r="AP87" s="115">
        <v>0</v>
      </c>
      <c r="AQ87" s="115">
        <v>2</v>
      </c>
      <c r="AR87" s="115">
        <v>0</v>
      </c>
      <c r="AS87" s="115">
        <v>3.8E-3</v>
      </c>
      <c r="AT87" s="115">
        <v>0.68440000000000001</v>
      </c>
      <c r="AU87" s="114" t="str">
        <f>IF(A87&lt;&gt;"",INDEX(Index!$B$1:$B$77,MATCH($A87,Index!$A$1:$A$77,0)),"")</f>
        <v>ARI</v>
      </c>
      <c r="AV87" s="123" t="str">
        <f>IF(B87&lt;&gt;"",INDEX(Index!$C$1:$C$77,MATCH($A87,Index!$A$1:$A$77,0)),"")</f>
        <v>Murray</v>
      </c>
      <c r="AW87" s="123">
        <f t="shared" si="1"/>
        <v>5</v>
      </c>
      <c r="AX87" s="113">
        <v>4</v>
      </c>
    </row>
    <row r="88" spans="1:50" x14ac:dyDescent="0.25">
      <c r="A88" s="95" t="s">
        <v>569</v>
      </c>
      <c r="B88" s="96">
        <v>2025</v>
      </c>
      <c r="C88" s="96">
        <v>3</v>
      </c>
      <c r="D88" s="115">
        <v>0.33879500000000001</v>
      </c>
      <c r="E88" s="115">
        <v>0.65087700000000004</v>
      </c>
      <c r="F88" s="115"/>
      <c r="G88" s="115">
        <v>0.68115599999999998</v>
      </c>
      <c r="H88" s="115">
        <v>39</v>
      </c>
      <c r="I88" s="115">
        <v>60</v>
      </c>
      <c r="J88" s="115">
        <v>0.65</v>
      </c>
      <c r="K88" s="115">
        <v>-0.22009999999999999</v>
      </c>
      <c r="L88" s="115">
        <v>7.5667</v>
      </c>
      <c r="M88" s="115">
        <v>2</v>
      </c>
      <c r="N88" s="115">
        <v>0</v>
      </c>
      <c r="O88" s="115">
        <v>5</v>
      </c>
      <c r="P88" s="115">
        <v>24</v>
      </c>
      <c r="Q88" s="115">
        <v>178</v>
      </c>
      <c r="R88" s="115">
        <v>7.4166999999999996</v>
      </c>
      <c r="S88" s="115">
        <v>3</v>
      </c>
      <c r="T88" s="115">
        <v>3.3300000000000003E-2</v>
      </c>
      <c r="U88" s="115">
        <v>0</v>
      </c>
      <c r="V88" s="115">
        <v>3.3300000000000003E-2</v>
      </c>
      <c r="W88" s="115">
        <v>0.52129999999999999</v>
      </c>
      <c r="X88" s="115">
        <v>98.888900000000007</v>
      </c>
      <c r="Y88" s="115">
        <v>6.9230999999999998</v>
      </c>
      <c r="Z88" s="115">
        <v>237.017</v>
      </c>
      <c r="AA88" s="115">
        <v>56.9</v>
      </c>
      <c r="AB88" s="115">
        <v>10.9656</v>
      </c>
      <c r="AC88" s="115">
        <v>0.1167</v>
      </c>
      <c r="AD88" s="115">
        <v>3.2300000000000002E-2</v>
      </c>
      <c r="AE88" s="115">
        <v>-1.6299999999999999E-2</v>
      </c>
      <c r="AF88" s="115">
        <v>7.7700000000000005E-2</v>
      </c>
      <c r="AG88" s="115">
        <v>7.3999999999999996E-2</v>
      </c>
      <c r="AH88" s="115">
        <v>4.9099999999999998E-2</v>
      </c>
      <c r="AI88" s="115">
        <v>-0.13189999999999999</v>
      </c>
      <c r="AJ88" s="115">
        <v>-0.05</v>
      </c>
      <c r="AK88" s="115">
        <v>7.8833000000000002</v>
      </c>
      <c r="AL88" s="115">
        <v>-1.8</v>
      </c>
      <c r="AM88" s="115">
        <v>0</v>
      </c>
      <c r="AN88" s="115">
        <v>3</v>
      </c>
      <c r="AO88" s="115">
        <v>0</v>
      </c>
      <c r="AP88" s="115">
        <v>0</v>
      </c>
      <c r="AQ88" s="115">
        <v>2</v>
      </c>
      <c r="AR88" s="115">
        <v>0</v>
      </c>
      <c r="AS88" s="115">
        <v>2.0000000000000001E-4</v>
      </c>
      <c r="AT88" s="115">
        <v>2.06E-2</v>
      </c>
      <c r="AU88" s="114" t="str">
        <f>IF(A88&lt;&gt;"",INDEX(Index!$B$1:$B$77,MATCH($A88,Index!$A$1:$A$77,0)),"")</f>
        <v>NYJ</v>
      </c>
      <c r="AV88" s="123" t="str">
        <f>IF(B88&lt;&gt;"",INDEX(Index!$C$1:$C$77,MATCH($A88,Index!$A$1:$A$77,0)),"")</f>
        <v>Fields</v>
      </c>
      <c r="AW88" s="123">
        <f t="shared" si="1"/>
        <v>2</v>
      </c>
      <c r="AX88" s="113">
        <v>4</v>
      </c>
    </row>
    <row r="89" spans="1:50" x14ac:dyDescent="0.25">
      <c r="A89" s="95" t="s">
        <v>570</v>
      </c>
      <c r="B89" s="96">
        <v>2025</v>
      </c>
      <c r="C89" s="96">
        <v>4</v>
      </c>
      <c r="D89" s="115">
        <v>0.16573599999999999</v>
      </c>
      <c r="E89" s="115">
        <v>0.42219800000000002</v>
      </c>
      <c r="F89" s="115"/>
      <c r="G89" s="115">
        <v>0.86609899999999995</v>
      </c>
      <c r="H89" s="115">
        <v>91</v>
      </c>
      <c r="I89" s="115">
        <v>123</v>
      </c>
      <c r="J89" s="115">
        <v>0.73980000000000001</v>
      </c>
      <c r="K89" s="115">
        <v>8.6707999999999998</v>
      </c>
      <c r="L89" s="115">
        <v>8.0325000000000006</v>
      </c>
      <c r="M89" s="115">
        <v>7</v>
      </c>
      <c r="N89" s="115">
        <v>2</v>
      </c>
      <c r="O89" s="115">
        <v>13</v>
      </c>
      <c r="P89" s="115">
        <v>20</v>
      </c>
      <c r="Q89" s="115">
        <v>101</v>
      </c>
      <c r="R89" s="115">
        <v>5.05</v>
      </c>
      <c r="S89" s="115">
        <v>2</v>
      </c>
      <c r="T89" s="115">
        <v>5.6899999999999999E-2</v>
      </c>
      <c r="U89" s="115">
        <v>1.6299999999999999E-2</v>
      </c>
      <c r="V89" s="115">
        <v>4.07E-2</v>
      </c>
      <c r="W89" s="115">
        <v>0.52149999999999996</v>
      </c>
      <c r="X89" s="115">
        <v>109.4</v>
      </c>
      <c r="Y89" s="115">
        <v>7.2793999999999999</v>
      </c>
      <c r="Z89" s="115">
        <v>221.55600000000001</v>
      </c>
      <c r="AA89" s="115">
        <v>63.9</v>
      </c>
      <c r="AB89" s="115">
        <v>47.096400000000003</v>
      </c>
      <c r="AC89" s="115">
        <v>0.28889999999999999</v>
      </c>
      <c r="AD89" s="115">
        <v>6.9999999999999999E-4</v>
      </c>
      <c r="AE89" s="115">
        <v>-2.8899999999999999E-2</v>
      </c>
      <c r="AF89" s="115">
        <v>7.8700000000000006E-2</v>
      </c>
      <c r="AG89" s="115">
        <v>2.41E-2</v>
      </c>
      <c r="AH89" s="115">
        <v>0.10299999999999999</v>
      </c>
      <c r="AI89" s="115">
        <v>1.7299999999999999E-2</v>
      </c>
      <c r="AJ89" s="115">
        <v>1.24E-2</v>
      </c>
      <c r="AK89" s="115">
        <v>6.7236000000000002</v>
      </c>
      <c r="AL89" s="115">
        <v>-2.2439</v>
      </c>
      <c r="AM89" s="115">
        <v>2</v>
      </c>
      <c r="AN89" s="115">
        <v>2</v>
      </c>
      <c r="AO89" s="115">
        <v>0</v>
      </c>
      <c r="AP89" s="115">
        <v>0</v>
      </c>
      <c r="AQ89" s="115">
        <v>2</v>
      </c>
      <c r="AR89" s="115">
        <v>0</v>
      </c>
      <c r="AS89" s="115">
        <v>4.8999999999999998E-3</v>
      </c>
      <c r="AT89" s="115">
        <v>0.79300000000000004</v>
      </c>
      <c r="AU89" s="114" t="str">
        <f>IF(A89&lt;&gt;"",INDEX(Index!$B$1:$B$77,MATCH($A89,Index!$A$1:$A$77,0)),"")</f>
        <v>NE</v>
      </c>
      <c r="AV89" s="123" t="str">
        <f>IF(B89&lt;&gt;"",INDEX(Index!$C$1:$C$77,MATCH($A89,Index!$A$1:$A$77,0)),"")</f>
        <v>Maye</v>
      </c>
      <c r="AW89" s="123">
        <f t="shared" si="1"/>
        <v>10</v>
      </c>
      <c r="AX89" s="113">
        <v>4</v>
      </c>
    </row>
    <row r="90" spans="1:50" x14ac:dyDescent="0.25">
      <c r="A90" s="95" t="s">
        <v>564</v>
      </c>
      <c r="B90" s="96">
        <v>2025</v>
      </c>
      <c r="C90" s="96">
        <v>3</v>
      </c>
      <c r="D90" s="115">
        <v>-9.6563700000000002E-2</v>
      </c>
      <c r="E90" s="115">
        <v>-0.72087800000000002</v>
      </c>
      <c r="F90" s="115"/>
      <c r="G90" s="115">
        <v>-0.42435</v>
      </c>
      <c r="H90" s="115">
        <v>66</v>
      </c>
      <c r="I90" s="115">
        <v>111</v>
      </c>
      <c r="J90" s="115">
        <v>0.59460000000000002</v>
      </c>
      <c r="K90" s="115">
        <v>-0.317</v>
      </c>
      <c r="L90" s="115">
        <v>7.0811000000000002</v>
      </c>
      <c r="M90" s="115">
        <v>3</v>
      </c>
      <c r="N90" s="115">
        <v>3</v>
      </c>
      <c r="O90" s="115">
        <v>8</v>
      </c>
      <c r="P90" s="115">
        <v>16</v>
      </c>
      <c r="Q90" s="115">
        <v>94</v>
      </c>
      <c r="R90" s="115">
        <v>5.875</v>
      </c>
      <c r="S90" s="115">
        <v>0</v>
      </c>
      <c r="T90" s="115">
        <v>2.7E-2</v>
      </c>
      <c r="U90" s="115">
        <v>2.7E-2</v>
      </c>
      <c r="V90" s="115">
        <v>0</v>
      </c>
      <c r="W90" s="115">
        <v>0.4178</v>
      </c>
      <c r="X90" s="115">
        <v>78.885099999999994</v>
      </c>
      <c r="Y90" s="115">
        <v>5.5293999999999999</v>
      </c>
      <c r="Z90" s="115">
        <v>140.05699999999999</v>
      </c>
      <c r="AA90" s="115">
        <v>30.9</v>
      </c>
      <c r="AB90" s="115">
        <v>1.6294</v>
      </c>
      <c r="AC90" s="115">
        <v>1.12E-2</v>
      </c>
      <c r="AD90" s="115">
        <v>-3.6499999999999998E-2</v>
      </c>
      <c r="AE90" s="115">
        <v>1.3100000000000001E-2</v>
      </c>
      <c r="AF90" s="115">
        <v>-9.6500000000000002E-2</v>
      </c>
      <c r="AG90" s="115">
        <v>1.3599999999999999E-2</v>
      </c>
      <c r="AH90" s="115">
        <v>4.1300000000000003E-2</v>
      </c>
      <c r="AI90" s="115">
        <v>-7.1599999999999997E-2</v>
      </c>
      <c r="AJ90" s="115">
        <v>6.6100000000000006E-2</v>
      </c>
      <c r="AK90" s="115">
        <v>9.2523</v>
      </c>
      <c r="AL90" s="115">
        <v>0.18920000000000001</v>
      </c>
      <c r="AM90" s="115">
        <v>1</v>
      </c>
      <c r="AN90" s="115">
        <v>3</v>
      </c>
      <c r="AO90" s="115">
        <v>0</v>
      </c>
      <c r="AP90" s="115">
        <v>0</v>
      </c>
      <c r="AQ90" s="115">
        <v>2</v>
      </c>
      <c r="AR90" s="115">
        <v>0</v>
      </c>
      <c r="AS90" s="115">
        <v>7.6E-3</v>
      </c>
      <c r="AT90" s="115">
        <v>1.1155999999999999</v>
      </c>
      <c r="AU90" s="114" t="str">
        <f>IF(A90&lt;&gt;"",INDEX(Index!$B$1:$B$77,MATCH($A90,Index!$A$1:$A$77,0)),"")</f>
        <v>NYG</v>
      </c>
      <c r="AV90" s="123" t="str">
        <f>IF(B90&lt;&gt;"",INDEX(Index!$C$1:$C$77,MATCH($A90,Index!$A$1:$A$77,0)),"")</f>
        <v>Wilson</v>
      </c>
      <c r="AW90" s="123">
        <f t="shared" si="1"/>
        <v>12</v>
      </c>
      <c r="AX90" s="113">
        <v>4</v>
      </c>
    </row>
    <row r="91" spans="1:50" x14ac:dyDescent="0.25">
      <c r="A91" s="95" t="s">
        <v>568</v>
      </c>
      <c r="B91" s="96">
        <v>2025</v>
      </c>
      <c r="C91" s="96">
        <v>4</v>
      </c>
      <c r="D91" s="115">
        <v>-0.15729099999999999</v>
      </c>
      <c r="E91" s="115">
        <v>-0.204816</v>
      </c>
      <c r="F91" s="115"/>
      <c r="G91" s="115">
        <v>1.4891700000000001</v>
      </c>
      <c r="H91" s="115">
        <v>87</v>
      </c>
      <c r="I91" s="115">
        <v>121</v>
      </c>
      <c r="J91" s="115">
        <v>0.71899999999999997</v>
      </c>
      <c r="K91" s="115">
        <v>5.0713999999999997</v>
      </c>
      <c r="L91" s="115">
        <v>8.9091000000000005</v>
      </c>
      <c r="M91" s="115">
        <v>4</v>
      </c>
      <c r="N91" s="115">
        <v>2</v>
      </c>
      <c r="O91" s="115">
        <v>4</v>
      </c>
      <c r="P91" s="115">
        <v>17</v>
      </c>
      <c r="Q91" s="115">
        <v>55</v>
      </c>
      <c r="R91" s="115">
        <v>3.2353000000000001</v>
      </c>
      <c r="S91" s="115">
        <v>3</v>
      </c>
      <c r="T91" s="115">
        <v>3.3099999999999997E-2</v>
      </c>
      <c r="U91" s="115">
        <v>1.6500000000000001E-2</v>
      </c>
      <c r="V91" s="115">
        <v>1.6500000000000001E-2</v>
      </c>
      <c r="W91" s="115">
        <v>0.55920000000000003</v>
      </c>
      <c r="X91" s="115">
        <v>103.254</v>
      </c>
      <c r="Y91" s="115">
        <v>8.2720000000000002</v>
      </c>
      <c r="Z91" s="115">
        <v>265.82600000000002</v>
      </c>
      <c r="AA91" s="115">
        <v>79.7</v>
      </c>
      <c r="AB91" s="115">
        <v>39.9863</v>
      </c>
      <c r="AC91" s="115">
        <v>0.2631</v>
      </c>
      <c r="AD91" s="115">
        <v>1.7999999999999999E-2</v>
      </c>
      <c r="AE91" s="115">
        <v>5.7099999999999998E-2</v>
      </c>
      <c r="AF91" s="115">
        <v>3.5999999999999997E-2</v>
      </c>
      <c r="AG91" s="115">
        <v>3.2099999999999997E-2</v>
      </c>
      <c r="AH91" s="115">
        <v>2.4400000000000002E-2</v>
      </c>
      <c r="AI91" s="115">
        <v>3.2599999999999997E-2</v>
      </c>
      <c r="AJ91" s="115">
        <v>-1.89E-2</v>
      </c>
      <c r="AK91" s="115">
        <v>8.3719000000000001</v>
      </c>
      <c r="AL91" s="115">
        <v>-0.51239999999999997</v>
      </c>
      <c r="AM91" s="115">
        <v>3</v>
      </c>
      <c r="AN91" s="115">
        <v>1</v>
      </c>
      <c r="AO91" s="115">
        <v>0</v>
      </c>
      <c r="AP91" s="115">
        <v>1</v>
      </c>
      <c r="AQ91" s="115">
        <v>2</v>
      </c>
      <c r="AR91" s="115">
        <v>0.5</v>
      </c>
      <c r="AS91" s="115">
        <v>5.4000000000000003E-3</v>
      </c>
      <c r="AT91" s="115">
        <v>0.82079999999999997</v>
      </c>
      <c r="AU91" s="114" t="str">
        <f>IF(A91&lt;&gt;"",INDEX(Index!$B$1:$B$77,MATCH($A91,Index!$A$1:$A$77,0)),"")</f>
        <v>IND</v>
      </c>
      <c r="AV91" s="123" t="str">
        <f>IF(B91&lt;&gt;"",INDEX(Index!$C$1:$C$77,MATCH($A91,Index!$A$1:$A$77,0)),"")</f>
        <v>Jones</v>
      </c>
      <c r="AW91" s="123">
        <f t="shared" si="1"/>
        <v>20</v>
      </c>
      <c r="AX91" s="113">
        <v>4</v>
      </c>
    </row>
    <row r="92" spans="1:50" x14ac:dyDescent="0.25">
      <c r="A92" s="95" t="s">
        <v>563</v>
      </c>
      <c r="B92" s="96">
        <v>2025</v>
      </c>
      <c r="C92" s="96">
        <v>4</v>
      </c>
      <c r="D92" s="115">
        <v>-0.18901399999999999</v>
      </c>
      <c r="E92" s="115">
        <v>-0.48360199999999998</v>
      </c>
      <c r="F92" s="115"/>
      <c r="G92" s="115">
        <v>-0.15149000000000001</v>
      </c>
      <c r="H92" s="115">
        <v>95</v>
      </c>
      <c r="I92" s="115">
        <v>149</v>
      </c>
      <c r="J92" s="115">
        <v>0.63759999999999994</v>
      </c>
      <c r="K92" s="115">
        <v>-1.3688</v>
      </c>
      <c r="L92" s="115">
        <v>7.1341999999999999</v>
      </c>
      <c r="M92" s="115">
        <v>7</v>
      </c>
      <c r="N92" s="115">
        <v>3</v>
      </c>
      <c r="O92" s="115">
        <v>12</v>
      </c>
      <c r="P92" s="115">
        <v>12</v>
      </c>
      <c r="Q92" s="115">
        <v>99</v>
      </c>
      <c r="R92" s="115">
        <v>8.25</v>
      </c>
      <c r="S92" s="115">
        <v>0</v>
      </c>
      <c r="T92" s="115">
        <v>4.7E-2</v>
      </c>
      <c r="U92" s="115">
        <v>2.01E-2</v>
      </c>
      <c r="V92" s="115">
        <v>2.6800000000000001E-2</v>
      </c>
      <c r="W92" s="115">
        <v>0.48110000000000003</v>
      </c>
      <c r="X92" s="115">
        <v>92.212000000000003</v>
      </c>
      <c r="Y92" s="115">
        <v>6.2173999999999996</v>
      </c>
      <c r="Z92" s="115">
        <v>172.13300000000001</v>
      </c>
      <c r="AA92" s="115">
        <v>63.8</v>
      </c>
      <c r="AB92" s="115">
        <v>18.280999999999999</v>
      </c>
      <c r="AC92" s="115">
        <v>9.8799999999999999E-2</v>
      </c>
      <c r="AD92" s="115">
        <v>9.1999999999999998E-3</v>
      </c>
      <c r="AE92" s="115">
        <v>-7.6E-3</v>
      </c>
      <c r="AF92" s="115">
        <v>-4.0000000000000002E-4</v>
      </c>
      <c r="AG92" s="115">
        <v>-2.52E-2</v>
      </c>
      <c r="AH92" s="115">
        <v>6.2600000000000003E-2</v>
      </c>
      <c r="AI92" s="115">
        <v>-2.9399999999999999E-2</v>
      </c>
      <c r="AJ92" s="115">
        <v>7.7999999999999996E-3</v>
      </c>
      <c r="AK92" s="115">
        <v>8.5906000000000002</v>
      </c>
      <c r="AL92" s="115">
        <v>-0.65769999999999995</v>
      </c>
      <c r="AM92" s="115">
        <v>3</v>
      </c>
      <c r="AN92" s="115">
        <v>1</v>
      </c>
      <c r="AO92" s="115">
        <v>0</v>
      </c>
      <c r="AP92" s="115">
        <v>1</v>
      </c>
      <c r="AQ92" s="115">
        <v>2</v>
      </c>
      <c r="AR92" s="115">
        <v>0.5</v>
      </c>
      <c r="AS92" s="115">
        <v>3.3999999999999998E-3</v>
      </c>
      <c r="AT92" s="115">
        <v>0.62239999999999995</v>
      </c>
      <c r="AU92" s="114" t="str">
        <f>IF(A92&lt;&gt;"",INDEX(Index!$B$1:$B$77,MATCH($A92,Index!$A$1:$A$77,0)),"")</f>
        <v>LAC</v>
      </c>
      <c r="AV92" s="123" t="str">
        <f>IF(B92&lt;&gt;"",INDEX(Index!$C$1:$C$77,MATCH($A92,Index!$A$1:$A$77,0)),"")</f>
        <v>Herbert</v>
      </c>
      <c r="AW92" s="123">
        <f t="shared" si="1"/>
        <v>11</v>
      </c>
      <c r="AX92" s="113">
        <v>4</v>
      </c>
    </row>
    <row r="93" spans="1:50" x14ac:dyDescent="0.25">
      <c r="A93" s="95" t="s">
        <v>573</v>
      </c>
      <c r="B93" s="96">
        <v>2025</v>
      </c>
      <c r="C93" s="96">
        <v>4</v>
      </c>
      <c r="D93" s="115">
        <v>-0.55927800000000005</v>
      </c>
      <c r="E93" s="115">
        <v>5.9138200000000002E-2</v>
      </c>
      <c r="F93" s="115"/>
      <c r="G93" s="115">
        <v>0.41789199999999999</v>
      </c>
      <c r="H93" s="115">
        <v>70</v>
      </c>
      <c r="I93" s="115">
        <v>99</v>
      </c>
      <c r="J93" s="115">
        <v>0.70709999999999995</v>
      </c>
      <c r="K93" s="115">
        <v>10.366400000000001</v>
      </c>
      <c r="L93" s="115">
        <v>9.1414000000000009</v>
      </c>
      <c r="M93" s="115">
        <v>5</v>
      </c>
      <c r="N93" s="115">
        <v>2</v>
      </c>
      <c r="O93" s="115">
        <v>6</v>
      </c>
      <c r="P93" s="115">
        <v>3</v>
      </c>
      <c r="Q93" s="115">
        <v>38</v>
      </c>
      <c r="R93" s="115">
        <v>12.666700000000001</v>
      </c>
      <c r="S93" s="115">
        <v>0</v>
      </c>
      <c r="T93" s="115">
        <v>5.0500000000000003E-2</v>
      </c>
      <c r="U93" s="115">
        <v>2.0199999999999999E-2</v>
      </c>
      <c r="V93" s="115">
        <v>3.0300000000000001E-2</v>
      </c>
      <c r="W93" s="115">
        <v>0.5575</v>
      </c>
      <c r="X93" s="115">
        <v>107.51300000000001</v>
      </c>
      <c r="Y93" s="115">
        <v>8.3904999999999994</v>
      </c>
      <c r="Z93" s="115">
        <v>180.94399999999999</v>
      </c>
      <c r="AA93" s="115">
        <v>65.900000000000006</v>
      </c>
      <c r="AB93" s="115">
        <v>28.911200000000001</v>
      </c>
      <c r="AC93" s="115">
        <v>0.25590000000000002</v>
      </c>
      <c r="AD93" s="115">
        <v>-1.43E-2</v>
      </c>
      <c r="AE93" s="115">
        <v>-2.3999999999999998E-3</v>
      </c>
      <c r="AF93" s="115">
        <v>6.3600000000000004E-2</v>
      </c>
      <c r="AG93" s="115">
        <v>-2.1499999999999998E-2</v>
      </c>
      <c r="AH93" s="115">
        <v>9.3399999999999997E-2</v>
      </c>
      <c r="AI93" s="115">
        <v>1.8599999999999998E-2</v>
      </c>
      <c r="AJ93" s="115">
        <v>3.6700000000000003E-2</v>
      </c>
      <c r="AK93" s="115">
        <v>8.6565999999999992</v>
      </c>
      <c r="AL93" s="115">
        <v>-0.78790000000000004</v>
      </c>
      <c r="AM93" s="115">
        <v>3</v>
      </c>
      <c r="AN93" s="115">
        <v>1</v>
      </c>
      <c r="AO93" s="115">
        <v>0</v>
      </c>
      <c r="AP93" s="115">
        <v>0</v>
      </c>
      <c r="AQ93" s="115">
        <v>1</v>
      </c>
      <c r="AR93" s="115">
        <v>0</v>
      </c>
      <c r="AS93" s="115">
        <v>2.3E-3</v>
      </c>
      <c r="AT93" s="115">
        <v>0.25540000000000002</v>
      </c>
      <c r="AU93" s="114" t="str">
        <f>IF(A93&lt;&gt;"",INDEX(Index!$B$1:$B$77,MATCH($A93,Index!$A$1:$A$77,0)),"")</f>
        <v>SEA</v>
      </c>
      <c r="AV93" s="123" t="str">
        <f>IF(B93&lt;&gt;"",INDEX(Index!$C$1:$C$77,MATCH($A93,Index!$A$1:$A$77,0)),"")</f>
        <v>Darnold</v>
      </c>
      <c r="AW93" s="123">
        <f t="shared" si="1"/>
        <v>26</v>
      </c>
      <c r="AX93" s="113">
        <v>4</v>
      </c>
    </row>
    <row r="94" spans="1:50" x14ac:dyDescent="0.25">
      <c r="A94" s="95" t="s">
        <v>574</v>
      </c>
      <c r="B94" s="96">
        <v>2025</v>
      </c>
      <c r="C94" s="96">
        <v>4</v>
      </c>
      <c r="D94" s="115">
        <v>-0.69245900000000005</v>
      </c>
      <c r="E94" s="115">
        <v>-0.27114899999999997</v>
      </c>
      <c r="F94" s="115"/>
      <c r="G94" s="115">
        <v>0.81336200000000003</v>
      </c>
      <c r="H94" s="115">
        <v>81</v>
      </c>
      <c r="I94" s="115">
        <v>130</v>
      </c>
      <c r="J94" s="115">
        <v>0.62309999999999999</v>
      </c>
      <c r="K94" s="115">
        <v>-5.4603999999999999</v>
      </c>
      <c r="L94" s="115">
        <v>7.1307999999999998</v>
      </c>
      <c r="M94" s="115">
        <v>8</v>
      </c>
      <c r="N94" s="115">
        <v>2</v>
      </c>
      <c r="O94" s="115">
        <v>7</v>
      </c>
      <c r="P94" s="115">
        <v>20</v>
      </c>
      <c r="Q94" s="115">
        <v>113</v>
      </c>
      <c r="R94" s="115">
        <v>5.65</v>
      </c>
      <c r="S94" s="115">
        <v>1</v>
      </c>
      <c r="T94" s="115">
        <v>6.1499999999999999E-2</v>
      </c>
      <c r="U94" s="115">
        <v>1.54E-2</v>
      </c>
      <c r="V94" s="115">
        <v>4.6199999999999998E-2</v>
      </c>
      <c r="W94" s="115">
        <v>0.4345</v>
      </c>
      <c r="X94" s="115">
        <v>97.820499999999996</v>
      </c>
      <c r="Y94" s="115">
        <v>6.9051</v>
      </c>
      <c r="Z94" s="115">
        <v>207.63</v>
      </c>
      <c r="AA94" s="115">
        <v>62.3</v>
      </c>
      <c r="AB94" s="115">
        <v>8.2077000000000009</v>
      </c>
      <c r="AC94" s="115">
        <v>4.8899999999999999E-2</v>
      </c>
      <c r="AD94" s="115">
        <v>-3.7100000000000001E-2</v>
      </c>
      <c r="AE94" s="115">
        <v>2.8400000000000002E-2</v>
      </c>
      <c r="AF94" s="115">
        <v>-2.7699999999999999E-2</v>
      </c>
      <c r="AG94" s="115">
        <v>2.2200000000000001E-2</v>
      </c>
      <c r="AH94" s="115">
        <v>4.5900000000000003E-2</v>
      </c>
      <c r="AI94" s="115">
        <v>-3.3099999999999997E-2</v>
      </c>
      <c r="AJ94" s="115">
        <v>-3.1399999999999997E-2</v>
      </c>
      <c r="AK94" s="115">
        <v>8.1922999999999995</v>
      </c>
      <c r="AL94" s="115">
        <v>-2.2077</v>
      </c>
      <c r="AM94" s="115">
        <v>2</v>
      </c>
      <c r="AN94" s="115">
        <v>2</v>
      </c>
      <c r="AO94" s="115">
        <v>0</v>
      </c>
      <c r="AP94" s="115">
        <v>1</v>
      </c>
      <c r="AQ94" s="115">
        <v>2</v>
      </c>
      <c r="AR94" s="115">
        <v>0.5</v>
      </c>
      <c r="AS94" s="115">
        <v>3.0000000000000001E-3</v>
      </c>
      <c r="AT94" s="115">
        <v>0.50890000000000002</v>
      </c>
      <c r="AU94" s="114" t="str">
        <f>IF(A94&lt;&gt;"",INDEX(Index!$B$1:$B$77,MATCH($A94,Index!$A$1:$A$77,0)),"")</f>
        <v>CHI</v>
      </c>
      <c r="AV94" s="123" t="str">
        <f>IF(B94&lt;&gt;"",INDEX(Index!$C$1:$C$77,MATCH($A94,Index!$A$1:$A$77,0)),"")</f>
        <v>Williams</v>
      </c>
      <c r="AW94" s="123">
        <f t="shared" si="1"/>
        <v>8</v>
      </c>
      <c r="AX94" s="113">
        <v>4</v>
      </c>
    </row>
    <row r="95" spans="1:50" x14ac:dyDescent="0.25">
      <c r="A95" s="95" t="s">
        <v>571</v>
      </c>
      <c r="B95" s="96">
        <v>2025</v>
      </c>
      <c r="C95" s="96">
        <v>4</v>
      </c>
      <c r="D95" s="115">
        <v>-0.89799399999999996</v>
      </c>
      <c r="E95" s="115">
        <v>0.10917499999999999</v>
      </c>
      <c r="F95" s="115"/>
      <c r="G95" s="115">
        <v>-0.50154100000000001</v>
      </c>
      <c r="H95" s="115">
        <v>84</v>
      </c>
      <c r="I95" s="115">
        <v>142</v>
      </c>
      <c r="J95" s="115">
        <v>0.59150000000000003</v>
      </c>
      <c r="K95" s="115">
        <v>-6.8177000000000003</v>
      </c>
      <c r="L95" s="115">
        <v>5.9507000000000003</v>
      </c>
      <c r="M95" s="115">
        <v>5</v>
      </c>
      <c r="N95" s="115">
        <v>4</v>
      </c>
      <c r="O95" s="115">
        <v>3</v>
      </c>
      <c r="P95" s="115">
        <v>8</v>
      </c>
      <c r="Q95" s="115">
        <v>39</v>
      </c>
      <c r="R95" s="115">
        <v>4.875</v>
      </c>
      <c r="S95" s="115">
        <v>0</v>
      </c>
      <c r="T95" s="115">
        <v>3.5200000000000002E-2</v>
      </c>
      <c r="U95" s="115">
        <v>2.8199999999999999E-2</v>
      </c>
      <c r="V95" s="115">
        <v>7.0000000000000001E-3</v>
      </c>
      <c r="W95" s="115">
        <v>0.46539999999999998</v>
      </c>
      <c r="X95" s="115">
        <v>76.173699999999997</v>
      </c>
      <c r="Y95" s="115">
        <v>5.0896999999999997</v>
      </c>
      <c r="Z95" s="115">
        <v>121.828</v>
      </c>
      <c r="AA95" s="115">
        <v>49</v>
      </c>
      <c r="AB95" s="115">
        <v>11.9186</v>
      </c>
      <c r="AC95" s="115">
        <v>7.4999999999999997E-2</v>
      </c>
      <c r="AD95" s="115">
        <v>-7.9000000000000008E-3</v>
      </c>
      <c r="AE95" s="115">
        <v>7.7499999999999999E-2</v>
      </c>
      <c r="AF95" s="115">
        <v>-6.3E-2</v>
      </c>
      <c r="AG95" s="115">
        <v>-1.4800000000000001E-2</v>
      </c>
      <c r="AH95" s="115">
        <v>-1.34E-2</v>
      </c>
      <c r="AI95" s="115">
        <v>1.12E-2</v>
      </c>
      <c r="AJ95" s="115">
        <v>3.7000000000000002E-3</v>
      </c>
      <c r="AK95" s="115">
        <v>7.3380000000000001</v>
      </c>
      <c r="AL95" s="115">
        <v>-1.6127</v>
      </c>
      <c r="AM95" s="115">
        <v>3</v>
      </c>
      <c r="AN95" s="115">
        <v>1</v>
      </c>
      <c r="AO95" s="115">
        <v>0</v>
      </c>
      <c r="AP95" s="115">
        <v>0</v>
      </c>
      <c r="AQ95" s="115">
        <v>1</v>
      </c>
      <c r="AR95" s="115">
        <v>0</v>
      </c>
      <c r="AS95" s="115">
        <v>2.5999999999999999E-3</v>
      </c>
      <c r="AT95" s="115">
        <v>0.40989999999999999</v>
      </c>
      <c r="AU95" s="114" t="str">
        <f>IF(A95&lt;&gt;"",INDEX(Index!$B$1:$B$77,MATCH($A95,Index!$A$1:$A$77,0)),"")</f>
        <v>JAX</v>
      </c>
      <c r="AV95" s="123" t="str">
        <f>IF(B95&lt;&gt;"",INDEX(Index!$C$1:$C$77,MATCH($A95,Index!$A$1:$A$77,0)),"")</f>
        <v>Lawrence</v>
      </c>
      <c r="AW95" s="123">
        <f t="shared" si="1"/>
        <v>25</v>
      </c>
      <c r="AX95" s="113">
        <v>4</v>
      </c>
    </row>
    <row r="96" spans="1:50" x14ac:dyDescent="0.25">
      <c r="A96" s="95" t="s">
        <v>572</v>
      </c>
      <c r="B96" s="96">
        <v>2025</v>
      </c>
      <c r="C96" s="96">
        <v>4</v>
      </c>
      <c r="D96" s="115">
        <v>-1.0673999999999999</v>
      </c>
      <c r="E96" s="115">
        <v>-0.28131800000000001</v>
      </c>
      <c r="F96" s="115"/>
      <c r="G96" s="115">
        <v>-0.992869</v>
      </c>
      <c r="H96" s="115">
        <v>81</v>
      </c>
      <c r="I96" s="115">
        <v>125</v>
      </c>
      <c r="J96" s="115">
        <v>0.64800000000000002</v>
      </c>
      <c r="K96" s="115">
        <v>-0.77170000000000005</v>
      </c>
      <c r="L96" s="115">
        <v>7.5839999999999996</v>
      </c>
      <c r="M96" s="115">
        <v>6</v>
      </c>
      <c r="N96" s="115">
        <v>7</v>
      </c>
      <c r="O96" s="115">
        <v>12</v>
      </c>
      <c r="P96" s="115">
        <v>12</v>
      </c>
      <c r="Q96" s="115">
        <v>67</v>
      </c>
      <c r="R96" s="115">
        <v>5.5833000000000004</v>
      </c>
      <c r="S96" s="115">
        <v>0</v>
      </c>
      <c r="T96" s="115">
        <v>4.8000000000000001E-2</v>
      </c>
      <c r="U96" s="115">
        <v>5.6000000000000001E-2</v>
      </c>
      <c r="V96" s="115">
        <v>-8.0000000000000002E-3</v>
      </c>
      <c r="W96" s="115">
        <v>0.44519999999999998</v>
      </c>
      <c r="X96" s="115">
        <v>80.349999999999994</v>
      </c>
      <c r="Y96" s="115">
        <v>4.8613</v>
      </c>
      <c r="Z96" s="115">
        <v>88.677499999999995</v>
      </c>
      <c r="AA96" s="115">
        <v>43.2</v>
      </c>
      <c r="AB96" s="115">
        <v>-1.2636000000000001</v>
      </c>
      <c r="AC96" s="115">
        <v>-8.2000000000000007E-3</v>
      </c>
      <c r="AD96" s="115">
        <v>-1.6999999999999999E-3</v>
      </c>
      <c r="AE96" s="115">
        <v>-3.6200000000000003E-2</v>
      </c>
      <c r="AF96" s="115">
        <v>4.1500000000000002E-2</v>
      </c>
      <c r="AG96" s="115">
        <v>-0.1227</v>
      </c>
      <c r="AH96" s="115">
        <v>-3.0000000000000001E-3</v>
      </c>
      <c r="AI96" s="115">
        <v>5.0900000000000001E-2</v>
      </c>
      <c r="AJ96" s="115">
        <v>-1.8700000000000001E-2</v>
      </c>
      <c r="AK96" s="115">
        <v>8.3520000000000003</v>
      </c>
      <c r="AL96" s="115">
        <v>-0.504</v>
      </c>
      <c r="AM96" s="115">
        <v>1</v>
      </c>
      <c r="AN96" s="115">
        <v>3</v>
      </c>
      <c r="AO96" s="115">
        <v>0</v>
      </c>
      <c r="AP96" s="115">
        <v>0</v>
      </c>
      <c r="AQ96" s="115">
        <v>1</v>
      </c>
      <c r="AR96" s="115">
        <v>0</v>
      </c>
      <c r="AS96" s="115">
        <v>-2.0000000000000001E-4</v>
      </c>
      <c r="AT96" s="115">
        <v>-2.47E-2</v>
      </c>
      <c r="AU96" s="114" t="str">
        <f>IF(A96&lt;&gt;"",INDEX(Index!$B$1:$B$77,MATCH($A96,Index!$A$1:$A$77,0)),"")</f>
        <v>LV</v>
      </c>
      <c r="AV96" s="123" t="str">
        <f>IF(B96&lt;&gt;"",INDEX(Index!$C$1:$C$77,MATCH($A96,Index!$A$1:$A$77,0)),"")</f>
        <v>Smith</v>
      </c>
      <c r="AW96" s="123">
        <f t="shared" si="1"/>
        <v>17</v>
      </c>
      <c r="AX96" s="113">
        <v>4</v>
      </c>
    </row>
    <row r="97" spans="1:50" x14ac:dyDescent="0.25">
      <c r="A97" s="95" t="s">
        <v>583</v>
      </c>
      <c r="B97" s="96">
        <v>2025</v>
      </c>
      <c r="C97" s="96">
        <v>2</v>
      </c>
      <c r="D97" s="115">
        <v>-1.15028</v>
      </c>
      <c r="E97" s="115">
        <v>-0.19073499999999999</v>
      </c>
      <c r="F97" s="115"/>
      <c r="G97" s="115">
        <v>0.29882999999999998</v>
      </c>
      <c r="H97" s="115">
        <v>31</v>
      </c>
      <c r="I97" s="115">
        <v>46</v>
      </c>
      <c r="J97" s="115">
        <v>0.67390000000000005</v>
      </c>
      <c r="K97" s="115">
        <v>8.0416000000000007</v>
      </c>
      <c r="L97" s="115">
        <v>7.8913000000000002</v>
      </c>
      <c r="M97" s="115">
        <v>3</v>
      </c>
      <c r="N97" s="115">
        <v>1</v>
      </c>
      <c r="O97" s="115">
        <v>3</v>
      </c>
      <c r="P97" s="115">
        <v>8</v>
      </c>
      <c r="Q97" s="115">
        <v>60</v>
      </c>
      <c r="R97" s="115">
        <v>7.5</v>
      </c>
      <c r="S97" s="115">
        <v>1</v>
      </c>
      <c r="T97" s="115">
        <v>6.5199999999999994E-2</v>
      </c>
      <c r="U97" s="115">
        <v>2.1700000000000001E-2</v>
      </c>
      <c r="V97" s="115">
        <v>4.3499999999999997E-2</v>
      </c>
      <c r="W97" s="115">
        <v>0.50770000000000004</v>
      </c>
      <c r="X97" s="115">
        <v>103.804</v>
      </c>
      <c r="Y97" s="115">
        <v>7.3673000000000002</v>
      </c>
      <c r="Z97" s="115">
        <v>186.749</v>
      </c>
      <c r="AA97" s="115">
        <v>66</v>
      </c>
      <c r="AB97" s="115">
        <v>12.154199999999999</v>
      </c>
      <c r="AC97" s="115">
        <v>0.187</v>
      </c>
      <c r="AD97" s="115">
        <v>-2.7799999999999998E-2</v>
      </c>
      <c r="AE97" s="115">
        <v>4.5600000000000002E-2</v>
      </c>
      <c r="AF97" s="115">
        <v>1.34E-2</v>
      </c>
      <c r="AG97" s="115">
        <v>4.4000000000000003E-3</v>
      </c>
      <c r="AH97" s="115">
        <v>0.13170000000000001</v>
      </c>
      <c r="AI97" s="115">
        <v>-3.7699999999999997E-2</v>
      </c>
      <c r="AJ97" s="115">
        <v>-2.4400000000000002E-2</v>
      </c>
      <c r="AK97" s="115">
        <v>9.6303999999999998</v>
      </c>
      <c r="AL97" s="115">
        <v>-0.95650000000000002</v>
      </c>
      <c r="AM97" s="115">
        <v>1</v>
      </c>
      <c r="AN97" s="115">
        <v>1</v>
      </c>
      <c r="AO97" s="115">
        <v>0</v>
      </c>
      <c r="AP97" s="115">
        <v>0</v>
      </c>
      <c r="AQ97" s="115">
        <v>0</v>
      </c>
      <c r="AR97" s="115"/>
      <c r="AS97" s="115">
        <v>4.0000000000000002E-4</v>
      </c>
      <c r="AT97" s="115">
        <v>2.5399999999999999E-2</v>
      </c>
      <c r="AU97" s="114" t="str">
        <f>IF(A97&lt;&gt;"",INDEX(Index!$B$1:$B$77,MATCH($A97,Index!$A$1:$A$77,0)),"")</f>
        <v>WAS</v>
      </c>
      <c r="AV97" s="123" t="str">
        <f>IF(B97&lt;&gt;"",INDEX(Index!$C$1:$C$77,MATCH($A97,Index!$A$1:$A$77,0)),"")</f>
        <v>Mariota</v>
      </c>
      <c r="AW97" s="123">
        <f t="shared" si="1"/>
        <v>19</v>
      </c>
      <c r="AX97" s="113">
        <v>4</v>
      </c>
    </row>
    <row r="98" spans="1:50" x14ac:dyDescent="0.25">
      <c r="A98" s="95" t="s">
        <v>575</v>
      </c>
      <c r="B98" s="96">
        <v>2025</v>
      </c>
      <c r="C98" s="96">
        <v>2</v>
      </c>
      <c r="D98" s="115">
        <v>-1.3135699999999999</v>
      </c>
      <c r="E98" s="115">
        <v>8.2285800000000006E-2</v>
      </c>
      <c r="F98" s="115"/>
      <c r="G98" s="115">
        <v>0.48880200000000001</v>
      </c>
      <c r="H98" s="115">
        <v>53</v>
      </c>
      <c r="I98" s="115">
        <v>78</v>
      </c>
      <c r="J98" s="115">
        <v>0.67949999999999999</v>
      </c>
      <c r="K98" s="115">
        <v>-0.187</v>
      </c>
      <c r="L98" s="115">
        <v>7.2179000000000002</v>
      </c>
      <c r="M98" s="115">
        <v>4</v>
      </c>
      <c r="N98" s="115">
        <v>1</v>
      </c>
      <c r="O98" s="115">
        <v>4</v>
      </c>
      <c r="P98" s="115">
        <v>3</v>
      </c>
      <c r="Q98" s="115">
        <v>9</v>
      </c>
      <c r="R98" s="115">
        <v>3</v>
      </c>
      <c r="S98" s="115">
        <v>0</v>
      </c>
      <c r="T98" s="115">
        <v>5.1299999999999998E-2</v>
      </c>
      <c r="U98" s="115">
        <v>1.2800000000000001E-2</v>
      </c>
      <c r="V98" s="115">
        <v>3.85E-2</v>
      </c>
      <c r="W98" s="115">
        <v>0.5333</v>
      </c>
      <c r="X98" s="115">
        <v>100.53400000000001</v>
      </c>
      <c r="Y98" s="115">
        <v>7.1219999999999999</v>
      </c>
      <c r="Z98" s="115">
        <v>203.77199999999999</v>
      </c>
      <c r="AA98" s="115">
        <v>62.4</v>
      </c>
      <c r="AB98" s="115">
        <v>7.0353000000000003</v>
      </c>
      <c r="AC98" s="115">
        <v>7.8200000000000006E-2</v>
      </c>
      <c r="AD98" s="115">
        <v>-2.8899999999999999E-2</v>
      </c>
      <c r="AE98" s="115">
        <v>-2.1999999999999999E-2</v>
      </c>
      <c r="AF98" s="115">
        <v>-2.7400000000000001E-2</v>
      </c>
      <c r="AG98" s="115">
        <v>2.76E-2</v>
      </c>
      <c r="AH98" s="115">
        <v>0.1258</v>
      </c>
      <c r="AI98" s="115">
        <v>-7.7200000000000005E-2</v>
      </c>
      <c r="AJ98" s="115">
        <v>-1.4E-3</v>
      </c>
      <c r="AK98" s="115">
        <v>7.2179000000000002</v>
      </c>
      <c r="AL98" s="115">
        <v>-1.8846000000000001</v>
      </c>
      <c r="AM98" s="115">
        <v>2</v>
      </c>
      <c r="AN98" s="115">
        <v>0</v>
      </c>
      <c r="AO98" s="115">
        <v>0</v>
      </c>
      <c r="AP98" s="115">
        <v>1</v>
      </c>
      <c r="AQ98" s="115">
        <v>1</v>
      </c>
      <c r="AR98" s="115">
        <v>1</v>
      </c>
      <c r="AS98" s="115">
        <v>5.1999999999999998E-3</v>
      </c>
      <c r="AT98" s="115">
        <v>0.47160000000000002</v>
      </c>
      <c r="AU98" s="114" t="str">
        <f>IF(A98&lt;&gt;"",INDEX(Index!$B$1:$B$77,MATCH($A98,Index!$A$1:$A$77,0)),"")</f>
        <v>SF</v>
      </c>
      <c r="AV98" s="123" t="str">
        <f>IF(B98&lt;&gt;"",INDEX(Index!$C$1:$C$77,MATCH($A98,Index!$A$1:$A$77,0)),"")</f>
        <v>Jones</v>
      </c>
      <c r="AW98" s="123">
        <f t="shared" si="1"/>
        <v>35</v>
      </c>
      <c r="AX98" s="113">
        <v>4</v>
      </c>
    </row>
    <row r="99" spans="1:50" x14ac:dyDescent="0.25">
      <c r="A99" s="95" t="s">
        <v>576</v>
      </c>
      <c r="B99" s="96">
        <v>2025</v>
      </c>
      <c r="C99" s="96">
        <v>4</v>
      </c>
      <c r="D99" s="115">
        <v>-1.5840700000000001</v>
      </c>
      <c r="E99" s="115">
        <v>-6.18878E-2</v>
      </c>
      <c r="F99" s="115"/>
      <c r="G99" s="115">
        <v>-0.246168</v>
      </c>
      <c r="H99" s="115">
        <v>87</v>
      </c>
      <c r="I99" s="115">
        <v>144</v>
      </c>
      <c r="J99" s="115">
        <v>0.60419999999999996</v>
      </c>
      <c r="K99" s="115">
        <v>-4.2850000000000001</v>
      </c>
      <c r="L99" s="115">
        <v>5.2291999999999996</v>
      </c>
      <c r="M99" s="115">
        <v>5</v>
      </c>
      <c r="N99" s="115">
        <v>3</v>
      </c>
      <c r="O99" s="115">
        <v>6</v>
      </c>
      <c r="P99" s="115">
        <v>8</v>
      </c>
      <c r="Q99" s="115">
        <v>55</v>
      </c>
      <c r="R99" s="115">
        <v>6.875</v>
      </c>
      <c r="S99" s="115">
        <v>1</v>
      </c>
      <c r="T99" s="115">
        <v>3.4700000000000002E-2</v>
      </c>
      <c r="U99" s="115">
        <v>2.0799999999999999E-2</v>
      </c>
      <c r="V99" s="115">
        <v>1.3899999999999999E-2</v>
      </c>
      <c r="W99" s="115">
        <v>0.46200000000000002</v>
      </c>
      <c r="X99" s="115">
        <v>77.112300000000005</v>
      </c>
      <c r="Y99" s="115">
        <v>4.42</v>
      </c>
      <c r="Z99" s="115">
        <v>117.63</v>
      </c>
      <c r="AA99" s="115">
        <v>41.6</v>
      </c>
      <c r="AB99" s="115">
        <v>-9.1359999999999992</v>
      </c>
      <c r="AC99" s="115">
        <v>-5.3400000000000003E-2</v>
      </c>
      <c r="AD99" s="115">
        <v>-1.46E-2</v>
      </c>
      <c r="AE99" s="115">
        <v>-3.7000000000000002E-3</v>
      </c>
      <c r="AF99" s="115">
        <v>-8.8800000000000004E-2</v>
      </c>
      <c r="AG99" s="115">
        <v>8.6E-3</v>
      </c>
      <c r="AH99" s="115">
        <v>-7.3400000000000007E-2</v>
      </c>
      <c r="AI99" s="115">
        <v>-3.3E-3</v>
      </c>
      <c r="AJ99" s="115">
        <v>4.0099999999999997E-2</v>
      </c>
      <c r="AK99" s="115">
        <v>6.4583000000000004</v>
      </c>
      <c r="AL99" s="115">
        <v>-1.9582999999999999</v>
      </c>
      <c r="AM99" s="115">
        <v>1</v>
      </c>
      <c r="AN99" s="115">
        <v>3</v>
      </c>
      <c r="AO99" s="115">
        <v>0</v>
      </c>
      <c r="AP99" s="115">
        <v>0</v>
      </c>
      <c r="AQ99" s="115">
        <v>1</v>
      </c>
      <c r="AR99" s="115">
        <v>0</v>
      </c>
      <c r="AS99" s="115">
        <v>-3.2000000000000002E-3</v>
      </c>
      <c r="AT99" s="115">
        <v>-0.54149999999999998</v>
      </c>
      <c r="AU99" s="114" t="str">
        <f>IF(A99&lt;&gt;"",INDEX(Index!$B$1:$B$77,MATCH($A99,Index!$A$1:$A$77,0)),"")</f>
        <v>CAR</v>
      </c>
      <c r="AV99" s="123" t="str">
        <f>IF(B99&lt;&gt;"",INDEX(Index!$C$1:$C$77,MATCH($A99,Index!$A$1:$A$77,0)),"")</f>
        <v>Young</v>
      </c>
      <c r="AW99" s="123">
        <f t="shared" si="1"/>
        <v>20</v>
      </c>
      <c r="AX99" s="113">
        <v>4</v>
      </c>
    </row>
    <row r="100" spans="1:50" x14ac:dyDescent="0.25">
      <c r="A100" s="95" t="s">
        <v>584</v>
      </c>
      <c r="B100" s="96">
        <v>2025</v>
      </c>
      <c r="C100" s="96">
        <v>1</v>
      </c>
      <c r="D100" s="115">
        <v>-1.6596500000000001</v>
      </c>
      <c r="E100" s="115">
        <v>5.3784800000000001E-2</v>
      </c>
      <c r="F100" s="115"/>
      <c r="G100" s="115">
        <v>5.3784800000000001E-2</v>
      </c>
      <c r="H100" s="115">
        <v>33</v>
      </c>
      <c r="I100" s="115">
        <v>46</v>
      </c>
      <c r="J100" s="115">
        <v>0.71740000000000004</v>
      </c>
      <c r="K100" s="115">
        <v>6.0671999999999997</v>
      </c>
      <c r="L100" s="115">
        <v>5.5</v>
      </c>
      <c r="M100" s="115">
        <v>3</v>
      </c>
      <c r="N100" s="115">
        <v>1</v>
      </c>
      <c r="O100" s="115">
        <v>6</v>
      </c>
      <c r="P100" s="115">
        <v>10</v>
      </c>
      <c r="Q100" s="115">
        <v>70</v>
      </c>
      <c r="R100" s="115">
        <v>7</v>
      </c>
      <c r="S100" s="115">
        <v>0</v>
      </c>
      <c r="T100" s="115">
        <v>6.5199999999999994E-2</v>
      </c>
      <c r="U100" s="115">
        <v>2.1700000000000001E-2</v>
      </c>
      <c r="V100" s="115">
        <v>4.3499999999999997E-2</v>
      </c>
      <c r="W100" s="115">
        <v>0.5</v>
      </c>
      <c r="X100" s="115">
        <v>97.463800000000006</v>
      </c>
      <c r="Y100" s="115">
        <v>4.4038000000000004</v>
      </c>
      <c r="Z100" s="115">
        <v>146.065</v>
      </c>
      <c r="AA100" s="115">
        <v>54.8</v>
      </c>
      <c r="AB100" s="115">
        <v>2.0386000000000002</v>
      </c>
      <c r="AC100" s="115">
        <v>3.09E-2</v>
      </c>
      <c r="AD100" s="115">
        <v>-1.2800000000000001E-2</v>
      </c>
      <c r="AE100" s="115">
        <v>-4.6199999999999998E-2</v>
      </c>
      <c r="AF100" s="115">
        <v>3.8399999999999997E-2</v>
      </c>
      <c r="AG100" s="115">
        <v>-4.2299999999999997E-2</v>
      </c>
      <c r="AH100" s="115">
        <v>-1.66E-2</v>
      </c>
      <c r="AI100" s="115">
        <v>8.2000000000000007E-3</v>
      </c>
      <c r="AJ100" s="115">
        <v>2.0400000000000001E-2</v>
      </c>
      <c r="AK100" s="115">
        <v>5.2173999999999996</v>
      </c>
      <c r="AL100" s="115">
        <v>-3.0217000000000001</v>
      </c>
      <c r="AM100" s="115">
        <v>0</v>
      </c>
      <c r="AN100" s="115">
        <v>2</v>
      </c>
      <c r="AO100" s="115">
        <v>0</v>
      </c>
      <c r="AP100" s="115">
        <v>0</v>
      </c>
      <c r="AQ100" s="115">
        <v>0</v>
      </c>
      <c r="AR100" s="115"/>
      <c r="AS100" s="115">
        <v>-3.5999999999999999E-3</v>
      </c>
      <c r="AT100" s="115">
        <v>-0.23960000000000001</v>
      </c>
      <c r="AU100" s="114" t="str">
        <f>IF(A100&lt;&gt;"",INDEX(Index!$B$1:$B$77,MATCH($A100,Index!$A$1:$A$77,0)),"")</f>
        <v>NYJ</v>
      </c>
      <c r="AV100" s="123" t="str">
        <f>IF(B100&lt;&gt;"",INDEX(Index!$C$1:$C$77,MATCH($A100,Index!$A$1:$A$77,0)),"")</f>
        <v>Taylor</v>
      </c>
      <c r="AW100" s="123">
        <f t="shared" si="1"/>
        <v>16</v>
      </c>
      <c r="AX100" s="113">
        <v>4</v>
      </c>
    </row>
    <row r="101" spans="1:50" x14ac:dyDescent="0.25">
      <c r="A101" s="95" t="s">
        <v>579</v>
      </c>
      <c r="B101" s="96">
        <v>2025</v>
      </c>
      <c r="C101" s="96">
        <v>4</v>
      </c>
      <c r="D101" s="115">
        <v>-1.79003</v>
      </c>
      <c r="E101" s="115">
        <v>0.42543799999999998</v>
      </c>
      <c r="F101" s="115"/>
      <c r="G101" s="115">
        <v>-3.8765899999999999E-2</v>
      </c>
      <c r="H101" s="115">
        <v>79</v>
      </c>
      <c r="I101" s="115">
        <v>116</v>
      </c>
      <c r="J101" s="115">
        <v>0.68100000000000005</v>
      </c>
      <c r="K101" s="115">
        <v>0.25690000000000002</v>
      </c>
      <c r="L101" s="115">
        <v>7.1723999999999997</v>
      </c>
      <c r="M101" s="115">
        <v>4</v>
      </c>
      <c r="N101" s="115">
        <v>3</v>
      </c>
      <c r="O101" s="115">
        <v>10</v>
      </c>
      <c r="P101" s="115">
        <v>15</v>
      </c>
      <c r="Q101" s="115">
        <v>93</v>
      </c>
      <c r="R101" s="115">
        <v>6.2</v>
      </c>
      <c r="S101" s="115">
        <v>0</v>
      </c>
      <c r="T101" s="115">
        <v>3.4500000000000003E-2</v>
      </c>
      <c r="U101" s="115">
        <v>2.5899999999999999E-2</v>
      </c>
      <c r="V101" s="115">
        <v>8.6E-3</v>
      </c>
      <c r="W101" s="115">
        <v>0.45029999999999998</v>
      </c>
      <c r="X101" s="115">
        <v>89.439700000000002</v>
      </c>
      <c r="Y101" s="115">
        <v>5.4443999999999999</v>
      </c>
      <c r="Z101" s="115">
        <v>121.559</v>
      </c>
      <c r="AA101" s="115">
        <v>48.8</v>
      </c>
      <c r="AB101" s="115">
        <v>-0.2177</v>
      </c>
      <c r="AC101" s="115">
        <v>-1.4E-3</v>
      </c>
      <c r="AD101" s="115">
        <v>4.1200000000000001E-2</v>
      </c>
      <c r="AE101" s="115">
        <v>-2.69E-2</v>
      </c>
      <c r="AF101" s="115">
        <v>2.4E-2</v>
      </c>
      <c r="AG101" s="115">
        <v>2.5999999999999999E-3</v>
      </c>
      <c r="AH101" s="115">
        <v>-4.5600000000000002E-2</v>
      </c>
      <c r="AI101" s="115">
        <v>-5.21E-2</v>
      </c>
      <c r="AJ101" s="115">
        <v>-2.63E-2</v>
      </c>
      <c r="AK101" s="115">
        <v>7.2154999999999996</v>
      </c>
      <c r="AL101" s="115">
        <v>-2.1379000000000001</v>
      </c>
      <c r="AM101" s="115">
        <v>1</v>
      </c>
      <c r="AN101" s="115">
        <v>3</v>
      </c>
      <c r="AO101" s="115">
        <v>0</v>
      </c>
      <c r="AP101" s="115">
        <v>0</v>
      </c>
      <c r="AQ101" s="115">
        <v>3</v>
      </c>
      <c r="AR101" s="115">
        <v>0</v>
      </c>
      <c r="AS101" s="115">
        <v>-2.0999999999999999E-3</v>
      </c>
      <c r="AT101" s="115">
        <v>-0.312</v>
      </c>
      <c r="AU101" s="114" t="str">
        <f>IF(A101&lt;&gt;"",INDEX(Index!$B$1:$B$77,MATCH($A101,Index!$A$1:$A$77,0)),"")</f>
        <v>HOU</v>
      </c>
      <c r="AV101" s="123" t="str">
        <f>IF(B101&lt;&gt;"",INDEX(Index!$C$1:$C$77,MATCH($A101,Index!$A$1:$A$77,0)),"")</f>
        <v>Stroud</v>
      </c>
      <c r="AW101" s="123">
        <f t="shared" si="1"/>
        <v>13</v>
      </c>
      <c r="AX101" s="113">
        <v>4</v>
      </c>
    </row>
    <row r="102" spans="1:50" x14ac:dyDescent="0.25">
      <c r="A102" s="95" t="s">
        <v>578</v>
      </c>
      <c r="B102" s="96">
        <v>2025</v>
      </c>
      <c r="C102" s="96">
        <v>4</v>
      </c>
      <c r="D102" s="115">
        <v>-1.8388500000000001</v>
      </c>
      <c r="E102" s="115">
        <v>0.47842800000000002</v>
      </c>
      <c r="F102" s="115"/>
      <c r="G102" s="115">
        <v>5.0851100000000003E-2</v>
      </c>
      <c r="H102" s="115">
        <v>78</v>
      </c>
      <c r="I102" s="115">
        <v>125</v>
      </c>
      <c r="J102" s="115">
        <v>0.624</v>
      </c>
      <c r="K102" s="115">
        <v>-4.3498000000000001</v>
      </c>
      <c r="L102" s="115">
        <v>7.3440000000000003</v>
      </c>
      <c r="M102" s="115">
        <v>3</v>
      </c>
      <c r="N102" s="115">
        <v>3</v>
      </c>
      <c r="O102" s="115">
        <v>5</v>
      </c>
      <c r="P102" s="115">
        <v>7</v>
      </c>
      <c r="Q102" s="115">
        <v>36</v>
      </c>
      <c r="R102" s="115">
        <v>5.1429</v>
      </c>
      <c r="S102" s="115">
        <v>1</v>
      </c>
      <c r="T102" s="115">
        <v>2.4E-2</v>
      </c>
      <c r="U102" s="115">
        <v>2.4E-2</v>
      </c>
      <c r="V102" s="115">
        <v>0</v>
      </c>
      <c r="W102" s="115">
        <v>0.47920000000000001</v>
      </c>
      <c r="X102" s="115">
        <v>82.683300000000003</v>
      </c>
      <c r="Y102" s="115">
        <v>6.1615000000000002</v>
      </c>
      <c r="Z102" s="115">
        <v>131.06700000000001</v>
      </c>
      <c r="AA102" s="115">
        <v>60.5</v>
      </c>
      <c r="AB102" s="115">
        <v>9.7034000000000002</v>
      </c>
      <c r="AC102" s="115">
        <v>6.7400000000000002E-2</v>
      </c>
      <c r="AD102" s="115">
        <v>1.5599999999999999E-2</v>
      </c>
      <c r="AE102" s="115">
        <v>3.3000000000000002E-2</v>
      </c>
      <c r="AF102" s="115">
        <v>-2.5700000000000001E-2</v>
      </c>
      <c r="AG102" s="115">
        <v>-5.6000000000000001E-2</v>
      </c>
      <c r="AH102" s="115">
        <v>3.2500000000000001E-2</v>
      </c>
      <c r="AI102" s="115">
        <v>-9.2999999999999992E-3</v>
      </c>
      <c r="AJ102" s="115">
        <v>-5.1000000000000004E-3</v>
      </c>
      <c r="AK102" s="115">
        <v>7.92</v>
      </c>
      <c r="AL102" s="115">
        <v>-0.92</v>
      </c>
      <c r="AM102" s="115">
        <v>2</v>
      </c>
      <c r="AN102" s="115">
        <v>2</v>
      </c>
      <c r="AO102" s="115">
        <v>0</v>
      </c>
      <c r="AP102" s="115">
        <v>0</v>
      </c>
      <c r="AQ102" s="115">
        <v>1</v>
      </c>
      <c r="AR102" s="115">
        <v>0</v>
      </c>
      <c r="AS102" s="115">
        <v>5.1000000000000004E-3</v>
      </c>
      <c r="AT102" s="115">
        <v>0.73529999999999995</v>
      </c>
      <c r="AU102" s="114" t="str">
        <f>IF(A102&lt;&gt;"",INDEX(Index!$B$1:$B$77,MATCH($A102,Index!$A$1:$A$77,0)),"")</f>
        <v>ATL</v>
      </c>
      <c r="AV102" s="123" t="str">
        <f>IF(B102&lt;&gt;"",INDEX(Index!$C$1:$C$77,MATCH($A102,Index!$A$1:$A$77,0)),"")</f>
        <v>Penix</v>
      </c>
      <c r="AW102" s="123">
        <f t="shared" si="1"/>
        <v>27</v>
      </c>
      <c r="AX102" s="113">
        <v>4</v>
      </c>
    </row>
    <row r="103" spans="1:50" x14ac:dyDescent="0.25">
      <c r="A103" s="95" t="s">
        <v>585</v>
      </c>
      <c r="B103" s="96">
        <v>2025</v>
      </c>
      <c r="C103" s="96">
        <v>2</v>
      </c>
      <c r="D103" s="115">
        <v>-2.1153599999999999</v>
      </c>
      <c r="E103" s="115">
        <v>-0.44091999999999998</v>
      </c>
      <c r="F103" s="115"/>
      <c r="G103" s="115">
        <v>-0.93645400000000001</v>
      </c>
      <c r="H103" s="115">
        <v>54</v>
      </c>
      <c r="I103" s="115">
        <v>84</v>
      </c>
      <c r="J103" s="115">
        <v>0.64290000000000003</v>
      </c>
      <c r="K103" s="115">
        <v>0.17469999999999999</v>
      </c>
      <c r="L103" s="115">
        <v>6.0237999999999996</v>
      </c>
      <c r="M103" s="115">
        <v>3</v>
      </c>
      <c r="N103" s="115">
        <v>5</v>
      </c>
      <c r="O103" s="115">
        <v>7</v>
      </c>
      <c r="P103" s="115">
        <v>4</v>
      </c>
      <c r="Q103" s="115">
        <v>9</v>
      </c>
      <c r="R103" s="115">
        <v>2.25</v>
      </c>
      <c r="S103" s="115">
        <v>1</v>
      </c>
      <c r="T103" s="115">
        <v>3.5700000000000003E-2</v>
      </c>
      <c r="U103" s="115">
        <v>5.9499999999999997E-2</v>
      </c>
      <c r="V103" s="115">
        <v>-2.3800000000000002E-2</v>
      </c>
      <c r="W103" s="115">
        <v>0.4078</v>
      </c>
      <c r="X103" s="115">
        <v>67.857100000000003</v>
      </c>
      <c r="Y103" s="115">
        <v>3.2418</v>
      </c>
      <c r="Z103" s="115">
        <v>3.7187000000000001</v>
      </c>
      <c r="AA103" s="115">
        <v>42.4</v>
      </c>
      <c r="AB103" s="115">
        <v>-37.084600000000002</v>
      </c>
      <c r="AC103" s="115">
        <v>-0.36</v>
      </c>
      <c r="AD103" s="115">
        <v>-4.7999999999999996E-3</v>
      </c>
      <c r="AE103" s="115">
        <v>-1.38E-2</v>
      </c>
      <c r="AF103" s="115">
        <v>6.7999999999999996E-3</v>
      </c>
      <c r="AG103" s="115">
        <v>-0.1905</v>
      </c>
      <c r="AH103" s="115">
        <v>-0.1157</v>
      </c>
      <c r="AI103" s="115">
        <v>-0.14580000000000001</v>
      </c>
      <c r="AJ103" s="115">
        <v>2.2200000000000001E-2</v>
      </c>
      <c r="AK103" s="115">
        <v>7.2737999999999996</v>
      </c>
      <c r="AL103" s="115">
        <v>-1.9642999999999999</v>
      </c>
      <c r="AM103" s="115">
        <v>1</v>
      </c>
      <c r="AN103" s="115">
        <v>2</v>
      </c>
      <c r="AO103" s="115">
        <v>0</v>
      </c>
      <c r="AP103" s="115">
        <v>1</v>
      </c>
      <c r="AQ103" s="115">
        <v>1</v>
      </c>
      <c r="AR103" s="115">
        <v>1</v>
      </c>
      <c r="AS103" s="115">
        <v>1.6000000000000001E-3</v>
      </c>
      <c r="AT103" s="115">
        <v>0.1648</v>
      </c>
      <c r="AU103" s="114" t="str">
        <f>IF(A103&lt;&gt;"",INDEX(Index!$B$1:$B$77,MATCH($A103,Index!$A$1:$A$77,0)),"")</f>
        <v>CIN</v>
      </c>
      <c r="AV103" s="123" t="str">
        <f>IF(B103&lt;&gt;"",INDEX(Index!$C$1:$C$77,MATCH($A103,Index!$A$1:$A$77,0)),"")</f>
        <v>Browning</v>
      </c>
      <c r="AW103" s="123">
        <f t="shared" si="1"/>
        <v>35</v>
      </c>
      <c r="AX103" s="113">
        <v>4</v>
      </c>
    </row>
    <row r="104" spans="1:50" x14ac:dyDescent="0.25">
      <c r="A104" s="95" t="s">
        <v>586</v>
      </c>
      <c r="B104" s="96">
        <v>2025</v>
      </c>
      <c r="C104" s="96">
        <v>2</v>
      </c>
      <c r="D104" s="115">
        <v>-2.2281900000000001</v>
      </c>
      <c r="E104" s="115">
        <v>-5.0601500000000001E-2</v>
      </c>
      <c r="F104" s="115"/>
      <c r="G104" s="115">
        <v>-6.9921899999999997E-3</v>
      </c>
      <c r="H104" s="115">
        <v>44</v>
      </c>
      <c r="I104" s="115">
        <v>65</v>
      </c>
      <c r="J104" s="115">
        <v>0.67689999999999995</v>
      </c>
      <c r="K104" s="115">
        <v>4.8052999999999999</v>
      </c>
      <c r="L104" s="115">
        <v>8.0462000000000007</v>
      </c>
      <c r="M104" s="115">
        <v>4</v>
      </c>
      <c r="N104" s="115">
        <v>2</v>
      </c>
      <c r="O104" s="115">
        <v>9</v>
      </c>
      <c r="P104" s="115">
        <v>4</v>
      </c>
      <c r="Q104" s="115">
        <v>16</v>
      </c>
      <c r="R104" s="115">
        <v>4</v>
      </c>
      <c r="S104" s="115">
        <v>0</v>
      </c>
      <c r="T104" s="115">
        <v>6.1499999999999999E-2</v>
      </c>
      <c r="U104" s="115">
        <v>3.0800000000000001E-2</v>
      </c>
      <c r="V104" s="115">
        <v>3.0800000000000001E-2</v>
      </c>
      <c r="W104" s="115">
        <v>0.49380000000000002</v>
      </c>
      <c r="X104" s="115">
        <v>99.711500000000001</v>
      </c>
      <c r="Y104" s="115">
        <v>6.0270000000000001</v>
      </c>
      <c r="Z104" s="115">
        <v>117.76</v>
      </c>
      <c r="AA104" s="115">
        <v>38.700000000000003</v>
      </c>
      <c r="AB104" s="115">
        <v>10.6211</v>
      </c>
      <c r="AC104" s="115">
        <v>0.13109999999999999</v>
      </c>
      <c r="AD104" s="115">
        <v>-4.2500000000000003E-2</v>
      </c>
      <c r="AE104" s="115">
        <v>-7.0499999999999993E-2</v>
      </c>
      <c r="AF104" s="115">
        <v>7.5899999999999995E-2</v>
      </c>
      <c r="AG104" s="115">
        <v>-1.5599999999999999E-2</v>
      </c>
      <c r="AH104" s="115">
        <v>5.7000000000000002E-2</v>
      </c>
      <c r="AI104" s="115">
        <v>7.4300000000000005E-2</v>
      </c>
      <c r="AJ104" s="115">
        <v>-2.9100000000000001E-2</v>
      </c>
      <c r="AK104" s="115">
        <v>8.0153999999999996</v>
      </c>
      <c r="AL104" s="115">
        <v>-1.2923</v>
      </c>
      <c r="AM104" s="115">
        <v>1</v>
      </c>
      <c r="AN104" s="115">
        <v>1</v>
      </c>
      <c r="AO104" s="115">
        <v>0</v>
      </c>
      <c r="AP104" s="115">
        <v>0</v>
      </c>
      <c r="AQ104" s="115">
        <v>1</v>
      </c>
      <c r="AR104" s="115">
        <v>0</v>
      </c>
      <c r="AS104" s="115">
        <v>-1.9E-3</v>
      </c>
      <c r="AT104" s="115">
        <v>-0.15190000000000001</v>
      </c>
      <c r="AU104" s="114" t="str">
        <f>IF(A104&lt;&gt;"",INDEX(Index!$B$1:$B$77,MATCH($A104,Index!$A$1:$A$77,0)),"")</f>
        <v>MIN</v>
      </c>
      <c r="AV104" s="123" t="str">
        <f>IF(B104&lt;&gt;"",INDEX(Index!$C$1:$C$77,MATCH($A104,Index!$A$1:$A$77,0)),"")</f>
        <v>Wentz</v>
      </c>
      <c r="AW104" s="123">
        <f t="shared" si="1"/>
        <v>31</v>
      </c>
      <c r="AX104" s="113">
        <v>4</v>
      </c>
    </row>
    <row r="105" spans="1:50" x14ac:dyDescent="0.25">
      <c r="A105" s="95" t="s">
        <v>581</v>
      </c>
      <c r="B105" s="96">
        <v>2025</v>
      </c>
      <c r="C105" s="96">
        <v>4</v>
      </c>
      <c r="D105" s="115">
        <v>-2.2843300000000002</v>
      </c>
      <c r="E105" s="115">
        <v>0.115133</v>
      </c>
      <c r="F105" s="115"/>
      <c r="G105" s="115">
        <v>1.04358</v>
      </c>
      <c r="H105" s="115">
        <v>98</v>
      </c>
      <c r="I105" s="115">
        <v>144</v>
      </c>
      <c r="J105" s="115">
        <v>0.68059999999999998</v>
      </c>
      <c r="K105" s="115">
        <v>2.7364000000000002</v>
      </c>
      <c r="L105" s="115">
        <v>5.3125</v>
      </c>
      <c r="M105" s="115">
        <v>5</v>
      </c>
      <c r="N105" s="115">
        <v>1</v>
      </c>
      <c r="O105" s="115">
        <v>9</v>
      </c>
      <c r="P105" s="115">
        <v>16</v>
      </c>
      <c r="Q105" s="115">
        <v>102</v>
      </c>
      <c r="R105" s="115">
        <v>6.375</v>
      </c>
      <c r="S105" s="115">
        <v>0</v>
      </c>
      <c r="T105" s="115">
        <v>3.4700000000000002E-2</v>
      </c>
      <c r="U105" s="115">
        <v>6.8999999999999999E-3</v>
      </c>
      <c r="V105" s="115">
        <v>2.7799999999999998E-2</v>
      </c>
      <c r="W105" s="115">
        <v>0.4778</v>
      </c>
      <c r="X105" s="115">
        <v>89.612300000000005</v>
      </c>
      <c r="Y105" s="115">
        <v>4.9869000000000003</v>
      </c>
      <c r="Z105" s="115">
        <v>176.983</v>
      </c>
      <c r="AA105" s="115">
        <v>56.4</v>
      </c>
      <c r="AB105" s="115">
        <v>-3.7242999999999999</v>
      </c>
      <c r="AC105" s="115">
        <v>-2.07E-2</v>
      </c>
      <c r="AD105" s="115">
        <v>2.86E-2</v>
      </c>
      <c r="AE105" s="115">
        <v>1.9599999999999999E-2</v>
      </c>
      <c r="AF105" s="115">
        <v>-1.9900000000000001E-2</v>
      </c>
      <c r="AG105" s="115">
        <v>6.4899999999999999E-2</v>
      </c>
      <c r="AH105" s="115">
        <v>-9.5899999999999999E-2</v>
      </c>
      <c r="AI105" s="115">
        <v>-9.1600000000000001E-2</v>
      </c>
      <c r="AJ105" s="115">
        <v>-8.0000000000000002E-3</v>
      </c>
      <c r="AK105" s="115">
        <v>7.0833000000000004</v>
      </c>
      <c r="AL105" s="115">
        <v>-1.3957999999999999</v>
      </c>
      <c r="AM105" s="115">
        <v>0</v>
      </c>
      <c r="AN105" s="115">
        <v>4</v>
      </c>
      <c r="AO105" s="115">
        <v>0</v>
      </c>
      <c r="AP105" s="115">
        <v>0</v>
      </c>
      <c r="AQ105" s="115">
        <v>3</v>
      </c>
      <c r="AR105" s="115">
        <v>0</v>
      </c>
      <c r="AS105" s="115">
        <v>-2E-3</v>
      </c>
      <c r="AT105" s="115">
        <v>-0.36399999999999999</v>
      </c>
      <c r="AU105" s="114" t="str">
        <f>IF(A105&lt;&gt;"",INDEX(Index!$B$1:$B$77,MATCH($A105,Index!$A$1:$A$77,0)),"")</f>
        <v>NO</v>
      </c>
      <c r="AV105" s="123" t="str">
        <f>IF(B105&lt;&gt;"",INDEX(Index!$C$1:$C$77,MATCH($A105,Index!$A$1:$A$77,0)),"")</f>
        <v>Rattler</v>
      </c>
      <c r="AW105" s="123">
        <f t="shared" si="1"/>
        <v>9</v>
      </c>
      <c r="AX105" s="113">
        <v>4</v>
      </c>
    </row>
    <row r="106" spans="1:50" x14ac:dyDescent="0.25">
      <c r="A106" s="95" t="s">
        <v>587</v>
      </c>
      <c r="B106" s="96">
        <v>2025</v>
      </c>
      <c r="C106" s="96">
        <v>1</v>
      </c>
      <c r="D106" s="115">
        <v>-2.4888400000000002</v>
      </c>
      <c r="E106" s="115">
        <v>5.1479799999999999E-2</v>
      </c>
      <c r="F106" s="115"/>
      <c r="G106" s="115">
        <v>5.1479799999999999E-2</v>
      </c>
      <c r="H106" s="115">
        <v>13</v>
      </c>
      <c r="I106" s="115">
        <v>20</v>
      </c>
      <c r="J106" s="115">
        <v>0.65</v>
      </c>
      <c r="K106" s="115">
        <v>-0.28810000000000002</v>
      </c>
      <c r="L106" s="115">
        <v>5.55</v>
      </c>
      <c r="M106" s="115">
        <v>1</v>
      </c>
      <c r="N106" s="115">
        <v>0</v>
      </c>
      <c r="O106" s="115">
        <v>5</v>
      </c>
      <c r="P106" s="115">
        <v>11</v>
      </c>
      <c r="Q106" s="115">
        <v>54</v>
      </c>
      <c r="R106" s="115">
        <v>4.9090999999999996</v>
      </c>
      <c r="S106" s="115">
        <v>1</v>
      </c>
      <c r="T106" s="115">
        <v>0.05</v>
      </c>
      <c r="U106" s="115">
        <v>0</v>
      </c>
      <c r="V106" s="115">
        <v>0.05</v>
      </c>
      <c r="W106" s="115">
        <v>0.5</v>
      </c>
      <c r="X106" s="115">
        <v>96.041700000000006</v>
      </c>
      <c r="Y106" s="115">
        <v>4.24</v>
      </c>
      <c r="Z106" s="115">
        <v>124.79900000000001</v>
      </c>
      <c r="AA106" s="115">
        <v>37.5</v>
      </c>
      <c r="AB106" s="115">
        <v>-0.48309999999999997</v>
      </c>
      <c r="AC106" s="115">
        <v>-1.21E-2</v>
      </c>
      <c r="AD106" s="115">
        <v>-7.7000000000000002E-3</v>
      </c>
      <c r="AE106" s="115">
        <v>-8.7900000000000006E-2</v>
      </c>
      <c r="AF106" s="115">
        <v>4.87E-2</v>
      </c>
      <c r="AG106" s="115">
        <v>7.3999999999999996E-2</v>
      </c>
      <c r="AH106" s="115">
        <v>-0.1585</v>
      </c>
      <c r="AI106" s="115">
        <v>-1.23E-2</v>
      </c>
      <c r="AJ106" s="115">
        <v>0.05</v>
      </c>
      <c r="AK106" s="115">
        <v>6.35</v>
      </c>
      <c r="AL106" s="115">
        <v>-2.85</v>
      </c>
      <c r="AM106" s="115">
        <v>1</v>
      </c>
      <c r="AN106" s="115">
        <v>2</v>
      </c>
      <c r="AO106" s="115">
        <v>0</v>
      </c>
      <c r="AP106" s="115">
        <v>0</v>
      </c>
      <c r="AQ106" s="115">
        <v>1</v>
      </c>
      <c r="AR106" s="115">
        <v>0</v>
      </c>
      <c r="AS106" s="115">
        <v>-8.0000000000000004E-4</v>
      </c>
      <c r="AT106" s="115">
        <v>-3.04E-2</v>
      </c>
      <c r="AU106" s="114" t="str">
        <f>IF(A106&lt;&gt;"",INDEX(Index!$B$1:$B$77,MATCH($A106,Index!$A$1:$A$77,0)),"")</f>
        <v>NYG</v>
      </c>
      <c r="AV106" s="123" t="str">
        <f>IF(B106&lt;&gt;"",INDEX(Index!$C$1:$C$77,MATCH($A106,Index!$A$1:$A$77,0)),"")</f>
        <v>Dart</v>
      </c>
      <c r="AW106" s="123">
        <f t="shared" si="1"/>
        <v>22</v>
      </c>
      <c r="AX106" s="113">
        <v>4</v>
      </c>
    </row>
    <row r="107" spans="1:50" x14ac:dyDescent="0.25">
      <c r="A107" s="95" t="s">
        <v>580</v>
      </c>
      <c r="B107" s="96">
        <v>2025</v>
      </c>
      <c r="C107" s="96">
        <v>2</v>
      </c>
      <c r="D107" s="115">
        <v>-2.5275500000000002</v>
      </c>
      <c r="E107" s="115">
        <v>-0.98064799999999996</v>
      </c>
      <c r="F107" s="115"/>
      <c r="G107" s="115">
        <v>-0.89308399999999999</v>
      </c>
      <c r="H107" s="115">
        <v>24</v>
      </c>
      <c r="I107" s="115">
        <v>41</v>
      </c>
      <c r="J107" s="115">
        <v>0.58540000000000003</v>
      </c>
      <c r="K107" s="115">
        <v>-7.2812999999999999</v>
      </c>
      <c r="L107" s="115">
        <v>7.3414999999999999</v>
      </c>
      <c r="M107" s="115">
        <v>2</v>
      </c>
      <c r="N107" s="115">
        <v>3</v>
      </c>
      <c r="O107" s="115">
        <v>9</v>
      </c>
      <c r="P107" s="115">
        <v>6</v>
      </c>
      <c r="Q107" s="115">
        <v>50</v>
      </c>
      <c r="R107" s="115">
        <v>8.3332999999999995</v>
      </c>
      <c r="S107" s="115">
        <v>1</v>
      </c>
      <c r="T107" s="115">
        <v>4.8800000000000003E-2</v>
      </c>
      <c r="U107" s="115">
        <v>7.3200000000000001E-2</v>
      </c>
      <c r="V107" s="115">
        <v>-2.4400000000000002E-2</v>
      </c>
      <c r="W107" s="115">
        <v>0.42370000000000002</v>
      </c>
      <c r="X107" s="115">
        <v>67.2256</v>
      </c>
      <c r="Y107" s="115">
        <v>3.18</v>
      </c>
      <c r="Z107" s="115">
        <v>-1.2115</v>
      </c>
      <c r="AA107" s="115"/>
      <c r="AB107" s="115">
        <v>-17.266200000000001</v>
      </c>
      <c r="AC107" s="115">
        <v>-0.29260000000000003</v>
      </c>
      <c r="AD107" s="115">
        <v>5.5399999999999998E-2</v>
      </c>
      <c r="AE107" s="115">
        <v>-0.21229999999999999</v>
      </c>
      <c r="AF107" s="115">
        <v>-1.6999999999999999E-3</v>
      </c>
      <c r="AG107" s="115">
        <v>-0.22470000000000001</v>
      </c>
      <c r="AH107" s="115">
        <v>3.8899999999999997E-2</v>
      </c>
      <c r="AI107" s="115">
        <v>-9.5500000000000002E-2</v>
      </c>
      <c r="AJ107" s="115">
        <v>6.5600000000000006E-2</v>
      </c>
      <c r="AK107" s="115">
        <v>9</v>
      </c>
      <c r="AL107" s="115">
        <v>-0.31709999999999999</v>
      </c>
      <c r="AM107" s="115">
        <v>1</v>
      </c>
      <c r="AN107" s="115">
        <v>1</v>
      </c>
      <c r="AO107" s="115">
        <v>0</v>
      </c>
      <c r="AP107" s="115">
        <v>1</v>
      </c>
      <c r="AQ107" s="115">
        <v>2</v>
      </c>
      <c r="AR107" s="115">
        <v>0.5</v>
      </c>
      <c r="AS107" s="115">
        <v>-2.0999999999999999E-3</v>
      </c>
      <c r="AT107" s="115">
        <v>-0.1216</v>
      </c>
      <c r="AU107" s="114" t="str">
        <f>IF(A107&lt;&gt;"",INDEX(Index!$B$1:$B$77,MATCH($A107,Index!$A$1:$A$77,0)),"")</f>
        <v>MIN</v>
      </c>
      <c r="AV107" s="123" t="str">
        <f>IF(B107&lt;&gt;"",INDEX(Index!$C$1:$C$77,MATCH($A107,Index!$A$1:$A$77,0)),"")</f>
        <v>McCarthy</v>
      </c>
      <c r="AW107" s="123">
        <f t="shared" si="1"/>
        <v>23</v>
      </c>
      <c r="AX107" s="113">
        <v>4</v>
      </c>
    </row>
    <row r="108" spans="1:50" x14ac:dyDescent="0.25">
      <c r="A108" s="95" t="s">
        <v>577</v>
      </c>
      <c r="B108" s="96">
        <v>2025</v>
      </c>
      <c r="C108" s="96">
        <v>4</v>
      </c>
      <c r="D108" s="115">
        <v>-2.7984900000000001</v>
      </c>
      <c r="E108" s="115">
        <v>-0.84337899999999999</v>
      </c>
      <c r="F108" s="115"/>
      <c r="G108" s="115">
        <v>-1.6186</v>
      </c>
      <c r="H108" s="115">
        <v>93</v>
      </c>
      <c r="I108" s="115">
        <v>159</v>
      </c>
      <c r="J108" s="115">
        <v>0.58489999999999998</v>
      </c>
      <c r="K108" s="115">
        <v>-4.3258000000000001</v>
      </c>
      <c r="L108" s="115">
        <v>5.1257999999999999</v>
      </c>
      <c r="M108" s="115">
        <v>2</v>
      </c>
      <c r="N108" s="115">
        <v>6</v>
      </c>
      <c r="O108" s="115">
        <v>9</v>
      </c>
      <c r="P108" s="115">
        <v>5</v>
      </c>
      <c r="Q108" s="115">
        <v>14</v>
      </c>
      <c r="R108" s="115">
        <v>2.8</v>
      </c>
      <c r="S108" s="115">
        <v>0</v>
      </c>
      <c r="T108" s="115">
        <v>1.26E-2</v>
      </c>
      <c r="U108" s="115">
        <v>3.7699999999999997E-2</v>
      </c>
      <c r="V108" s="115">
        <v>-2.52E-2</v>
      </c>
      <c r="W108" s="115">
        <v>0.35449999999999998</v>
      </c>
      <c r="X108" s="115">
        <v>60.652500000000003</v>
      </c>
      <c r="Y108" s="115">
        <v>3.1606999999999998</v>
      </c>
      <c r="Z108" s="115">
        <v>19.616099999999999</v>
      </c>
      <c r="AA108" s="115">
        <v>27</v>
      </c>
      <c r="AB108" s="115">
        <v>-55.084600000000002</v>
      </c>
      <c r="AC108" s="115">
        <v>-0.29149999999999998</v>
      </c>
      <c r="AD108" s="115">
        <v>-3.6900000000000002E-2</v>
      </c>
      <c r="AE108" s="115">
        <v>-2.86E-2</v>
      </c>
      <c r="AF108" s="115">
        <v>-6.0299999999999999E-2</v>
      </c>
      <c r="AG108" s="115">
        <v>-6.2100000000000002E-2</v>
      </c>
      <c r="AH108" s="115">
        <v>-0.12280000000000001</v>
      </c>
      <c r="AI108" s="115">
        <v>-5.4300000000000001E-2</v>
      </c>
      <c r="AJ108" s="115">
        <v>-8.3000000000000001E-3</v>
      </c>
      <c r="AK108" s="115">
        <v>7.3459000000000003</v>
      </c>
      <c r="AL108" s="115">
        <v>-1.8994</v>
      </c>
      <c r="AM108" s="115">
        <v>1</v>
      </c>
      <c r="AN108" s="115">
        <v>3</v>
      </c>
      <c r="AO108" s="115">
        <v>0</v>
      </c>
      <c r="AP108" s="115">
        <v>1</v>
      </c>
      <c r="AQ108" s="115">
        <v>2</v>
      </c>
      <c r="AR108" s="115">
        <v>0.5</v>
      </c>
      <c r="AS108" s="115">
        <v>-7.1000000000000004E-3</v>
      </c>
      <c r="AT108" s="115">
        <v>-1.3351999999999999</v>
      </c>
      <c r="AU108" s="114" t="str">
        <f>IF(A108&lt;&gt;"",INDEX(Index!$B$1:$B$77,MATCH($A108,Index!$A$1:$A$77,0)),"")</f>
        <v>CIN</v>
      </c>
      <c r="AV108" s="123" t="str">
        <f>IF(B108&lt;&gt;"",INDEX(Index!$C$1:$C$77,MATCH($A108,Index!$A$1:$A$77,0)),"")</f>
        <v>Flacco</v>
      </c>
      <c r="AW108" s="123">
        <f t="shared" si="1"/>
        <v>33</v>
      </c>
      <c r="AX108" s="113">
        <v>4</v>
      </c>
    </row>
    <row r="109" spans="1:50" ht="15.75" thickBot="1" x14ac:dyDescent="0.3">
      <c r="A109" s="95" t="s">
        <v>582</v>
      </c>
      <c r="B109" s="96">
        <v>2025</v>
      </c>
      <c r="C109" s="96">
        <v>4</v>
      </c>
      <c r="D109" s="115">
        <v>-3.4266399999999999</v>
      </c>
      <c r="E109" s="115">
        <v>-0.450214</v>
      </c>
      <c r="F109" s="115"/>
      <c r="G109" s="115">
        <v>-1.92197</v>
      </c>
      <c r="H109" s="115">
        <v>64</v>
      </c>
      <c r="I109" s="115">
        <v>124</v>
      </c>
      <c r="J109" s="115">
        <v>0.5161</v>
      </c>
      <c r="K109" s="115">
        <v>-9.5363000000000007</v>
      </c>
      <c r="L109" s="115">
        <v>4.9516</v>
      </c>
      <c r="M109" s="115">
        <v>2</v>
      </c>
      <c r="N109" s="115">
        <v>2</v>
      </c>
      <c r="O109" s="115">
        <v>17</v>
      </c>
      <c r="P109" s="115">
        <v>9</v>
      </c>
      <c r="Q109" s="115">
        <v>42</v>
      </c>
      <c r="R109" s="115">
        <v>4.6666999999999996</v>
      </c>
      <c r="S109" s="115">
        <v>0</v>
      </c>
      <c r="T109" s="115">
        <v>1.61E-2</v>
      </c>
      <c r="U109" s="115">
        <v>1.61E-2</v>
      </c>
      <c r="V109" s="115">
        <v>0</v>
      </c>
      <c r="W109" s="115">
        <v>0.35580000000000001</v>
      </c>
      <c r="X109" s="115">
        <v>64.381699999999995</v>
      </c>
      <c r="Y109" s="115">
        <v>3.1488999999999998</v>
      </c>
      <c r="Z109" s="115">
        <v>-25.877500000000001</v>
      </c>
      <c r="AA109" s="115">
        <v>23.4</v>
      </c>
      <c r="AB109" s="115">
        <v>-45.962200000000003</v>
      </c>
      <c r="AC109" s="115">
        <v>-0.28199999999999997</v>
      </c>
      <c r="AD109" s="115">
        <v>-1.54E-2</v>
      </c>
      <c r="AE109" s="115">
        <v>-8.4900000000000003E-2</v>
      </c>
      <c r="AF109" s="115">
        <v>-9.2499999999999999E-2</v>
      </c>
      <c r="AG109" s="115">
        <v>-8.8999999999999999E-3</v>
      </c>
      <c r="AH109" s="115">
        <v>-1.52E-2</v>
      </c>
      <c r="AI109" s="115">
        <v>-0.1225</v>
      </c>
      <c r="AJ109" s="115">
        <v>-2.4400000000000002E-2</v>
      </c>
      <c r="AK109" s="115">
        <v>7.1128999999999998</v>
      </c>
      <c r="AL109" s="115">
        <v>-2.8548</v>
      </c>
      <c r="AM109" s="115">
        <v>0</v>
      </c>
      <c r="AN109" s="115">
        <v>4</v>
      </c>
      <c r="AO109" s="115">
        <v>0</v>
      </c>
      <c r="AP109" s="115">
        <v>0</v>
      </c>
      <c r="AQ109" s="115">
        <v>2</v>
      </c>
      <c r="AR109" s="115">
        <v>0</v>
      </c>
      <c r="AS109" s="115">
        <v>-8.6999999999999994E-3</v>
      </c>
      <c r="AT109" s="115">
        <v>-1.4117</v>
      </c>
      <c r="AU109" s="114" t="str">
        <f>IF(A109&lt;&gt;"",INDEX(Index!$B$1:$B$77,MATCH($A109,Index!$A$1:$A$77,0)),"")</f>
        <v>TEN</v>
      </c>
      <c r="AV109" s="123" t="str">
        <f>IF(B109&lt;&gt;"",INDEX(Index!$C$1:$C$77,MATCH($A109,Index!$A$1:$A$77,0)),"")</f>
        <v>Ward</v>
      </c>
      <c r="AW109" s="123">
        <f t="shared" si="1"/>
        <v>24</v>
      </c>
      <c r="AX109" s="113">
        <v>4</v>
      </c>
    </row>
    <row r="110" spans="1:50" x14ac:dyDescent="0.25">
      <c r="A110" s="117" t="s">
        <v>551</v>
      </c>
      <c r="B110" s="118">
        <v>2025</v>
      </c>
      <c r="C110" s="118">
        <v>5</v>
      </c>
      <c r="D110" s="119">
        <v>3.8513099999999998</v>
      </c>
      <c r="E110" s="119">
        <v>6.8502199999999999E-2</v>
      </c>
      <c r="F110" s="119"/>
      <c r="G110" s="119">
        <v>0.44188699999999997</v>
      </c>
      <c r="H110" s="119">
        <v>107</v>
      </c>
      <c r="I110" s="119">
        <v>151</v>
      </c>
      <c r="J110" s="119">
        <v>0.70860000000000001</v>
      </c>
      <c r="K110" s="119">
        <v>5.1706000000000003</v>
      </c>
      <c r="L110" s="119">
        <v>8.0595999999999997</v>
      </c>
      <c r="M110" s="119">
        <v>9</v>
      </c>
      <c r="N110" s="119">
        <v>2</v>
      </c>
      <c r="O110" s="119">
        <v>8</v>
      </c>
      <c r="P110" s="119">
        <v>31</v>
      </c>
      <c r="Q110" s="119">
        <v>221</v>
      </c>
      <c r="R110" s="119">
        <v>7.1289999999999996</v>
      </c>
      <c r="S110" s="119">
        <v>3</v>
      </c>
      <c r="T110" s="119">
        <v>5.96E-2</v>
      </c>
      <c r="U110" s="119">
        <v>1.32E-2</v>
      </c>
      <c r="V110" s="119">
        <v>4.6399999999999997E-2</v>
      </c>
      <c r="W110" s="119">
        <v>0.5222</v>
      </c>
      <c r="X110" s="119">
        <v>109.065</v>
      </c>
      <c r="Y110" s="119">
        <v>7.9560000000000004</v>
      </c>
      <c r="Z110" s="119">
        <v>297.66699999999997</v>
      </c>
      <c r="AA110" s="119">
        <v>72.099999999999994</v>
      </c>
      <c r="AB110" s="119">
        <v>66.627099999999999</v>
      </c>
      <c r="AC110" s="119">
        <v>0.32819999999999999</v>
      </c>
      <c r="AD110" s="119">
        <v>7.51E-2</v>
      </c>
      <c r="AE110" s="119">
        <v>5.2299999999999999E-2</v>
      </c>
      <c r="AF110" s="119">
        <v>4.6100000000000002E-2</v>
      </c>
      <c r="AG110" s="119">
        <v>4.6600000000000003E-2</v>
      </c>
      <c r="AH110" s="119">
        <v>-6.7900000000000002E-2</v>
      </c>
      <c r="AI110" s="119">
        <v>6.4000000000000001E-2</v>
      </c>
      <c r="AJ110" s="119">
        <v>1.34E-2</v>
      </c>
      <c r="AK110" s="119">
        <v>7.298</v>
      </c>
      <c r="AL110" s="119">
        <v>-1.2318</v>
      </c>
      <c r="AM110" s="119">
        <v>4</v>
      </c>
      <c r="AN110" s="119">
        <v>1</v>
      </c>
      <c r="AO110" s="119">
        <v>0</v>
      </c>
      <c r="AP110" s="119">
        <v>1</v>
      </c>
      <c r="AQ110" s="119">
        <v>2</v>
      </c>
      <c r="AR110" s="119">
        <v>0.5</v>
      </c>
      <c r="AS110" s="119">
        <v>8.0000000000000002E-3</v>
      </c>
      <c r="AT110" s="119">
        <v>1.6167</v>
      </c>
      <c r="AU110" s="121" t="str">
        <f>IF(A110&lt;&gt;"",INDEX(Index!$B$1:$B$77,MATCH($A110,Index!$A$1:$A$77,0)),"")</f>
        <v>BUF</v>
      </c>
      <c r="AV110" s="124" t="str">
        <f>IF(B110&lt;&gt;"",INDEX(Index!$C$1:$C$77,MATCH($A110,Index!$A$1:$A$77,0)),"")</f>
        <v>Allen</v>
      </c>
      <c r="AW110" s="124">
        <f t="shared" si="1"/>
        <v>1</v>
      </c>
      <c r="AX110" s="120">
        <v>5</v>
      </c>
    </row>
    <row r="111" spans="1:50" x14ac:dyDescent="0.25">
      <c r="A111" s="95" t="s">
        <v>550</v>
      </c>
      <c r="B111" s="96">
        <v>2025</v>
      </c>
      <c r="C111" s="96">
        <v>4</v>
      </c>
      <c r="D111" s="115">
        <v>3.1566000000000001</v>
      </c>
      <c r="E111" s="115">
        <v>-0.52360799999999996</v>
      </c>
      <c r="F111" s="115"/>
      <c r="G111" s="115">
        <v>-0.37244300000000002</v>
      </c>
      <c r="H111" s="115">
        <v>68</v>
      </c>
      <c r="I111" s="115">
        <v>95</v>
      </c>
      <c r="J111" s="115">
        <v>0.71579999999999999</v>
      </c>
      <c r="K111" s="115">
        <v>9.0829000000000004</v>
      </c>
      <c r="L111" s="115">
        <v>9.1473999999999993</v>
      </c>
      <c r="M111" s="115">
        <v>10</v>
      </c>
      <c r="N111" s="115">
        <v>1</v>
      </c>
      <c r="O111" s="115">
        <v>15</v>
      </c>
      <c r="P111" s="115">
        <v>21</v>
      </c>
      <c r="Q111" s="115">
        <v>166</v>
      </c>
      <c r="R111" s="115">
        <v>7.9047999999999998</v>
      </c>
      <c r="S111" s="115">
        <v>1</v>
      </c>
      <c r="T111" s="115">
        <v>0.1053</v>
      </c>
      <c r="U111" s="115">
        <v>1.0500000000000001E-2</v>
      </c>
      <c r="V111" s="115">
        <v>9.4700000000000006E-2</v>
      </c>
      <c r="W111" s="115">
        <v>0.51819999999999999</v>
      </c>
      <c r="X111" s="115">
        <v>130.548</v>
      </c>
      <c r="Y111" s="115">
        <v>8.3727</v>
      </c>
      <c r="Z111" s="115">
        <v>241.33199999999999</v>
      </c>
      <c r="AA111" s="115">
        <v>74</v>
      </c>
      <c r="AB111" s="115">
        <v>37.932699999999997</v>
      </c>
      <c r="AC111" s="115">
        <v>0.27689999999999998</v>
      </c>
      <c r="AD111" s="115">
        <v>5.3400000000000003E-2</v>
      </c>
      <c r="AE111" s="115">
        <v>-9.6100000000000005E-2</v>
      </c>
      <c r="AF111" s="115">
        <v>4.9399999999999999E-2</v>
      </c>
      <c r="AG111" s="115">
        <v>3.8899999999999997E-2</v>
      </c>
      <c r="AH111" s="115">
        <v>0.1459</v>
      </c>
      <c r="AI111" s="115">
        <v>3.3999999999999998E-3</v>
      </c>
      <c r="AJ111" s="115">
        <v>-1.6500000000000001E-2</v>
      </c>
      <c r="AK111" s="115">
        <v>8.8210999999999995</v>
      </c>
      <c r="AL111" s="115">
        <v>-0.56840000000000002</v>
      </c>
      <c r="AM111" s="115">
        <v>1</v>
      </c>
      <c r="AN111" s="115">
        <v>3</v>
      </c>
      <c r="AO111" s="115">
        <v>0</v>
      </c>
      <c r="AP111" s="115">
        <v>0</v>
      </c>
      <c r="AQ111" s="115">
        <v>1</v>
      </c>
      <c r="AR111" s="115">
        <v>0</v>
      </c>
      <c r="AS111" s="115">
        <v>4.5999999999999999E-3</v>
      </c>
      <c r="AT111" s="115">
        <v>0.63619999999999999</v>
      </c>
      <c r="AU111" s="114" t="str">
        <f>IF(A111&lt;&gt;"",INDEX(Index!$B$1:$B$77,MATCH($A111,Index!$A$1:$A$77,0)),"")</f>
        <v>BAL</v>
      </c>
      <c r="AV111" s="123" t="str">
        <f>IF(B111&lt;&gt;"",INDEX(Index!$C$1:$C$77,MATCH($A111,Index!$A$1:$A$77,0)),"")</f>
        <v>Jackson</v>
      </c>
      <c r="AW111" s="123">
        <f t="shared" si="1"/>
        <v>6</v>
      </c>
      <c r="AX111" s="113">
        <v>5</v>
      </c>
    </row>
    <row r="112" spans="1:50" x14ac:dyDescent="0.25">
      <c r="A112" s="95" t="s">
        <v>552</v>
      </c>
      <c r="B112" s="96">
        <v>2025</v>
      </c>
      <c r="C112" s="96">
        <v>5</v>
      </c>
      <c r="D112" s="115">
        <v>2.9399600000000001</v>
      </c>
      <c r="E112" s="115">
        <v>0.55587399999999998</v>
      </c>
      <c r="F112" s="115"/>
      <c r="G112" s="115">
        <v>0.78629300000000002</v>
      </c>
      <c r="H112" s="115">
        <v>116</v>
      </c>
      <c r="I112" s="115">
        <v>182</v>
      </c>
      <c r="J112" s="115">
        <v>0.63739999999999997</v>
      </c>
      <c r="K112" s="115">
        <v>2.1600000000000001E-2</v>
      </c>
      <c r="L112" s="115">
        <v>6.9066000000000001</v>
      </c>
      <c r="M112" s="115">
        <v>8</v>
      </c>
      <c r="N112" s="115">
        <v>2</v>
      </c>
      <c r="O112" s="115">
        <v>7</v>
      </c>
      <c r="P112" s="115">
        <v>25</v>
      </c>
      <c r="Q112" s="115">
        <v>193</v>
      </c>
      <c r="R112" s="115">
        <v>7.72</v>
      </c>
      <c r="S112" s="115">
        <v>3</v>
      </c>
      <c r="T112" s="115">
        <v>4.3999999999999997E-2</v>
      </c>
      <c r="U112" s="115">
        <v>1.0999999999999999E-2</v>
      </c>
      <c r="V112" s="115">
        <v>3.3000000000000002E-2</v>
      </c>
      <c r="W112" s="115">
        <v>0.52439999999999998</v>
      </c>
      <c r="X112" s="115">
        <v>94.047600000000003</v>
      </c>
      <c r="Y112" s="115">
        <v>6.7460000000000004</v>
      </c>
      <c r="Z112" s="115">
        <v>276.21199999999999</v>
      </c>
      <c r="AA112" s="115">
        <v>75.099999999999994</v>
      </c>
      <c r="AB112" s="115">
        <v>42.595100000000002</v>
      </c>
      <c r="AC112" s="115">
        <v>0.1893</v>
      </c>
      <c r="AD112" s="115">
        <v>3.3399999999999999E-2</v>
      </c>
      <c r="AE112" s="115">
        <v>5.2200000000000003E-2</v>
      </c>
      <c r="AF112" s="115">
        <v>-5.4999999999999997E-3</v>
      </c>
      <c r="AG112" s="115">
        <v>-1.61E-2</v>
      </c>
      <c r="AH112" s="115">
        <v>-1E-4</v>
      </c>
      <c r="AI112" s="115">
        <v>3.7999999999999999E-2</v>
      </c>
      <c r="AJ112" s="115">
        <v>-1.0999999999999999E-2</v>
      </c>
      <c r="AK112" s="115">
        <v>8.5658999999999992</v>
      </c>
      <c r="AL112" s="115">
        <v>0.21429999999999999</v>
      </c>
      <c r="AM112" s="115">
        <v>2</v>
      </c>
      <c r="AN112" s="115">
        <v>3</v>
      </c>
      <c r="AO112" s="115">
        <v>0</v>
      </c>
      <c r="AP112" s="115">
        <v>0</v>
      </c>
      <c r="AQ112" s="115">
        <v>3</v>
      </c>
      <c r="AR112" s="115">
        <v>0</v>
      </c>
      <c r="AS112" s="115">
        <v>3.8999999999999998E-3</v>
      </c>
      <c r="AT112" s="115">
        <v>0.88529999999999998</v>
      </c>
      <c r="AU112" s="114" t="str">
        <f>IF(A112&lt;&gt;"",INDEX(Index!$B$1:$B$77,MATCH($A112,Index!$A$1:$A$77,0)),"")</f>
        <v>KC</v>
      </c>
      <c r="AV112" s="123" t="str">
        <f>IF(B112&lt;&gt;"",INDEX(Index!$C$1:$C$77,MATCH($A112,Index!$A$1:$A$77,0)),"")</f>
        <v>Mahomes</v>
      </c>
      <c r="AW112" s="123">
        <f t="shared" si="1"/>
        <v>3</v>
      </c>
      <c r="AX112" s="113">
        <v>5</v>
      </c>
    </row>
    <row r="113" spans="1:50" x14ac:dyDescent="0.25">
      <c r="A113" s="95" t="s">
        <v>555</v>
      </c>
      <c r="B113" s="96">
        <v>2025</v>
      </c>
      <c r="C113" s="96">
        <v>5</v>
      </c>
      <c r="D113" s="115">
        <v>2.2778</v>
      </c>
      <c r="E113" s="115">
        <v>0.37519200000000003</v>
      </c>
      <c r="F113" s="115"/>
      <c r="G113" s="115">
        <v>1.0825499999999999</v>
      </c>
      <c r="H113" s="115">
        <v>139</v>
      </c>
      <c r="I113" s="115">
        <v>194</v>
      </c>
      <c r="J113" s="115">
        <v>0.71650000000000003</v>
      </c>
      <c r="K113" s="115">
        <v>5.3632</v>
      </c>
      <c r="L113" s="115">
        <v>6.9897</v>
      </c>
      <c r="M113" s="115">
        <v>10</v>
      </c>
      <c r="N113" s="115">
        <v>3</v>
      </c>
      <c r="O113" s="115">
        <v>7</v>
      </c>
      <c r="P113" s="115">
        <v>8</v>
      </c>
      <c r="Q113" s="115">
        <v>51</v>
      </c>
      <c r="R113" s="115">
        <v>6.375</v>
      </c>
      <c r="S113" s="115">
        <v>1</v>
      </c>
      <c r="T113" s="115">
        <v>5.1499999999999997E-2</v>
      </c>
      <c r="U113" s="115">
        <v>1.55E-2</v>
      </c>
      <c r="V113" s="115">
        <v>3.61E-2</v>
      </c>
      <c r="W113" s="115">
        <v>0.48199999999999998</v>
      </c>
      <c r="X113" s="115">
        <v>101.654</v>
      </c>
      <c r="Y113" s="115">
        <v>6.8905000000000003</v>
      </c>
      <c r="Z113" s="115">
        <v>270.65600000000001</v>
      </c>
      <c r="AA113" s="115">
        <v>76.5</v>
      </c>
      <c r="AB113" s="115">
        <v>55.691899999999997</v>
      </c>
      <c r="AC113" s="115">
        <v>0.25090000000000001</v>
      </c>
      <c r="AD113" s="115">
        <v>-2.2100000000000002E-2</v>
      </c>
      <c r="AE113" s="115">
        <v>4.65E-2</v>
      </c>
      <c r="AF113" s="115">
        <v>2.69E-2</v>
      </c>
      <c r="AG113" s="115">
        <v>9.4000000000000004E-3</v>
      </c>
      <c r="AH113" s="115">
        <v>3.6900000000000002E-2</v>
      </c>
      <c r="AI113" s="115">
        <v>3.2099999999999997E-2</v>
      </c>
      <c r="AJ113" s="115">
        <v>2.2599999999999999E-2</v>
      </c>
      <c r="AK113" s="115">
        <v>7.4278000000000004</v>
      </c>
      <c r="AL113" s="115">
        <v>-0.96389999999999998</v>
      </c>
      <c r="AM113" s="115">
        <v>2</v>
      </c>
      <c r="AN113" s="115">
        <v>2</v>
      </c>
      <c r="AO113" s="115">
        <v>1</v>
      </c>
      <c r="AP113" s="115">
        <v>1</v>
      </c>
      <c r="AQ113" s="115">
        <v>3</v>
      </c>
      <c r="AR113" s="115">
        <v>0.33329999999999999</v>
      </c>
      <c r="AS113" s="115">
        <v>9.5999999999999992E-3</v>
      </c>
      <c r="AT113" s="115">
        <v>2.1375000000000002</v>
      </c>
      <c r="AU113" s="114" t="str">
        <f>IF(A113&lt;&gt;"",INDEX(Index!$B$1:$B$77,MATCH($A113,Index!$A$1:$A$77,0)),"")</f>
        <v>DAL</v>
      </c>
      <c r="AV113" s="123" t="str">
        <f>IF(B113&lt;&gt;"",INDEX(Index!$C$1:$C$77,MATCH($A113,Index!$A$1:$A$77,0)),"")</f>
        <v>Prescott</v>
      </c>
      <c r="AW113" s="123">
        <f t="shared" si="1"/>
        <v>24</v>
      </c>
      <c r="AX113" s="113">
        <v>5</v>
      </c>
    </row>
    <row r="114" spans="1:50" x14ac:dyDescent="0.25">
      <c r="A114" s="95" t="s">
        <v>559</v>
      </c>
      <c r="B114" s="96">
        <v>2025</v>
      </c>
      <c r="C114" s="96">
        <v>5</v>
      </c>
      <c r="D114" s="115">
        <v>1.82016</v>
      </c>
      <c r="E114" s="115">
        <v>0.81977900000000004</v>
      </c>
      <c r="F114" s="115"/>
      <c r="G114" s="115">
        <v>1.1786099999999999</v>
      </c>
      <c r="H114" s="115">
        <v>112</v>
      </c>
      <c r="I114" s="115">
        <v>171</v>
      </c>
      <c r="J114" s="115">
        <v>0.65500000000000003</v>
      </c>
      <c r="K114" s="115">
        <v>0.28960000000000002</v>
      </c>
      <c r="L114" s="115">
        <v>7.5029000000000003</v>
      </c>
      <c r="M114" s="115">
        <v>10</v>
      </c>
      <c r="N114" s="115">
        <v>1</v>
      </c>
      <c r="O114" s="115">
        <v>9</v>
      </c>
      <c r="P114" s="115">
        <v>16</v>
      </c>
      <c r="Q114" s="115">
        <v>147</v>
      </c>
      <c r="R114" s="115">
        <v>9.1875</v>
      </c>
      <c r="S114" s="115">
        <v>0</v>
      </c>
      <c r="T114" s="115">
        <v>5.8500000000000003E-2</v>
      </c>
      <c r="U114" s="115">
        <v>5.7999999999999996E-3</v>
      </c>
      <c r="V114" s="115">
        <v>5.2600000000000001E-2</v>
      </c>
      <c r="W114" s="115">
        <v>0.47420000000000001</v>
      </c>
      <c r="X114" s="115">
        <v>104.983</v>
      </c>
      <c r="Y114" s="115">
        <v>7.6222000000000003</v>
      </c>
      <c r="Z114" s="115">
        <v>264.64600000000002</v>
      </c>
      <c r="AA114" s="115">
        <v>68.8</v>
      </c>
      <c r="AB114" s="115">
        <v>55.201300000000003</v>
      </c>
      <c r="AC114" s="115">
        <v>0.25919999999999999</v>
      </c>
      <c r="AD114" s="115">
        <v>4.2900000000000001E-2</v>
      </c>
      <c r="AE114" s="115">
        <v>2.7099999999999999E-2</v>
      </c>
      <c r="AF114" s="115">
        <v>-1E-3</v>
      </c>
      <c r="AG114" s="115">
        <v>4.4400000000000002E-2</v>
      </c>
      <c r="AH114" s="115">
        <v>-3.9399999999999998E-2</v>
      </c>
      <c r="AI114" s="115">
        <v>8.8300000000000003E-2</v>
      </c>
      <c r="AJ114" s="115">
        <v>-1.6000000000000001E-3</v>
      </c>
      <c r="AK114" s="115">
        <v>8.4560999999999993</v>
      </c>
      <c r="AL114" s="115">
        <v>-0.4854</v>
      </c>
      <c r="AM114" s="115">
        <v>4</v>
      </c>
      <c r="AN114" s="115">
        <v>1</v>
      </c>
      <c r="AO114" s="115">
        <v>0</v>
      </c>
      <c r="AP114" s="115">
        <v>4</v>
      </c>
      <c r="AQ114" s="115">
        <v>5</v>
      </c>
      <c r="AR114" s="115">
        <v>0.8</v>
      </c>
      <c r="AS114" s="115">
        <v>9.2999999999999992E-3</v>
      </c>
      <c r="AT114" s="115">
        <v>1.9762999999999999</v>
      </c>
      <c r="AU114" s="114" t="str">
        <f>IF(A114&lt;&gt;"",INDEX(Index!$B$1:$B$77,MATCH($A114,Index!$A$1:$A$77,0)),"")</f>
        <v>TB</v>
      </c>
      <c r="AV114" s="123" t="str">
        <f>IF(B114&lt;&gt;"",INDEX(Index!$C$1:$C$77,MATCH($A114,Index!$A$1:$A$77,0)),"")</f>
        <v>Mayfield</v>
      </c>
      <c r="AW114" s="123">
        <f t="shared" si="1"/>
        <v>8</v>
      </c>
      <c r="AX114" s="113">
        <v>5</v>
      </c>
    </row>
    <row r="115" spans="1:50" x14ac:dyDescent="0.25">
      <c r="A115" s="95" t="s">
        <v>553</v>
      </c>
      <c r="B115" s="96">
        <v>2025</v>
      </c>
      <c r="C115" s="96">
        <v>5</v>
      </c>
      <c r="D115" s="115">
        <v>1.5864199999999999</v>
      </c>
      <c r="E115" s="115">
        <v>2.0931999999999999E-2</v>
      </c>
      <c r="F115" s="115"/>
      <c r="G115" s="115">
        <v>0.54851399999999995</v>
      </c>
      <c r="H115" s="115">
        <v>109</v>
      </c>
      <c r="I115" s="115">
        <v>145</v>
      </c>
      <c r="J115" s="115">
        <v>0.75170000000000003</v>
      </c>
      <c r="K115" s="115">
        <v>10.971299999999999</v>
      </c>
      <c r="L115" s="115">
        <v>8.1861999999999995</v>
      </c>
      <c r="M115" s="115">
        <v>12</v>
      </c>
      <c r="N115" s="115">
        <v>2</v>
      </c>
      <c r="O115" s="115">
        <v>8</v>
      </c>
      <c r="P115" s="115">
        <v>3</v>
      </c>
      <c r="Q115" s="115">
        <v>13</v>
      </c>
      <c r="R115" s="115">
        <v>4.3333000000000004</v>
      </c>
      <c r="S115" s="115">
        <v>0</v>
      </c>
      <c r="T115" s="115">
        <v>8.2799999999999999E-2</v>
      </c>
      <c r="U115" s="115">
        <v>1.38E-2</v>
      </c>
      <c r="V115" s="115">
        <v>6.9000000000000006E-2</v>
      </c>
      <c r="W115" s="115">
        <v>0.55559999999999998</v>
      </c>
      <c r="X115" s="115">
        <v>120.675</v>
      </c>
      <c r="Y115" s="115">
        <v>8.4837000000000007</v>
      </c>
      <c r="Z115" s="115">
        <v>243.13300000000001</v>
      </c>
      <c r="AA115" s="115">
        <v>70.599999999999994</v>
      </c>
      <c r="AB115" s="115">
        <v>50.794800000000002</v>
      </c>
      <c r="AC115" s="115">
        <v>0.3135</v>
      </c>
      <c r="AD115" s="115">
        <v>-3.4599999999999999E-2</v>
      </c>
      <c r="AE115" s="115">
        <v>-1.6299999999999999E-2</v>
      </c>
      <c r="AF115" s="115">
        <v>3.0599999999999999E-2</v>
      </c>
      <c r="AG115" s="115">
        <v>2.6700000000000002E-2</v>
      </c>
      <c r="AH115" s="115">
        <v>7.2900000000000006E-2</v>
      </c>
      <c r="AI115" s="115">
        <v>0.15670000000000001</v>
      </c>
      <c r="AJ115" s="115">
        <v>-2.0899999999999998E-2</v>
      </c>
      <c r="AK115" s="115">
        <v>7.3379000000000003</v>
      </c>
      <c r="AL115" s="115">
        <v>-0.88970000000000005</v>
      </c>
      <c r="AM115" s="115">
        <v>4</v>
      </c>
      <c r="AN115" s="115">
        <v>1</v>
      </c>
      <c r="AO115" s="115">
        <v>0</v>
      </c>
      <c r="AP115" s="115">
        <v>0</v>
      </c>
      <c r="AQ115" s="115">
        <v>0</v>
      </c>
      <c r="AR115" s="115"/>
      <c r="AS115" s="115">
        <v>5.4000000000000003E-3</v>
      </c>
      <c r="AT115" s="115">
        <v>0.87690000000000001</v>
      </c>
      <c r="AU115" s="114" t="str">
        <f>IF(A115&lt;&gt;"",INDEX(Index!$B$1:$B$77,MATCH($A115,Index!$A$1:$A$77,0)),"")</f>
        <v>DET</v>
      </c>
      <c r="AV115" s="123" t="str">
        <f>IF(B115&lt;&gt;"",INDEX(Index!$C$1:$C$77,MATCH($A115,Index!$A$1:$A$77,0)),"")</f>
        <v>Goff</v>
      </c>
      <c r="AW115" s="123">
        <f t="shared" si="1"/>
        <v>36</v>
      </c>
      <c r="AX115" s="113">
        <v>5</v>
      </c>
    </row>
    <row r="116" spans="1:50" x14ac:dyDescent="0.25">
      <c r="A116" s="95" t="s">
        <v>554</v>
      </c>
      <c r="B116" s="96">
        <v>2025</v>
      </c>
      <c r="C116" s="96">
        <v>5</v>
      </c>
      <c r="D116" s="115">
        <v>1.1795199999999999</v>
      </c>
      <c r="E116" s="115">
        <v>-0.30412</v>
      </c>
      <c r="F116" s="115"/>
      <c r="G116" s="115">
        <v>-0.19552900000000001</v>
      </c>
      <c r="H116" s="115">
        <v>93</v>
      </c>
      <c r="I116" s="115">
        <v>139</v>
      </c>
      <c r="J116" s="115">
        <v>0.66910000000000003</v>
      </c>
      <c r="K116" s="115">
        <v>3.8231999999999999</v>
      </c>
      <c r="L116" s="115">
        <v>6.3956999999999997</v>
      </c>
      <c r="M116" s="115">
        <v>7</v>
      </c>
      <c r="N116" s="115">
        <v>0</v>
      </c>
      <c r="O116" s="115">
        <v>15</v>
      </c>
      <c r="P116" s="115">
        <v>35</v>
      </c>
      <c r="Q116" s="115">
        <v>189</v>
      </c>
      <c r="R116" s="115">
        <v>5.4</v>
      </c>
      <c r="S116" s="115">
        <v>4</v>
      </c>
      <c r="T116" s="115">
        <v>5.04E-2</v>
      </c>
      <c r="U116" s="115">
        <v>0</v>
      </c>
      <c r="V116" s="115">
        <v>5.04E-2</v>
      </c>
      <c r="W116" s="115">
        <v>0.47720000000000001</v>
      </c>
      <c r="X116" s="115">
        <v>101.274</v>
      </c>
      <c r="Y116" s="115">
        <v>6.1623000000000001</v>
      </c>
      <c r="Z116" s="115">
        <v>201.35</v>
      </c>
      <c r="AA116" s="115">
        <v>64.099999999999994</v>
      </c>
      <c r="AB116" s="115">
        <v>18.684999999999999</v>
      </c>
      <c r="AC116" s="115">
        <v>9.4799999999999995E-2</v>
      </c>
      <c r="AD116" s="115">
        <v>6.6900000000000001E-2</v>
      </c>
      <c r="AE116" s="115">
        <v>-3.5200000000000002E-2</v>
      </c>
      <c r="AF116" s="115">
        <v>2.0400000000000001E-2</v>
      </c>
      <c r="AG116" s="115">
        <v>7.1499999999999994E-2</v>
      </c>
      <c r="AH116" s="115">
        <v>-2.7199999999999998E-2</v>
      </c>
      <c r="AI116" s="115">
        <v>-8.6599999999999996E-2</v>
      </c>
      <c r="AJ116" s="115">
        <v>-1.35E-2</v>
      </c>
      <c r="AK116" s="115">
        <v>8.2086000000000006</v>
      </c>
      <c r="AL116" s="115">
        <v>-0.4173</v>
      </c>
      <c r="AM116" s="115">
        <v>4</v>
      </c>
      <c r="AN116" s="115">
        <v>1</v>
      </c>
      <c r="AO116" s="115">
        <v>0</v>
      </c>
      <c r="AP116" s="115">
        <v>1</v>
      </c>
      <c r="AQ116" s="115">
        <v>2</v>
      </c>
      <c r="AR116" s="115">
        <v>0.5</v>
      </c>
      <c r="AS116" s="115">
        <v>3.0999999999999999E-3</v>
      </c>
      <c r="AT116" s="115">
        <v>0.60970000000000002</v>
      </c>
      <c r="AU116" s="114" t="str">
        <f>IF(A116&lt;&gt;"",INDEX(Index!$B$1:$B$77,MATCH($A116,Index!$A$1:$A$77,0)),"")</f>
        <v>PHI</v>
      </c>
      <c r="AV116" s="123" t="str">
        <f>IF(B116&lt;&gt;"",INDEX(Index!$C$1:$C$77,MATCH($A116,Index!$A$1:$A$77,0)),"")</f>
        <v>Hurts</v>
      </c>
      <c r="AW116" s="123">
        <f t="shared" si="1"/>
        <v>4</v>
      </c>
      <c r="AX116" s="113">
        <v>5</v>
      </c>
    </row>
    <row r="117" spans="1:50" x14ac:dyDescent="0.25">
      <c r="A117" s="95" t="s">
        <v>567</v>
      </c>
      <c r="B117" s="96">
        <v>2025</v>
      </c>
      <c r="C117" s="96">
        <v>5</v>
      </c>
      <c r="D117" s="115">
        <v>1.1538200000000001</v>
      </c>
      <c r="E117" s="115">
        <v>0.62385999999999997</v>
      </c>
      <c r="F117" s="115"/>
      <c r="G117" s="115">
        <v>1.16246</v>
      </c>
      <c r="H117" s="115">
        <v>122</v>
      </c>
      <c r="I117" s="115">
        <v>181</v>
      </c>
      <c r="J117" s="115">
        <v>0.67400000000000004</v>
      </c>
      <c r="K117" s="115">
        <v>2.3206000000000002</v>
      </c>
      <c r="L117" s="115">
        <v>8.3039000000000005</v>
      </c>
      <c r="M117" s="115">
        <v>11</v>
      </c>
      <c r="N117" s="115">
        <v>2</v>
      </c>
      <c r="O117" s="115">
        <v>9</v>
      </c>
      <c r="P117" s="115">
        <v>3</v>
      </c>
      <c r="Q117" s="115">
        <v>6</v>
      </c>
      <c r="R117" s="115">
        <v>2</v>
      </c>
      <c r="S117" s="115">
        <v>0</v>
      </c>
      <c r="T117" s="115">
        <v>6.08E-2</v>
      </c>
      <c r="U117" s="115">
        <v>1.0999999999999999E-2</v>
      </c>
      <c r="V117" s="115">
        <v>4.9700000000000001E-2</v>
      </c>
      <c r="W117" s="115">
        <v>0.49759999999999999</v>
      </c>
      <c r="X117" s="115">
        <v>108.506</v>
      </c>
      <c r="Y117" s="115">
        <v>8.3053000000000008</v>
      </c>
      <c r="Z117" s="115">
        <v>245.13300000000001</v>
      </c>
      <c r="AA117" s="115">
        <v>66.900000000000006</v>
      </c>
      <c r="AB117" s="115">
        <v>35.271900000000002</v>
      </c>
      <c r="AC117" s="115">
        <v>0.1721</v>
      </c>
      <c r="AD117" s="115">
        <v>-5.8799999999999998E-2</v>
      </c>
      <c r="AE117" s="115">
        <v>1.84E-2</v>
      </c>
      <c r="AF117" s="115">
        <v>-1.12E-2</v>
      </c>
      <c r="AG117" s="115">
        <v>3.6900000000000002E-2</v>
      </c>
      <c r="AH117" s="115">
        <v>0.1338</v>
      </c>
      <c r="AI117" s="115">
        <v>-2.7300000000000001E-2</v>
      </c>
      <c r="AJ117" s="115">
        <v>-1.83E-2</v>
      </c>
      <c r="AK117" s="115">
        <v>8.4308999999999994</v>
      </c>
      <c r="AL117" s="115">
        <v>-7.1800000000000003E-2</v>
      </c>
      <c r="AM117" s="115">
        <v>3</v>
      </c>
      <c r="AN117" s="115">
        <v>2</v>
      </c>
      <c r="AO117" s="115">
        <v>0</v>
      </c>
      <c r="AP117" s="115">
        <v>1</v>
      </c>
      <c r="AQ117" s="115">
        <v>3</v>
      </c>
      <c r="AR117" s="115">
        <v>0.33329999999999999</v>
      </c>
      <c r="AS117" s="115">
        <v>8.3000000000000001E-3</v>
      </c>
      <c r="AT117" s="115">
        <v>1.7033</v>
      </c>
      <c r="AU117" s="114" t="str">
        <f>IF(A117&lt;&gt;"",INDEX(Index!$B$1:$B$77,MATCH($A117,Index!$A$1:$A$77,0)),"")</f>
        <v>LAR</v>
      </c>
      <c r="AV117" s="123" t="str">
        <f>IF(B117&lt;&gt;"",INDEX(Index!$C$1:$C$77,MATCH($A117,Index!$A$1:$A$77,0)),"")</f>
        <v>Stafford</v>
      </c>
      <c r="AW117" s="123">
        <f t="shared" si="1"/>
        <v>37</v>
      </c>
      <c r="AX117" s="113">
        <v>5</v>
      </c>
    </row>
    <row r="118" spans="1:50" x14ac:dyDescent="0.25">
      <c r="A118" s="95" t="s">
        <v>561</v>
      </c>
      <c r="B118" s="96">
        <v>2025</v>
      </c>
      <c r="C118" s="96">
        <v>5</v>
      </c>
      <c r="D118" s="115">
        <v>1.05158</v>
      </c>
      <c r="E118" s="115">
        <v>1.4478100000000001E-2</v>
      </c>
      <c r="F118" s="115"/>
      <c r="G118" s="115">
        <v>7.1585700000000002E-2</v>
      </c>
      <c r="H118" s="115">
        <v>114</v>
      </c>
      <c r="I118" s="115">
        <v>176</v>
      </c>
      <c r="J118" s="115">
        <v>0.64770000000000005</v>
      </c>
      <c r="K118" s="115">
        <v>-1.4923999999999999</v>
      </c>
      <c r="L118" s="115">
        <v>6.2670000000000003</v>
      </c>
      <c r="M118" s="115">
        <v>8</v>
      </c>
      <c r="N118" s="115">
        <v>4</v>
      </c>
      <c r="O118" s="115">
        <v>5</v>
      </c>
      <c r="P118" s="115">
        <v>22</v>
      </c>
      <c r="Q118" s="115">
        <v>106</v>
      </c>
      <c r="R118" s="115">
        <v>4.8182</v>
      </c>
      <c r="S118" s="115">
        <v>1</v>
      </c>
      <c r="T118" s="115">
        <v>4.5499999999999999E-2</v>
      </c>
      <c r="U118" s="115">
        <v>2.2700000000000001E-2</v>
      </c>
      <c r="V118" s="115">
        <v>2.2700000000000001E-2</v>
      </c>
      <c r="W118" s="115">
        <v>0.43780000000000002</v>
      </c>
      <c r="X118" s="115">
        <v>87.855099999999993</v>
      </c>
      <c r="Y118" s="115">
        <v>5.8177000000000003</v>
      </c>
      <c r="Z118" s="115">
        <v>197.29300000000001</v>
      </c>
      <c r="AA118" s="115">
        <v>55</v>
      </c>
      <c r="AB118" s="115">
        <v>16.0991</v>
      </c>
      <c r="AC118" s="115">
        <v>7.4200000000000002E-2</v>
      </c>
      <c r="AD118" s="115">
        <v>-3.3700000000000001E-2</v>
      </c>
      <c r="AE118" s="115">
        <v>4.7399999999999998E-2</v>
      </c>
      <c r="AF118" s="115">
        <v>-2.5999999999999999E-3</v>
      </c>
      <c r="AG118" s="115">
        <v>-5.7000000000000002E-3</v>
      </c>
      <c r="AH118" s="115">
        <v>-0.1176</v>
      </c>
      <c r="AI118" s="115">
        <v>0.1104</v>
      </c>
      <c r="AJ118" s="115">
        <v>-2.24E-2</v>
      </c>
      <c r="AK118" s="115">
        <v>6.9943</v>
      </c>
      <c r="AL118" s="115">
        <v>-2.3864000000000001</v>
      </c>
      <c r="AM118" s="115">
        <v>3</v>
      </c>
      <c r="AN118" s="115">
        <v>2</v>
      </c>
      <c r="AO118" s="115">
        <v>0</v>
      </c>
      <c r="AP118" s="115">
        <v>1</v>
      </c>
      <c r="AQ118" s="115">
        <v>1</v>
      </c>
      <c r="AR118" s="115">
        <v>1</v>
      </c>
      <c r="AS118" s="115">
        <v>2.3E-3</v>
      </c>
      <c r="AT118" s="115">
        <v>0.4889</v>
      </c>
      <c r="AU118" s="114" t="str">
        <f>IF(A118&lt;&gt;"",INDEX(Index!$B$1:$B$77,MATCH($A118,Index!$A$1:$A$77,0)),"")</f>
        <v>DEN</v>
      </c>
      <c r="AV118" s="123" t="str">
        <f>IF(B118&lt;&gt;"",INDEX(Index!$C$1:$C$77,MATCH($A118,Index!$A$1:$A$77,0)),"")</f>
        <v>Nix</v>
      </c>
      <c r="AW118" s="123">
        <f t="shared" si="1"/>
        <v>15</v>
      </c>
      <c r="AX118" s="113">
        <v>5</v>
      </c>
    </row>
    <row r="119" spans="1:50" x14ac:dyDescent="0.25">
      <c r="A119" s="95" t="s">
        <v>557</v>
      </c>
      <c r="B119" s="96">
        <v>2025</v>
      </c>
      <c r="C119" s="96">
        <v>2</v>
      </c>
      <c r="D119" s="115">
        <v>0.97246999999999995</v>
      </c>
      <c r="E119" s="115">
        <v>-0.72667099999999996</v>
      </c>
      <c r="F119" s="115"/>
      <c r="G119" s="115">
        <v>-1.3634200000000001</v>
      </c>
      <c r="H119" s="115">
        <v>21</v>
      </c>
      <c r="I119" s="115">
        <v>36</v>
      </c>
      <c r="J119" s="115">
        <v>0.58330000000000004</v>
      </c>
      <c r="K119" s="115">
        <v>-1.5459000000000001</v>
      </c>
      <c r="L119" s="115">
        <v>5.25</v>
      </c>
      <c r="M119" s="115">
        <v>2</v>
      </c>
      <c r="N119" s="115">
        <v>0</v>
      </c>
      <c r="O119" s="115">
        <v>5</v>
      </c>
      <c r="P119" s="115">
        <v>2</v>
      </c>
      <c r="Q119" s="115">
        <v>3</v>
      </c>
      <c r="R119" s="115">
        <v>1.5</v>
      </c>
      <c r="S119" s="115">
        <v>0</v>
      </c>
      <c r="T119" s="115">
        <v>5.5599999999999997E-2</v>
      </c>
      <c r="U119" s="115">
        <v>0</v>
      </c>
      <c r="V119" s="115">
        <v>5.5599999999999997E-2</v>
      </c>
      <c r="W119" s="115">
        <v>0.43480000000000002</v>
      </c>
      <c r="X119" s="115">
        <v>91.087999999999994</v>
      </c>
      <c r="Y119" s="115">
        <v>4.9512</v>
      </c>
      <c r="Z119" s="115">
        <v>25.4618</v>
      </c>
      <c r="AA119" s="115">
        <v>56</v>
      </c>
      <c r="AB119" s="115">
        <v>-0.90390000000000004</v>
      </c>
      <c r="AC119" s="115">
        <v>-1.9599999999999999E-2</v>
      </c>
      <c r="AD119" s="115">
        <v>-7.1099999999999997E-2</v>
      </c>
      <c r="AE119" s="115">
        <v>-5.2400000000000002E-2</v>
      </c>
      <c r="AF119" s="115">
        <v>-6.4000000000000001E-2</v>
      </c>
      <c r="AG119" s="115">
        <v>7.1499999999999994E-2</v>
      </c>
      <c r="AH119" s="115">
        <v>0.19400000000000001</v>
      </c>
      <c r="AI119" s="115">
        <v>-0.19239999999999999</v>
      </c>
      <c r="AJ119" s="115">
        <v>-3.8999999999999998E-3</v>
      </c>
      <c r="AK119" s="115">
        <v>6.8611000000000004</v>
      </c>
      <c r="AL119" s="115">
        <v>-1.0832999999999999</v>
      </c>
      <c r="AM119" s="115">
        <v>2</v>
      </c>
      <c r="AN119" s="115">
        <v>0</v>
      </c>
      <c r="AO119" s="115">
        <v>0</v>
      </c>
      <c r="AP119" s="115">
        <v>0</v>
      </c>
      <c r="AQ119" s="115">
        <v>0</v>
      </c>
      <c r="AR119" s="115"/>
      <c r="AS119" s="115">
        <v>1.6000000000000001E-3</v>
      </c>
      <c r="AT119" s="115">
        <v>7.4800000000000005E-2</v>
      </c>
      <c r="AU119" s="114" t="str">
        <f>IF(A119&lt;&gt;"",INDEX(Index!$B$1:$B$77,MATCH($A119,Index!$A$1:$A$77,0)),"")</f>
        <v>CIN</v>
      </c>
      <c r="AV119" s="123" t="str">
        <f>IF(B119&lt;&gt;"",INDEX(Index!$C$1:$C$77,MATCH($A119,Index!$A$1:$A$77,0)),"")</f>
        <v>Burrow</v>
      </c>
      <c r="AW119" s="123">
        <f t="shared" si="1"/>
        <v>39</v>
      </c>
      <c r="AX119" s="113">
        <v>5</v>
      </c>
    </row>
    <row r="120" spans="1:50" x14ac:dyDescent="0.25">
      <c r="A120" s="95" t="s">
        <v>565</v>
      </c>
      <c r="B120" s="96">
        <v>2025</v>
      </c>
      <c r="C120" s="96">
        <v>5</v>
      </c>
      <c r="D120" s="115">
        <v>0.85739900000000002</v>
      </c>
      <c r="E120" s="115">
        <v>0.27738000000000002</v>
      </c>
      <c r="F120" s="115"/>
      <c r="G120" s="115">
        <v>-0.42014600000000002</v>
      </c>
      <c r="H120" s="115">
        <v>106</v>
      </c>
      <c r="I120" s="115">
        <v>150</v>
      </c>
      <c r="J120" s="115">
        <v>0.70669999999999999</v>
      </c>
      <c r="K120" s="115">
        <v>4.5685000000000002</v>
      </c>
      <c r="L120" s="115">
        <v>6.72</v>
      </c>
      <c r="M120" s="115">
        <v>10</v>
      </c>
      <c r="N120" s="115">
        <v>4</v>
      </c>
      <c r="O120" s="115">
        <v>11</v>
      </c>
      <c r="P120" s="115">
        <v>5</v>
      </c>
      <c r="Q120" s="115">
        <v>26</v>
      </c>
      <c r="R120" s="115">
        <v>5.2</v>
      </c>
      <c r="S120" s="115">
        <v>0</v>
      </c>
      <c r="T120" s="115">
        <v>6.6699999999999995E-2</v>
      </c>
      <c r="U120" s="115">
        <v>2.6700000000000002E-2</v>
      </c>
      <c r="V120" s="115">
        <v>0.04</v>
      </c>
      <c r="W120" s="115">
        <v>0.44629999999999997</v>
      </c>
      <c r="X120" s="115">
        <v>100.083</v>
      </c>
      <c r="Y120" s="115">
        <v>6.0247999999999999</v>
      </c>
      <c r="Z120" s="115">
        <v>163.268</v>
      </c>
      <c r="AA120" s="115">
        <v>51.8</v>
      </c>
      <c r="AB120" s="115">
        <v>15.267300000000001</v>
      </c>
      <c r="AC120" s="115">
        <v>8.6300000000000002E-2</v>
      </c>
      <c r="AD120" s="115">
        <v>-1.5699999999999999E-2</v>
      </c>
      <c r="AE120" s="115">
        <v>-1.2999999999999999E-2</v>
      </c>
      <c r="AF120" s="115">
        <v>1E-3</v>
      </c>
      <c r="AG120" s="115">
        <v>-1.7500000000000002E-2</v>
      </c>
      <c r="AH120" s="115">
        <v>4.8800000000000003E-2</v>
      </c>
      <c r="AI120" s="115">
        <v>3.3799999999999997E-2</v>
      </c>
      <c r="AJ120" s="115">
        <v>-4.9700000000000001E-2</v>
      </c>
      <c r="AK120" s="115">
        <v>6.9667000000000003</v>
      </c>
      <c r="AL120" s="115">
        <v>-1.6533</v>
      </c>
      <c r="AM120" s="115">
        <v>1</v>
      </c>
      <c r="AN120" s="115">
        <v>4</v>
      </c>
      <c r="AO120" s="115">
        <v>0</v>
      </c>
      <c r="AP120" s="115">
        <v>0</v>
      </c>
      <c r="AQ120" s="115">
        <v>3</v>
      </c>
      <c r="AR120" s="115">
        <v>0</v>
      </c>
      <c r="AS120" s="115">
        <v>2.3E-3</v>
      </c>
      <c r="AT120" s="115">
        <v>0.40500000000000003</v>
      </c>
      <c r="AU120" s="114" t="str">
        <f>IF(A120&lt;&gt;"",INDEX(Index!$B$1:$B$77,MATCH($A120,Index!$A$1:$A$77,0)),"")</f>
        <v>MIA</v>
      </c>
      <c r="AV120" s="123" t="str">
        <f>IF(B120&lt;&gt;"",INDEX(Index!$C$1:$C$77,MATCH($A120,Index!$A$1:$A$77,0)),"")</f>
        <v>Tagovailoa</v>
      </c>
      <c r="AW120" s="123">
        <f t="shared" si="1"/>
        <v>32</v>
      </c>
      <c r="AX120" s="113">
        <v>5</v>
      </c>
    </row>
    <row r="121" spans="1:50" x14ac:dyDescent="0.25">
      <c r="A121" s="95" t="s">
        <v>562</v>
      </c>
      <c r="B121" s="96">
        <v>2025</v>
      </c>
      <c r="C121" s="96">
        <v>3</v>
      </c>
      <c r="D121" s="115">
        <v>0.838534</v>
      </c>
      <c r="E121" s="115">
        <v>7.5913700000000001E-2</v>
      </c>
      <c r="F121" s="115"/>
      <c r="G121" s="115">
        <v>-0.27228599999999997</v>
      </c>
      <c r="H121" s="115">
        <v>58</v>
      </c>
      <c r="I121" s="115">
        <v>96</v>
      </c>
      <c r="J121" s="115">
        <v>0.60419999999999996</v>
      </c>
      <c r="K121" s="115">
        <v>-3.7244000000000002</v>
      </c>
      <c r="L121" s="115">
        <v>6.9166999999999996</v>
      </c>
      <c r="M121" s="115">
        <v>4</v>
      </c>
      <c r="N121" s="115">
        <v>0</v>
      </c>
      <c r="O121" s="115">
        <v>8</v>
      </c>
      <c r="P121" s="115">
        <v>23</v>
      </c>
      <c r="Q121" s="115">
        <v>127</v>
      </c>
      <c r="R121" s="115">
        <v>5.5217000000000001</v>
      </c>
      <c r="S121" s="115">
        <v>0</v>
      </c>
      <c r="T121" s="115">
        <v>4.1700000000000001E-2</v>
      </c>
      <c r="U121" s="115">
        <v>0</v>
      </c>
      <c r="V121" s="115">
        <v>4.1700000000000001E-2</v>
      </c>
      <c r="W121" s="115">
        <v>0.4672</v>
      </c>
      <c r="X121" s="115">
        <v>95.138900000000007</v>
      </c>
      <c r="Y121" s="115">
        <v>6.7019000000000002</v>
      </c>
      <c r="Z121" s="115">
        <v>173.38</v>
      </c>
      <c r="AA121" s="115">
        <v>45.5</v>
      </c>
      <c r="AB121" s="115">
        <v>13.0167</v>
      </c>
      <c r="AC121" s="115">
        <v>9.5000000000000001E-2</v>
      </c>
      <c r="AD121" s="115">
        <v>-1.5E-3</v>
      </c>
      <c r="AE121" s="115">
        <v>2.07E-2</v>
      </c>
      <c r="AF121" s="115">
        <v>-6.5100000000000005E-2</v>
      </c>
      <c r="AG121" s="115">
        <v>7.1499999999999994E-2</v>
      </c>
      <c r="AH121" s="115">
        <v>-3.6600000000000001E-2</v>
      </c>
      <c r="AI121" s="115">
        <v>1.4200000000000001E-2</v>
      </c>
      <c r="AJ121" s="115">
        <v>-6.6E-3</v>
      </c>
      <c r="AK121" s="115">
        <v>8.3020999999999994</v>
      </c>
      <c r="AL121" s="115">
        <v>-0.70830000000000004</v>
      </c>
      <c r="AM121" s="115">
        <v>2</v>
      </c>
      <c r="AN121" s="115">
        <v>1</v>
      </c>
      <c r="AO121" s="115">
        <v>0</v>
      </c>
      <c r="AP121" s="115">
        <v>0</v>
      </c>
      <c r="AQ121" s="115">
        <v>0</v>
      </c>
      <c r="AR121" s="115"/>
      <c r="AS121" s="115">
        <v>1.1999999999999999E-3</v>
      </c>
      <c r="AT121" s="115">
        <v>0.16589999999999999</v>
      </c>
      <c r="AU121" s="114" t="str">
        <f>IF(A121&lt;&gt;"",INDEX(Index!$B$1:$B$77,MATCH($A121,Index!$A$1:$A$77,0)),"")</f>
        <v>WAS</v>
      </c>
      <c r="AV121" s="123" t="str">
        <f>IF(B121&lt;&gt;"",INDEX(Index!$C$1:$C$77,MATCH($A121,Index!$A$1:$A$77,0)),"")</f>
        <v>Daniels</v>
      </c>
      <c r="AW121" s="123">
        <f t="shared" si="1"/>
        <v>9</v>
      </c>
      <c r="AX121" s="113">
        <v>5</v>
      </c>
    </row>
    <row r="122" spans="1:50" x14ac:dyDescent="0.25">
      <c r="A122" s="95" t="s">
        <v>560</v>
      </c>
      <c r="B122" s="96">
        <v>2025</v>
      </c>
      <c r="C122" s="96">
        <v>2</v>
      </c>
      <c r="D122" s="115">
        <v>0.64551000000000003</v>
      </c>
      <c r="E122" s="115">
        <v>-0.12831300000000001</v>
      </c>
      <c r="F122" s="115"/>
      <c r="G122" s="115">
        <v>-1.32458E-2</v>
      </c>
      <c r="H122" s="115">
        <v>48</v>
      </c>
      <c r="I122" s="115">
        <v>73</v>
      </c>
      <c r="J122" s="115">
        <v>0.65749999999999997</v>
      </c>
      <c r="K122" s="115">
        <v>3.0061</v>
      </c>
      <c r="L122" s="115">
        <v>8.0274000000000001</v>
      </c>
      <c r="M122" s="115">
        <v>4</v>
      </c>
      <c r="N122" s="115">
        <v>4</v>
      </c>
      <c r="O122" s="115">
        <v>2</v>
      </c>
      <c r="P122" s="115">
        <v>5</v>
      </c>
      <c r="Q122" s="115">
        <v>32</v>
      </c>
      <c r="R122" s="115">
        <v>6.4</v>
      </c>
      <c r="S122" s="115">
        <v>0</v>
      </c>
      <c r="T122" s="115">
        <v>5.4800000000000001E-2</v>
      </c>
      <c r="U122" s="115">
        <v>5.4800000000000001E-2</v>
      </c>
      <c r="V122" s="115">
        <v>0</v>
      </c>
      <c r="W122" s="115">
        <v>0.57650000000000001</v>
      </c>
      <c r="X122" s="115">
        <v>85.759100000000004</v>
      </c>
      <c r="Y122" s="115">
        <v>6.28</v>
      </c>
      <c r="Z122" s="115">
        <v>190.423</v>
      </c>
      <c r="AA122" s="115">
        <v>65.7</v>
      </c>
      <c r="AB122" s="115">
        <v>16.7165</v>
      </c>
      <c r="AC122" s="115">
        <v>0.19670000000000001</v>
      </c>
      <c r="AD122" s="115">
        <v>-6.1000000000000004E-3</v>
      </c>
      <c r="AE122" s="115">
        <v>2.0299999999999999E-2</v>
      </c>
      <c r="AF122" s="115">
        <v>-1.14E-2</v>
      </c>
      <c r="AG122" s="115">
        <v>-0.1215</v>
      </c>
      <c r="AH122" s="115">
        <v>0.16250000000000001</v>
      </c>
      <c r="AI122" s="115">
        <v>3.3099999999999997E-2</v>
      </c>
      <c r="AJ122" s="115">
        <v>2.1299999999999999E-2</v>
      </c>
      <c r="AK122" s="115">
        <v>7.7534000000000001</v>
      </c>
      <c r="AL122" s="115">
        <v>-0.39729999999999999</v>
      </c>
      <c r="AM122" s="115">
        <v>1</v>
      </c>
      <c r="AN122" s="115">
        <v>1</v>
      </c>
      <c r="AO122" s="115">
        <v>0</v>
      </c>
      <c r="AP122" s="115">
        <v>1</v>
      </c>
      <c r="AQ122" s="115">
        <v>2</v>
      </c>
      <c r="AR122" s="115">
        <v>0.5</v>
      </c>
      <c r="AS122" s="115">
        <v>8.0999999999999996E-3</v>
      </c>
      <c r="AT122" s="115">
        <v>0.68879999999999997</v>
      </c>
      <c r="AU122" s="114" t="str">
        <f>IF(A122&lt;&gt;"",INDEX(Index!$B$1:$B$77,MATCH($A122,Index!$A$1:$A$77,0)),"")</f>
        <v>SF</v>
      </c>
      <c r="AV122" s="123" t="str">
        <f>IF(B122&lt;&gt;"",INDEX(Index!$C$1:$C$77,MATCH($A122,Index!$A$1:$A$77,0)),"")</f>
        <v>Purdy</v>
      </c>
      <c r="AW122" s="123">
        <f t="shared" si="1"/>
        <v>30</v>
      </c>
      <c r="AX122" s="113">
        <v>5</v>
      </c>
    </row>
    <row r="123" spans="1:50" x14ac:dyDescent="0.25">
      <c r="A123" s="95" t="s">
        <v>558</v>
      </c>
      <c r="B123" s="96">
        <v>2025</v>
      </c>
      <c r="C123" s="96">
        <v>4</v>
      </c>
      <c r="D123" s="115">
        <v>0.61485699999999999</v>
      </c>
      <c r="E123" s="115">
        <v>1.1417800000000001E-2</v>
      </c>
      <c r="F123" s="115"/>
      <c r="G123" s="115">
        <v>-0.77352399999999999</v>
      </c>
      <c r="H123" s="115">
        <v>74</v>
      </c>
      <c r="I123" s="115">
        <v>108</v>
      </c>
      <c r="J123" s="115">
        <v>0.68520000000000003</v>
      </c>
      <c r="K123" s="115">
        <v>3.0230999999999999</v>
      </c>
      <c r="L123" s="115">
        <v>7.2778</v>
      </c>
      <c r="M123" s="115">
        <v>8</v>
      </c>
      <c r="N123" s="115">
        <v>3</v>
      </c>
      <c r="O123" s="115">
        <v>9</v>
      </c>
      <c r="P123" s="115">
        <v>3</v>
      </c>
      <c r="Q123" s="115">
        <v>16</v>
      </c>
      <c r="R123" s="115">
        <v>5.3333000000000004</v>
      </c>
      <c r="S123" s="115">
        <v>0</v>
      </c>
      <c r="T123" s="115">
        <v>7.4099999999999999E-2</v>
      </c>
      <c r="U123" s="115">
        <v>2.7799999999999998E-2</v>
      </c>
      <c r="V123" s="115">
        <v>4.6300000000000001E-2</v>
      </c>
      <c r="W123" s="115">
        <v>0.45669999999999999</v>
      </c>
      <c r="X123" s="115">
        <v>102.623</v>
      </c>
      <c r="Y123" s="115">
        <v>6.3845999999999998</v>
      </c>
      <c r="Z123" s="115">
        <v>145.285</v>
      </c>
      <c r="AA123" s="115">
        <v>44.5</v>
      </c>
      <c r="AB123" s="115">
        <v>14.739699999999999</v>
      </c>
      <c r="AC123" s="115">
        <v>0.11609999999999999</v>
      </c>
      <c r="AD123" s="115">
        <v>-2.9499999999999998E-2</v>
      </c>
      <c r="AE123" s="115">
        <v>-1.5E-3</v>
      </c>
      <c r="AF123" s="115">
        <v>7.1999999999999998E-3</v>
      </c>
      <c r="AG123" s="115">
        <v>-2.81E-2</v>
      </c>
      <c r="AH123" s="115">
        <v>-0.21299999999999999</v>
      </c>
      <c r="AI123" s="115">
        <v>0.23810000000000001</v>
      </c>
      <c r="AJ123" s="115">
        <v>4.4200000000000003E-2</v>
      </c>
      <c r="AK123" s="115">
        <v>4.7685000000000004</v>
      </c>
      <c r="AL123" s="115">
        <v>-4.7314999999999996</v>
      </c>
      <c r="AM123" s="115">
        <v>3</v>
      </c>
      <c r="AN123" s="115">
        <v>1</v>
      </c>
      <c r="AO123" s="115">
        <v>0</v>
      </c>
      <c r="AP123" s="115">
        <v>1</v>
      </c>
      <c r="AQ123" s="115">
        <v>1</v>
      </c>
      <c r="AR123" s="115">
        <v>1</v>
      </c>
      <c r="AS123" s="115">
        <v>4.1999999999999997E-3</v>
      </c>
      <c r="AT123" s="115">
        <v>0.52829999999999999</v>
      </c>
      <c r="AU123" s="114" t="str">
        <f>IF(A123&lt;&gt;"",INDEX(Index!$B$1:$B$77,MATCH($A123,Index!$A$1:$A$77,0)),"")</f>
        <v>GB</v>
      </c>
      <c r="AV123" s="123" t="str">
        <f>IF(B123&lt;&gt;"",INDEX(Index!$C$1:$C$77,MATCH($A123,Index!$A$1:$A$77,0)),"")</f>
        <v>Rodgers</v>
      </c>
      <c r="AW123" s="123">
        <f t="shared" si="1"/>
        <v>33</v>
      </c>
      <c r="AX123" s="113">
        <v>5</v>
      </c>
    </row>
    <row r="124" spans="1:50" x14ac:dyDescent="0.25">
      <c r="A124" s="95" t="s">
        <v>566</v>
      </c>
      <c r="B124" s="96">
        <v>2025</v>
      </c>
      <c r="C124" s="96">
        <v>4</v>
      </c>
      <c r="D124" s="115">
        <v>0.56903000000000004</v>
      </c>
      <c r="E124" s="115">
        <v>0.80124899999999999</v>
      </c>
      <c r="F124" s="115"/>
      <c r="G124" s="115">
        <v>0.79249899999999995</v>
      </c>
      <c r="H124" s="115">
        <v>84</v>
      </c>
      <c r="I124" s="115">
        <v>121</v>
      </c>
      <c r="J124" s="115">
        <v>0.69420000000000004</v>
      </c>
      <c r="K124" s="115">
        <v>9.4678000000000004</v>
      </c>
      <c r="L124" s="115">
        <v>8.2645</v>
      </c>
      <c r="M124" s="115">
        <v>8</v>
      </c>
      <c r="N124" s="115">
        <v>1</v>
      </c>
      <c r="O124" s="115">
        <v>8</v>
      </c>
      <c r="P124" s="115">
        <v>8</v>
      </c>
      <c r="Q124" s="115">
        <v>67</v>
      </c>
      <c r="R124" s="115">
        <v>8.375</v>
      </c>
      <c r="S124" s="115">
        <v>0</v>
      </c>
      <c r="T124" s="115">
        <v>6.6100000000000006E-2</v>
      </c>
      <c r="U124" s="115">
        <v>8.3000000000000001E-3</v>
      </c>
      <c r="V124" s="115">
        <v>5.79E-2</v>
      </c>
      <c r="W124" s="115">
        <v>0.5302</v>
      </c>
      <c r="X124" s="115">
        <v>112.965</v>
      </c>
      <c r="Y124" s="115">
        <v>8.1084999999999994</v>
      </c>
      <c r="Z124" s="115">
        <v>230.215</v>
      </c>
      <c r="AA124" s="115">
        <v>66.400000000000006</v>
      </c>
      <c r="AB124" s="115">
        <v>51.788899999999998</v>
      </c>
      <c r="AC124" s="115">
        <v>0.34760000000000002</v>
      </c>
      <c r="AD124" s="115">
        <v>1.77E-2</v>
      </c>
      <c r="AE124" s="115">
        <v>-8.2000000000000007E-3</v>
      </c>
      <c r="AF124" s="115">
        <v>2.1000000000000001E-2</v>
      </c>
      <c r="AG124" s="115">
        <v>3.2599999999999997E-2</v>
      </c>
      <c r="AH124" s="115">
        <v>6.9699999999999998E-2</v>
      </c>
      <c r="AI124" s="115">
        <v>9.4500000000000001E-2</v>
      </c>
      <c r="AJ124" s="115">
        <v>2.1700000000000001E-2</v>
      </c>
      <c r="AK124" s="115">
        <v>7.9668999999999999</v>
      </c>
      <c r="AL124" s="115">
        <v>-1.1488</v>
      </c>
      <c r="AM124" s="115">
        <v>2</v>
      </c>
      <c r="AN124" s="115">
        <v>1</v>
      </c>
      <c r="AO124" s="115">
        <v>1</v>
      </c>
      <c r="AP124" s="115">
        <v>0</v>
      </c>
      <c r="AQ124" s="115">
        <v>1</v>
      </c>
      <c r="AR124" s="115">
        <v>0</v>
      </c>
      <c r="AS124" s="115">
        <v>1.1900000000000001E-2</v>
      </c>
      <c r="AT124" s="115">
        <v>1.7721</v>
      </c>
      <c r="AU124" s="114" t="str">
        <f>IF(A124&lt;&gt;"",INDEX(Index!$B$1:$B$77,MATCH($A124,Index!$A$1:$A$77,0)),"")</f>
        <v>GB</v>
      </c>
      <c r="AV124" s="123" t="str">
        <f>IF(B124&lt;&gt;"",INDEX(Index!$C$1:$C$77,MATCH($A124,Index!$A$1:$A$77,0)),"")</f>
        <v>Love</v>
      </c>
      <c r="AW124" s="123">
        <f t="shared" si="1"/>
        <v>20</v>
      </c>
      <c r="AX124" s="113">
        <v>5</v>
      </c>
    </row>
    <row r="125" spans="1:50" x14ac:dyDescent="0.25">
      <c r="A125" s="95" t="s">
        <v>556</v>
      </c>
      <c r="B125" s="96">
        <v>2025</v>
      </c>
      <c r="C125" s="96">
        <v>5</v>
      </c>
      <c r="D125" s="115">
        <v>0.51619300000000001</v>
      </c>
      <c r="E125" s="115">
        <v>3.6627199999999999E-2</v>
      </c>
      <c r="F125" s="115"/>
      <c r="G125" s="115">
        <v>-0.83574700000000002</v>
      </c>
      <c r="H125" s="115">
        <v>110</v>
      </c>
      <c r="I125" s="115">
        <v>161</v>
      </c>
      <c r="J125" s="115">
        <v>0.68320000000000003</v>
      </c>
      <c r="K125" s="115">
        <v>-0.52880000000000005</v>
      </c>
      <c r="L125" s="115">
        <v>5.9752000000000001</v>
      </c>
      <c r="M125" s="115">
        <v>6</v>
      </c>
      <c r="N125" s="115">
        <v>3</v>
      </c>
      <c r="O125" s="115">
        <v>16</v>
      </c>
      <c r="P125" s="115">
        <v>27</v>
      </c>
      <c r="Q125" s="115">
        <v>175</v>
      </c>
      <c r="R125" s="115">
        <v>6.4814999999999996</v>
      </c>
      <c r="S125" s="115">
        <v>1</v>
      </c>
      <c r="T125" s="115">
        <v>3.73E-2</v>
      </c>
      <c r="U125" s="115">
        <v>1.8599999999999998E-2</v>
      </c>
      <c r="V125" s="115">
        <v>1.8599999999999998E-2</v>
      </c>
      <c r="W125" s="115">
        <v>0.45</v>
      </c>
      <c r="X125" s="115">
        <v>88.573999999999998</v>
      </c>
      <c r="Y125" s="115">
        <v>4.7232000000000003</v>
      </c>
      <c r="Z125" s="115">
        <v>151.27199999999999</v>
      </c>
      <c r="AA125" s="115">
        <v>45.1</v>
      </c>
      <c r="AB125" s="115">
        <v>23.545000000000002</v>
      </c>
      <c r="AC125" s="115">
        <v>0.107</v>
      </c>
      <c r="AD125" s="115">
        <v>3.5999999999999999E-3</v>
      </c>
      <c r="AE125" s="115">
        <v>-8.2000000000000007E-3</v>
      </c>
      <c r="AF125" s="115">
        <v>3.1699999999999999E-2</v>
      </c>
      <c r="AG125" s="115">
        <v>2.98E-2</v>
      </c>
      <c r="AH125" s="115">
        <v>-9.8000000000000004E-2</v>
      </c>
      <c r="AI125" s="115">
        <v>3.0499999999999999E-2</v>
      </c>
      <c r="AJ125" s="115">
        <v>1.9400000000000001E-2</v>
      </c>
      <c r="AK125" s="115">
        <v>5.8446999999999996</v>
      </c>
      <c r="AL125" s="115">
        <v>-3.0682999999999998</v>
      </c>
      <c r="AM125" s="115">
        <v>2</v>
      </c>
      <c r="AN125" s="115">
        <v>3</v>
      </c>
      <c r="AO125" s="115">
        <v>0</v>
      </c>
      <c r="AP125" s="115">
        <v>0</v>
      </c>
      <c r="AQ125" s="115">
        <v>2</v>
      </c>
      <c r="AR125" s="115">
        <v>0</v>
      </c>
      <c r="AS125" s="115">
        <v>4.1999999999999997E-3</v>
      </c>
      <c r="AT125" s="115">
        <v>0.92720000000000002</v>
      </c>
      <c r="AU125" s="114" t="str">
        <f>IF(A125&lt;&gt;"",INDEX(Index!$B$1:$B$77,MATCH($A125,Index!$A$1:$A$77,0)),"")</f>
        <v>ARI</v>
      </c>
      <c r="AV125" s="123" t="str">
        <f>IF(B125&lt;&gt;"",INDEX(Index!$C$1:$C$77,MATCH($A125,Index!$A$1:$A$77,0)),"")</f>
        <v>Murray</v>
      </c>
      <c r="AW125" s="123">
        <f t="shared" si="1"/>
        <v>5</v>
      </c>
      <c r="AX125" s="113">
        <v>5</v>
      </c>
    </row>
    <row r="126" spans="1:50" x14ac:dyDescent="0.25">
      <c r="A126" s="95" t="s">
        <v>569</v>
      </c>
      <c r="B126" s="96">
        <v>2025</v>
      </c>
      <c r="C126" s="96">
        <v>4</v>
      </c>
      <c r="D126" s="115">
        <v>0.38958799999999999</v>
      </c>
      <c r="E126" s="115">
        <v>1.22644E-2</v>
      </c>
      <c r="F126" s="115"/>
      <c r="G126" s="115">
        <v>0.76017999999999997</v>
      </c>
      <c r="H126" s="115">
        <v>71</v>
      </c>
      <c r="I126" s="115">
        <v>105</v>
      </c>
      <c r="J126" s="115">
        <v>0.67620000000000002</v>
      </c>
      <c r="K126" s="115">
        <v>2.0070999999999999</v>
      </c>
      <c r="L126" s="115">
        <v>7.0190000000000001</v>
      </c>
      <c r="M126" s="115">
        <v>4</v>
      </c>
      <c r="N126" s="115">
        <v>0</v>
      </c>
      <c r="O126" s="115">
        <v>10</v>
      </c>
      <c r="P126" s="115">
        <v>30</v>
      </c>
      <c r="Q126" s="115">
        <v>205</v>
      </c>
      <c r="R126" s="115">
        <v>6.8333000000000004</v>
      </c>
      <c r="S126" s="115">
        <v>3</v>
      </c>
      <c r="T126" s="115">
        <v>3.8100000000000002E-2</v>
      </c>
      <c r="U126" s="115">
        <v>0</v>
      </c>
      <c r="V126" s="115">
        <v>3.8100000000000002E-2</v>
      </c>
      <c r="W126" s="115">
        <v>0.50970000000000004</v>
      </c>
      <c r="X126" s="115">
        <v>100.377</v>
      </c>
      <c r="Y126" s="115">
        <v>6.2957000000000001</v>
      </c>
      <c r="Z126" s="115">
        <v>230.066</v>
      </c>
      <c r="AA126" s="115">
        <v>46.9</v>
      </c>
      <c r="AB126" s="115">
        <v>11.244300000000001</v>
      </c>
      <c r="AC126" s="115">
        <v>7.2499999999999995E-2</v>
      </c>
      <c r="AD126" s="115">
        <v>-8.9999999999999998E-4</v>
      </c>
      <c r="AE126" s="115">
        <v>-2.5700000000000001E-2</v>
      </c>
      <c r="AF126" s="115">
        <v>4.7800000000000002E-2</v>
      </c>
      <c r="AG126" s="115">
        <v>7.1499999999999994E-2</v>
      </c>
      <c r="AH126" s="115">
        <v>3.7100000000000001E-2</v>
      </c>
      <c r="AI126" s="115">
        <v>-0.1106</v>
      </c>
      <c r="AJ126" s="115">
        <v>-4.5100000000000001E-2</v>
      </c>
      <c r="AK126" s="115">
        <v>7.3810000000000002</v>
      </c>
      <c r="AL126" s="115">
        <v>-2.0476000000000001</v>
      </c>
      <c r="AM126" s="115">
        <v>0</v>
      </c>
      <c r="AN126" s="115">
        <v>4</v>
      </c>
      <c r="AO126" s="115">
        <v>0</v>
      </c>
      <c r="AP126" s="115">
        <v>0</v>
      </c>
      <c r="AQ126" s="115">
        <v>2</v>
      </c>
      <c r="AR126" s="115">
        <v>0</v>
      </c>
      <c r="AS126" s="115">
        <v>-1E-3</v>
      </c>
      <c r="AT126" s="115">
        <v>-0.15390000000000001</v>
      </c>
      <c r="AU126" s="114" t="str">
        <f>IF(A126&lt;&gt;"",INDEX(Index!$B$1:$B$77,MATCH($A126,Index!$A$1:$A$77,0)),"")</f>
        <v>NYJ</v>
      </c>
      <c r="AV126" s="123" t="str">
        <f>IF(B126&lt;&gt;"",INDEX(Index!$C$1:$C$77,MATCH($A126,Index!$A$1:$A$77,0)),"")</f>
        <v>Fields</v>
      </c>
      <c r="AW126" s="123">
        <f t="shared" si="1"/>
        <v>2</v>
      </c>
      <c r="AX126" s="113">
        <v>5</v>
      </c>
    </row>
    <row r="127" spans="1:50" x14ac:dyDescent="0.25">
      <c r="A127" s="95" t="s">
        <v>573</v>
      </c>
      <c r="B127" s="96">
        <v>2025</v>
      </c>
      <c r="C127" s="96">
        <v>5</v>
      </c>
      <c r="D127" s="115">
        <v>0.22591700000000001</v>
      </c>
      <c r="E127" s="115">
        <v>0.81342599999999998</v>
      </c>
      <c r="F127" s="115"/>
      <c r="G127" s="115">
        <v>1.23132</v>
      </c>
      <c r="H127" s="115">
        <v>98</v>
      </c>
      <c r="I127" s="115">
        <v>133</v>
      </c>
      <c r="J127" s="115">
        <v>0.73680000000000001</v>
      </c>
      <c r="K127" s="115">
        <v>11.955500000000001</v>
      </c>
      <c r="L127" s="115">
        <v>9.3683999999999994</v>
      </c>
      <c r="M127" s="115">
        <v>9</v>
      </c>
      <c r="N127" s="115">
        <v>3</v>
      </c>
      <c r="O127" s="115">
        <v>6</v>
      </c>
      <c r="P127" s="115">
        <v>3</v>
      </c>
      <c r="Q127" s="115">
        <v>38</v>
      </c>
      <c r="R127" s="115">
        <v>12.666700000000001</v>
      </c>
      <c r="S127" s="115">
        <v>0</v>
      </c>
      <c r="T127" s="115">
        <v>6.7699999999999996E-2</v>
      </c>
      <c r="U127" s="115">
        <v>2.2599999999999999E-2</v>
      </c>
      <c r="V127" s="115">
        <v>4.5100000000000001E-2</v>
      </c>
      <c r="W127" s="115">
        <v>0.59209999999999996</v>
      </c>
      <c r="X127" s="115">
        <v>115.68</v>
      </c>
      <c r="Y127" s="115">
        <v>9.0432000000000006</v>
      </c>
      <c r="Z127" s="115">
        <v>224.06700000000001</v>
      </c>
      <c r="AA127" s="115">
        <v>78.900000000000006</v>
      </c>
      <c r="AB127" s="115">
        <v>52.299100000000003</v>
      </c>
      <c r="AC127" s="115">
        <v>0.34410000000000002</v>
      </c>
      <c r="AD127" s="115">
        <v>-1.89E-2</v>
      </c>
      <c r="AE127" s="115">
        <v>2.0899999999999998E-2</v>
      </c>
      <c r="AF127" s="115">
        <v>7.4300000000000005E-2</v>
      </c>
      <c r="AG127" s="115">
        <v>-2.47E-2</v>
      </c>
      <c r="AH127" s="115">
        <v>0.14899999999999999</v>
      </c>
      <c r="AI127" s="115">
        <v>2.4E-2</v>
      </c>
      <c r="AJ127" s="115">
        <v>2.1000000000000001E-2</v>
      </c>
      <c r="AK127" s="115">
        <v>8.5113000000000003</v>
      </c>
      <c r="AL127" s="115">
        <v>-0.64659999999999995</v>
      </c>
      <c r="AM127" s="115">
        <v>3</v>
      </c>
      <c r="AN127" s="115">
        <v>2</v>
      </c>
      <c r="AO127" s="115">
        <v>0</v>
      </c>
      <c r="AP127" s="115">
        <v>0</v>
      </c>
      <c r="AQ127" s="115">
        <v>2</v>
      </c>
      <c r="AR127" s="115">
        <v>0</v>
      </c>
      <c r="AS127" s="115">
        <v>6.6E-3</v>
      </c>
      <c r="AT127" s="115">
        <v>1.0012000000000001</v>
      </c>
      <c r="AU127" s="114" t="str">
        <f>IF(A127&lt;&gt;"",INDEX(Index!$B$1:$B$77,MATCH($A127,Index!$A$1:$A$77,0)),"")</f>
        <v>SEA</v>
      </c>
      <c r="AV127" s="123" t="str">
        <f>IF(B127&lt;&gt;"",INDEX(Index!$C$1:$C$77,MATCH($A127,Index!$A$1:$A$77,0)),"")</f>
        <v>Darnold</v>
      </c>
      <c r="AW127" s="123">
        <f t="shared" si="1"/>
        <v>28</v>
      </c>
      <c r="AX127" s="113">
        <v>5</v>
      </c>
    </row>
    <row r="128" spans="1:50" x14ac:dyDescent="0.25">
      <c r="A128" s="95" t="s">
        <v>568</v>
      </c>
      <c r="B128" s="96">
        <v>2025</v>
      </c>
      <c r="C128" s="96">
        <v>5</v>
      </c>
      <c r="D128" s="115">
        <v>4.7689200000000001E-2</v>
      </c>
      <c r="E128" s="115">
        <v>0.23321</v>
      </c>
      <c r="F128" s="115"/>
      <c r="G128" s="115">
        <v>1.72238</v>
      </c>
      <c r="H128" s="115">
        <v>107</v>
      </c>
      <c r="I128" s="115">
        <v>150</v>
      </c>
      <c r="J128" s="115">
        <v>0.71330000000000005</v>
      </c>
      <c r="K128" s="115">
        <v>3.8496999999999999</v>
      </c>
      <c r="L128" s="115">
        <v>8.6</v>
      </c>
      <c r="M128" s="115">
        <v>6</v>
      </c>
      <c r="N128" s="115">
        <v>2</v>
      </c>
      <c r="O128" s="115">
        <v>4</v>
      </c>
      <c r="P128" s="115">
        <v>18</v>
      </c>
      <c r="Q128" s="115">
        <v>57</v>
      </c>
      <c r="R128" s="115">
        <v>3.1667000000000001</v>
      </c>
      <c r="S128" s="115">
        <v>3</v>
      </c>
      <c r="T128" s="115">
        <v>0.04</v>
      </c>
      <c r="U128" s="115">
        <v>1.3299999999999999E-2</v>
      </c>
      <c r="V128" s="115">
        <v>2.6700000000000002E-2</v>
      </c>
      <c r="W128" s="115">
        <v>0.57069999999999999</v>
      </c>
      <c r="X128" s="115">
        <v>105.139</v>
      </c>
      <c r="Y128" s="115">
        <v>8.3506</v>
      </c>
      <c r="Z128" s="115">
        <v>259.846</v>
      </c>
      <c r="AA128" s="115">
        <v>79.7</v>
      </c>
      <c r="AB128" s="115">
        <v>58.7119</v>
      </c>
      <c r="AC128" s="115">
        <v>0.31909999999999999</v>
      </c>
      <c r="AD128" s="115">
        <v>1.2E-2</v>
      </c>
      <c r="AE128" s="115">
        <v>6.2100000000000002E-2</v>
      </c>
      <c r="AF128" s="115">
        <v>3.8100000000000002E-2</v>
      </c>
      <c r="AG128" s="115">
        <v>3.6900000000000002E-2</v>
      </c>
      <c r="AH128" s="115">
        <v>4.2799999999999998E-2</v>
      </c>
      <c r="AI128" s="115">
        <v>3.1899999999999998E-2</v>
      </c>
      <c r="AJ128" s="115">
        <v>-3.0999999999999999E-3</v>
      </c>
      <c r="AK128" s="115">
        <v>8.2532999999999994</v>
      </c>
      <c r="AL128" s="115">
        <v>-0.5867</v>
      </c>
      <c r="AM128" s="115">
        <v>4</v>
      </c>
      <c r="AN128" s="115">
        <v>1</v>
      </c>
      <c r="AO128" s="115">
        <v>0</v>
      </c>
      <c r="AP128" s="115">
        <v>1</v>
      </c>
      <c r="AQ128" s="115">
        <v>2</v>
      </c>
      <c r="AR128" s="115">
        <v>0.5</v>
      </c>
      <c r="AS128" s="115">
        <v>6.4000000000000003E-3</v>
      </c>
      <c r="AT128" s="115">
        <v>1.1863999999999999</v>
      </c>
      <c r="AU128" s="114" t="str">
        <f>IF(A128&lt;&gt;"",INDEX(Index!$B$1:$B$77,MATCH($A128,Index!$A$1:$A$77,0)),"")</f>
        <v>IND</v>
      </c>
      <c r="AV128" s="123" t="str">
        <f>IF(B128&lt;&gt;"",INDEX(Index!$C$1:$C$77,MATCH($A128,Index!$A$1:$A$77,0)),"")</f>
        <v>Jones</v>
      </c>
      <c r="AW128" s="123">
        <f t="shared" si="1"/>
        <v>23</v>
      </c>
      <c r="AX128" s="113">
        <v>5</v>
      </c>
    </row>
    <row r="129" spans="1:50" x14ac:dyDescent="0.25">
      <c r="A129" s="95" t="s">
        <v>570</v>
      </c>
      <c r="B129" s="96">
        <v>2025</v>
      </c>
      <c r="C129" s="96">
        <v>5</v>
      </c>
      <c r="D129" s="115">
        <v>1.22223E-2</v>
      </c>
      <c r="E129" s="115">
        <v>-0.12528300000000001</v>
      </c>
      <c r="F129" s="115"/>
      <c r="G129" s="115">
        <v>0.74081600000000003</v>
      </c>
      <c r="H129" s="115">
        <v>113</v>
      </c>
      <c r="I129" s="115">
        <v>153</v>
      </c>
      <c r="J129" s="115">
        <v>0.73860000000000003</v>
      </c>
      <c r="K129" s="115">
        <v>9.6328999999999994</v>
      </c>
      <c r="L129" s="115">
        <v>8.2417999999999996</v>
      </c>
      <c r="M129" s="115">
        <v>7</v>
      </c>
      <c r="N129" s="115">
        <v>2</v>
      </c>
      <c r="O129" s="115">
        <v>17</v>
      </c>
      <c r="P129" s="115">
        <v>23</v>
      </c>
      <c r="Q129" s="115">
        <v>113</v>
      </c>
      <c r="R129" s="115">
        <v>4.9130000000000003</v>
      </c>
      <c r="S129" s="115">
        <v>2</v>
      </c>
      <c r="T129" s="115">
        <v>4.58E-2</v>
      </c>
      <c r="U129" s="115">
        <v>1.3100000000000001E-2</v>
      </c>
      <c r="V129" s="115">
        <v>3.27E-2</v>
      </c>
      <c r="W129" s="115">
        <v>0.51959999999999995</v>
      </c>
      <c r="X129" s="115">
        <v>107.77500000000001</v>
      </c>
      <c r="Y129" s="115">
        <v>7.3940999999999999</v>
      </c>
      <c r="Z129" s="115">
        <v>205.732</v>
      </c>
      <c r="AA129" s="115">
        <v>63.9</v>
      </c>
      <c r="AB129" s="115">
        <v>53.375500000000002</v>
      </c>
      <c r="AC129" s="115">
        <v>0.2616</v>
      </c>
      <c r="AD129" s="115">
        <v>1.4E-3</v>
      </c>
      <c r="AE129" s="115">
        <v>-2.4799999999999999E-2</v>
      </c>
      <c r="AF129" s="115">
        <v>6.4100000000000004E-2</v>
      </c>
      <c r="AG129" s="115">
        <v>3.1699999999999999E-2</v>
      </c>
      <c r="AH129" s="115">
        <v>9.6000000000000002E-2</v>
      </c>
      <c r="AI129" s="115">
        <v>-1.24E-2</v>
      </c>
      <c r="AJ129" s="115">
        <v>7.3000000000000001E-3</v>
      </c>
      <c r="AK129" s="115">
        <v>6.7973999999999997</v>
      </c>
      <c r="AL129" s="115">
        <v>-2.2614000000000001</v>
      </c>
      <c r="AM129" s="115">
        <v>3</v>
      </c>
      <c r="AN129" s="115">
        <v>2</v>
      </c>
      <c r="AO129" s="115">
        <v>0</v>
      </c>
      <c r="AP129" s="115">
        <v>0</v>
      </c>
      <c r="AQ129" s="115">
        <v>2</v>
      </c>
      <c r="AR129" s="115">
        <v>0</v>
      </c>
      <c r="AS129" s="115">
        <v>5.5999999999999999E-3</v>
      </c>
      <c r="AT129" s="115">
        <v>1.141</v>
      </c>
      <c r="AU129" s="114" t="str">
        <f>IF(A129&lt;&gt;"",INDEX(Index!$B$1:$B$77,MATCH($A129,Index!$A$1:$A$77,0)),"")</f>
        <v>NE</v>
      </c>
      <c r="AV129" s="123" t="str">
        <f>IF(B129&lt;&gt;"",INDEX(Index!$C$1:$C$77,MATCH($A129,Index!$A$1:$A$77,0)),"")</f>
        <v>Maye</v>
      </c>
      <c r="AW129" s="123">
        <f t="shared" si="1"/>
        <v>12</v>
      </c>
      <c r="AX129" s="113">
        <v>5</v>
      </c>
    </row>
    <row r="130" spans="1:50" x14ac:dyDescent="0.25">
      <c r="A130" s="95" t="s">
        <v>564</v>
      </c>
      <c r="B130" s="96">
        <v>2025</v>
      </c>
      <c r="C130" s="96">
        <v>3</v>
      </c>
      <c r="D130" s="115">
        <v>-0.124794</v>
      </c>
      <c r="E130" s="115">
        <v>-0.72087800000000002</v>
      </c>
      <c r="F130" s="115"/>
      <c r="G130" s="115">
        <v>-0.42435</v>
      </c>
      <c r="H130" s="115">
        <v>66</v>
      </c>
      <c r="I130" s="115">
        <v>111</v>
      </c>
      <c r="J130" s="115">
        <v>0.59460000000000002</v>
      </c>
      <c r="K130" s="115">
        <v>-0.317</v>
      </c>
      <c r="L130" s="115">
        <v>7.0811000000000002</v>
      </c>
      <c r="M130" s="115">
        <v>3</v>
      </c>
      <c r="N130" s="115">
        <v>3</v>
      </c>
      <c r="O130" s="115">
        <v>8</v>
      </c>
      <c r="P130" s="115">
        <v>16</v>
      </c>
      <c r="Q130" s="115">
        <v>94</v>
      </c>
      <c r="R130" s="115">
        <v>5.875</v>
      </c>
      <c r="S130" s="115">
        <v>0</v>
      </c>
      <c r="T130" s="115">
        <v>2.7E-2</v>
      </c>
      <c r="U130" s="115">
        <v>2.7E-2</v>
      </c>
      <c r="V130" s="115">
        <v>0</v>
      </c>
      <c r="W130" s="115">
        <v>0.4178</v>
      </c>
      <c r="X130" s="115">
        <v>78.885099999999994</v>
      </c>
      <c r="Y130" s="115">
        <v>5.5293999999999999</v>
      </c>
      <c r="Z130" s="115">
        <v>140.05699999999999</v>
      </c>
      <c r="AA130" s="115">
        <v>33.1</v>
      </c>
      <c r="AB130" s="115">
        <v>1.6294</v>
      </c>
      <c r="AC130" s="115">
        <v>1.12E-2</v>
      </c>
      <c r="AD130" s="115">
        <v>-3.5499999999999997E-2</v>
      </c>
      <c r="AE130" s="115">
        <v>1.15E-2</v>
      </c>
      <c r="AF130" s="115">
        <v>-0.10340000000000001</v>
      </c>
      <c r="AG130" s="115">
        <v>1.11E-2</v>
      </c>
      <c r="AH130" s="115">
        <v>3.5700000000000003E-2</v>
      </c>
      <c r="AI130" s="115">
        <v>-7.2599999999999998E-2</v>
      </c>
      <c r="AJ130" s="115">
        <v>6.5799999999999997E-2</v>
      </c>
      <c r="AK130" s="115">
        <v>9.2523</v>
      </c>
      <c r="AL130" s="115">
        <v>0.18920000000000001</v>
      </c>
      <c r="AM130" s="115">
        <v>1</v>
      </c>
      <c r="AN130" s="115">
        <v>3</v>
      </c>
      <c r="AO130" s="115">
        <v>0</v>
      </c>
      <c r="AP130" s="115">
        <v>0</v>
      </c>
      <c r="AQ130" s="115">
        <v>2</v>
      </c>
      <c r="AR130" s="115">
        <v>0</v>
      </c>
      <c r="AS130" s="115">
        <v>7.6E-3</v>
      </c>
      <c r="AT130" s="115">
        <v>1.1155999999999999</v>
      </c>
      <c r="AU130" s="114" t="str">
        <f>IF(A130&lt;&gt;"",INDEX(Index!$B$1:$B$77,MATCH($A130,Index!$A$1:$A$77,0)),"")</f>
        <v>NYG</v>
      </c>
      <c r="AV130" s="123" t="str">
        <f>IF(B130&lt;&gt;"",INDEX(Index!$C$1:$C$77,MATCH($A130,Index!$A$1:$A$77,0)),"")</f>
        <v>Wilson</v>
      </c>
      <c r="AW130" s="123">
        <f t="shared" ref="AW130:AW193" si="2">IF(AT130&lt;&gt;"",COUNTIFS($AX$2:$AX$994,AX130,$Q$2:$Q$994,"&gt;"&amp;$Q130)+1,"")</f>
        <v>16</v>
      </c>
      <c r="AX130" s="113">
        <v>5</v>
      </c>
    </row>
    <row r="131" spans="1:50" x14ac:dyDescent="0.25">
      <c r="A131" s="95" t="s">
        <v>563</v>
      </c>
      <c r="B131" s="96">
        <v>2025</v>
      </c>
      <c r="C131" s="96">
        <v>5</v>
      </c>
      <c r="D131" s="115">
        <v>-0.27563100000000001</v>
      </c>
      <c r="E131" s="115">
        <v>-5.8386199999999999E-2</v>
      </c>
      <c r="F131" s="115"/>
      <c r="G131" s="115">
        <v>-0.20987600000000001</v>
      </c>
      <c r="H131" s="115">
        <v>117</v>
      </c>
      <c r="I131" s="115">
        <v>178</v>
      </c>
      <c r="J131" s="115">
        <v>0.6573</v>
      </c>
      <c r="K131" s="115">
        <v>-0.47920000000000001</v>
      </c>
      <c r="L131" s="115">
        <v>6.9044999999999996</v>
      </c>
      <c r="M131" s="115">
        <v>8</v>
      </c>
      <c r="N131" s="115">
        <v>4</v>
      </c>
      <c r="O131" s="115">
        <v>16</v>
      </c>
      <c r="P131" s="115">
        <v>15</v>
      </c>
      <c r="Q131" s="115">
        <v>160</v>
      </c>
      <c r="R131" s="115">
        <v>10.666700000000001</v>
      </c>
      <c r="S131" s="115">
        <v>0</v>
      </c>
      <c r="T131" s="115">
        <v>4.4900000000000002E-2</v>
      </c>
      <c r="U131" s="115">
        <v>2.2499999999999999E-2</v>
      </c>
      <c r="V131" s="115">
        <v>2.2499999999999999E-2</v>
      </c>
      <c r="W131" s="115">
        <v>0.46189999999999998</v>
      </c>
      <c r="X131" s="115">
        <v>91.2453</v>
      </c>
      <c r="Y131" s="115">
        <v>5.7629000000000001</v>
      </c>
      <c r="Z131" s="115">
        <v>168.20699999999999</v>
      </c>
      <c r="AA131" s="115">
        <v>63</v>
      </c>
      <c r="AB131" s="115">
        <v>9.6707999999999998</v>
      </c>
      <c r="AC131" s="115">
        <v>4.3400000000000001E-2</v>
      </c>
      <c r="AD131" s="115">
        <v>2.4E-2</v>
      </c>
      <c r="AE131" s="115">
        <v>-2.23E-2</v>
      </c>
      <c r="AF131" s="115">
        <v>2.0000000000000001E-4</v>
      </c>
      <c r="AG131" s="115">
        <v>-2.76E-2</v>
      </c>
      <c r="AH131" s="115">
        <v>1.61E-2</v>
      </c>
      <c r="AI131" s="115">
        <v>-4.1700000000000001E-2</v>
      </c>
      <c r="AJ131" s="115">
        <v>-3.8999999999999998E-3</v>
      </c>
      <c r="AK131" s="115">
        <v>7.8090000000000002</v>
      </c>
      <c r="AL131" s="115">
        <v>-1.2978000000000001</v>
      </c>
      <c r="AM131" s="115">
        <v>3</v>
      </c>
      <c r="AN131" s="115">
        <v>2</v>
      </c>
      <c r="AO131" s="115">
        <v>0</v>
      </c>
      <c r="AP131" s="115">
        <v>1</v>
      </c>
      <c r="AQ131" s="115">
        <v>2</v>
      </c>
      <c r="AR131" s="115">
        <v>0.5</v>
      </c>
      <c r="AS131" s="115">
        <v>2.0999999999999999E-3</v>
      </c>
      <c r="AT131" s="115">
        <v>0.47760000000000002</v>
      </c>
      <c r="AU131" s="114" t="str">
        <f>IF(A131&lt;&gt;"",INDEX(Index!$B$1:$B$77,MATCH($A131,Index!$A$1:$A$77,0)),"")</f>
        <v>LAC</v>
      </c>
      <c r="AV131" s="123" t="str">
        <f>IF(B131&lt;&gt;"",INDEX(Index!$C$1:$C$77,MATCH($A131,Index!$A$1:$A$77,0)),"")</f>
        <v>Herbert</v>
      </c>
      <c r="AW131" s="123">
        <f t="shared" si="2"/>
        <v>7</v>
      </c>
      <c r="AX131" s="113">
        <v>5</v>
      </c>
    </row>
    <row r="132" spans="1:50" x14ac:dyDescent="0.25">
      <c r="A132" s="95" t="s">
        <v>571</v>
      </c>
      <c r="B132" s="96">
        <v>2025</v>
      </c>
      <c r="C132" s="96">
        <v>5</v>
      </c>
      <c r="D132" s="115">
        <v>-0.47850900000000002</v>
      </c>
      <c r="E132" s="115">
        <v>0.447716</v>
      </c>
      <c r="F132" s="115"/>
      <c r="G132" s="115">
        <v>-5.3825100000000001E-2</v>
      </c>
      <c r="H132" s="115">
        <v>102</v>
      </c>
      <c r="I132" s="115">
        <v>167</v>
      </c>
      <c r="J132" s="115">
        <v>0.61080000000000001</v>
      </c>
      <c r="K132" s="115">
        <v>-4.5357000000000003</v>
      </c>
      <c r="L132" s="115">
        <v>6.3832000000000004</v>
      </c>
      <c r="M132" s="115">
        <v>6</v>
      </c>
      <c r="N132" s="115">
        <v>5</v>
      </c>
      <c r="O132" s="115">
        <v>6</v>
      </c>
      <c r="P132" s="115">
        <v>18</v>
      </c>
      <c r="Q132" s="115">
        <v>93</v>
      </c>
      <c r="R132" s="115">
        <v>5.1666999999999996</v>
      </c>
      <c r="S132" s="115">
        <v>2</v>
      </c>
      <c r="T132" s="115">
        <v>3.5900000000000001E-2</v>
      </c>
      <c r="U132" s="115">
        <v>2.9899999999999999E-2</v>
      </c>
      <c r="V132" s="115">
        <v>6.0000000000000001E-3</v>
      </c>
      <c r="W132" s="115">
        <v>0.47760000000000002</v>
      </c>
      <c r="X132" s="115">
        <v>79.079300000000003</v>
      </c>
      <c r="Y132" s="115">
        <v>5.3353000000000002</v>
      </c>
      <c r="Z132" s="115">
        <v>153.55500000000001</v>
      </c>
      <c r="AA132" s="115">
        <v>49.7</v>
      </c>
      <c r="AB132" s="115">
        <v>18.862200000000001</v>
      </c>
      <c r="AC132" s="115">
        <v>9.3799999999999994E-2</v>
      </c>
      <c r="AD132" s="115">
        <v>-1.4E-3</v>
      </c>
      <c r="AE132" s="115">
        <v>7.1499999999999994E-2</v>
      </c>
      <c r="AF132" s="115">
        <v>-3.1899999999999998E-2</v>
      </c>
      <c r="AG132" s="115">
        <v>-2.12E-2</v>
      </c>
      <c r="AH132" s="115">
        <v>-3.44E-2</v>
      </c>
      <c r="AI132" s="115">
        <v>-1.1900000000000001E-2</v>
      </c>
      <c r="AJ132" s="115">
        <v>2.46E-2</v>
      </c>
      <c r="AK132" s="115">
        <v>7.4909999999999997</v>
      </c>
      <c r="AL132" s="115">
        <v>-1.6407</v>
      </c>
      <c r="AM132" s="115">
        <v>4</v>
      </c>
      <c r="AN132" s="115">
        <v>1</v>
      </c>
      <c r="AO132" s="115">
        <v>0</v>
      </c>
      <c r="AP132" s="115">
        <v>1</v>
      </c>
      <c r="AQ132" s="115">
        <v>2</v>
      </c>
      <c r="AR132" s="115">
        <v>0.5</v>
      </c>
      <c r="AS132" s="115">
        <v>5.0000000000000001E-3</v>
      </c>
      <c r="AT132" s="115">
        <v>1.0026999999999999</v>
      </c>
      <c r="AU132" s="114" t="str">
        <f>IF(A132&lt;&gt;"",INDEX(Index!$B$1:$B$77,MATCH($A132,Index!$A$1:$A$77,0)),"")</f>
        <v>JAX</v>
      </c>
      <c r="AV132" s="123" t="str">
        <f>IF(B132&lt;&gt;"",INDEX(Index!$C$1:$C$77,MATCH($A132,Index!$A$1:$A$77,0)),"")</f>
        <v>Lawrence</v>
      </c>
      <c r="AW132" s="123">
        <f t="shared" si="2"/>
        <v>17</v>
      </c>
      <c r="AX132" s="113">
        <v>5</v>
      </c>
    </row>
    <row r="133" spans="1:50" x14ac:dyDescent="0.25">
      <c r="A133" s="95" t="s">
        <v>575</v>
      </c>
      <c r="B133" s="96">
        <v>2025</v>
      </c>
      <c r="C133" s="96">
        <v>3</v>
      </c>
      <c r="D133" s="115">
        <v>-0.71589599999999998</v>
      </c>
      <c r="E133" s="115">
        <v>0.62590599999999996</v>
      </c>
      <c r="F133" s="115"/>
      <c r="G133" s="115">
        <v>1.1147100000000001</v>
      </c>
      <c r="H133" s="115">
        <v>86</v>
      </c>
      <c r="I133" s="115">
        <v>126</v>
      </c>
      <c r="J133" s="115">
        <v>0.6825</v>
      </c>
      <c r="K133" s="115">
        <v>-0.46660000000000001</v>
      </c>
      <c r="L133" s="115">
        <v>7.1825000000000001</v>
      </c>
      <c r="M133" s="115">
        <v>6</v>
      </c>
      <c r="N133" s="115">
        <v>1</v>
      </c>
      <c r="O133" s="115">
        <v>5</v>
      </c>
      <c r="P133" s="115">
        <v>7</v>
      </c>
      <c r="Q133" s="115">
        <v>14</v>
      </c>
      <c r="R133" s="115">
        <v>2</v>
      </c>
      <c r="S133" s="115">
        <v>0</v>
      </c>
      <c r="T133" s="115">
        <v>4.7600000000000003E-2</v>
      </c>
      <c r="U133" s="115">
        <v>7.9000000000000008E-3</v>
      </c>
      <c r="V133" s="115">
        <v>3.9699999999999999E-2</v>
      </c>
      <c r="W133" s="115">
        <v>0.55479999999999996</v>
      </c>
      <c r="X133" s="115">
        <v>101.455</v>
      </c>
      <c r="Y133" s="115">
        <v>7.3052999999999999</v>
      </c>
      <c r="Z133" s="115">
        <v>243.59399999999999</v>
      </c>
      <c r="AA133" s="115">
        <v>66.7</v>
      </c>
      <c r="AB133" s="115">
        <v>24.564399999999999</v>
      </c>
      <c r="AC133" s="115">
        <v>0.16819999999999999</v>
      </c>
      <c r="AD133" s="115">
        <v>-1.0200000000000001E-2</v>
      </c>
      <c r="AE133" s="115">
        <v>8.3000000000000001E-3</v>
      </c>
      <c r="AF133" s="115">
        <v>-3.2500000000000001E-2</v>
      </c>
      <c r="AG133" s="115">
        <v>4.2900000000000001E-2</v>
      </c>
      <c r="AH133" s="115">
        <v>7.7499999999999999E-2</v>
      </c>
      <c r="AI133" s="115">
        <v>-9.9000000000000008E-3</v>
      </c>
      <c r="AJ133" s="115">
        <v>-6.3E-3</v>
      </c>
      <c r="AK133" s="115">
        <v>6.7698</v>
      </c>
      <c r="AL133" s="115">
        <v>-2.1429</v>
      </c>
      <c r="AM133" s="115">
        <v>3</v>
      </c>
      <c r="AN133" s="115">
        <v>0</v>
      </c>
      <c r="AO133" s="115">
        <v>0</v>
      </c>
      <c r="AP133" s="115">
        <v>1</v>
      </c>
      <c r="AQ133" s="115">
        <v>1</v>
      </c>
      <c r="AR133" s="115">
        <v>1</v>
      </c>
      <c r="AS133" s="115">
        <v>3.8999999999999998E-3</v>
      </c>
      <c r="AT133" s="115">
        <v>0.57250000000000001</v>
      </c>
      <c r="AU133" s="114" t="str">
        <f>IF(A133&lt;&gt;"",INDEX(Index!$B$1:$B$77,MATCH($A133,Index!$A$1:$A$77,0)),"")</f>
        <v>SF</v>
      </c>
      <c r="AV133" s="123" t="str">
        <f>IF(B133&lt;&gt;"",INDEX(Index!$C$1:$C$77,MATCH($A133,Index!$A$1:$A$77,0)),"")</f>
        <v>Jones</v>
      </c>
      <c r="AW133" s="123">
        <f t="shared" si="2"/>
        <v>34</v>
      </c>
      <c r="AX133" s="113">
        <v>5</v>
      </c>
    </row>
    <row r="134" spans="1:50" x14ac:dyDescent="0.25">
      <c r="A134" s="95" t="s">
        <v>574</v>
      </c>
      <c r="B134" s="96">
        <v>2025</v>
      </c>
      <c r="C134" s="96">
        <v>4</v>
      </c>
      <c r="D134" s="115">
        <v>-0.72069000000000005</v>
      </c>
      <c r="E134" s="115">
        <v>-0.27114899999999997</v>
      </c>
      <c r="F134" s="115"/>
      <c r="G134" s="115">
        <v>0.81336200000000003</v>
      </c>
      <c r="H134" s="115">
        <v>81</v>
      </c>
      <c r="I134" s="115">
        <v>130</v>
      </c>
      <c r="J134" s="115">
        <v>0.62309999999999999</v>
      </c>
      <c r="K134" s="115">
        <v>-5.4898999999999996</v>
      </c>
      <c r="L134" s="115">
        <v>7.1307999999999998</v>
      </c>
      <c r="M134" s="115">
        <v>8</v>
      </c>
      <c r="N134" s="115">
        <v>2</v>
      </c>
      <c r="O134" s="115">
        <v>7</v>
      </c>
      <c r="P134" s="115">
        <v>20</v>
      </c>
      <c r="Q134" s="115">
        <v>113</v>
      </c>
      <c r="R134" s="115">
        <v>5.65</v>
      </c>
      <c r="S134" s="115">
        <v>1</v>
      </c>
      <c r="T134" s="115">
        <v>6.1499999999999999E-2</v>
      </c>
      <c r="U134" s="115">
        <v>1.54E-2</v>
      </c>
      <c r="V134" s="115">
        <v>4.6199999999999998E-2</v>
      </c>
      <c r="W134" s="115">
        <v>0.4345</v>
      </c>
      <c r="X134" s="115">
        <v>97.820499999999996</v>
      </c>
      <c r="Y134" s="115">
        <v>6.9051</v>
      </c>
      <c r="Z134" s="115">
        <v>207.63</v>
      </c>
      <c r="AA134" s="115">
        <v>64.900000000000006</v>
      </c>
      <c r="AB134" s="115">
        <v>8.2077000000000009</v>
      </c>
      <c r="AC134" s="115">
        <v>4.8899999999999999E-2</v>
      </c>
      <c r="AD134" s="115">
        <v>-3.61E-2</v>
      </c>
      <c r="AE134" s="115">
        <v>2.6800000000000001E-2</v>
      </c>
      <c r="AF134" s="115">
        <v>-3.4599999999999999E-2</v>
      </c>
      <c r="AG134" s="115">
        <v>1.9699999999999999E-2</v>
      </c>
      <c r="AH134" s="115">
        <v>4.0399999999999998E-2</v>
      </c>
      <c r="AI134" s="115">
        <v>-3.4099999999999998E-2</v>
      </c>
      <c r="AJ134" s="115">
        <v>-3.1699999999999999E-2</v>
      </c>
      <c r="AK134" s="115">
        <v>8.1615000000000002</v>
      </c>
      <c r="AL134" s="115">
        <v>-2.2385000000000002</v>
      </c>
      <c r="AM134" s="115">
        <v>2</v>
      </c>
      <c r="AN134" s="115">
        <v>2</v>
      </c>
      <c r="AO134" s="115">
        <v>0</v>
      </c>
      <c r="AP134" s="115">
        <v>1</v>
      </c>
      <c r="AQ134" s="115">
        <v>2</v>
      </c>
      <c r="AR134" s="115">
        <v>0.5</v>
      </c>
      <c r="AS134" s="115">
        <v>3.0000000000000001E-3</v>
      </c>
      <c r="AT134" s="115">
        <v>0.50890000000000002</v>
      </c>
      <c r="AU134" s="114" t="str">
        <f>IF(A134&lt;&gt;"",INDEX(Index!$B$1:$B$77,MATCH($A134,Index!$A$1:$A$77,0)),"")</f>
        <v>CHI</v>
      </c>
      <c r="AV134" s="123" t="str">
        <f>IF(B134&lt;&gt;"",INDEX(Index!$C$1:$C$77,MATCH($A134,Index!$A$1:$A$77,0)),"")</f>
        <v>Williams</v>
      </c>
      <c r="AW134" s="123">
        <f t="shared" si="2"/>
        <v>12</v>
      </c>
      <c r="AX134" s="113">
        <v>5</v>
      </c>
    </row>
    <row r="135" spans="1:50" x14ac:dyDescent="0.25">
      <c r="A135" s="95" t="s">
        <v>579</v>
      </c>
      <c r="B135" s="96">
        <v>2025</v>
      </c>
      <c r="C135" s="96">
        <v>5</v>
      </c>
      <c r="D135" s="115">
        <v>-0.89177799999999996</v>
      </c>
      <c r="E135" s="115">
        <v>0.92648399999999997</v>
      </c>
      <c r="F135" s="115"/>
      <c r="G135" s="115">
        <v>0.88771800000000001</v>
      </c>
      <c r="H135" s="115">
        <v>102</v>
      </c>
      <c r="I135" s="115">
        <v>143</v>
      </c>
      <c r="J135" s="115">
        <v>0.71330000000000005</v>
      </c>
      <c r="K135" s="115">
        <v>3.9304000000000001</v>
      </c>
      <c r="L135" s="115">
        <v>7.5244999999999997</v>
      </c>
      <c r="M135" s="115">
        <v>8</v>
      </c>
      <c r="N135" s="115">
        <v>3</v>
      </c>
      <c r="O135" s="115">
        <v>12</v>
      </c>
      <c r="P135" s="115">
        <v>16</v>
      </c>
      <c r="Q135" s="115">
        <v>123</v>
      </c>
      <c r="R135" s="115">
        <v>7.6875</v>
      </c>
      <c r="S135" s="115">
        <v>0</v>
      </c>
      <c r="T135" s="115">
        <v>5.5899999999999998E-2</v>
      </c>
      <c r="U135" s="115">
        <v>2.1000000000000001E-2</v>
      </c>
      <c r="V135" s="115">
        <v>3.5000000000000003E-2</v>
      </c>
      <c r="W135" s="115">
        <v>0.5</v>
      </c>
      <c r="X135" s="115">
        <v>102.783</v>
      </c>
      <c r="Y135" s="115">
        <v>6.4065000000000003</v>
      </c>
      <c r="Z135" s="115">
        <v>178.09100000000001</v>
      </c>
      <c r="AA135" s="115">
        <v>63</v>
      </c>
      <c r="AB135" s="115">
        <v>20.913799999999998</v>
      </c>
      <c r="AC135" s="115">
        <v>0.1137</v>
      </c>
      <c r="AD135" s="115">
        <v>4.4900000000000002E-2</v>
      </c>
      <c r="AE135" s="115">
        <v>-2.9100000000000001E-2</v>
      </c>
      <c r="AF135" s="115">
        <v>3.56E-2</v>
      </c>
      <c r="AG135" s="115">
        <v>1.29E-2</v>
      </c>
      <c r="AH135" s="115">
        <v>6.1000000000000004E-3</v>
      </c>
      <c r="AI135" s="115">
        <v>-2.8500000000000001E-2</v>
      </c>
      <c r="AJ135" s="115">
        <v>-2.6800000000000001E-2</v>
      </c>
      <c r="AK135" s="115">
        <v>7.2937000000000003</v>
      </c>
      <c r="AL135" s="115">
        <v>-1.8111999999999999</v>
      </c>
      <c r="AM135" s="115">
        <v>2</v>
      </c>
      <c r="AN135" s="115">
        <v>3</v>
      </c>
      <c r="AO135" s="115">
        <v>0</v>
      </c>
      <c r="AP135" s="115">
        <v>0</v>
      </c>
      <c r="AQ135" s="115">
        <v>3</v>
      </c>
      <c r="AR135" s="115">
        <v>0</v>
      </c>
      <c r="AS135" s="115">
        <v>-4.0000000000000002E-4</v>
      </c>
      <c r="AT135" s="115">
        <v>-7.5399999999999995E-2</v>
      </c>
      <c r="AU135" s="114" t="str">
        <f>IF(A135&lt;&gt;"",INDEX(Index!$B$1:$B$77,MATCH($A135,Index!$A$1:$A$77,0)),"")</f>
        <v>HOU</v>
      </c>
      <c r="AV135" s="123" t="str">
        <f>IF(B135&lt;&gt;"",INDEX(Index!$C$1:$C$77,MATCH($A135,Index!$A$1:$A$77,0)),"")</f>
        <v>Stroud</v>
      </c>
      <c r="AW135" s="123">
        <f t="shared" si="2"/>
        <v>11</v>
      </c>
      <c r="AX135" s="113">
        <v>5</v>
      </c>
    </row>
    <row r="136" spans="1:50" x14ac:dyDescent="0.25">
      <c r="A136" s="95" t="s">
        <v>583</v>
      </c>
      <c r="B136" s="96">
        <v>2025</v>
      </c>
      <c r="C136" s="96">
        <v>2</v>
      </c>
      <c r="D136" s="115">
        <v>-1.1785099999999999</v>
      </c>
      <c r="E136" s="115">
        <v>-0.19073499999999999</v>
      </c>
      <c r="F136" s="115"/>
      <c r="G136" s="115">
        <v>0.29882999999999998</v>
      </c>
      <c r="H136" s="115">
        <v>31</v>
      </c>
      <c r="I136" s="115">
        <v>46</v>
      </c>
      <c r="J136" s="115">
        <v>0.67390000000000005</v>
      </c>
      <c r="K136" s="115">
        <v>8.0416000000000007</v>
      </c>
      <c r="L136" s="115">
        <v>7.8913000000000002</v>
      </c>
      <c r="M136" s="115">
        <v>3</v>
      </c>
      <c r="N136" s="115">
        <v>1</v>
      </c>
      <c r="O136" s="115">
        <v>3</v>
      </c>
      <c r="P136" s="115">
        <v>8</v>
      </c>
      <c r="Q136" s="115">
        <v>60</v>
      </c>
      <c r="R136" s="115">
        <v>7.5</v>
      </c>
      <c r="S136" s="115">
        <v>1</v>
      </c>
      <c r="T136" s="115">
        <v>6.5199999999999994E-2</v>
      </c>
      <c r="U136" s="115">
        <v>2.1700000000000001E-2</v>
      </c>
      <c r="V136" s="115">
        <v>4.3499999999999997E-2</v>
      </c>
      <c r="W136" s="115">
        <v>0.50770000000000004</v>
      </c>
      <c r="X136" s="115">
        <v>103.804</v>
      </c>
      <c r="Y136" s="115">
        <v>7.3673000000000002</v>
      </c>
      <c r="Z136" s="115">
        <v>186.749</v>
      </c>
      <c r="AA136" s="115">
        <v>65.900000000000006</v>
      </c>
      <c r="AB136" s="115">
        <v>12.154199999999999</v>
      </c>
      <c r="AC136" s="115">
        <v>0.187</v>
      </c>
      <c r="AD136" s="115">
        <v>-2.6800000000000001E-2</v>
      </c>
      <c r="AE136" s="115">
        <v>4.3999999999999997E-2</v>
      </c>
      <c r="AF136" s="115">
        <v>6.4999999999999997E-3</v>
      </c>
      <c r="AG136" s="115">
        <v>1.9E-3</v>
      </c>
      <c r="AH136" s="115">
        <v>0.12609999999999999</v>
      </c>
      <c r="AI136" s="115">
        <v>-3.8699999999999998E-2</v>
      </c>
      <c r="AJ136" s="115">
        <v>-2.4799999999999999E-2</v>
      </c>
      <c r="AK136" s="115">
        <v>9.6303999999999998</v>
      </c>
      <c r="AL136" s="115">
        <v>-0.95650000000000002</v>
      </c>
      <c r="AM136" s="115">
        <v>1</v>
      </c>
      <c r="AN136" s="115">
        <v>1</v>
      </c>
      <c r="AO136" s="115">
        <v>0</v>
      </c>
      <c r="AP136" s="115">
        <v>0</v>
      </c>
      <c r="AQ136" s="115">
        <v>0</v>
      </c>
      <c r="AR136" s="115"/>
      <c r="AS136" s="115">
        <v>4.0000000000000002E-4</v>
      </c>
      <c r="AT136" s="115">
        <v>2.5399999999999999E-2</v>
      </c>
      <c r="AU136" s="114" t="str">
        <f>IF(A136&lt;&gt;"",INDEX(Index!$B$1:$B$77,MATCH($A136,Index!$A$1:$A$77,0)),"")</f>
        <v>WAS</v>
      </c>
      <c r="AV136" s="123" t="str">
        <f>IF(B136&lt;&gt;"",INDEX(Index!$C$1:$C$77,MATCH($A136,Index!$A$1:$A$77,0)),"")</f>
        <v>Mariota</v>
      </c>
      <c r="AW136" s="123">
        <f t="shared" si="2"/>
        <v>21</v>
      </c>
      <c r="AX136" s="113">
        <v>5</v>
      </c>
    </row>
    <row r="137" spans="1:50" x14ac:dyDescent="0.25">
      <c r="A137" s="95" t="s">
        <v>572</v>
      </c>
      <c r="B137" s="96">
        <v>2025</v>
      </c>
      <c r="C137" s="96">
        <v>5</v>
      </c>
      <c r="D137" s="115">
        <v>-1.6395500000000001</v>
      </c>
      <c r="E137" s="115">
        <v>-0.54391400000000001</v>
      </c>
      <c r="F137" s="115"/>
      <c r="G137" s="115">
        <v>-1.53678</v>
      </c>
      <c r="H137" s="115">
        <v>106</v>
      </c>
      <c r="I137" s="115">
        <v>161</v>
      </c>
      <c r="J137" s="115">
        <v>0.65839999999999999</v>
      </c>
      <c r="K137" s="115">
        <v>-0.66810000000000003</v>
      </c>
      <c r="L137" s="115">
        <v>7.3042999999999996</v>
      </c>
      <c r="M137" s="115">
        <v>6</v>
      </c>
      <c r="N137" s="115">
        <v>9</v>
      </c>
      <c r="O137" s="115">
        <v>16</v>
      </c>
      <c r="P137" s="115">
        <v>15</v>
      </c>
      <c r="Q137" s="115">
        <v>75</v>
      </c>
      <c r="R137" s="115">
        <v>5</v>
      </c>
      <c r="S137" s="115">
        <v>0</v>
      </c>
      <c r="T137" s="115">
        <v>3.73E-2</v>
      </c>
      <c r="U137" s="115">
        <v>5.5899999999999998E-2</v>
      </c>
      <c r="V137" s="115">
        <v>-1.8599999999999998E-2</v>
      </c>
      <c r="W137" s="115">
        <v>0.45500000000000002</v>
      </c>
      <c r="X137" s="115">
        <v>76.513999999999996</v>
      </c>
      <c r="Y137" s="115">
        <v>4.3277000000000001</v>
      </c>
      <c r="Z137" s="115">
        <v>68.758799999999994</v>
      </c>
      <c r="AA137" s="115">
        <v>38.6</v>
      </c>
      <c r="AB137" s="115">
        <v>-10.619199999999999</v>
      </c>
      <c r="AC137" s="115">
        <v>-5.3100000000000001E-2</v>
      </c>
      <c r="AD137" s="115">
        <v>-7.7000000000000002E-3</v>
      </c>
      <c r="AE137" s="115">
        <v>-5.0200000000000002E-2</v>
      </c>
      <c r="AF137" s="115">
        <v>4.07E-2</v>
      </c>
      <c r="AG137" s="115">
        <v>-0.1411</v>
      </c>
      <c r="AH137" s="115">
        <v>-8.8999999999999999E-3</v>
      </c>
      <c r="AI137" s="115">
        <v>2.86E-2</v>
      </c>
      <c r="AJ137" s="115">
        <v>-1.2999999999999999E-2</v>
      </c>
      <c r="AK137" s="115">
        <v>8</v>
      </c>
      <c r="AL137" s="115">
        <v>-0.93789999999999996</v>
      </c>
      <c r="AM137" s="115">
        <v>1</v>
      </c>
      <c r="AN137" s="115">
        <v>4</v>
      </c>
      <c r="AO137" s="115">
        <v>0</v>
      </c>
      <c r="AP137" s="115">
        <v>0</v>
      </c>
      <c r="AQ137" s="115">
        <v>1</v>
      </c>
      <c r="AR137" s="115">
        <v>0</v>
      </c>
      <c r="AS137" s="115">
        <v>-2.9999999999999997E-4</v>
      </c>
      <c r="AT137" s="115">
        <v>-5.0099999999999999E-2</v>
      </c>
      <c r="AU137" s="114" t="str">
        <f>IF(A137&lt;&gt;"",INDEX(Index!$B$1:$B$77,MATCH($A137,Index!$A$1:$A$77,0)),"")</f>
        <v>LV</v>
      </c>
      <c r="AV137" s="123" t="str">
        <f>IF(B137&lt;&gt;"",INDEX(Index!$C$1:$C$77,MATCH($A137,Index!$A$1:$A$77,0)),"")</f>
        <v>Smith</v>
      </c>
      <c r="AW137" s="123">
        <f t="shared" si="2"/>
        <v>18</v>
      </c>
      <c r="AX137" s="113">
        <v>5</v>
      </c>
    </row>
    <row r="138" spans="1:50" x14ac:dyDescent="0.25">
      <c r="A138" s="95" t="s">
        <v>584</v>
      </c>
      <c r="B138" s="96">
        <v>2025</v>
      </c>
      <c r="C138" s="96">
        <v>1</v>
      </c>
      <c r="D138" s="115">
        <v>-1.68788</v>
      </c>
      <c r="E138" s="115">
        <v>5.3784800000000001E-2</v>
      </c>
      <c r="F138" s="115"/>
      <c r="G138" s="115">
        <v>5.3784800000000001E-2</v>
      </c>
      <c r="H138" s="115">
        <v>33</v>
      </c>
      <c r="I138" s="115">
        <v>46</v>
      </c>
      <c r="J138" s="115">
        <v>0.71740000000000004</v>
      </c>
      <c r="K138" s="115">
        <v>6.0671999999999997</v>
      </c>
      <c r="L138" s="115">
        <v>5.5</v>
      </c>
      <c r="M138" s="115">
        <v>3</v>
      </c>
      <c r="N138" s="115">
        <v>1</v>
      </c>
      <c r="O138" s="115">
        <v>6</v>
      </c>
      <c r="P138" s="115">
        <v>10</v>
      </c>
      <c r="Q138" s="115">
        <v>70</v>
      </c>
      <c r="R138" s="115">
        <v>7</v>
      </c>
      <c r="S138" s="115">
        <v>0</v>
      </c>
      <c r="T138" s="115">
        <v>6.5199999999999994E-2</v>
      </c>
      <c r="U138" s="115">
        <v>2.1700000000000001E-2</v>
      </c>
      <c r="V138" s="115">
        <v>4.3499999999999997E-2</v>
      </c>
      <c r="W138" s="115">
        <v>0.5</v>
      </c>
      <c r="X138" s="115">
        <v>97.463800000000006</v>
      </c>
      <c r="Y138" s="115">
        <v>4.4038000000000004</v>
      </c>
      <c r="Z138" s="115">
        <v>146.065</v>
      </c>
      <c r="AA138" s="115">
        <v>48.9</v>
      </c>
      <c r="AB138" s="115">
        <v>2.0386000000000002</v>
      </c>
      <c r="AC138" s="115">
        <v>3.09E-2</v>
      </c>
      <c r="AD138" s="115">
        <v>-1.18E-2</v>
      </c>
      <c r="AE138" s="115">
        <v>-4.7699999999999999E-2</v>
      </c>
      <c r="AF138" s="115">
        <v>3.15E-2</v>
      </c>
      <c r="AG138" s="115">
        <v>-4.4699999999999997E-2</v>
      </c>
      <c r="AH138" s="115">
        <v>-2.2100000000000002E-2</v>
      </c>
      <c r="AI138" s="115">
        <v>7.1999999999999998E-3</v>
      </c>
      <c r="AJ138" s="115">
        <v>2.01E-2</v>
      </c>
      <c r="AK138" s="115">
        <v>5.2173999999999996</v>
      </c>
      <c r="AL138" s="115">
        <v>-3.0217000000000001</v>
      </c>
      <c r="AM138" s="115">
        <v>0</v>
      </c>
      <c r="AN138" s="115">
        <v>2</v>
      </c>
      <c r="AO138" s="115">
        <v>0</v>
      </c>
      <c r="AP138" s="115">
        <v>0</v>
      </c>
      <c r="AQ138" s="115">
        <v>0</v>
      </c>
      <c r="AR138" s="115"/>
      <c r="AS138" s="115">
        <v>-3.5999999999999999E-3</v>
      </c>
      <c r="AT138" s="115">
        <v>-0.23960000000000001</v>
      </c>
      <c r="AU138" s="114" t="str">
        <f>IF(A138&lt;&gt;"",INDEX(Index!$B$1:$B$77,MATCH($A138,Index!$A$1:$A$77,0)),"")</f>
        <v>NYJ</v>
      </c>
      <c r="AV138" s="123" t="str">
        <f>IF(B138&lt;&gt;"",INDEX(Index!$C$1:$C$77,MATCH($A138,Index!$A$1:$A$77,0)),"")</f>
        <v>Taylor</v>
      </c>
      <c r="AW138" s="123">
        <f t="shared" si="2"/>
        <v>19</v>
      </c>
      <c r="AX138" s="113">
        <v>5</v>
      </c>
    </row>
    <row r="139" spans="1:50" x14ac:dyDescent="0.25">
      <c r="A139" s="95" t="s">
        <v>576</v>
      </c>
      <c r="B139" s="96">
        <v>2025</v>
      </c>
      <c r="C139" s="96">
        <v>5</v>
      </c>
      <c r="D139" s="115">
        <v>-1.85842</v>
      </c>
      <c r="E139" s="115">
        <v>-0.246116</v>
      </c>
      <c r="F139" s="115"/>
      <c r="G139" s="115">
        <v>-0.492284</v>
      </c>
      <c r="H139" s="115">
        <v>106</v>
      </c>
      <c r="I139" s="115">
        <v>173</v>
      </c>
      <c r="J139" s="115">
        <v>0.61270000000000002</v>
      </c>
      <c r="K139" s="115">
        <v>-2.1490999999999998</v>
      </c>
      <c r="L139" s="115">
        <v>5.4970999999999997</v>
      </c>
      <c r="M139" s="115">
        <v>7</v>
      </c>
      <c r="N139" s="115">
        <v>4</v>
      </c>
      <c r="O139" s="115">
        <v>9</v>
      </c>
      <c r="P139" s="115">
        <v>9</v>
      </c>
      <c r="Q139" s="115">
        <v>59</v>
      </c>
      <c r="R139" s="115">
        <v>6.5556000000000001</v>
      </c>
      <c r="S139" s="115">
        <v>1</v>
      </c>
      <c r="T139" s="115">
        <v>4.0500000000000001E-2</v>
      </c>
      <c r="U139" s="115">
        <v>2.3099999999999999E-2</v>
      </c>
      <c r="V139" s="115">
        <v>1.7299999999999999E-2</v>
      </c>
      <c r="W139" s="115">
        <v>0.46410000000000001</v>
      </c>
      <c r="X139" s="115">
        <v>79.901300000000006</v>
      </c>
      <c r="Y139" s="115">
        <v>4.5989000000000004</v>
      </c>
      <c r="Z139" s="115">
        <v>106.818</v>
      </c>
      <c r="AA139" s="115">
        <v>41.3</v>
      </c>
      <c r="AB139" s="115">
        <v>-9.0426000000000002</v>
      </c>
      <c r="AC139" s="115">
        <v>-4.3299999999999998E-2</v>
      </c>
      <c r="AD139" s="115">
        <v>-1.55E-2</v>
      </c>
      <c r="AE139" s="115">
        <v>-3.2300000000000002E-2</v>
      </c>
      <c r="AF139" s="115">
        <v>-7.5499999999999998E-2</v>
      </c>
      <c r="AG139" s="115">
        <v>-2.9999999999999997E-4</v>
      </c>
      <c r="AH139" s="115">
        <v>-2.5499999999999998E-2</v>
      </c>
      <c r="AI139" s="115">
        <v>-2.4500000000000001E-2</v>
      </c>
      <c r="AJ139" s="115">
        <v>3.1899999999999998E-2</v>
      </c>
      <c r="AK139" s="115">
        <v>6.7919</v>
      </c>
      <c r="AL139" s="115">
        <v>-1.5086999999999999</v>
      </c>
      <c r="AM139" s="115">
        <v>2</v>
      </c>
      <c r="AN139" s="115">
        <v>3</v>
      </c>
      <c r="AO139" s="115">
        <v>0</v>
      </c>
      <c r="AP139" s="115">
        <v>1</v>
      </c>
      <c r="AQ139" s="115">
        <v>2</v>
      </c>
      <c r="AR139" s="115">
        <v>0.5</v>
      </c>
      <c r="AS139" s="115">
        <v>-1.6999999999999999E-3</v>
      </c>
      <c r="AT139" s="115">
        <v>-0.3639</v>
      </c>
      <c r="AU139" s="114" t="str">
        <f>IF(A139&lt;&gt;"",INDEX(Index!$B$1:$B$77,MATCH($A139,Index!$A$1:$A$77,0)),"")</f>
        <v>CAR</v>
      </c>
      <c r="AV139" s="123" t="str">
        <f>IF(B139&lt;&gt;"",INDEX(Index!$C$1:$C$77,MATCH($A139,Index!$A$1:$A$77,0)),"")</f>
        <v>Young</v>
      </c>
      <c r="AW139" s="123">
        <f t="shared" si="2"/>
        <v>22</v>
      </c>
      <c r="AX139" s="113">
        <v>5</v>
      </c>
    </row>
    <row r="140" spans="1:50" x14ac:dyDescent="0.25">
      <c r="A140" s="95" t="s">
        <v>578</v>
      </c>
      <c r="B140" s="96">
        <v>2025</v>
      </c>
      <c r="C140" s="96">
        <v>4</v>
      </c>
      <c r="D140" s="115">
        <v>-1.8670800000000001</v>
      </c>
      <c r="E140" s="115">
        <v>0.47842800000000002</v>
      </c>
      <c r="F140" s="115"/>
      <c r="G140" s="115">
        <v>5.0851100000000003E-2</v>
      </c>
      <c r="H140" s="115">
        <v>78</v>
      </c>
      <c r="I140" s="115">
        <v>125</v>
      </c>
      <c r="J140" s="115">
        <v>0.624</v>
      </c>
      <c r="K140" s="115">
        <v>-4.3498000000000001</v>
      </c>
      <c r="L140" s="115">
        <v>7.3440000000000003</v>
      </c>
      <c r="M140" s="115">
        <v>3</v>
      </c>
      <c r="N140" s="115">
        <v>3</v>
      </c>
      <c r="O140" s="115">
        <v>5</v>
      </c>
      <c r="P140" s="115">
        <v>7</v>
      </c>
      <c r="Q140" s="115">
        <v>36</v>
      </c>
      <c r="R140" s="115">
        <v>5.1429</v>
      </c>
      <c r="S140" s="115">
        <v>1</v>
      </c>
      <c r="T140" s="115">
        <v>2.4E-2</v>
      </c>
      <c r="U140" s="115">
        <v>2.4E-2</v>
      </c>
      <c r="V140" s="115">
        <v>0</v>
      </c>
      <c r="W140" s="115">
        <v>0.47920000000000001</v>
      </c>
      <c r="X140" s="115">
        <v>82.683300000000003</v>
      </c>
      <c r="Y140" s="115">
        <v>6.1615000000000002</v>
      </c>
      <c r="Z140" s="115">
        <v>131.06700000000001</v>
      </c>
      <c r="AA140" s="115">
        <v>57.6</v>
      </c>
      <c r="AB140" s="115">
        <v>9.7034000000000002</v>
      </c>
      <c r="AC140" s="115">
        <v>6.7400000000000002E-2</v>
      </c>
      <c r="AD140" s="115">
        <v>1.66E-2</v>
      </c>
      <c r="AE140" s="115">
        <v>3.15E-2</v>
      </c>
      <c r="AF140" s="115">
        <v>-3.2599999999999997E-2</v>
      </c>
      <c r="AG140" s="115">
        <v>-5.8400000000000001E-2</v>
      </c>
      <c r="AH140" s="115">
        <v>2.69E-2</v>
      </c>
      <c r="AI140" s="115">
        <v>-1.03E-2</v>
      </c>
      <c r="AJ140" s="115">
        <v>-5.4000000000000003E-3</v>
      </c>
      <c r="AK140" s="115">
        <v>7.92</v>
      </c>
      <c r="AL140" s="115">
        <v>-0.92</v>
      </c>
      <c r="AM140" s="115">
        <v>2</v>
      </c>
      <c r="AN140" s="115">
        <v>2</v>
      </c>
      <c r="AO140" s="115">
        <v>0</v>
      </c>
      <c r="AP140" s="115">
        <v>0</v>
      </c>
      <c r="AQ140" s="115">
        <v>1</v>
      </c>
      <c r="AR140" s="115">
        <v>0</v>
      </c>
      <c r="AS140" s="115">
        <v>5.1000000000000004E-3</v>
      </c>
      <c r="AT140" s="115">
        <v>0.73529999999999995</v>
      </c>
      <c r="AU140" s="114" t="str">
        <f>IF(A140&lt;&gt;"",INDEX(Index!$B$1:$B$77,MATCH($A140,Index!$A$1:$A$77,0)),"")</f>
        <v>ATL</v>
      </c>
      <c r="AV140" s="123" t="str">
        <f>IF(B140&lt;&gt;"",INDEX(Index!$C$1:$C$77,MATCH($A140,Index!$A$1:$A$77,0)),"")</f>
        <v>Penix</v>
      </c>
      <c r="AW140" s="123">
        <f t="shared" si="2"/>
        <v>29</v>
      </c>
      <c r="AX140" s="113">
        <v>5</v>
      </c>
    </row>
    <row r="141" spans="1:50" x14ac:dyDescent="0.25">
      <c r="A141" s="95" t="s">
        <v>586</v>
      </c>
      <c r="B141" s="96">
        <v>2025</v>
      </c>
      <c r="C141" s="96">
        <v>3</v>
      </c>
      <c r="D141" s="115">
        <v>-1.8867400000000001</v>
      </c>
      <c r="E141" s="115">
        <v>0.36967699999999998</v>
      </c>
      <c r="F141" s="115"/>
      <c r="G141" s="115">
        <v>0.36268499999999998</v>
      </c>
      <c r="H141" s="115">
        <v>69</v>
      </c>
      <c r="I141" s="115">
        <v>99</v>
      </c>
      <c r="J141" s="115">
        <v>0.69699999999999995</v>
      </c>
      <c r="K141" s="115">
        <v>5.4916</v>
      </c>
      <c r="L141" s="115">
        <v>7.6666999999999996</v>
      </c>
      <c r="M141" s="115">
        <v>5</v>
      </c>
      <c r="N141" s="115">
        <v>2</v>
      </c>
      <c r="O141" s="115">
        <v>12</v>
      </c>
      <c r="P141" s="115">
        <v>7</v>
      </c>
      <c r="Q141" s="115">
        <v>29</v>
      </c>
      <c r="R141" s="115">
        <v>4.1429</v>
      </c>
      <c r="S141" s="115">
        <v>0</v>
      </c>
      <c r="T141" s="115">
        <v>5.0500000000000003E-2</v>
      </c>
      <c r="U141" s="115">
        <v>2.0199999999999999E-2</v>
      </c>
      <c r="V141" s="115">
        <v>3.0300000000000001E-2</v>
      </c>
      <c r="W141" s="115">
        <v>0.496</v>
      </c>
      <c r="X141" s="115">
        <v>100.526</v>
      </c>
      <c r="Y141" s="115">
        <v>6.1802000000000001</v>
      </c>
      <c r="Z141" s="115">
        <v>153.69</v>
      </c>
      <c r="AA141" s="115">
        <v>41.5</v>
      </c>
      <c r="AB141" s="115">
        <v>20.756599999999999</v>
      </c>
      <c r="AC141" s="115">
        <v>0.1661</v>
      </c>
      <c r="AD141" s="115">
        <v>-5.2299999999999999E-2</v>
      </c>
      <c r="AE141" s="115">
        <v>-4.7699999999999999E-2</v>
      </c>
      <c r="AF141" s="115">
        <v>7.9000000000000001E-2</v>
      </c>
      <c r="AG141" s="115">
        <v>1.35E-2</v>
      </c>
      <c r="AH141" s="115">
        <v>3.5099999999999999E-2</v>
      </c>
      <c r="AI141" s="115">
        <v>4.2599999999999999E-2</v>
      </c>
      <c r="AJ141" s="115">
        <v>-2.7000000000000001E-3</v>
      </c>
      <c r="AK141" s="115">
        <v>7.6060999999999996</v>
      </c>
      <c r="AL141" s="115">
        <v>-1.3837999999999999</v>
      </c>
      <c r="AM141" s="115">
        <v>2</v>
      </c>
      <c r="AN141" s="115">
        <v>1</v>
      </c>
      <c r="AO141" s="115">
        <v>0</v>
      </c>
      <c r="AP141" s="115">
        <v>1</v>
      </c>
      <c r="AQ141" s="115">
        <v>2</v>
      </c>
      <c r="AR141" s="115">
        <v>0.5</v>
      </c>
      <c r="AS141" s="115">
        <v>3.5999999999999999E-3</v>
      </c>
      <c r="AT141" s="115">
        <v>0.44800000000000001</v>
      </c>
      <c r="AU141" s="114" t="str">
        <f>IF(A141&lt;&gt;"",INDEX(Index!$B$1:$B$77,MATCH($A141,Index!$A$1:$A$77,0)),"")</f>
        <v>MIN</v>
      </c>
      <c r="AV141" s="123" t="str">
        <f>IF(B141&lt;&gt;"",INDEX(Index!$C$1:$C$77,MATCH($A141,Index!$A$1:$A$77,0)),"")</f>
        <v>Wentz</v>
      </c>
      <c r="AW141" s="123">
        <f t="shared" si="2"/>
        <v>31</v>
      </c>
      <c r="AX141" s="113">
        <v>5</v>
      </c>
    </row>
    <row r="142" spans="1:50" x14ac:dyDescent="0.25">
      <c r="A142" s="95" t="s">
        <v>581</v>
      </c>
      <c r="B142" s="96">
        <v>2025</v>
      </c>
      <c r="C142" s="96">
        <v>5</v>
      </c>
      <c r="D142" s="115">
        <v>-1.93055</v>
      </c>
      <c r="E142" s="115">
        <v>0.38201099999999999</v>
      </c>
      <c r="F142" s="115"/>
      <c r="G142" s="115">
        <v>1.4255899999999999</v>
      </c>
      <c r="H142" s="115">
        <v>119</v>
      </c>
      <c r="I142" s="115">
        <v>175</v>
      </c>
      <c r="J142" s="115">
        <v>0.68</v>
      </c>
      <c r="K142" s="115">
        <v>1.5607</v>
      </c>
      <c r="L142" s="115">
        <v>5.6570999999999998</v>
      </c>
      <c r="M142" s="115">
        <v>6</v>
      </c>
      <c r="N142" s="115">
        <v>1</v>
      </c>
      <c r="O142" s="115">
        <v>9</v>
      </c>
      <c r="P142" s="115">
        <v>21</v>
      </c>
      <c r="Q142" s="115">
        <v>124</v>
      </c>
      <c r="R142" s="115">
        <v>5.9047999999999998</v>
      </c>
      <c r="S142" s="115">
        <v>0</v>
      </c>
      <c r="T142" s="115">
        <v>3.4299999999999997E-2</v>
      </c>
      <c r="U142" s="115">
        <v>5.7000000000000002E-3</v>
      </c>
      <c r="V142" s="115">
        <v>2.86E-2</v>
      </c>
      <c r="W142" s="115">
        <v>0.49320000000000003</v>
      </c>
      <c r="X142" s="115">
        <v>91.369</v>
      </c>
      <c r="Y142" s="115">
        <v>5.4782999999999999</v>
      </c>
      <c r="Z142" s="115">
        <v>186.762</v>
      </c>
      <c r="AA142" s="115">
        <v>57</v>
      </c>
      <c r="AB142" s="115">
        <v>8.8225999999999996</v>
      </c>
      <c r="AC142" s="115">
        <v>4.0300000000000002E-2</v>
      </c>
      <c r="AD142" s="115">
        <v>1.83E-2</v>
      </c>
      <c r="AE142" s="115">
        <v>3.1300000000000001E-2</v>
      </c>
      <c r="AF142" s="115">
        <v>-1.26E-2</v>
      </c>
      <c r="AG142" s="115">
        <v>6.4000000000000001E-2</v>
      </c>
      <c r="AH142" s="115">
        <v>-7.6499999999999999E-2</v>
      </c>
      <c r="AI142" s="115">
        <v>-8.7900000000000006E-2</v>
      </c>
      <c r="AJ142" s="115">
        <v>5.0000000000000001E-3</v>
      </c>
      <c r="AK142" s="115">
        <v>7.1322000000000001</v>
      </c>
      <c r="AL142" s="115">
        <v>-1.5575000000000001</v>
      </c>
      <c r="AM142" s="115">
        <v>1</v>
      </c>
      <c r="AN142" s="115">
        <v>4</v>
      </c>
      <c r="AO142" s="115">
        <v>0</v>
      </c>
      <c r="AP142" s="115">
        <v>0</v>
      </c>
      <c r="AQ142" s="115">
        <v>3</v>
      </c>
      <c r="AR142" s="115">
        <v>0</v>
      </c>
      <c r="AS142" s="115">
        <v>-6.9999999999999999E-4</v>
      </c>
      <c r="AT142" s="115">
        <v>-0.1426</v>
      </c>
      <c r="AU142" s="114" t="str">
        <f>IF(A142&lt;&gt;"",INDEX(Index!$B$1:$B$77,MATCH($A142,Index!$A$1:$A$77,0)),"")</f>
        <v>NO</v>
      </c>
      <c r="AV142" s="123" t="str">
        <f>IF(B142&lt;&gt;"",INDEX(Index!$C$1:$C$77,MATCH($A142,Index!$A$1:$A$77,0)),"")</f>
        <v>Rattler</v>
      </c>
      <c r="AW142" s="123">
        <f t="shared" si="2"/>
        <v>10</v>
      </c>
      <c r="AX142" s="113">
        <v>5</v>
      </c>
    </row>
    <row r="143" spans="1:50" x14ac:dyDescent="0.25">
      <c r="A143" s="95" t="s">
        <v>585</v>
      </c>
      <c r="B143" s="96">
        <v>2025</v>
      </c>
      <c r="C143" s="96">
        <v>3</v>
      </c>
      <c r="D143" s="115">
        <v>-1.9768300000000001</v>
      </c>
      <c r="E143" s="115">
        <v>0.13401099999999999</v>
      </c>
      <c r="F143" s="115"/>
      <c r="G143" s="115">
        <v>-0.76969699999999996</v>
      </c>
      <c r="H143" s="115">
        <v>80</v>
      </c>
      <c r="I143" s="115">
        <v>124</v>
      </c>
      <c r="J143" s="115">
        <v>0.6452</v>
      </c>
      <c r="K143" s="115">
        <v>0.1186</v>
      </c>
      <c r="L143" s="115">
        <v>6.1048</v>
      </c>
      <c r="M143" s="115">
        <v>6</v>
      </c>
      <c r="N143" s="115">
        <v>8</v>
      </c>
      <c r="O143" s="115">
        <v>9</v>
      </c>
      <c r="P143" s="115">
        <v>8</v>
      </c>
      <c r="Q143" s="115">
        <v>40</v>
      </c>
      <c r="R143" s="115">
        <v>5</v>
      </c>
      <c r="S143" s="115">
        <v>1</v>
      </c>
      <c r="T143" s="115">
        <v>4.8399999999999999E-2</v>
      </c>
      <c r="U143" s="115">
        <v>6.4500000000000002E-2</v>
      </c>
      <c r="V143" s="115">
        <v>-1.61E-2</v>
      </c>
      <c r="W143" s="115">
        <v>0.43140000000000001</v>
      </c>
      <c r="X143" s="115">
        <v>70.530900000000003</v>
      </c>
      <c r="Y143" s="115">
        <v>3.4361000000000002</v>
      </c>
      <c r="Z143" s="115">
        <v>58.973999999999997</v>
      </c>
      <c r="AA143" s="115">
        <v>35.299999999999997</v>
      </c>
      <c r="AB143" s="115">
        <v>-36.548900000000003</v>
      </c>
      <c r="AC143" s="115">
        <v>-0.2389</v>
      </c>
      <c r="AD143" s="115">
        <v>9.1000000000000004E-3</v>
      </c>
      <c r="AE143" s="115">
        <v>-2.3999999999999998E-3</v>
      </c>
      <c r="AF143" s="115">
        <v>1.0699999999999999E-2</v>
      </c>
      <c r="AG143" s="115">
        <v>-0.1837</v>
      </c>
      <c r="AH143" s="115">
        <v>-9.0300000000000005E-2</v>
      </c>
      <c r="AI143" s="115">
        <v>-0.12570000000000001</v>
      </c>
      <c r="AJ143" s="115">
        <v>4.48E-2</v>
      </c>
      <c r="AK143" s="115">
        <v>7.6612999999999998</v>
      </c>
      <c r="AL143" s="115">
        <v>-1.5323</v>
      </c>
      <c r="AM143" s="115">
        <v>1</v>
      </c>
      <c r="AN143" s="115">
        <v>3</v>
      </c>
      <c r="AO143" s="115">
        <v>0</v>
      </c>
      <c r="AP143" s="115">
        <v>1</v>
      </c>
      <c r="AQ143" s="115">
        <v>1</v>
      </c>
      <c r="AR143" s="115">
        <v>1</v>
      </c>
      <c r="AS143" s="115">
        <v>-5.9999999999999995E-4</v>
      </c>
      <c r="AT143" s="115">
        <v>-8.9099999999999999E-2</v>
      </c>
      <c r="AU143" s="114" t="str">
        <f>IF(A143&lt;&gt;"",INDEX(Index!$B$1:$B$77,MATCH($A143,Index!$A$1:$A$77,0)),"")</f>
        <v>CIN</v>
      </c>
      <c r="AV143" s="123" t="str">
        <f>IF(B143&lt;&gt;"",INDEX(Index!$C$1:$C$77,MATCH($A143,Index!$A$1:$A$77,0)),"")</f>
        <v>Browning</v>
      </c>
      <c r="AW143" s="123">
        <f t="shared" si="2"/>
        <v>27</v>
      </c>
      <c r="AX143" s="113">
        <v>5</v>
      </c>
    </row>
    <row r="144" spans="1:50" x14ac:dyDescent="0.25">
      <c r="A144" s="95" t="s">
        <v>588</v>
      </c>
      <c r="B144" s="96">
        <v>2025</v>
      </c>
      <c r="C144" s="96">
        <v>1</v>
      </c>
      <c r="D144" s="115">
        <v>-2.1700200000000001</v>
      </c>
      <c r="E144" s="115">
        <v>-0.41702899999999998</v>
      </c>
      <c r="F144" s="115"/>
      <c r="G144" s="115">
        <v>-0.41702899999999998</v>
      </c>
      <c r="H144" s="115">
        <v>23</v>
      </c>
      <c r="I144" s="115">
        <v>33</v>
      </c>
      <c r="J144" s="115">
        <v>0.69699999999999995</v>
      </c>
      <c r="K144" s="115">
        <v>2.4619</v>
      </c>
      <c r="L144" s="115">
        <v>7</v>
      </c>
      <c r="M144" s="115">
        <v>0</v>
      </c>
      <c r="N144" s="115">
        <v>3</v>
      </c>
      <c r="O144" s="115">
        <v>1</v>
      </c>
      <c r="P144" s="115">
        <v>0</v>
      </c>
      <c r="Q144" s="115">
        <v>0</v>
      </c>
      <c r="R144" s="115"/>
      <c r="S144" s="115">
        <v>0</v>
      </c>
      <c r="T144" s="115">
        <v>0</v>
      </c>
      <c r="U144" s="115">
        <v>9.0899999999999995E-2</v>
      </c>
      <c r="V144" s="115">
        <v>-9.0899999999999995E-2</v>
      </c>
      <c r="W144" s="115">
        <v>0.47220000000000001</v>
      </c>
      <c r="X144" s="115">
        <v>51.451999999999998</v>
      </c>
      <c r="Y144" s="115">
        <v>2.3529</v>
      </c>
      <c r="Z144" s="115">
        <v>12.019</v>
      </c>
      <c r="AA144" s="115"/>
      <c r="AB144" s="115">
        <v>-12.707599999999999</v>
      </c>
      <c r="AC144" s="115">
        <v>-0.35299999999999998</v>
      </c>
      <c r="AD144" s="115">
        <v>-3.5299999999999998E-2</v>
      </c>
      <c r="AE144" s="115">
        <v>2.6800000000000001E-2</v>
      </c>
      <c r="AF144" s="115">
        <v>-4.3900000000000002E-2</v>
      </c>
      <c r="AG144" s="115">
        <v>-0.3211</v>
      </c>
      <c r="AH144" s="115">
        <v>-0.28560000000000002</v>
      </c>
      <c r="AI144" s="115">
        <v>0.20180000000000001</v>
      </c>
      <c r="AJ144" s="115">
        <v>5.7999999999999996E-3</v>
      </c>
      <c r="AK144" s="115">
        <v>6.1515000000000004</v>
      </c>
      <c r="AL144" s="115">
        <v>-2</v>
      </c>
      <c r="AM144" s="115">
        <v>0</v>
      </c>
      <c r="AN144" s="115">
        <v>2</v>
      </c>
      <c r="AO144" s="115">
        <v>0</v>
      </c>
      <c r="AP144" s="115">
        <v>0</v>
      </c>
      <c r="AQ144" s="115">
        <v>0</v>
      </c>
      <c r="AR144" s="115"/>
      <c r="AS144" s="115">
        <v>-2.9999999999999997E-4</v>
      </c>
      <c r="AT144" s="115">
        <v>-1.06E-2</v>
      </c>
      <c r="AU144" s="114" t="str">
        <f>IF(A144&lt;&gt;"",INDEX(Index!$B$1:$B$77,MATCH($A144,Index!$A$1:$A$77,0)),"")</f>
        <v>BAL</v>
      </c>
      <c r="AV144" s="123" t="str">
        <f>IF(B144&lt;&gt;"",INDEX(Index!$C$1:$C$77,MATCH($A144,Index!$A$1:$A$77,0)),"")</f>
        <v>Rush</v>
      </c>
      <c r="AW144" s="123">
        <f t="shared" si="2"/>
        <v>40</v>
      </c>
      <c r="AX144" s="113">
        <v>5</v>
      </c>
    </row>
    <row r="145" spans="1:50" x14ac:dyDescent="0.25">
      <c r="A145" s="95" t="s">
        <v>587</v>
      </c>
      <c r="B145" s="96">
        <v>2025</v>
      </c>
      <c r="C145" s="96">
        <v>2</v>
      </c>
      <c r="D145" s="115">
        <v>-2.21997</v>
      </c>
      <c r="E145" s="115">
        <v>0.29710199999999998</v>
      </c>
      <c r="F145" s="115"/>
      <c r="G145" s="115">
        <v>0.348582</v>
      </c>
      <c r="H145" s="115">
        <v>39</v>
      </c>
      <c r="I145" s="115">
        <v>59</v>
      </c>
      <c r="J145" s="115">
        <v>0.66100000000000003</v>
      </c>
      <c r="K145" s="115">
        <v>-1.2669999999999999</v>
      </c>
      <c r="L145" s="115">
        <v>5.3051000000000004</v>
      </c>
      <c r="M145" s="115">
        <v>3</v>
      </c>
      <c r="N145" s="115">
        <v>2</v>
      </c>
      <c r="O145" s="115">
        <v>6</v>
      </c>
      <c r="P145" s="115">
        <v>18</v>
      </c>
      <c r="Q145" s="115">
        <v>109</v>
      </c>
      <c r="R145" s="115">
        <v>6.0556000000000001</v>
      </c>
      <c r="S145" s="115">
        <v>1</v>
      </c>
      <c r="T145" s="115">
        <v>5.0799999999999998E-2</v>
      </c>
      <c r="U145" s="115">
        <v>3.39E-2</v>
      </c>
      <c r="V145" s="115">
        <v>1.6899999999999998E-2</v>
      </c>
      <c r="W145" s="115">
        <v>0.4778</v>
      </c>
      <c r="X145" s="115">
        <v>82.097499999999997</v>
      </c>
      <c r="Y145" s="115">
        <v>3.9230999999999998</v>
      </c>
      <c r="Z145" s="115">
        <v>160.50399999999999</v>
      </c>
      <c r="AA145" s="115">
        <v>43.6</v>
      </c>
      <c r="AB145" s="115">
        <v>-11.414999999999999</v>
      </c>
      <c r="AC145" s="115">
        <v>-0.1268</v>
      </c>
      <c r="AD145" s="115">
        <v>0.05</v>
      </c>
      <c r="AE145" s="115">
        <v>-5.5199999999999999E-2</v>
      </c>
      <c r="AF145" s="115">
        <v>1.83E-2</v>
      </c>
      <c r="AG145" s="115">
        <v>1.6799999999999999E-2</v>
      </c>
      <c r="AH145" s="115">
        <v>-0.23039999999999999</v>
      </c>
      <c r="AI145" s="115">
        <v>-4.1799999999999997E-2</v>
      </c>
      <c r="AJ145" s="115">
        <v>1.6899999999999998E-2</v>
      </c>
      <c r="AK145" s="115">
        <v>7.7119</v>
      </c>
      <c r="AL145" s="115">
        <v>-1.8814</v>
      </c>
      <c r="AM145" s="115">
        <v>1</v>
      </c>
      <c r="AN145" s="115">
        <v>3</v>
      </c>
      <c r="AO145" s="115">
        <v>0</v>
      </c>
      <c r="AP145" s="115">
        <v>0</v>
      </c>
      <c r="AQ145" s="115">
        <v>1</v>
      </c>
      <c r="AR145" s="115">
        <v>0</v>
      </c>
      <c r="AS145" s="115">
        <v>-1.8E-3</v>
      </c>
      <c r="AT145" s="115">
        <v>-0.15939999999999999</v>
      </c>
      <c r="AU145" s="114" t="str">
        <f>IF(A145&lt;&gt;"",INDEX(Index!$B$1:$B$77,MATCH($A145,Index!$A$1:$A$77,0)),"")</f>
        <v>NYG</v>
      </c>
      <c r="AV145" s="123" t="str">
        <f>IF(B145&lt;&gt;"",INDEX(Index!$C$1:$C$77,MATCH($A145,Index!$A$1:$A$77,0)),"")</f>
        <v>Dart</v>
      </c>
      <c r="AW145" s="123">
        <f t="shared" si="2"/>
        <v>14</v>
      </c>
      <c r="AX145" s="113">
        <v>5</v>
      </c>
    </row>
    <row r="146" spans="1:50" x14ac:dyDescent="0.25">
      <c r="A146" s="95" t="s">
        <v>580</v>
      </c>
      <c r="B146" s="96">
        <v>2025</v>
      </c>
      <c r="C146" s="96">
        <v>2</v>
      </c>
      <c r="D146" s="115">
        <v>-2.55579</v>
      </c>
      <c r="E146" s="115">
        <v>-0.98064799999999996</v>
      </c>
      <c r="F146" s="115"/>
      <c r="G146" s="115">
        <v>-0.89308399999999999</v>
      </c>
      <c r="H146" s="115">
        <v>24</v>
      </c>
      <c r="I146" s="115">
        <v>41</v>
      </c>
      <c r="J146" s="115">
        <v>0.58540000000000003</v>
      </c>
      <c r="K146" s="115">
        <v>-7.2812999999999999</v>
      </c>
      <c r="L146" s="115">
        <v>7.3414999999999999</v>
      </c>
      <c r="M146" s="115">
        <v>2</v>
      </c>
      <c r="N146" s="115">
        <v>3</v>
      </c>
      <c r="O146" s="115">
        <v>9</v>
      </c>
      <c r="P146" s="115">
        <v>6</v>
      </c>
      <c r="Q146" s="115">
        <v>50</v>
      </c>
      <c r="R146" s="115">
        <v>8.3332999999999995</v>
      </c>
      <c r="S146" s="115">
        <v>1</v>
      </c>
      <c r="T146" s="115">
        <v>4.8800000000000003E-2</v>
      </c>
      <c r="U146" s="115">
        <v>7.3200000000000001E-2</v>
      </c>
      <c r="V146" s="115">
        <v>-2.4400000000000002E-2</v>
      </c>
      <c r="W146" s="115">
        <v>0.42370000000000002</v>
      </c>
      <c r="X146" s="115">
        <v>67.2256</v>
      </c>
      <c r="Y146" s="115">
        <v>3.18</v>
      </c>
      <c r="Z146" s="115">
        <v>-1.2115</v>
      </c>
      <c r="AA146" s="115"/>
      <c r="AB146" s="115">
        <v>-17.266200000000001</v>
      </c>
      <c r="AC146" s="115">
        <v>-0.29260000000000003</v>
      </c>
      <c r="AD146" s="115">
        <v>5.6500000000000002E-2</v>
      </c>
      <c r="AE146" s="115">
        <v>-0.21390000000000001</v>
      </c>
      <c r="AF146" s="115">
        <v>-8.6E-3</v>
      </c>
      <c r="AG146" s="115">
        <v>-0.22720000000000001</v>
      </c>
      <c r="AH146" s="115">
        <v>3.3300000000000003E-2</v>
      </c>
      <c r="AI146" s="115">
        <v>-9.6500000000000002E-2</v>
      </c>
      <c r="AJ146" s="115">
        <v>6.5299999999999997E-2</v>
      </c>
      <c r="AK146" s="115">
        <v>9</v>
      </c>
      <c r="AL146" s="115">
        <v>-0.31709999999999999</v>
      </c>
      <c r="AM146" s="115">
        <v>1</v>
      </c>
      <c r="AN146" s="115">
        <v>1</v>
      </c>
      <c r="AO146" s="115">
        <v>0</v>
      </c>
      <c r="AP146" s="115">
        <v>1</v>
      </c>
      <c r="AQ146" s="115">
        <v>2</v>
      </c>
      <c r="AR146" s="115">
        <v>0.5</v>
      </c>
      <c r="AS146" s="115">
        <v>-2.0999999999999999E-3</v>
      </c>
      <c r="AT146" s="115">
        <v>-0.1216</v>
      </c>
      <c r="AU146" s="114" t="str">
        <f>IF(A146&lt;&gt;"",INDEX(Index!$B$1:$B$77,MATCH($A146,Index!$A$1:$A$77,0)),"")</f>
        <v>MIN</v>
      </c>
      <c r="AV146" s="123" t="str">
        <f>IF(B146&lt;&gt;"",INDEX(Index!$C$1:$C$77,MATCH($A146,Index!$A$1:$A$77,0)),"")</f>
        <v>McCarthy</v>
      </c>
      <c r="AW146" s="123">
        <f t="shared" si="2"/>
        <v>25</v>
      </c>
      <c r="AX146" s="113">
        <v>5</v>
      </c>
    </row>
    <row r="147" spans="1:50" x14ac:dyDescent="0.25">
      <c r="A147" s="95" t="s">
        <v>577</v>
      </c>
      <c r="B147" s="96">
        <v>2025</v>
      </c>
      <c r="C147" s="96">
        <v>4</v>
      </c>
      <c r="D147" s="115">
        <v>-2.8267199999999999</v>
      </c>
      <c r="E147" s="115">
        <v>-0.84337899999999999</v>
      </c>
      <c r="F147" s="115"/>
      <c r="G147" s="115">
        <v>-1.6186</v>
      </c>
      <c r="H147" s="115">
        <v>93</v>
      </c>
      <c r="I147" s="115">
        <v>159</v>
      </c>
      <c r="J147" s="115">
        <v>0.58489999999999998</v>
      </c>
      <c r="K147" s="115">
        <v>-4.3258000000000001</v>
      </c>
      <c r="L147" s="115">
        <v>5.1257999999999999</v>
      </c>
      <c r="M147" s="115">
        <v>2</v>
      </c>
      <c r="N147" s="115">
        <v>6</v>
      </c>
      <c r="O147" s="115">
        <v>9</v>
      </c>
      <c r="P147" s="115">
        <v>5</v>
      </c>
      <c r="Q147" s="115">
        <v>14</v>
      </c>
      <c r="R147" s="115">
        <v>2.8</v>
      </c>
      <c r="S147" s="115">
        <v>0</v>
      </c>
      <c r="T147" s="115">
        <v>1.26E-2</v>
      </c>
      <c r="U147" s="115">
        <v>3.7699999999999997E-2</v>
      </c>
      <c r="V147" s="115">
        <v>-2.52E-2</v>
      </c>
      <c r="W147" s="115">
        <v>0.35449999999999998</v>
      </c>
      <c r="X147" s="115">
        <v>60.652500000000003</v>
      </c>
      <c r="Y147" s="115">
        <v>3.1606999999999998</v>
      </c>
      <c r="Z147" s="115">
        <v>19.616099999999999</v>
      </c>
      <c r="AA147" s="115">
        <v>27.6</v>
      </c>
      <c r="AB147" s="115">
        <v>-55.084600000000002</v>
      </c>
      <c r="AC147" s="115">
        <v>-0.29149999999999998</v>
      </c>
      <c r="AD147" s="115">
        <v>-3.5900000000000001E-2</v>
      </c>
      <c r="AE147" s="115">
        <v>-3.0099999999999998E-2</v>
      </c>
      <c r="AF147" s="115">
        <v>-6.7199999999999996E-2</v>
      </c>
      <c r="AG147" s="115">
        <v>-6.4500000000000002E-2</v>
      </c>
      <c r="AH147" s="115">
        <v>-0.1283</v>
      </c>
      <c r="AI147" s="115">
        <v>-5.5300000000000002E-2</v>
      </c>
      <c r="AJ147" s="115">
        <v>-8.6E-3</v>
      </c>
      <c r="AK147" s="115">
        <v>7.3459000000000003</v>
      </c>
      <c r="AL147" s="115">
        <v>-1.8994</v>
      </c>
      <c r="AM147" s="115">
        <v>1</v>
      </c>
      <c r="AN147" s="115">
        <v>3</v>
      </c>
      <c r="AO147" s="115">
        <v>0</v>
      </c>
      <c r="AP147" s="115">
        <v>1</v>
      </c>
      <c r="AQ147" s="115">
        <v>2</v>
      </c>
      <c r="AR147" s="115">
        <v>0.5</v>
      </c>
      <c r="AS147" s="115">
        <v>-7.1000000000000004E-3</v>
      </c>
      <c r="AT147" s="115">
        <v>-1.3351999999999999</v>
      </c>
      <c r="AU147" s="114" t="str">
        <f>IF(A147&lt;&gt;"",INDEX(Index!$B$1:$B$77,MATCH($A147,Index!$A$1:$A$77,0)),"")</f>
        <v>CIN</v>
      </c>
      <c r="AV147" s="123" t="str">
        <f>IF(B147&lt;&gt;"",INDEX(Index!$C$1:$C$77,MATCH($A147,Index!$A$1:$A$77,0)),"")</f>
        <v>Flacco</v>
      </c>
      <c r="AW147" s="123">
        <f t="shared" si="2"/>
        <v>34</v>
      </c>
      <c r="AX147" s="113">
        <v>5</v>
      </c>
    </row>
    <row r="148" spans="1:50" x14ac:dyDescent="0.25">
      <c r="A148" s="95" t="s">
        <v>589</v>
      </c>
      <c r="B148" s="96">
        <v>2025</v>
      </c>
      <c r="C148" s="96">
        <v>1</v>
      </c>
      <c r="D148" s="115">
        <v>-3.4911599999999998</v>
      </c>
      <c r="E148" s="115">
        <v>0.31266100000000002</v>
      </c>
      <c r="F148" s="115"/>
      <c r="G148" s="115">
        <v>0.31266100000000002</v>
      </c>
      <c r="H148" s="115">
        <v>22</v>
      </c>
      <c r="I148" s="115">
        <v>36</v>
      </c>
      <c r="J148" s="115">
        <v>0.61109999999999998</v>
      </c>
      <c r="K148" s="115">
        <v>-4.6014999999999997</v>
      </c>
      <c r="L148" s="115">
        <v>5.8056000000000001</v>
      </c>
      <c r="M148" s="115">
        <v>3</v>
      </c>
      <c r="N148" s="115">
        <v>0</v>
      </c>
      <c r="O148" s="115">
        <v>2</v>
      </c>
      <c r="P148" s="115">
        <v>2</v>
      </c>
      <c r="Q148" s="115">
        <v>5</v>
      </c>
      <c r="R148" s="115">
        <v>2.5</v>
      </c>
      <c r="S148" s="115">
        <v>0</v>
      </c>
      <c r="T148" s="115">
        <v>8.3299999999999999E-2</v>
      </c>
      <c r="U148" s="115">
        <v>0</v>
      </c>
      <c r="V148" s="115">
        <v>8.3299999999999999E-2</v>
      </c>
      <c r="W148" s="115">
        <v>0.375</v>
      </c>
      <c r="X148" s="115">
        <v>104.977</v>
      </c>
      <c r="Y148" s="115">
        <v>6.8684000000000003</v>
      </c>
      <c r="Z148" s="115">
        <v>169.53399999999999</v>
      </c>
      <c r="AA148" s="115">
        <v>42.5</v>
      </c>
      <c r="AB148" s="115">
        <v>-1.2283999999999999</v>
      </c>
      <c r="AC148" s="115">
        <v>-3.0700000000000002E-2</v>
      </c>
      <c r="AD148" s="115">
        <v>-6.5799999999999997E-2</v>
      </c>
      <c r="AE148" s="115">
        <v>2.4400000000000002E-2</v>
      </c>
      <c r="AF148" s="115">
        <v>-6.2300000000000001E-2</v>
      </c>
      <c r="AG148" s="115">
        <v>7.1499999999999994E-2</v>
      </c>
      <c r="AH148" s="115">
        <v>-0.1009</v>
      </c>
      <c r="AI148" s="115">
        <v>2.69E-2</v>
      </c>
      <c r="AJ148" s="115">
        <v>-2.3E-2</v>
      </c>
      <c r="AK148" s="115">
        <v>6.3056000000000001</v>
      </c>
      <c r="AL148" s="115">
        <v>-3.3889</v>
      </c>
      <c r="AM148" s="115">
        <v>0</v>
      </c>
      <c r="AN148" s="115">
        <v>3</v>
      </c>
      <c r="AO148" s="115">
        <v>0</v>
      </c>
      <c r="AP148" s="115">
        <v>0</v>
      </c>
      <c r="AQ148" s="115">
        <v>1</v>
      </c>
      <c r="AR148" s="115">
        <v>0</v>
      </c>
      <c r="AS148" s="115">
        <v>-7.0000000000000001E-3</v>
      </c>
      <c r="AT148" s="115">
        <v>-0.28149999999999997</v>
      </c>
      <c r="AU148" s="114" t="str">
        <f>IF(A148&lt;&gt;"",INDEX(Index!$B$1:$B$77,MATCH($A148,Index!$A$1:$A$77,0)),"")</f>
        <v>CLE</v>
      </c>
      <c r="AV148" s="123" t="str">
        <f>IF(B148&lt;&gt;"",INDEX(Index!$C$1:$C$77,MATCH($A148,Index!$A$1:$A$77,0)),"")</f>
        <v>Gabriel</v>
      </c>
      <c r="AW148" s="123">
        <f t="shared" si="2"/>
        <v>38</v>
      </c>
      <c r="AX148" s="113">
        <v>5</v>
      </c>
    </row>
    <row r="149" spans="1:50" ht="15.75" thickBot="1" x14ac:dyDescent="0.3">
      <c r="A149" s="95" t="s">
        <v>582</v>
      </c>
      <c r="B149" s="96">
        <v>2025</v>
      </c>
      <c r="C149" s="96">
        <v>5</v>
      </c>
      <c r="D149" s="115">
        <v>-3.7599399999999998</v>
      </c>
      <c r="E149" s="115">
        <v>-0.30507000000000001</v>
      </c>
      <c r="F149" s="115"/>
      <c r="G149" s="115">
        <v>-2.2270400000000001</v>
      </c>
      <c r="H149" s="115">
        <v>85</v>
      </c>
      <c r="I149" s="115">
        <v>163</v>
      </c>
      <c r="J149" s="115">
        <v>0.52149999999999996</v>
      </c>
      <c r="K149" s="115">
        <v>-9.5338999999999992</v>
      </c>
      <c r="L149" s="115">
        <v>5.3925999999999998</v>
      </c>
      <c r="M149" s="115">
        <v>2</v>
      </c>
      <c r="N149" s="115">
        <v>3</v>
      </c>
      <c r="O149" s="115">
        <v>19</v>
      </c>
      <c r="P149" s="115">
        <v>10</v>
      </c>
      <c r="Q149" s="115">
        <v>44</v>
      </c>
      <c r="R149" s="115">
        <v>4.4000000000000004</v>
      </c>
      <c r="S149" s="115">
        <v>0</v>
      </c>
      <c r="T149" s="115">
        <v>1.23E-2</v>
      </c>
      <c r="U149" s="115">
        <v>1.84E-2</v>
      </c>
      <c r="V149" s="115">
        <v>-6.1000000000000004E-3</v>
      </c>
      <c r="W149" s="115">
        <v>0.372</v>
      </c>
      <c r="X149" s="115">
        <v>64.430000000000007</v>
      </c>
      <c r="Y149" s="115">
        <v>3.5604</v>
      </c>
      <c r="Z149" s="115">
        <v>-20.615600000000001</v>
      </c>
      <c r="AA149" s="115">
        <v>26.5</v>
      </c>
      <c r="AB149" s="115">
        <v>-43.914999999999999</v>
      </c>
      <c r="AC149" s="115">
        <v>-0.21210000000000001</v>
      </c>
      <c r="AD149" s="115">
        <v>-2.07E-2</v>
      </c>
      <c r="AE149" s="115">
        <v>-7.0400000000000004E-2</v>
      </c>
      <c r="AF149" s="115">
        <v>-9.4100000000000003E-2</v>
      </c>
      <c r="AG149" s="115">
        <v>2.0299999999999999E-2</v>
      </c>
      <c r="AH149" s="115">
        <v>1.8E-3</v>
      </c>
      <c r="AI149" s="115">
        <v>-0.12720000000000001</v>
      </c>
      <c r="AJ149" s="115">
        <v>-2.0299999999999999E-2</v>
      </c>
      <c r="AK149" s="115">
        <v>8.0122999999999998</v>
      </c>
      <c r="AL149" s="115">
        <v>-1.6257999999999999</v>
      </c>
      <c r="AM149" s="115">
        <v>1</v>
      </c>
      <c r="AN149" s="115">
        <v>4</v>
      </c>
      <c r="AO149" s="115">
        <v>0</v>
      </c>
      <c r="AP149" s="115">
        <v>1</v>
      </c>
      <c r="AQ149" s="115">
        <v>3</v>
      </c>
      <c r="AR149" s="115">
        <v>0.33329999999999999</v>
      </c>
      <c r="AS149" s="115">
        <v>-5.3E-3</v>
      </c>
      <c r="AT149" s="115">
        <v>-1.1051</v>
      </c>
      <c r="AU149" s="114" t="str">
        <f>IF(A149&lt;&gt;"",INDEX(Index!$B$1:$B$77,MATCH($A149,Index!$A$1:$A$77,0)),"")</f>
        <v>TEN</v>
      </c>
      <c r="AV149" s="123" t="str">
        <f>IF(B149&lt;&gt;"",INDEX(Index!$C$1:$C$77,MATCH($A149,Index!$A$1:$A$77,0)),"")</f>
        <v>Ward</v>
      </c>
      <c r="AW149" s="123">
        <f t="shared" si="2"/>
        <v>26</v>
      </c>
      <c r="AX149" s="113">
        <v>5</v>
      </c>
    </row>
    <row r="150" spans="1:50" x14ac:dyDescent="0.25">
      <c r="A150" s="117" t="s">
        <v>552</v>
      </c>
      <c r="B150" s="118">
        <v>2025</v>
      </c>
      <c r="C150" s="118">
        <v>6</v>
      </c>
      <c r="D150" s="119">
        <v>3.2915100000000002</v>
      </c>
      <c r="E150" s="119">
        <v>0.33254800000000001</v>
      </c>
      <c r="F150" s="119"/>
      <c r="G150" s="119">
        <v>138</v>
      </c>
      <c r="H150" s="119">
        <v>212</v>
      </c>
      <c r="I150" s="119">
        <v>0.65090000000000003</v>
      </c>
      <c r="J150" s="119">
        <v>1.0650999999999999</v>
      </c>
      <c r="K150" s="119">
        <v>1514</v>
      </c>
      <c r="L150" s="119">
        <v>7.1414999999999997</v>
      </c>
      <c r="M150" s="119">
        <v>11</v>
      </c>
      <c r="N150" s="119">
        <v>2</v>
      </c>
      <c r="O150" s="119">
        <v>10</v>
      </c>
      <c r="P150" s="119">
        <v>31</v>
      </c>
      <c r="Q150" s="119">
        <v>228</v>
      </c>
      <c r="R150" s="119">
        <v>7.3548</v>
      </c>
      <c r="S150" s="119">
        <v>4</v>
      </c>
      <c r="T150" s="119">
        <v>5.1900000000000002E-2</v>
      </c>
      <c r="U150" s="119">
        <v>9.4000000000000004E-3</v>
      </c>
      <c r="V150" s="119">
        <v>4.2500000000000003E-2</v>
      </c>
      <c r="W150" s="119">
        <v>0.53759999999999997</v>
      </c>
      <c r="X150" s="119">
        <v>99.449700000000007</v>
      </c>
      <c r="Y150" s="119">
        <v>7.1081000000000003</v>
      </c>
      <c r="Z150" s="119">
        <v>289.17500000000001</v>
      </c>
      <c r="AA150" s="119">
        <v>76.099999999999994</v>
      </c>
      <c r="AB150" s="119">
        <v>61.401800000000001</v>
      </c>
      <c r="AC150" s="119">
        <v>0.23080000000000001</v>
      </c>
      <c r="AD150" s="119">
        <v>2.3699999999999999E-2</v>
      </c>
      <c r="AE150" s="119">
        <v>4.9500000000000002E-2</v>
      </c>
      <c r="AF150" s="119">
        <v>-2.5999999999999999E-3</v>
      </c>
      <c r="AG150" s="119">
        <v>-4.3E-3</v>
      </c>
      <c r="AH150" s="119">
        <v>-1.7600000000000001E-2</v>
      </c>
      <c r="AI150" s="119">
        <v>8.4599999999999995E-2</v>
      </c>
      <c r="AJ150" s="119">
        <v>-1.4E-3</v>
      </c>
      <c r="AK150" s="119">
        <v>8.0801999999999996</v>
      </c>
      <c r="AL150" s="119">
        <v>-0.25</v>
      </c>
      <c r="AM150" s="119">
        <v>3</v>
      </c>
      <c r="AN150" s="119">
        <v>3</v>
      </c>
      <c r="AO150" s="119">
        <v>0</v>
      </c>
      <c r="AP150" s="119">
        <v>0</v>
      </c>
      <c r="AQ150" s="119">
        <v>3</v>
      </c>
      <c r="AR150" s="119">
        <v>0</v>
      </c>
      <c r="AS150" s="119">
        <v>5.7000000000000002E-3</v>
      </c>
      <c r="AT150" s="119">
        <v>1.5092000000000001</v>
      </c>
      <c r="AU150" s="121" t="str">
        <f>IF(A150&lt;&gt;"",INDEX(Index!$B$1:$B$77,MATCH($A150,Index!$A$1:$A$77,0)),"")</f>
        <v>KC</v>
      </c>
      <c r="AV150" s="124" t="str">
        <f>IF(B150&lt;&gt;"",INDEX(Index!$C$1:$C$77,MATCH($A150,Index!$A$1:$A$77,0)),"")</f>
        <v>Mahomes</v>
      </c>
      <c r="AW150" s="124">
        <f t="shared" si="2"/>
        <v>3</v>
      </c>
      <c r="AX150" s="120">
        <f>IF(A150&lt;&gt;"",AX118+1,"")</f>
        <v>6</v>
      </c>
    </row>
    <row r="151" spans="1:50" x14ac:dyDescent="0.25">
      <c r="A151" s="95" t="s">
        <v>550</v>
      </c>
      <c r="B151" s="96">
        <v>2025</v>
      </c>
      <c r="C151" s="96">
        <v>4</v>
      </c>
      <c r="D151" s="115">
        <v>3.1444800000000002</v>
      </c>
      <c r="E151" s="115">
        <v>-0.52360799999999996</v>
      </c>
      <c r="F151" s="115"/>
      <c r="G151" s="115">
        <v>68</v>
      </c>
      <c r="H151" s="115">
        <v>95</v>
      </c>
      <c r="I151" s="115">
        <v>0.71579999999999999</v>
      </c>
      <c r="J151" s="115">
        <v>9.0829000000000004</v>
      </c>
      <c r="K151" s="115">
        <v>869</v>
      </c>
      <c r="L151" s="115">
        <v>9.1473999999999993</v>
      </c>
      <c r="M151" s="115">
        <v>10</v>
      </c>
      <c r="N151" s="115">
        <v>1</v>
      </c>
      <c r="O151" s="115">
        <v>15</v>
      </c>
      <c r="P151" s="115">
        <v>21</v>
      </c>
      <c r="Q151" s="115">
        <v>166</v>
      </c>
      <c r="R151" s="115">
        <v>7.9047999999999998</v>
      </c>
      <c r="S151" s="115">
        <v>1</v>
      </c>
      <c r="T151" s="115">
        <v>0.1053</v>
      </c>
      <c r="U151" s="115">
        <v>1.0500000000000001E-2</v>
      </c>
      <c r="V151" s="115">
        <v>9.4700000000000006E-2</v>
      </c>
      <c r="W151" s="115">
        <v>0.51819999999999999</v>
      </c>
      <c r="X151" s="115">
        <v>130.548</v>
      </c>
      <c r="Y151" s="115">
        <v>8.3727</v>
      </c>
      <c r="Z151" s="115">
        <v>241.33199999999999</v>
      </c>
      <c r="AA151" s="115">
        <v>73.3</v>
      </c>
      <c r="AB151" s="115">
        <v>37.932699999999997</v>
      </c>
      <c r="AC151" s="115">
        <v>0.27689999999999998</v>
      </c>
      <c r="AD151" s="115">
        <v>5.3800000000000001E-2</v>
      </c>
      <c r="AE151" s="115">
        <v>-9.4100000000000003E-2</v>
      </c>
      <c r="AF151" s="115">
        <v>4.9200000000000001E-2</v>
      </c>
      <c r="AG151" s="115">
        <v>3.7199999999999997E-2</v>
      </c>
      <c r="AH151" s="115">
        <v>0.1462</v>
      </c>
      <c r="AI151" s="115">
        <v>2.2000000000000001E-3</v>
      </c>
      <c r="AJ151" s="115">
        <v>-1.6799999999999999E-2</v>
      </c>
      <c r="AK151" s="115">
        <v>8.8210999999999995</v>
      </c>
      <c r="AL151" s="115">
        <v>-0.56840000000000002</v>
      </c>
      <c r="AM151" s="115">
        <v>1</v>
      </c>
      <c r="AN151" s="115">
        <v>3</v>
      </c>
      <c r="AO151" s="115">
        <v>0</v>
      </c>
      <c r="AP151" s="115">
        <v>0</v>
      </c>
      <c r="AQ151" s="115">
        <v>1</v>
      </c>
      <c r="AR151" s="115">
        <v>0</v>
      </c>
      <c r="AS151" s="115">
        <v>4.5999999999999999E-3</v>
      </c>
      <c r="AT151" s="115">
        <v>0.63619999999999999</v>
      </c>
      <c r="AU151" s="114" t="str">
        <f>IF(A151&lt;&gt;"",INDEX(Index!$B$1:$B$77,MATCH($A151,Index!$A$1:$A$77,0)),"")</f>
        <v>BAL</v>
      </c>
      <c r="AV151" s="123" t="str">
        <f>IF(B151&lt;&gt;"",INDEX(Index!$C$1:$C$77,MATCH($A151,Index!$A$1:$A$77,0)),"")</f>
        <v>Jackson</v>
      </c>
      <c r="AW151" s="123">
        <f t="shared" si="2"/>
        <v>8</v>
      </c>
      <c r="AX151" s="113">
        <f t="shared" ref="AX151:AX181" si="3">IF(A151&lt;&gt;"",AX119+1,"")</f>
        <v>6</v>
      </c>
    </row>
    <row r="152" spans="1:50" x14ac:dyDescent="0.25">
      <c r="A152" s="95" t="s">
        <v>551</v>
      </c>
      <c r="B152" s="96">
        <v>2025</v>
      </c>
      <c r="C152" s="96">
        <v>6</v>
      </c>
      <c r="D152" s="115">
        <v>3.0504600000000002</v>
      </c>
      <c r="E152" s="115">
        <v>-0.78873099999999996</v>
      </c>
      <c r="F152" s="115"/>
      <c r="G152" s="115">
        <v>122</v>
      </c>
      <c r="H152" s="115">
        <v>177</v>
      </c>
      <c r="I152" s="115">
        <v>0.68930000000000002</v>
      </c>
      <c r="J152" s="115">
        <v>3.2075999999999998</v>
      </c>
      <c r="K152" s="115">
        <v>1397</v>
      </c>
      <c r="L152" s="115">
        <v>7.8926999999999996</v>
      </c>
      <c r="M152" s="115">
        <v>11</v>
      </c>
      <c r="N152" s="115">
        <v>4</v>
      </c>
      <c r="O152" s="115">
        <v>12</v>
      </c>
      <c r="P152" s="115">
        <v>36</v>
      </c>
      <c r="Q152" s="115">
        <v>263</v>
      </c>
      <c r="R152" s="115">
        <v>7.3056000000000001</v>
      </c>
      <c r="S152" s="115">
        <v>3</v>
      </c>
      <c r="T152" s="115">
        <v>6.2100000000000002E-2</v>
      </c>
      <c r="U152" s="115">
        <v>2.2599999999999999E-2</v>
      </c>
      <c r="V152" s="115">
        <v>3.95E-2</v>
      </c>
      <c r="W152" s="115">
        <v>0.51039999999999996</v>
      </c>
      <c r="X152" s="115">
        <v>103.708</v>
      </c>
      <c r="Y152" s="115">
        <v>7.2592999999999996</v>
      </c>
      <c r="Z152" s="115">
        <v>254.38300000000001</v>
      </c>
      <c r="AA152" s="115">
        <v>62.4</v>
      </c>
      <c r="AB152" s="115">
        <v>61.252600000000001</v>
      </c>
      <c r="AC152" s="115">
        <v>0.25419999999999998</v>
      </c>
      <c r="AD152" s="115">
        <v>6.3600000000000004E-2</v>
      </c>
      <c r="AE152" s="115">
        <v>4.0099999999999997E-2</v>
      </c>
      <c r="AF152" s="115">
        <v>2.7E-2</v>
      </c>
      <c r="AG152" s="115">
        <v>2.5899999999999999E-2</v>
      </c>
      <c r="AH152" s="115">
        <v>-5.1999999999999998E-2</v>
      </c>
      <c r="AI152" s="115">
        <v>4.1099999999999998E-2</v>
      </c>
      <c r="AJ152" s="115">
        <v>9.2999999999999992E-3</v>
      </c>
      <c r="AK152" s="115">
        <v>7.8475000000000001</v>
      </c>
      <c r="AL152" s="115">
        <v>-0.68930000000000002</v>
      </c>
      <c r="AM152" s="115">
        <v>4</v>
      </c>
      <c r="AN152" s="115">
        <v>2</v>
      </c>
      <c r="AO152" s="115">
        <v>0</v>
      </c>
      <c r="AP152" s="115">
        <v>1</v>
      </c>
      <c r="AQ152" s="115">
        <v>3</v>
      </c>
      <c r="AR152" s="115">
        <v>0.33329999999999999</v>
      </c>
      <c r="AS152" s="115">
        <v>6.3E-3</v>
      </c>
      <c r="AT152" s="115">
        <v>1.5187999999999999</v>
      </c>
      <c r="AU152" s="114" t="str">
        <f>IF(A152&lt;&gt;"",INDEX(Index!$B$1:$B$77,MATCH($A152,Index!$A$1:$A$77,0)),"")</f>
        <v>BUF</v>
      </c>
      <c r="AV152" s="123" t="str">
        <f>IF(B152&lt;&gt;"",INDEX(Index!$C$1:$C$77,MATCH($A152,Index!$A$1:$A$77,0)),"")</f>
        <v>Allen</v>
      </c>
      <c r="AW152" s="123">
        <f t="shared" si="2"/>
        <v>1</v>
      </c>
      <c r="AX152" s="113">
        <f t="shared" si="3"/>
        <v>6</v>
      </c>
    </row>
    <row r="153" spans="1:50" x14ac:dyDescent="0.25">
      <c r="A153" s="95" t="s">
        <v>555</v>
      </c>
      <c r="B153" s="96">
        <v>2025</v>
      </c>
      <c r="C153" s="96">
        <v>6</v>
      </c>
      <c r="D153" s="115">
        <v>2.6412399999999998</v>
      </c>
      <c r="E153" s="115">
        <v>0.37556099999999998</v>
      </c>
      <c r="F153" s="115"/>
      <c r="G153" s="115">
        <v>164</v>
      </c>
      <c r="H153" s="115">
        <v>228</v>
      </c>
      <c r="I153" s="115">
        <v>0.71930000000000005</v>
      </c>
      <c r="J153" s="115">
        <v>5.6311999999999998</v>
      </c>
      <c r="K153" s="115">
        <v>1617</v>
      </c>
      <c r="L153" s="115">
        <v>7.0921000000000003</v>
      </c>
      <c r="M153" s="115">
        <v>13</v>
      </c>
      <c r="N153" s="115">
        <v>3</v>
      </c>
      <c r="O153" s="115">
        <v>7</v>
      </c>
      <c r="P153" s="115">
        <v>8</v>
      </c>
      <c r="Q153" s="115">
        <v>51</v>
      </c>
      <c r="R153" s="115">
        <v>6.375</v>
      </c>
      <c r="S153" s="115">
        <v>1</v>
      </c>
      <c r="T153" s="115">
        <v>5.7000000000000002E-2</v>
      </c>
      <c r="U153" s="115">
        <v>1.32E-2</v>
      </c>
      <c r="V153" s="115">
        <v>4.3900000000000002E-2</v>
      </c>
      <c r="W153" s="115">
        <v>0.49220000000000003</v>
      </c>
      <c r="X153" s="115">
        <v>105.099</v>
      </c>
      <c r="Y153" s="115">
        <v>7.2595999999999998</v>
      </c>
      <c r="Z153" s="115">
        <v>282.077</v>
      </c>
      <c r="AA153" s="115">
        <v>79.2</v>
      </c>
      <c r="AB153" s="115">
        <v>77.845799999999997</v>
      </c>
      <c r="AC153" s="115">
        <v>0.30170000000000002</v>
      </c>
      <c r="AD153" s="115">
        <v>-2.35E-2</v>
      </c>
      <c r="AE153" s="115">
        <v>5.5E-2</v>
      </c>
      <c r="AF153" s="115">
        <v>1.7600000000000001E-2</v>
      </c>
      <c r="AG153" s="115">
        <v>1.6299999999999999E-2</v>
      </c>
      <c r="AH153" s="115">
        <v>6.3799999999999996E-2</v>
      </c>
      <c r="AI153" s="115">
        <v>4.0300000000000002E-2</v>
      </c>
      <c r="AJ153" s="115">
        <v>3.3000000000000002E-2</v>
      </c>
      <c r="AK153" s="115">
        <v>7.1490999999999998</v>
      </c>
      <c r="AL153" s="115">
        <v>-1.2104999999999999</v>
      </c>
      <c r="AM153" s="115">
        <v>2</v>
      </c>
      <c r="AN153" s="115">
        <v>3</v>
      </c>
      <c r="AO153" s="115">
        <v>1</v>
      </c>
      <c r="AP153" s="115">
        <v>1</v>
      </c>
      <c r="AQ153" s="115">
        <v>4</v>
      </c>
      <c r="AR153" s="115">
        <v>0.25</v>
      </c>
      <c r="AS153" s="115">
        <v>1.15E-2</v>
      </c>
      <c r="AT153" s="115">
        <v>2.9609999999999999</v>
      </c>
      <c r="AU153" s="114" t="str">
        <f>IF(A153&lt;&gt;"",INDEX(Index!$B$1:$B$77,MATCH($A153,Index!$A$1:$A$77,0)),"")</f>
        <v>DAL</v>
      </c>
      <c r="AV153" s="123" t="str">
        <f>IF(B153&lt;&gt;"",INDEX(Index!$C$1:$C$77,MATCH($A153,Index!$A$1:$A$77,0)),"")</f>
        <v>Prescott</v>
      </c>
      <c r="AW153" s="123">
        <f t="shared" si="2"/>
        <v>24</v>
      </c>
      <c r="AX153" s="113">
        <f t="shared" si="3"/>
        <v>6</v>
      </c>
    </row>
    <row r="154" spans="1:50" x14ac:dyDescent="0.25">
      <c r="A154" s="95" t="s">
        <v>559</v>
      </c>
      <c r="B154" s="96">
        <v>2025</v>
      </c>
      <c r="C154" s="96">
        <v>6</v>
      </c>
      <c r="D154" s="115">
        <v>2.01207</v>
      </c>
      <c r="E154" s="115">
        <v>0.20402799999999999</v>
      </c>
      <c r="F154" s="115"/>
      <c r="G154" s="115">
        <v>129</v>
      </c>
      <c r="H154" s="115">
        <v>194</v>
      </c>
      <c r="I154" s="115">
        <v>0.66490000000000005</v>
      </c>
      <c r="J154" s="115">
        <v>1.1634</v>
      </c>
      <c r="K154" s="115">
        <v>1539</v>
      </c>
      <c r="L154" s="115">
        <v>7.9329999999999998</v>
      </c>
      <c r="M154" s="115">
        <v>12</v>
      </c>
      <c r="N154" s="115">
        <v>1</v>
      </c>
      <c r="O154" s="115">
        <v>10</v>
      </c>
      <c r="P154" s="115">
        <v>17</v>
      </c>
      <c r="Q154" s="115">
        <v>162</v>
      </c>
      <c r="R154" s="115">
        <v>9.5294000000000008</v>
      </c>
      <c r="S154" s="115">
        <v>0</v>
      </c>
      <c r="T154" s="115">
        <v>6.1899999999999997E-2</v>
      </c>
      <c r="U154" s="115">
        <v>5.1999999999999998E-3</v>
      </c>
      <c r="V154" s="115">
        <v>5.67E-2</v>
      </c>
      <c r="W154" s="115">
        <v>0.4854</v>
      </c>
      <c r="X154" s="115">
        <v>109.021</v>
      </c>
      <c r="Y154" s="115">
        <v>8.1372999999999998</v>
      </c>
      <c r="Z154" s="115">
        <v>266.86500000000001</v>
      </c>
      <c r="AA154" s="115">
        <v>71.099999999999994</v>
      </c>
      <c r="AB154" s="115">
        <v>70.0351</v>
      </c>
      <c r="AC154" s="115">
        <v>0.29299999999999998</v>
      </c>
      <c r="AD154" s="115">
        <v>4.5699999999999998E-2</v>
      </c>
      <c r="AE154" s="115">
        <v>2.7400000000000001E-2</v>
      </c>
      <c r="AF154" s="115">
        <v>2.5999999999999999E-3</v>
      </c>
      <c r="AG154" s="115">
        <v>4.5600000000000002E-2</v>
      </c>
      <c r="AH154" s="115">
        <v>-6.1000000000000004E-3</v>
      </c>
      <c r="AI154" s="115">
        <v>8.2199999999999995E-2</v>
      </c>
      <c r="AJ154" s="115">
        <v>-3.5000000000000001E-3</v>
      </c>
      <c r="AK154" s="115">
        <v>8.6856000000000009</v>
      </c>
      <c r="AL154" s="115">
        <v>-0.33510000000000001</v>
      </c>
      <c r="AM154" s="115">
        <v>5</v>
      </c>
      <c r="AN154" s="115">
        <v>1</v>
      </c>
      <c r="AO154" s="115">
        <v>0</v>
      </c>
      <c r="AP154" s="115">
        <v>4</v>
      </c>
      <c r="AQ154" s="115">
        <v>5</v>
      </c>
      <c r="AR154" s="115">
        <v>0.8</v>
      </c>
      <c r="AS154" s="115">
        <v>9.7999999999999997E-3</v>
      </c>
      <c r="AT154" s="115">
        <v>2.3529</v>
      </c>
      <c r="AU154" s="114" t="str">
        <f>IF(A154&lt;&gt;"",INDEX(Index!$B$1:$B$77,MATCH($A154,Index!$A$1:$A$77,0)),"")</f>
        <v>TB</v>
      </c>
      <c r="AV154" s="123" t="str">
        <f>IF(B154&lt;&gt;"",INDEX(Index!$C$1:$C$77,MATCH($A154,Index!$A$1:$A$77,0)),"")</f>
        <v>Mayfield</v>
      </c>
      <c r="AW154" s="123">
        <f t="shared" si="2"/>
        <v>9</v>
      </c>
      <c r="AX154" s="113">
        <f t="shared" si="3"/>
        <v>6</v>
      </c>
    </row>
    <row r="155" spans="1:50" x14ac:dyDescent="0.25">
      <c r="A155" s="95" t="s">
        <v>553</v>
      </c>
      <c r="B155" s="96">
        <v>2025</v>
      </c>
      <c r="C155" s="96">
        <v>6</v>
      </c>
      <c r="D155" s="115">
        <v>1.80406</v>
      </c>
      <c r="E155" s="115">
        <v>0.22975799999999999</v>
      </c>
      <c r="F155" s="115"/>
      <c r="G155" s="115">
        <v>132</v>
      </c>
      <c r="H155" s="115">
        <v>174</v>
      </c>
      <c r="I155" s="115">
        <v>0.75860000000000005</v>
      </c>
      <c r="J155" s="115">
        <v>11.4939</v>
      </c>
      <c r="K155" s="115">
        <v>1390</v>
      </c>
      <c r="L155" s="115">
        <v>7.9885000000000002</v>
      </c>
      <c r="M155" s="115">
        <v>14</v>
      </c>
      <c r="N155" s="115">
        <v>2</v>
      </c>
      <c r="O155" s="115">
        <v>9</v>
      </c>
      <c r="P155" s="115">
        <v>4</v>
      </c>
      <c r="Q155" s="115">
        <v>20</v>
      </c>
      <c r="R155" s="115">
        <v>5</v>
      </c>
      <c r="S155" s="115">
        <v>0</v>
      </c>
      <c r="T155" s="115">
        <v>8.0500000000000002E-2</v>
      </c>
      <c r="U155" s="115">
        <v>1.15E-2</v>
      </c>
      <c r="V155" s="115">
        <v>6.9000000000000006E-2</v>
      </c>
      <c r="W155" s="115">
        <v>0.56479999999999997</v>
      </c>
      <c r="X155" s="115">
        <v>120.61799999999999</v>
      </c>
      <c r="Y155" s="115">
        <v>8.3988999999999994</v>
      </c>
      <c r="Z155" s="115">
        <v>249.24700000000001</v>
      </c>
      <c r="AA155" s="115">
        <v>72.400000000000006</v>
      </c>
      <c r="AB155" s="115">
        <v>58.676600000000001</v>
      </c>
      <c r="AC155" s="115">
        <v>0.30399999999999999</v>
      </c>
      <c r="AD155" s="115">
        <v>-2.8199999999999999E-2</v>
      </c>
      <c r="AE155" s="115">
        <v>-4.8999999999999998E-3</v>
      </c>
      <c r="AF155" s="115">
        <v>2.52E-2</v>
      </c>
      <c r="AG155" s="115">
        <v>3.2199999999999999E-2</v>
      </c>
      <c r="AH155" s="115">
        <v>3.9100000000000003E-2</v>
      </c>
      <c r="AI155" s="115">
        <v>0.16309999999999999</v>
      </c>
      <c r="AJ155" s="115">
        <v>-2.1600000000000001E-2</v>
      </c>
      <c r="AK155" s="115">
        <v>6.7413999999999996</v>
      </c>
      <c r="AL155" s="115">
        <v>-1.2241</v>
      </c>
      <c r="AM155" s="115">
        <v>4</v>
      </c>
      <c r="AN155" s="115">
        <v>2</v>
      </c>
      <c r="AO155" s="115">
        <v>0</v>
      </c>
      <c r="AP155" s="115">
        <v>0</v>
      </c>
      <c r="AQ155" s="115">
        <v>0</v>
      </c>
      <c r="AR155" s="115"/>
      <c r="AS155" s="115">
        <v>5.7999999999999996E-3</v>
      </c>
      <c r="AT155" s="115">
        <v>1.1208</v>
      </c>
      <c r="AU155" s="114" t="str">
        <f>IF(A155&lt;&gt;"",INDEX(Index!$B$1:$B$77,MATCH($A155,Index!$A$1:$A$77,0)),"")</f>
        <v>DET</v>
      </c>
      <c r="AV155" s="123" t="str">
        <f>IF(B155&lt;&gt;"",INDEX(Index!$C$1:$C$77,MATCH($A155,Index!$A$1:$A$77,0)),"")</f>
        <v>Goff</v>
      </c>
      <c r="AW155" s="123">
        <f t="shared" si="2"/>
        <v>35</v>
      </c>
      <c r="AX155" s="113">
        <f t="shared" si="3"/>
        <v>6</v>
      </c>
    </row>
    <row r="156" spans="1:50" x14ac:dyDescent="0.25">
      <c r="A156" s="95" t="s">
        <v>554</v>
      </c>
      <c r="B156" s="96">
        <v>2025</v>
      </c>
      <c r="C156" s="96">
        <v>6</v>
      </c>
      <c r="D156" s="115">
        <v>1.1333800000000001</v>
      </c>
      <c r="E156" s="115">
        <v>-3.4023999999999999E-2</v>
      </c>
      <c r="F156" s="115"/>
      <c r="G156" s="115">
        <v>117</v>
      </c>
      <c r="H156" s="115">
        <v>172</v>
      </c>
      <c r="I156" s="115">
        <v>0.68020000000000003</v>
      </c>
      <c r="J156" s="115">
        <v>4.8676000000000004</v>
      </c>
      <c r="K156" s="115">
        <v>1172</v>
      </c>
      <c r="L156" s="115">
        <v>6.8140000000000001</v>
      </c>
      <c r="M156" s="115">
        <v>8</v>
      </c>
      <c r="N156" s="115">
        <v>1</v>
      </c>
      <c r="O156" s="115">
        <v>18</v>
      </c>
      <c r="P156" s="115">
        <v>42</v>
      </c>
      <c r="Q156" s="115">
        <v>202</v>
      </c>
      <c r="R156" s="115">
        <v>4.8094999999999999</v>
      </c>
      <c r="S156" s="115">
        <v>5</v>
      </c>
      <c r="T156" s="115">
        <v>4.65E-2</v>
      </c>
      <c r="U156" s="115">
        <v>5.7999999999999996E-3</v>
      </c>
      <c r="V156" s="115">
        <v>4.07E-2</v>
      </c>
      <c r="W156" s="115">
        <v>0.47720000000000001</v>
      </c>
      <c r="X156" s="115">
        <v>100.242</v>
      </c>
      <c r="Y156" s="115">
        <v>6.2632000000000003</v>
      </c>
      <c r="Z156" s="115">
        <v>200.17500000000001</v>
      </c>
      <c r="AA156" s="115">
        <v>60.8</v>
      </c>
      <c r="AB156" s="115">
        <v>17.3476</v>
      </c>
      <c r="AC156" s="115">
        <v>7.1999999999999995E-2</v>
      </c>
      <c r="AD156" s="115">
        <v>4.8800000000000003E-2</v>
      </c>
      <c r="AE156" s="115">
        <v>-2.9600000000000001E-2</v>
      </c>
      <c r="AF156" s="115">
        <v>3.7499999999999999E-2</v>
      </c>
      <c r="AG156" s="115">
        <v>3.3099999999999997E-2</v>
      </c>
      <c r="AH156" s="115">
        <v>-1.26E-2</v>
      </c>
      <c r="AI156" s="115">
        <v>-9.5500000000000002E-2</v>
      </c>
      <c r="AJ156" s="115">
        <v>-8.8000000000000005E-3</v>
      </c>
      <c r="AK156" s="115">
        <v>8.4419000000000004</v>
      </c>
      <c r="AL156" s="115">
        <v>-5.8099999999999999E-2</v>
      </c>
      <c r="AM156" s="115">
        <v>4</v>
      </c>
      <c r="AN156" s="115">
        <v>2</v>
      </c>
      <c r="AO156" s="115">
        <v>0</v>
      </c>
      <c r="AP156" s="115">
        <v>1</v>
      </c>
      <c r="AQ156" s="115">
        <v>2</v>
      </c>
      <c r="AR156" s="115">
        <v>0.5</v>
      </c>
      <c r="AS156" s="115">
        <v>2.7000000000000001E-3</v>
      </c>
      <c r="AT156" s="115">
        <v>0.64880000000000004</v>
      </c>
      <c r="AU156" s="114" t="str">
        <f>IF(A156&lt;&gt;"",INDEX(Index!$B$1:$B$77,MATCH($A156,Index!$A$1:$A$77,0)),"")</f>
        <v>PHI</v>
      </c>
      <c r="AV156" s="123" t="str">
        <f>IF(B156&lt;&gt;"",INDEX(Index!$C$1:$C$77,MATCH($A156,Index!$A$1:$A$77,0)),"")</f>
        <v>Hurts</v>
      </c>
      <c r="AW156" s="123">
        <f t="shared" si="2"/>
        <v>4</v>
      </c>
      <c r="AX156" s="113">
        <f t="shared" si="3"/>
        <v>6</v>
      </c>
    </row>
    <row r="157" spans="1:50" x14ac:dyDescent="0.25">
      <c r="A157" s="95" t="s">
        <v>562</v>
      </c>
      <c r="B157" s="96">
        <v>2025</v>
      </c>
      <c r="C157" s="96">
        <v>4</v>
      </c>
      <c r="D157" s="115">
        <v>0.96448599999999995</v>
      </c>
      <c r="E157" s="115">
        <v>0.138073</v>
      </c>
      <c r="F157" s="115"/>
      <c r="G157" s="115">
        <v>77</v>
      </c>
      <c r="H157" s="115">
        <v>122</v>
      </c>
      <c r="I157" s="115">
        <v>0.63109999999999999</v>
      </c>
      <c r="J157" s="115">
        <v>-0.64759999999999995</v>
      </c>
      <c r="K157" s="115">
        <v>875</v>
      </c>
      <c r="L157" s="115">
        <v>7.1721000000000004</v>
      </c>
      <c r="M157" s="115">
        <v>7</v>
      </c>
      <c r="N157" s="115">
        <v>1</v>
      </c>
      <c r="O157" s="115">
        <v>11</v>
      </c>
      <c r="P157" s="115">
        <v>31</v>
      </c>
      <c r="Q157" s="115">
        <v>180</v>
      </c>
      <c r="R157" s="115">
        <v>5.8064999999999998</v>
      </c>
      <c r="S157" s="115">
        <v>0</v>
      </c>
      <c r="T157" s="115">
        <v>5.74E-2</v>
      </c>
      <c r="U157" s="115">
        <v>8.2000000000000007E-3</v>
      </c>
      <c r="V157" s="115">
        <v>4.9200000000000001E-2</v>
      </c>
      <c r="W157" s="115">
        <v>0.48039999999999999</v>
      </c>
      <c r="X157" s="115">
        <v>100.273</v>
      </c>
      <c r="Y157" s="115">
        <v>6.8947000000000003</v>
      </c>
      <c r="Z157" s="115">
        <v>188.66200000000001</v>
      </c>
      <c r="AA157" s="115">
        <v>52.5</v>
      </c>
      <c r="AB157" s="115">
        <v>26.5808</v>
      </c>
      <c r="AC157" s="115">
        <v>0.14849999999999999</v>
      </c>
      <c r="AD157" s="115">
        <v>-5.0000000000000001E-4</v>
      </c>
      <c r="AE157" s="115">
        <v>2.6800000000000001E-2</v>
      </c>
      <c r="AF157" s="115">
        <v>-4.6600000000000003E-2</v>
      </c>
      <c r="AG157" s="115">
        <v>3.6299999999999999E-2</v>
      </c>
      <c r="AH157" s="115">
        <v>1.15E-2</v>
      </c>
      <c r="AI157" s="115">
        <v>1.2999999999999999E-3</v>
      </c>
      <c r="AJ157" s="115">
        <v>2.06E-2</v>
      </c>
      <c r="AK157" s="115">
        <v>8.2705000000000002</v>
      </c>
      <c r="AL157" s="115">
        <v>-0.65569999999999995</v>
      </c>
      <c r="AM157" s="115">
        <v>2</v>
      </c>
      <c r="AN157" s="115">
        <v>2</v>
      </c>
      <c r="AO157" s="115">
        <v>0</v>
      </c>
      <c r="AP157" s="115">
        <v>0</v>
      </c>
      <c r="AQ157" s="115">
        <v>0</v>
      </c>
      <c r="AR157" s="115"/>
      <c r="AS157" s="115">
        <v>3.7000000000000002E-3</v>
      </c>
      <c r="AT157" s="115">
        <v>0.66390000000000005</v>
      </c>
      <c r="AU157" s="114" t="str">
        <f>IF(A157&lt;&gt;"",INDEX(Index!$B$1:$B$77,MATCH($A157,Index!$A$1:$A$77,0)),"")</f>
        <v>WAS</v>
      </c>
      <c r="AV157" s="123" t="str">
        <f>IF(B157&lt;&gt;"",INDEX(Index!$C$1:$C$77,MATCH($A157,Index!$A$1:$A$77,0)),"")</f>
        <v>Daniels</v>
      </c>
      <c r="AW157" s="123">
        <f t="shared" si="2"/>
        <v>5</v>
      </c>
      <c r="AX157" s="113">
        <f t="shared" si="3"/>
        <v>6</v>
      </c>
    </row>
    <row r="158" spans="1:50" x14ac:dyDescent="0.25">
      <c r="A158" s="95" t="s">
        <v>557</v>
      </c>
      <c r="B158" s="96">
        <v>2025</v>
      </c>
      <c r="C158" s="96">
        <v>2</v>
      </c>
      <c r="D158" s="115">
        <v>0.96034900000000001</v>
      </c>
      <c r="E158" s="115">
        <v>-0.72667099999999996</v>
      </c>
      <c r="F158" s="115"/>
      <c r="G158" s="115">
        <v>21</v>
      </c>
      <c r="H158" s="115">
        <v>36</v>
      </c>
      <c r="I158" s="115">
        <v>0.58330000000000004</v>
      </c>
      <c r="J158" s="115">
        <v>-1.5459000000000001</v>
      </c>
      <c r="K158" s="115">
        <v>189</v>
      </c>
      <c r="L158" s="115">
        <v>5.25</v>
      </c>
      <c r="M158" s="115">
        <v>2</v>
      </c>
      <c r="N158" s="115">
        <v>0</v>
      </c>
      <c r="O158" s="115">
        <v>5</v>
      </c>
      <c r="P158" s="115">
        <v>2</v>
      </c>
      <c r="Q158" s="115">
        <v>3</v>
      </c>
      <c r="R158" s="115">
        <v>1.5</v>
      </c>
      <c r="S158" s="115">
        <v>0</v>
      </c>
      <c r="T158" s="115">
        <v>5.5599999999999997E-2</v>
      </c>
      <c r="U158" s="115">
        <v>0</v>
      </c>
      <c r="V158" s="115">
        <v>5.5599999999999997E-2</v>
      </c>
      <c r="W158" s="115">
        <v>0.43480000000000002</v>
      </c>
      <c r="X158" s="115">
        <v>91.087999999999994</v>
      </c>
      <c r="Y158" s="115">
        <v>4.9512</v>
      </c>
      <c r="Z158" s="115">
        <v>25.4618</v>
      </c>
      <c r="AA158" s="115">
        <v>55.3</v>
      </c>
      <c r="AB158" s="115">
        <v>-0.90390000000000004</v>
      </c>
      <c r="AC158" s="115">
        <v>-1.9599999999999999E-2</v>
      </c>
      <c r="AD158" s="115">
        <v>-7.0599999999999996E-2</v>
      </c>
      <c r="AE158" s="115">
        <v>-5.04E-2</v>
      </c>
      <c r="AF158" s="115">
        <v>-6.4199999999999993E-2</v>
      </c>
      <c r="AG158" s="115">
        <v>6.9800000000000001E-2</v>
      </c>
      <c r="AH158" s="115">
        <v>0.1943</v>
      </c>
      <c r="AI158" s="115">
        <v>-0.19359999999999999</v>
      </c>
      <c r="AJ158" s="115">
        <v>-4.1999999999999997E-3</v>
      </c>
      <c r="AK158" s="115">
        <v>6.8611000000000004</v>
      </c>
      <c r="AL158" s="115">
        <v>-1.0832999999999999</v>
      </c>
      <c r="AM158" s="115">
        <v>2</v>
      </c>
      <c r="AN158" s="115">
        <v>0</v>
      </c>
      <c r="AO158" s="115">
        <v>0</v>
      </c>
      <c r="AP158" s="115">
        <v>0</v>
      </c>
      <c r="AQ158" s="115">
        <v>0</v>
      </c>
      <c r="AR158" s="115"/>
      <c r="AS158" s="115">
        <v>1.6000000000000001E-3</v>
      </c>
      <c r="AT158" s="115">
        <v>7.4800000000000005E-2</v>
      </c>
      <c r="AU158" s="114" t="str">
        <f>IF(A158&lt;&gt;"",INDEX(Index!$B$1:$B$77,MATCH($A158,Index!$A$1:$A$77,0)),"")</f>
        <v>CIN</v>
      </c>
      <c r="AV158" s="123" t="str">
        <f>IF(B158&lt;&gt;"",INDEX(Index!$C$1:$C$77,MATCH($A158,Index!$A$1:$A$77,0)),"")</f>
        <v>Burrow</v>
      </c>
      <c r="AW158" s="123">
        <f t="shared" si="2"/>
        <v>40</v>
      </c>
      <c r="AX158" s="113">
        <f t="shared" si="3"/>
        <v>6</v>
      </c>
    </row>
    <row r="159" spans="1:50" x14ac:dyDescent="0.25">
      <c r="A159" s="95" t="s">
        <v>561</v>
      </c>
      <c r="B159" s="96">
        <v>2025</v>
      </c>
      <c r="C159" s="96">
        <v>6</v>
      </c>
      <c r="D159" s="115">
        <v>0.95558399999999999</v>
      </c>
      <c r="E159" s="115">
        <v>-8.3879999999999996E-2</v>
      </c>
      <c r="F159" s="115"/>
      <c r="G159" s="115">
        <v>133</v>
      </c>
      <c r="H159" s="115">
        <v>206</v>
      </c>
      <c r="I159" s="115">
        <v>0.64559999999999995</v>
      </c>
      <c r="J159" s="115">
        <v>-0.9667</v>
      </c>
      <c r="K159" s="115">
        <v>1277</v>
      </c>
      <c r="L159" s="115">
        <v>6.1989999999999998</v>
      </c>
      <c r="M159" s="115">
        <v>9</v>
      </c>
      <c r="N159" s="115">
        <v>4</v>
      </c>
      <c r="O159" s="115">
        <v>6</v>
      </c>
      <c r="P159" s="115">
        <v>25</v>
      </c>
      <c r="Q159" s="115">
        <v>132</v>
      </c>
      <c r="R159" s="115">
        <v>5.28</v>
      </c>
      <c r="S159" s="115">
        <v>1</v>
      </c>
      <c r="T159" s="115">
        <v>4.3700000000000003E-2</v>
      </c>
      <c r="U159" s="115">
        <v>1.9400000000000001E-2</v>
      </c>
      <c r="V159" s="115">
        <v>2.4299999999999999E-2</v>
      </c>
      <c r="W159" s="115">
        <v>0.42909999999999998</v>
      </c>
      <c r="X159" s="115">
        <v>88.187700000000007</v>
      </c>
      <c r="Y159" s="115">
        <v>5.8537999999999997</v>
      </c>
      <c r="Z159" s="115">
        <v>193.91800000000001</v>
      </c>
      <c r="AA159" s="115">
        <v>51</v>
      </c>
      <c r="AB159" s="115">
        <v>14.187900000000001</v>
      </c>
      <c r="AC159" s="115">
        <v>5.5899999999999998E-2</v>
      </c>
      <c r="AD159" s="115">
        <v>-2.7E-2</v>
      </c>
      <c r="AE159" s="115">
        <v>5.2499999999999998E-2</v>
      </c>
      <c r="AF159" s="115">
        <v>-8.6999999999999994E-3</v>
      </c>
      <c r="AG159" s="115">
        <v>3.8E-3</v>
      </c>
      <c r="AH159" s="115">
        <v>-0.1118</v>
      </c>
      <c r="AI159" s="115">
        <v>8.5900000000000004E-2</v>
      </c>
      <c r="AJ159" s="115">
        <v>-3.7999999999999999E-2</v>
      </c>
      <c r="AK159" s="115">
        <v>6.6989999999999998</v>
      </c>
      <c r="AL159" s="115">
        <v>-2.5971000000000002</v>
      </c>
      <c r="AM159" s="115">
        <v>4</v>
      </c>
      <c r="AN159" s="115">
        <v>2</v>
      </c>
      <c r="AO159" s="115">
        <v>0</v>
      </c>
      <c r="AP159" s="115">
        <v>2</v>
      </c>
      <c r="AQ159" s="115">
        <v>2</v>
      </c>
      <c r="AR159" s="115">
        <v>1</v>
      </c>
      <c r="AS159" s="115">
        <v>1.4E-3</v>
      </c>
      <c r="AT159" s="115">
        <v>0.34670000000000001</v>
      </c>
      <c r="AU159" s="114" t="str">
        <f>IF(A159&lt;&gt;"",INDEX(Index!$B$1:$B$77,MATCH($A159,Index!$A$1:$A$77,0)),"")</f>
        <v>DEN</v>
      </c>
      <c r="AV159" s="123" t="str">
        <f>IF(B159&lt;&gt;"",INDEX(Index!$C$1:$C$77,MATCH($A159,Index!$A$1:$A$77,0)),"")</f>
        <v>Nix</v>
      </c>
      <c r="AW159" s="123">
        <f t="shared" si="2"/>
        <v>13</v>
      </c>
      <c r="AX159" s="113">
        <f t="shared" si="3"/>
        <v>6</v>
      </c>
    </row>
    <row r="160" spans="1:50" x14ac:dyDescent="0.25">
      <c r="A160" s="95" t="s">
        <v>558</v>
      </c>
      <c r="B160" s="96">
        <v>2025</v>
      </c>
      <c r="C160" s="96">
        <v>5</v>
      </c>
      <c r="D160" s="115">
        <v>0.938365</v>
      </c>
      <c r="E160" s="115">
        <v>0.33562900000000001</v>
      </c>
      <c r="F160" s="115"/>
      <c r="G160" s="115">
        <v>95</v>
      </c>
      <c r="H160" s="115">
        <v>138</v>
      </c>
      <c r="I160" s="115">
        <v>0.68840000000000001</v>
      </c>
      <c r="J160" s="115">
        <v>4.1657000000000002</v>
      </c>
      <c r="K160" s="115">
        <v>1021</v>
      </c>
      <c r="L160" s="115">
        <v>7.3986000000000001</v>
      </c>
      <c r="M160" s="115">
        <v>10</v>
      </c>
      <c r="N160" s="115">
        <v>3</v>
      </c>
      <c r="O160" s="115">
        <v>9</v>
      </c>
      <c r="P160" s="115">
        <v>4</v>
      </c>
      <c r="Q160" s="115">
        <v>17</v>
      </c>
      <c r="R160" s="115">
        <v>4.25</v>
      </c>
      <c r="S160" s="115">
        <v>0</v>
      </c>
      <c r="T160" s="115">
        <v>7.2499999999999995E-2</v>
      </c>
      <c r="U160" s="115">
        <v>2.1700000000000001E-2</v>
      </c>
      <c r="V160" s="115">
        <v>5.0700000000000002E-2</v>
      </c>
      <c r="W160" s="115">
        <v>0.46200000000000002</v>
      </c>
      <c r="X160" s="115">
        <v>105.374</v>
      </c>
      <c r="Y160" s="115">
        <v>6.9523999999999999</v>
      </c>
      <c r="Z160" s="115">
        <v>173.51599999999999</v>
      </c>
      <c r="AA160" s="115">
        <v>49</v>
      </c>
      <c r="AB160" s="115">
        <v>23.9209</v>
      </c>
      <c r="AC160" s="115">
        <v>0.15140000000000001</v>
      </c>
      <c r="AD160" s="115">
        <v>-3.2800000000000003E-2</v>
      </c>
      <c r="AE160" s="115">
        <v>1.9099999999999999E-2</v>
      </c>
      <c r="AF160" s="115">
        <v>4.4999999999999997E-3</v>
      </c>
      <c r="AG160" s="115">
        <v>-1.0200000000000001E-2</v>
      </c>
      <c r="AH160" s="115">
        <v>-0.16370000000000001</v>
      </c>
      <c r="AI160" s="115">
        <v>0.20469999999999999</v>
      </c>
      <c r="AJ160" s="115">
        <v>3.0700000000000002E-2</v>
      </c>
      <c r="AK160" s="115">
        <v>5.3478000000000003</v>
      </c>
      <c r="AL160" s="115">
        <v>-4.1811999999999996</v>
      </c>
      <c r="AM160" s="115">
        <v>4</v>
      </c>
      <c r="AN160" s="115">
        <v>1</v>
      </c>
      <c r="AO160" s="115">
        <v>0</v>
      </c>
      <c r="AP160" s="115">
        <v>1</v>
      </c>
      <c r="AQ160" s="115">
        <v>1</v>
      </c>
      <c r="AR160" s="115">
        <v>1</v>
      </c>
      <c r="AS160" s="115">
        <v>4.4999999999999997E-3</v>
      </c>
      <c r="AT160" s="115">
        <v>0.70469999999999999</v>
      </c>
      <c r="AU160" s="114" t="str">
        <f>IF(A160&lt;&gt;"",INDEX(Index!$B$1:$B$77,MATCH($A160,Index!$A$1:$A$77,0)),"")</f>
        <v>GB</v>
      </c>
      <c r="AV160" s="123" t="str">
        <f>IF(B160&lt;&gt;"",INDEX(Index!$C$1:$C$77,MATCH($A160,Index!$A$1:$A$77,0)),"")</f>
        <v>Rodgers</v>
      </c>
      <c r="AW160" s="123">
        <f t="shared" si="2"/>
        <v>36</v>
      </c>
      <c r="AX160" s="113">
        <f t="shared" si="3"/>
        <v>6</v>
      </c>
    </row>
    <row r="161" spans="1:50" x14ac:dyDescent="0.25">
      <c r="A161" s="95" t="s">
        <v>567</v>
      </c>
      <c r="B161" s="96">
        <v>2025</v>
      </c>
      <c r="C161" s="96">
        <v>6</v>
      </c>
      <c r="D161" s="115">
        <v>0.86582700000000001</v>
      </c>
      <c r="E161" s="115">
        <v>-0.27587</v>
      </c>
      <c r="F161" s="115"/>
      <c r="G161" s="115">
        <v>139</v>
      </c>
      <c r="H161" s="115">
        <v>207</v>
      </c>
      <c r="I161" s="115">
        <v>0.67149999999999999</v>
      </c>
      <c r="J161" s="115">
        <v>2.1141999999999999</v>
      </c>
      <c r="K161" s="115">
        <v>1684</v>
      </c>
      <c r="L161" s="115">
        <v>8.1353000000000009</v>
      </c>
      <c r="M161" s="115">
        <v>12</v>
      </c>
      <c r="N161" s="115">
        <v>2</v>
      </c>
      <c r="O161" s="115">
        <v>11</v>
      </c>
      <c r="P161" s="115">
        <v>4</v>
      </c>
      <c r="Q161" s="115">
        <v>9</v>
      </c>
      <c r="R161" s="115">
        <v>2.25</v>
      </c>
      <c r="S161" s="115">
        <v>0</v>
      </c>
      <c r="T161" s="115">
        <v>5.8000000000000003E-2</v>
      </c>
      <c r="U161" s="115">
        <v>9.7000000000000003E-3</v>
      </c>
      <c r="V161" s="115">
        <v>4.8300000000000003E-2</v>
      </c>
      <c r="W161" s="115">
        <v>0.50209999999999999</v>
      </c>
      <c r="X161" s="115">
        <v>107.236</v>
      </c>
      <c r="Y161" s="115">
        <v>8.0962999999999994</v>
      </c>
      <c r="Z161" s="115">
        <v>225.10499999999999</v>
      </c>
      <c r="AA161" s="115">
        <v>64.599999999999994</v>
      </c>
      <c r="AB161" s="115">
        <v>39.026299999999999</v>
      </c>
      <c r="AC161" s="115">
        <v>0.1661</v>
      </c>
      <c r="AD161" s="115">
        <v>-5.6300000000000003E-2</v>
      </c>
      <c r="AE161" s="115">
        <v>-1.2699999999999999E-2</v>
      </c>
      <c r="AF161" s="115">
        <v>-1.6899999999999998E-2</v>
      </c>
      <c r="AG161" s="115">
        <v>3.9600000000000003E-2</v>
      </c>
      <c r="AH161" s="115">
        <v>0.13819999999999999</v>
      </c>
      <c r="AI161" s="115">
        <v>-1.8599999999999998E-2</v>
      </c>
      <c r="AJ161" s="115">
        <v>-6.3E-3</v>
      </c>
      <c r="AK161" s="115">
        <v>8.4783000000000008</v>
      </c>
      <c r="AL161" s="115">
        <v>0.1739</v>
      </c>
      <c r="AM161" s="115">
        <v>4</v>
      </c>
      <c r="AN161" s="115">
        <v>2</v>
      </c>
      <c r="AO161" s="115">
        <v>0</v>
      </c>
      <c r="AP161" s="115">
        <v>1</v>
      </c>
      <c r="AQ161" s="115">
        <v>3</v>
      </c>
      <c r="AR161" s="115">
        <v>0.33329999999999999</v>
      </c>
      <c r="AS161" s="115">
        <v>7.7000000000000002E-3</v>
      </c>
      <c r="AT161" s="115">
        <v>1.8010999999999999</v>
      </c>
      <c r="AU161" s="114" t="str">
        <f>IF(A161&lt;&gt;"",INDEX(Index!$B$1:$B$77,MATCH($A161,Index!$A$1:$A$77,0)),"")</f>
        <v>LAR</v>
      </c>
      <c r="AV161" s="123" t="str">
        <f>IF(B161&lt;&gt;"",INDEX(Index!$C$1:$C$77,MATCH($A161,Index!$A$1:$A$77,0)),"")</f>
        <v>Stafford</v>
      </c>
      <c r="AW161" s="123">
        <f t="shared" si="2"/>
        <v>38</v>
      </c>
      <c r="AX161" s="113">
        <f t="shared" si="3"/>
        <v>6</v>
      </c>
    </row>
    <row r="162" spans="1:50" x14ac:dyDescent="0.25">
      <c r="A162" s="95" t="s">
        <v>560</v>
      </c>
      <c r="B162" s="96">
        <v>2025</v>
      </c>
      <c r="C162" s="96">
        <v>2</v>
      </c>
      <c r="D162" s="115">
        <v>0.63338899999999998</v>
      </c>
      <c r="E162" s="115">
        <v>-0.12831300000000001</v>
      </c>
      <c r="F162" s="115"/>
      <c r="G162" s="115">
        <v>48</v>
      </c>
      <c r="H162" s="115">
        <v>73</v>
      </c>
      <c r="I162" s="115">
        <v>0.65749999999999997</v>
      </c>
      <c r="J162" s="115">
        <v>3.0061</v>
      </c>
      <c r="K162" s="115">
        <v>586</v>
      </c>
      <c r="L162" s="115">
        <v>8.0274000000000001</v>
      </c>
      <c r="M162" s="115">
        <v>4</v>
      </c>
      <c r="N162" s="115">
        <v>4</v>
      </c>
      <c r="O162" s="115">
        <v>2</v>
      </c>
      <c r="P162" s="115">
        <v>5</v>
      </c>
      <c r="Q162" s="115">
        <v>32</v>
      </c>
      <c r="R162" s="115">
        <v>6.4</v>
      </c>
      <c r="S162" s="115">
        <v>0</v>
      </c>
      <c r="T162" s="115">
        <v>5.4800000000000001E-2</v>
      </c>
      <c r="U162" s="115">
        <v>5.4800000000000001E-2</v>
      </c>
      <c r="V162" s="115">
        <v>0</v>
      </c>
      <c r="W162" s="115">
        <v>0.57650000000000001</v>
      </c>
      <c r="X162" s="115">
        <v>85.759100000000004</v>
      </c>
      <c r="Y162" s="115">
        <v>6.28</v>
      </c>
      <c r="Z162" s="115">
        <v>190.423</v>
      </c>
      <c r="AA162" s="115">
        <v>66</v>
      </c>
      <c r="AB162" s="115">
        <v>16.7165</v>
      </c>
      <c r="AC162" s="115">
        <v>0.19670000000000001</v>
      </c>
      <c r="AD162" s="115">
        <v>-5.7000000000000002E-3</v>
      </c>
      <c r="AE162" s="115">
        <v>2.24E-2</v>
      </c>
      <c r="AF162" s="115">
        <v>-1.1599999999999999E-2</v>
      </c>
      <c r="AG162" s="115">
        <v>-0.1232</v>
      </c>
      <c r="AH162" s="115">
        <v>0.16270000000000001</v>
      </c>
      <c r="AI162" s="115">
        <v>3.1899999999999998E-2</v>
      </c>
      <c r="AJ162" s="115">
        <v>2.1000000000000001E-2</v>
      </c>
      <c r="AK162" s="115">
        <v>7.7534000000000001</v>
      </c>
      <c r="AL162" s="115">
        <v>-0.39729999999999999</v>
      </c>
      <c r="AM162" s="115">
        <v>1</v>
      </c>
      <c r="AN162" s="115">
        <v>1</v>
      </c>
      <c r="AO162" s="115">
        <v>0</v>
      </c>
      <c r="AP162" s="115">
        <v>1</v>
      </c>
      <c r="AQ162" s="115">
        <v>2</v>
      </c>
      <c r="AR162" s="115">
        <v>0.5</v>
      </c>
      <c r="AS162" s="115">
        <v>8.0999999999999996E-3</v>
      </c>
      <c r="AT162" s="115">
        <v>0.68879999999999997</v>
      </c>
      <c r="AU162" s="114" t="str">
        <f>IF(A162&lt;&gt;"",INDEX(Index!$B$1:$B$77,MATCH($A162,Index!$A$1:$A$77,0)),"")</f>
        <v>SF</v>
      </c>
      <c r="AV162" s="123" t="str">
        <f>IF(B162&lt;&gt;"",INDEX(Index!$C$1:$C$77,MATCH($A162,Index!$A$1:$A$77,0)),"")</f>
        <v>Purdy</v>
      </c>
      <c r="AW162" s="123">
        <f t="shared" si="2"/>
        <v>30</v>
      </c>
      <c r="AX162" s="113">
        <f t="shared" si="3"/>
        <v>6</v>
      </c>
    </row>
    <row r="163" spans="1:50" x14ac:dyDescent="0.25">
      <c r="A163" s="95" t="s">
        <v>566</v>
      </c>
      <c r="B163" s="96">
        <v>2025</v>
      </c>
      <c r="C163" s="96">
        <v>5</v>
      </c>
      <c r="D163" s="115">
        <v>0.62857099999999999</v>
      </c>
      <c r="E163" s="115">
        <v>7.1662000000000003E-2</v>
      </c>
      <c r="F163" s="115"/>
      <c r="G163" s="115">
        <v>103</v>
      </c>
      <c r="H163" s="115">
        <v>147</v>
      </c>
      <c r="I163" s="115">
        <v>0.70069999999999999</v>
      </c>
      <c r="J163" s="115">
        <v>8.9215999999999998</v>
      </c>
      <c r="K163" s="115">
        <v>1259</v>
      </c>
      <c r="L163" s="115">
        <v>8.5646000000000004</v>
      </c>
      <c r="M163" s="115">
        <v>9</v>
      </c>
      <c r="N163" s="115">
        <v>2</v>
      </c>
      <c r="O163" s="115">
        <v>9</v>
      </c>
      <c r="P163" s="115">
        <v>14</v>
      </c>
      <c r="Q163" s="115">
        <v>93</v>
      </c>
      <c r="R163" s="115">
        <v>6.6429</v>
      </c>
      <c r="S163" s="115">
        <v>0</v>
      </c>
      <c r="T163" s="115">
        <v>6.1199999999999997E-2</v>
      </c>
      <c r="U163" s="115">
        <v>1.3599999999999999E-2</v>
      </c>
      <c r="V163" s="115">
        <v>4.7600000000000003E-2</v>
      </c>
      <c r="W163" s="115">
        <v>0.55740000000000001</v>
      </c>
      <c r="X163" s="115">
        <v>110.898</v>
      </c>
      <c r="Y163" s="115">
        <v>8.1859000000000002</v>
      </c>
      <c r="Z163" s="115">
        <v>225.959</v>
      </c>
      <c r="AA163" s="115">
        <v>69.7</v>
      </c>
      <c r="AB163" s="115">
        <v>63.539499999999997</v>
      </c>
      <c r="AC163" s="115">
        <v>0.34720000000000001</v>
      </c>
      <c r="AD163" s="115">
        <v>2.9399999999999999E-2</v>
      </c>
      <c r="AE163" s="115">
        <v>8.3000000000000001E-3</v>
      </c>
      <c r="AF163" s="115">
        <v>3.0599999999999999E-2</v>
      </c>
      <c r="AG163" s="115">
        <v>7.4000000000000003E-3</v>
      </c>
      <c r="AH163" s="115">
        <v>6.0699999999999997E-2</v>
      </c>
      <c r="AI163" s="115">
        <v>9.5600000000000004E-2</v>
      </c>
      <c r="AJ163" s="115">
        <v>1.6E-2</v>
      </c>
      <c r="AK163" s="115">
        <v>8.2312999999999992</v>
      </c>
      <c r="AL163" s="115">
        <v>-0.73470000000000002</v>
      </c>
      <c r="AM163" s="115">
        <v>3</v>
      </c>
      <c r="AN163" s="115">
        <v>1</v>
      </c>
      <c r="AO163" s="115">
        <v>1</v>
      </c>
      <c r="AP163" s="115">
        <v>0</v>
      </c>
      <c r="AQ163" s="115">
        <v>1</v>
      </c>
      <c r="AR163" s="115">
        <v>0</v>
      </c>
      <c r="AS163" s="115">
        <v>1.17E-2</v>
      </c>
      <c r="AT163" s="115">
        <v>2.1335999999999999</v>
      </c>
      <c r="AU163" s="114" t="str">
        <f>IF(A163&lt;&gt;"",INDEX(Index!$B$1:$B$77,MATCH($A163,Index!$A$1:$A$77,0)),"")</f>
        <v>GB</v>
      </c>
      <c r="AV163" s="123" t="str">
        <f>IF(B163&lt;&gt;"",INDEX(Index!$C$1:$C$77,MATCH($A163,Index!$A$1:$A$77,0)),"")</f>
        <v>Love</v>
      </c>
      <c r="AW163" s="123">
        <f t="shared" si="2"/>
        <v>18</v>
      </c>
      <c r="AX163" s="113">
        <f t="shared" si="3"/>
        <v>6</v>
      </c>
    </row>
    <row r="164" spans="1:50" x14ac:dyDescent="0.25">
      <c r="A164" s="95" t="s">
        <v>556</v>
      </c>
      <c r="B164" s="96">
        <v>2025</v>
      </c>
      <c r="C164" s="96">
        <v>5</v>
      </c>
      <c r="D164" s="115">
        <v>0.50407199999999996</v>
      </c>
      <c r="E164" s="115">
        <v>3.6627199999999999E-2</v>
      </c>
      <c r="F164" s="115"/>
      <c r="G164" s="115">
        <v>110</v>
      </c>
      <c r="H164" s="115">
        <v>161</v>
      </c>
      <c r="I164" s="115">
        <v>0.68320000000000003</v>
      </c>
      <c r="J164" s="115">
        <v>-0.52880000000000005</v>
      </c>
      <c r="K164" s="115">
        <v>962</v>
      </c>
      <c r="L164" s="115">
        <v>5.9752000000000001</v>
      </c>
      <c r="M164" s="115">
        <v>6</v>
      </c>
      <c r="N164" s="115">
        <v>3</v>
      </c>
      <c r="O164" s="115">
        <v>16</v>
      </c>
      <c r="P164" s="115">
        <v>27</v>
      </c>
      <c r="Q164" s="115">
        <v>175</v>
      </c>
      <c r="R164" s="115">
        <v>6.4814999999999996</v>
      </c>
      <c r="S164" s="115">
        <v>1</v>
      </c>
      <c r="T164" s="115">
        <v>3.73E-2</v>
      </c>
      <c r="U164" s="115">
        <v>1.8599999999999998E-2</v>
      </c>
      <c r="V164" s="115">
        <v>1.8599999999999998E-2</v>
      </c>
      <c r="W164" s="115">
        <v>0.45</v>
      </c>
      <c r="X164" s="115">
        <v>88.573999999999998</v>
      </c>
      <c r="Y164" s="115">
        <v>4.7232000000000003</v>
      </c>
      <c r="Z164" s="115">
        <v>151.27199999999999</v>
      </c>
      <c r="AA164" s="115">
        <v>42.8</v>
      </c>
      <c r="AB164" s="115">
        <v>23.545000000000002</v>
      </c>
      <c r="AC164" s="115">
        <v>0.107</v>
      </c>
      <c r="AD164" s="115">
        <v>4.1000000000000003E-3</v>
      </c>
      <c r="AE164" s="115">
        <v>-6.1000000000000004E-3</v>
      </c>
      <c r="AF164" s="115">
        <v>3.1399999999999997E-2</v>
      </c>
      <c r="AG164" s="115">
        <v>2.81E-2</v>
      </c>
      <c r="AH164" s="115">
        <v>-9.7799999999999998E-2</v>
      </c>
      <c r="AI164" s="115">
        <v>2.93E-2</v>
      </c>
      <c r="AJ164" s="115">
        <v>1.9099999999999999E-2</v>
      </c>
      <c r="AK164" s="115">
        <v>5.8446999999999996</v>
      </c>
      <c r="AL164" s="115">
        <v>-3.0682999999999998</v>
      </c>
      <c r="AM164" s="115">
        <v>2</v>
      </c>
      <c r="AN164" s="115">
        <v>3</v>
      </c>
      <c r="AO164" s="115">
        <v>0</v>
      </c>
      <c r="AP164" s="115">
        <v>0</v>
      </c>
      <c r="AQ164" s="115">
        <v>2</v>
      </c>
      <c r="AR164" s="115">
        <v>0</v>
      </c>
      <c r="AS164" s="115">
        <v>4.1999999999999997E-3</v>
      </c>
      <c r="AT164" s="115">
        <v>0.92720000000000002</v>
      </c>
      <c r="AU164" s="114" t="str">
        <f>IF(A164&lt;&gt;"",INDEX(Index!$B$1:$B$77,MATCH($A164,Index!$A$1:$A$77,0)),"")</f>
        <v>ARI</v>
      </c>
      <c r="AV164" s="123" t="str">
        <f>IF(B164&lt;&gt;"",INDEX(Index!$C$1:$C$77,MATCH($A164,Index!$A$1:$A$77,0)),"")</f>
        <v>Murray</v>
      </c>
      <c r="AW164" s="123">
        <f t="shared" si="2"/>
        <v>6</v>
      </c>
      <c r="AX164" s="113">
        <f t="shared" si="3"/>
        <v>6</v>
      </c>
    </row>
    <row r="165" spans="1:50" x14ac:dyDescent="0.25">
      <c r="A165" s="95" t="s">
        <v>570</v>
      </c>
      <c r="B165" s="96">
        <v>2025</v>
      </c>
      <c r="C165" s="96">
        <v>6</v>
      </c>
      <c r="D165" s="115">
        <v>0.45582600000000001</v>
      </c>
      <c r="E165" s="115">
        <v>0.45572400000000002</v>
      </c>
      <c r="F165" s="115"/>
      <c r="G165" s="115">
        <v>131</v>
      </c>
      <c r="H165" s="115">
        <v>179</v>
      </c>
      <c r="I165" s="115">
        <v>0.73180000000000001</v>
      </c>
      <c r="J165" s="115">
        <v>9.6776</v>
      </c>
      <c r="K165" s="115">
        <v>1522</v>
      </c>
      <c r="L165" s="115">
        <v>8.5028000000000006</v>
      </c>
      <c r="M165" s="115">
        <v>10</v>
      </c>
      <c r="N165" s="115">
        <v>2</v>
      </c>
      <c r="O165" s="115">
        <v>18</v>
      </c>
      <c r="P165" s="115">
        <v>28</v>
      </c>
      <c r="Q165" s="115">
        <v>145</v>
      </c>
      <c r="R165" s="115">
        <v>5.1786000000000003</v>
      </c>
      <c r="S165" s="115">
        <v>2</v>
      </c>
      <c r="T165" s="115">
        <v>5.5899999999999998E-2</v>
      </c>
      <c r="U165" s="115">
        <v>1.12E-2</v>
      </c>
      <c r="V165" s="115">
        <v>4.4699999999999997E-2</v>
      </c>
      <c r="W165" s="115">
        <v>0.5292</v>
      </c>
      <c r="X165" s="115">
        <v>112.465</v>
      </c>
      <c r="Y165" s="115">
        <v>8.0051000000000005</v>
      </c>
      <c r="Z165" s="115">
        <v>222.376</v>
      </c>
      <c r="AA165" s="115">
        <v>72.3</v>
      </c>
      <c r="AB165" s="115">
        <v>73.209999999999994</v>
      </c>
      <c r="AC165" s="115">
        <v>0.30499999999999999</v>
      </c>
      <c r="AD165" s="115">
        <v>6.4999999999999997E-3</v>
      </c>
      <c r="AE165" s="115">
        <v>-9.7000000000000003E-3</v>
      </c>
      <c r="AF165" s="115">
        <v>5.4699999999999999E-2</v>
      </c>
      <c r="AG165" s="115">
        <v>3.5999999999999997E-2</v>
      </c>
      <c r="AH165" s="115">
        <v>0.1225</v>
      </c>
      <c r="AI165" s="115">
        <v>-6.4000000000000003E-3</v>
      </c>
      <c r="AJ165" s="115">
        <v>2.3E-3</v>
      </c>
      <c r="AK165" s="115">
        <v>7.3966000000000003</v>
      </c>
      <c r="AL165" s="115">
        <v>-1.6982999999999999</v>
      </c>
      <c r="AM165" s="115">
        <v>4</v>
      </c>
      <c r="AN165" s="115">
        <v>2</v>
      </c>
      <c r="AO165" s="115">
        <v>0</v>
      </c>
      <c r="AP165" s="115">
        <v>0</v>
      </c>
      <c r="AQ165" s="115">
        <v>2</v>
      </c>
      <c r="AR165" s="115">
        <v>0</v>
      </c>
      <c r="AS165" s="115">
        <v>7.9000000000000008E-3</v>
      </c>
      <c r="AT165" s="115">
        <v>1.9075</v>
      </c>
      <c r="AU165" s="114" t="str">
        <f>IF(A165&lt;&gt;"",INDEX(Index!$B$1:$B$77,MATCH($A165,Index!$A$1:$A$77,0)),"")</f>
        <v>NE</v>
      </c>
      <c r="AV165" s="123" t="str">
        <f>IF(B165&lt;&gt;"",INDEX(Index!$C$1:$C$77,MATCH($A165,Index!$A$1:$A$77,0)),"")</f>
        <v>Maye</v>
      </c>
      <c r="AW165" s="123">
        <f t="shared" si="2"/>
        <v>11</v>
      </c>
      <c r="AX165" s="113">
        <f t="shared" si="3"/>
        <v>6</v>
      </c>
    </row>
    <row r="166" spans="1:50" x14ac:dyDescent="0.25">
      <c r="A166" s="95" t="s">
        <v>573</v>
      </c>
      <c r="B166" s="96">
        <v>2025</v>
      </c>
      <c r="C166" s="96">
        <v>6</v>
      </c>
      <c r="D166" s="115">
        <v>0.33568500000000001</v>
      </c>
      <c r="E166" s="115">
        <v>0.121888</v>
      </c>
      <c r="F166" s="115"/>
      <c r="G166" s="115">
        <v>114</v>
      </c>
      <c r="H166" s="115">
        <v>160</v>
      </c>
      <c r="I166" s="115">
        <v>0.71250000000000002</v>
      </c>
      <c r="J166" s="115">
        <v>11.231199999999999</v>
      </c>
      <c r="K166" s="115">
        <v>1541</v>
      </c>
      <c r="L166" s="115">
        <v>9.6311999999999998</v>
      </c>
      <c r="M166" s="115">
        <v>11</v>
      </c>
      <c r="N166" s="115">
        <v>3</v>
      </c>
      <c r="O166" s="115">
        <v>7</v>
      </c>
      <c r="P166" s="115">
        <v>4</v>
      </c>
      <c r="Q166" s="115">
        <v>44</v>
      </c>
      <c r="R166" s="115">
        <v>11</v>
      </c>
      <c r="S166" s="115">
        <v>0</v>
      </c>
      <c r="T166" s="115">
        <v>6.88E-2</v>
      </c>
      <c r="U166" s="115">
        <v>1.8800000000000001E-2</v>
      </c>
      <c r="V166" s="115">
        <v>0.05</v>
      </c>
      <c r="W166" s="115">
        <v>0.56910000000000005</v>
      </c>
      <c r="X166" s="115">
        <v>116.693</v>
      </c>
      <c r="Y166" s="115">
        <v>9.4789999999999992</v>
      </c>
      <c r="Z166" s="115">
        <v>222.47300000000001</v>
      </c>
      <c r="AA166" s="115">
        <v>78.5</v>
      </c>
      <c r="AB166" s="115">
        <v>63.214300000000001</v>
      </c>
      <c r="AC166" s="115">
        <v>0.3493</v>
      </c>
      <c r="AD166" s="115">
        <v>-1.89E-2</v>
      </c>
      <c r="AE166" s="115">
        <v>2.12E-2</v>
      </c>
      <c r="AF166" s="115">
        <v>5.2400000000000002E-2</v>
      </c>
      <c r="AG166" s="115">
        <v>-1.0999999999999999E-2</v>
      </c>
      <c r="AH166" s="115">
        <v>0.18479999999999999</v>
      </c>
      <c r="AI166" s="115">
        <v>8.0000000000000002E-3</v>
      </c>
      <c r="AJ166" s="115">
        <v>1.3599999999999999E-2</v>
      </c>
      <c r="AK166" s="115">
        <v>9.3312000000000008</v>
      </c>
      <c r="AL166" s="115">
        <v>0.16250000000000001</v>
      </c>
      <c r="AM166" s="115">
        <v>4</v>
      </c>
      <c r="AN166" s="115">
        <v>2</v>
      </c>
      <c r="AO166" s="115">
        <v>0</v>
      </c>
      <c r="AP166" s="115">
        <v>0</v>
      </c>
      <c r="AQ166" s="115">
        <v>2</v>
      </c>
      <c r="AR166" s="115">
        <v>0</v>
      </c>
      <c r="AS166" s="115">
        <v>6.7000000000000002E-3</v>
      </c>
      <c r="AT166" s="115">
        <v>1.2213000000000001</v>
      </c>
      <c r="AU166" s="114" t="str">
        <f>IF(A166&lt;&gt;"",INDEX(Index!$B$1:$B$77,MATCH($A166,Index!$A$1:$A$77,0)),"")</f>
        <v>SEA</v>
      </c>
      <c r="AV166" s="123" t="str">
        <f>IF(B166&lt;&gt;"",INDEX(Index!$C$1:$C$77,MATCH($A166,Index!$A$1:$A$77,0)),"")</f>
        <v>Darnold</v>
      </c>
      <c r="AW166" s="123">
        <f t="shared" si="2"/>
        <v>26</v>
      </c>
      <c r="AX166" s="113">
        <f t="shared" si="3"/>
        <v>6</v>
      </c>
    </row>
    <row r="167" spans="1:50" x14ac:dyDescent="0.25">
      <c r="A167" s="95" t="s">
        <v>568</v>
      </c>
      <c r="B167" s="96">
        <v>2025</v>
      </c>
      <c r="C167" s="96">
        <v>6</v>
      </c>
      <c r="D167" s="115">
        <v>0.301813</v>
      </c>
      <c r="E167" s="115">
        <v>0.26624500000000001</v>
      </c>
      <c r="F167" s="115"/>
      <c r="G167" s="115">
        <v>129</v>
      </c>
      <c r="H167" s="115">
        <v>180</v>
      </c>
      <c r="I167" s="115">
        <v>0.7167</v>
      </c>
      <c r="J167" s="115">
        <v>3.8327</v>
      </c>
      <c r="K167" s="115">
        <v>1502</v>
      </c>
      <c r="L167" s="115">
        <v>8.3444000000000003</v>
      </c>
      <c r="M167" s="115">
        <v>8</v>
      </c>
      <c r="N167" s="115">
        <v>3</v>
      </c>
      <c r="O167" s="115">
        <v>5</v>
      </c>
      <c r="P167" s="115">
        <v>21</v>
      </c>
      <c r="Q167" s="115">
        <v>79</v>
      </c>
      <c r="R167" s="115">
        <v>3.7618999999999998</v>
      </c>
      <c r="S167" s="115">
        <v>4</v>
      </c>
      <c r="T167" s="115">
        <v>4.4400000000000002E-2</v>
      </c>
      <c r="U167" s="115">
        <v>1.67E-2</v>
      </c>
      <c r="V167" s="115">
        <v>2.7799999999999998E-2</v>
      </c>
      <c r="W167" s="115">
        <v>0.56879999999999997</v>
      </c>
      <c r="X167" s="115">
        <v>104.444</v>
      </c>
      <c r="Y167" s="115">
        <v>8.0324000000000009</v>
      </c>
      <c r="Z167" s="115">
        <v>258.40300000000002</v>
      </c>
      <c r="AA167" s="115">
        <v>79.7</v>
      </c>
      <c r="AB167" s="115">
        <v>64.362499999999997</v>
      </c>
      <c r="AC167" s="115">
        <v>0.29520000000000002</v>
      </c>
      <c r="AD167" s="115">
        <v>1.7899999999999999E-2</v>
      </c>
      <c r="AE167" s="115">
        <v>6.25E-2</v>
      </c>
      <c r="AF167" s="115">
        <v>4.36E-2</v>
      </c>
      <c r="AG167" s="115">
        <v>1.2699999999999999E-2</v>
      </c>
      <c r="AH167" s="115">
        <v>1.2999999999999999E-2</v>
      </c>
      <c r="AI167" s="115">
        <v>5.2900000000000003E-2</v>
      </c>
      <c r="AJ167" s="115">
        <v>-6.6E-3</v>
      </c>
      <c r="AK167" s="115">
        <v>8.0111000000000008</v>
      </c>
      <c r="AL167" s="115">
        <v>-0.82779999999999998</v>
      </c>
      <c r="AM167" s="115">
        <v>5</v>
      </c>
      <c r="AN167" s="115">
        <v>1</v>
      </c>
      <c r="AO167" s="115">
        <v>0</v>
      </c>
      <c r="AP167" s="115">
        <v>2</v>
      </c>
      <c r="AQ167" s="115">
        <v>3</v>
      </c>
      <c r="AR167" s="115">
        <v>0.66669999999999996</v>
      </c>
      <c r="AS167" s="115">
        <v>7.3000000000000001E-3</v>
      </c>
      <c r="AT167" s="115">
        <v>1.5959000000000001</v>
      </c>
      <c r="AU167" s="114" t="str">
        <f>IF(A167&lt;&gt;"",INDEX(Index!$B$1:$B$77,MATCH($A167,Index!$A$1:$A$77,0)),"")</f>
        <v>IND</v>
      </c>
      <c r="AV167" s="123" t="str">
        <f>IF(B167&lt;&gt;"",INDEX(Index!$C$1:$C$77,MATCH($A167,Index!$A$1:$A$77,0)),"")</f>
        <v>Jones</v>
      </c>
      <c r="AW167" s="123">
        <f t="shared" si="2"/>
        <v>19</v>
      </c>
      <c r="AX167" s="113">
        <f t="shared" si="3"/>
        <v>6</v>
      </c>
    </row>
    <row r="168" spans="1:50" x14ac:dyDescent="0.25">
      <c r="A168" s="95" t="s">
        <v>565</v>
      </c>
      <c r="B168" s="96">
        <v>2025</v>
      </c>
      <c r="C168" s="96">
        <v>6</v>
      </c>
      <c r="D168" s="115">
        <v>0.22705</v>
      </c>
      <c r="E168" s="115">
        <v>-0.618228</v>
      </c>
      <c r="F168" s="115"/>
      <c r="G168" s="115">
        <v>127</v>
      </c>
      <c r="H168" s="115">
        <v>182</v>
      </c>
      <c r="I168" s="115">
        <v>0.69779999999999998</v>
      </c>
      <c r="J168" s="115">
        <v>4.1531000000000002</v>
      </c>
      <c r="K168" s="115">
        <v>1213</v>
      </c>
      <c r="L168" s="115">
        <v>6.6647999999999996</v>
      </c>
      <c r="M168" s="115">
        <v>11</v>
      </c>
      <c r="N168" s="115">
        <v>7</v>
      </c>
      <c r="O168" s="115">
        <v>13</v>
      </c>
      <c r="P168" s="115">
        <v>6</v>
      </c>
      <c r="Q168" s="115">
        <v>30</v>
      </c>
      <c r="R168" s="115">
        <v>5</v>
      </c>
      <c r="S168" s="115">
        <v>0</v>
      </c>
      <c r="T168" s="115">
        <v>6.0400000000000002E-2</v>
      </c>
      <c r="U168" s="115">
        <v>3.85E-2</v>
      </c>
      <c r="V168" s="115">
        <v>2.1999999999999999E-2</v>
      </c>
      <c r="W168" s="115">
        <v>0.44190000000000002</v>
      </c>
      <c r="X168" s="115">
        <v>92.124499999999998</v>
      </c>
      <c r="Y168" s="115">
        <v>5.3897000000000004</v>
      </c>
      <c r="Z168" s="115">
        <v>138.869</v>
      </c>
      <c r="AA168" s="115">
        <v>50.5</v>
      </c>
      <c r="AB168" s="115">
        <v>11.679</v>
      </c>
      <c r="AC168" s="115">
        <v>5.4300000000000001E-2</v>
      </c>
      <c r="AD168" s="115">
        <v>-1.9599999999999999E-2</v>
      </c>
      <c r="AE168" s="115">
        <v>-1.04E-2</v>
      </c>
      <c r="AF168" s="115">
        <v>1.8700000000000001E-2</v>
      </c>
      <c r="AG168" s="115">
        <v>-3.5400000000000001E-2</v>
      </c>
      <c r="AH168" s="115">
        <v>4.02E-2</v>
      </c>
      <c r="AI168" s="115">
        <v>2.2700000000000001E-2</v>
      </c>
      <c r="AJ168" s="115">
        <v>-6.0999999999999999E-2</v>
      </c>
      <c r="AK168" s="115">
        <v>6.9176000000000002</v>
      </c>
      <c r="AL168" s="115">
        <v>-1.7198</v>
      </c>
      <c r="AM168" s="115">
        <v>1</v>
      </c>
      <c r="AN168" s="115">
        <v>5</v>
      </c>
      <c r="AO168" s="115">
        <v>0</v>
      </c>
      <c r="AP168" s="115">
        <v>0</v>
      </c>
      <c r="AQ168" s="115">
        <v>4</v>
      </c>
      <c r="AR168" s="115">
        <v>0</v>
      </c>
      <c r="AS168" s="115">
        <v>1.4E-3</v>
      </c>
      <c r="AT168" s="115">
        <v>0.30330000000000001</v>
      </c>
      <c r="AU168" s="114" t="str">
        <f>IF(A168&lt;&gt;"",INDEX(Index!$B$1:$B$77,MATCH($A168,Index!$A$1:$A$77,0)),"")</f>
        <v>MIA</v>
      </c>
      <c r="AV168" s="123" t="str">
        <f>IF(B168&lt;&gt;"",INDEX(Index!$C$1:$C$77,MATCH($A168,Index!$A$1:$A$77,0)),"")</f>
        <v>Tagovailoa</v>
      </c>
      <c r="AW168" s="123">
        <f t="shared" si="2"/>
        <v>31</v>
      </c>
      <c r="AX168" s="113">
        <f t="shared" si="3"/>
        <v>6</v>
      </c>
    </row>
    <row r="169" spans="1:50" x14ac:dyDescent="0.25">
      <c r="A169" s="95" t="s">
        <v>563</v>
      </c>
      <c r="B169" s="96">
        <v>2025</v>
      </c>
      <c r="C169" s="96">
        <v>6</v>
      </c>
      <c r="D169" s="115">
        <v>0.109571</v>
      </c>
      <c r="E169" s="115">
        <v>0.39732200000000001</v>
      </c>
      <c r="F169" s="115"/>
      <c r="G169" s="115">
        <v>146</v>
      </c>
      <c r="H169" s="115">
        <v>216</v>
      </c>
      <c r="I169" s="115">
        <v>0.67589999999999995</v>
      </c>
      <c r="J169" s="115">
        <v>1.1901999999999999</v>
      </c>
      <c r="K169" s="115">
        <v>1493</v>
      </c>
      <c r="L169" s="115">
        <v>6.9119999999999999</v>
      </c>
      <c r="M169" s="115">
        <v>10</v>
      </c>
      <c r="N169" s="115">
        <v>4</v>
      </c>
      <c r="O169" s="115">
        <v>17</v>
      </c>
      <c r="P169" s="115">
        <v>16</v>
      </c>
      <c r="Q169" s="115">
        <v>162</v>
      </c>
      <c r="R169" s="115">
        <v>10.125</v>
      </c>
      <c r="S169" s="115">
        <v>0</v>
      </c>
      <c r="T169" s="115">
        <v>4.6300000000000001E-2</v>
      </c>
      <c r="U169" s="115">
        <v>1.8499999999999999E-2</v>
      </c>
      <c r="V169" s="115">
        <v>2.7799999999999998E-2</v>
      </c>
      <c r="W169" s="115">
        <v>0.4753</v>
      </c>
      <c r="X169" s="115">
        <v>94.926699999999997</v>
      </c>
      <c r="Y169" s="115">
        <v>6.0987</v>
      </c>
      <c r="Z169" s="115">
        <v>186.976</v>
      </c>
      <c r="AA169" s="115">
        <v>65.5</v>
      </c>
      <c r="AB169" s="115">
        <v>18.895600000000002</v>
      </c>
      <c r="AC169" s="115">
        <v>7.1800000000000003E-2</v>
      </c>
      <c r="AD169" s="115">
        <v>2.41E-2</v>
      </c>
      <c r="AE169" s="115">
        <v>-5.4999999999999997E-3</v>
      </c>
      <c r="AF169" s="115">
        <v>2.8999999999999998E-3</v>
      </c>
      <c r="AG169" s="115">
        <v>-1.4200000000000001E-2</v>
      </c>
      <c r="AH169" s="115">
        <v>-8.2000000000000007E-3</v>
      </c>
      <c r="AI169" s="115">
        <v>-1.9199999999999998E-2</v>
      </c>
      <c r="AJ169" s="115">
        <v>-7.1000000000000004E-3</v>
      </c>
      <c r="AK169" s="115">
        <v>7.4537000000000004</v>
      </c>
      <c r="AL169" s="115">
        <v>-1.5926</v>
      </c>
      <c r="AM169" s="115">
        <v>4</v>
      </c>
      <c r="AN169" s="115">
        <v>2</v>
      </c>
      <c r="AO169" s="115">
        <v>0</v>
      </c>
      <c r="AP169" s="115">
        <v>2</v>
      </c>
      <c r="AQ169" s="115">
        <v>3</v>
      </c>
      <c r="AR169" s="115">
        <v>0.66669999999999996</v>
      </c>
      <c r="AS169" s="115">
        <v>4.1999999999999997E-3</v>
      </c>
      <c r="AT169" s="115">
        <v>1.0995999999999999</v>
      </c>
      <c r="AU169" s="114" t="str">
        <f>IF(A169&lt;&gt;"",INDEX(Index!$B$1:$B$77,MATCH($A169,Index!$A$1:$A$77,0)),"")</f>
        <v>LAC</v>
      </c>
      <c r="AV169" s="123" t="str">
        <f>IF(B169&lt;&gt;"",INDEX(Index!$C$1:$C$77,MATCH($A169,Index!$A$1:$A$77,0)),"")</f>
        <v>Herbert</v>
      </c>
      <c r="AW169" s="123">
        <f t="shared" si="2"/>
        <v>9</v>
      </c>
      <c r="AX169" s="113">
        <f t="shared" si="3"/>
        <v>6</v>
      </c>
    </row>
    <row r="170" spans="1:50" x14ac:dyDescent="0.25">
      <c r="A170" s="95" t="s">
        <v>564</v>
      </c>
      <c r="B170" s="96">
        <v>2025</v>
      </c>
      <c r="C170" s="96">
        <v>3</v>
      </c>
      <c r="D170" s="115">
        <v>-0.13691500000000001</v>
      </c>
      <c r="E170" s="115">
        <v>-0.72087800000000002</v>
      </c>
      <c r="F170" s="115"/>
      <c r="G170" s="115">
        <v>66</v>
      </c>
      <c r="H170" s="115">
        <v>112</v>
      </c>
      <c r="I170" s="115">
        <v>0.58930000000000005</v>
      </c>
      <c r="J170" s="115">
        <v>-0.86109999999999998</v>
      </c>
      <c r="K170" s="115">
        <v>786</v>
      </c>
      <c r="L170" s="115">
        <v>7.0179</v>
      </c>
      <c r="M170" s="115">
        <v>3</v>
      </c>
      <c r="N170" s="115">
        <v>3</v>
      </c>
      <c r="O170" s="115">
        <v>8</v>
      </c>
      <c r="P170" s="115">
        <v>16</v>
      </c>
      <c r="Q170" s="115">
        <v>94</v>
      </c>
      <c r="R170" s="115">
        <v>5.875</v>
      </c>
      <c r="S170" s="115">
        <v>0</v>
      </c>
      <c r="T170" s="115">
        <v>2.6800000000000001E-2</v>
      </c>
      <c r="U170" s="115">
        <v>2.6800000000000001E-2</v>
      </c>
      <c r="V170" s="115">
        <v>0</v>
      </c>
      <c r="W170" s="115">
        <v>0.41499999999999998</v>
      </c>
      <c r="X170" s="115">
        <v>78.199399999999997</v>
      </c>
      <c r="Y170" s="115">
        <v>5.4832999999999998</v>
      </c>
      <c r="Z170" s="115">
        <v>140.05699999999999</v>
      </c>
      <c r="AA170" s="115">
        <v>32.1</v>
      </c>
      <c r="AB170" s="115">
        <v>-0.13880000000000001</v>
      </c>
      <c r="AC170" s="115">
        <v>-8.9999999999999998E-4</v>
      </c>
      <c r="AD170" s="115">
        <v>-3.5000000000000003E-2</v>
      </c>
      <c r="AE170" s="115">
        <v>1.4200000000000001E-2</v>
      </c>
      <c r="AF170" s="115">
        <v>-0.1135</v>
      </c>
      <c r="AG170" s="115">
        <v>9.7999999999999997E-3</v>
      </c>
      <c r="AH170" s="115">
        <v>3.5099999999999999E-2</v>
      </c>
      <c r="AI170" s="115">
        <v>-7.5600000000000001E-2</v>
      </c>
      <c r="AJ170" s="115">
        <v>6.4799999999999996E-2</v>
      </c>
      <c r="AK170" s="115">
        <v>9.2589000000000006</v>
      </c>
      <c r="AL170" s="115">
        <v>0.19639999999999999</v>
      </c>
      <c r="AM170" s="115">
        <v>2</v>
      </c>
      <c r="AN170" s="115">
        <v>3</v>
      </c>
      <c r="AO170" s="115">
        <v>0</v>
      </c>
      <c r="AP170" s="115">
        <v>0</v>
      </c>
      <c r="AQ170" s="115">
        <v>2</v>
      </c>
      <c r="AR170" s="115">
        <v>0</v>
      </c>
      <c r="AS170" s="115">
        <v>7.4999999999999997E-3</v>
      </c>
      <c r="AT170" s="115">
        <v>1.0956999999999999</v>
      </c>
      <c r="AU170" s="114" t="str">
        <f>IF(A170&lt;&gt;"",INDEX(Index!$B$1:$B$77,MATCH($A170,Index!$A$1:$A$77,0)),"")</f>
        <v>NYG</v>
      </c>
      <c r="AV170" s="123" t="str">
        <f>IF(B170&lt;&gt;"",INDEX(Index!$C$1:$C$77,MATCH($A170,Index!$A$1:$A$77,0)),"")</f>
        <v>Wilson</v>
      </c>
      <c r="AW170" s="123">
        <f t="shared" si="2"/>
        <v>17</v>
      </c>
      <c r="AX170" s="113">
        <f t="shared" si="3"/>
        <v>6</v>
      </c>
    </row>
    <row r="171" spans="1:50" x14ac:dyDescent="0.25">
      <c r="A171" s="95" t="s">
        <v>571</v>
      </c>
      <c r="B171" s="96">
        <v>2025</v>
      </c>
      <c r="C171" s="96">
        <v>6</v>
      </c>
      <c r="D171" s="115">
        <v>-0.67943699999999996</v>
      </c>
      <c r="E171" s="115">
        <v>-0.22020300000000001</v>
      </c>
      <c r="F171" s="115"/>
      <c r="G171" s="115">
        <v>129</v>
      </c>
      <c r="H171" s="115">
        <v>209</v>
      </c>
      <c r="I171" s="115">
        <v>0.61719999999999997</v>
      </c>
      <c r="J171" s="115">
        <v>-4.0446999999999997</v>
      </c>
      <c r="K171" s="115">
        <v>1324</v>
      </c>
      <c r="L171" s="115">
        <v>6.3349000000000002</v>
      </c>
      <c r="M171" s="115">
        <v>8</v>
      </c>
      <c r="N171" s="115">
        <v>5</v>
      </c>
      <c r="O171" s="115">
        <v>13</v>
      </c>
      <c r="P171" s="115">
        <v>20</v>
      </c>
      <c r="Q171" s="115">
        <v>103</v>
      </c>
      <c r="R171" s="115">
        <v>5.15</v>
      </c>
      <c r="S171" s="115">
        <v>2</v>
      </c>
      <c r="T171" s="115">
        <v>3.8300000000000001E-2</v>
      </c>
      <c r="U171" s="115">
        <v>2.3900000000000001E-2</v>
      </c>
      <c r="V171" s="115">
        <v>1.44E-2</v>
      </c>
      <c r="W171" s="115">
        <v>0.45490000000000003</v>
      </c>
      <c r="X171" s="115">
        <v>82.705299999999994</v>
      </c>
      <c r="Y171" s="115">
        <v>5.3018000000000001</v>
      </c>
      <c r="Z171" s="115">
        <v>146.40600000000001</v>
      </c>
      <c r="AA171" s="115">
        <v>47.1</v>
      </c>
      <c r="AB171" s="115">
        <v>18.665099999999999</v>
      </c>
      <c r="AC171" s="115">
        <v>7.3200000000000001E-2</v>
      </c>
      <c r="AD171" s="115">
        <v>1E-3</v>
      </c>
      <c r="AE171" s="115">
        <v>3.85E-2</v>
      </c>
      <c r="AF171" s="115">
        <v>-2.63E-2</v>
      </c>
      <c r="AG171" s="115">
        <v>-3.3E-3</v>
      </c>
      <c r="AH171" s="115">
        <v>-4.19E-2</v>
      </c>
      <c r="AI171" s="115">
        <v>2.9999999999999997E-4</v>
      </c>
      <c r="AJ171" s="115">
        <v>5.8999999999999999E-3</v>
      </c>
      <c r="AK171" s="115">
        <v>7.5167000000000002</v>
      </c>
      <c r="AL171" s="115">
        <v>-1.7033</v>
      </c>
      <c r="AM171" s="115">
        <v>4</v>
      </c>
      <c r="AN171" s="115">
        <v>2</v>
      </c>
      <c r="AO171" s="115">
        <v>0</v>
      </c>
      <c r="AP171" s="115">
        <v>1</v>
      </c>
      <c r="AQ171" s="115">
        <v>3</v>
      </c>
      <c r="AR171" s="115">
        <v>0.33329999999999999</v>
      </c>
      <c r="AS171" s="115">
        <v>3.0999999999999999E-3</v>
      </c>
      <c r="AT171" s="115">
        <v>0.80200000000000005</v>
      </c>
      <c r="AU171" s="114" t="str">
        <f>IF(A171&lt;&gt;"",INDEX(Index!$B$1:$B$77,MATCH($A171,Index!$A$1:$A$77,0)),"")</f>
        <v>JAX</v>
      </c>
      <c r="AV171" s="123" t="str">
        <f>IF(B171&lt;&gt;"",INDEX(Index!$C$1:$C$77,MATCH($A171,Index!$A$1:$A$77,0)),"")</f>
        <v>Lawrence</v>
      </c>
      <c r="AW171" s="123">
        <f t="shared" si="2"/>
        <v>16</v>
      </c>
      <c r="AX171" s="113">
        <f t="shared" si="3"/>
        <v>6</v>
      </c>
    </row>
    <row r="172" spans="1:50" x14ac:dyDescent="0.25">
      <c r="A172" s="95" t="s">
        <v>574</v>
      </c>
      <c r="B172" s="96">
        <v>2025</v>
      </c>
      <c r="C172" s="96">
        <v>5</v>
      </c>
      <c r="D172" s="115">
        <v>-0.75037500000000001</v>
      </c>
      <c r="E172" s="115">
        <v>-1.7564099999999999E-2</v>
      </c>
      <c r="F172" s="115"/>
      <c r="G172" s="115">
        <v>98</v>
      </c>
      <c r="H172" s="115">
        <v>159</v>
      </c>
      <c r="I172" s="115">
        <v>0.61639999999999995</v>
      </c>
      <c r="J172" s="115">
        <v>-5.9941000000000004</v>
      </c>
      <c r="K172" s="115">
        <v>1179</v>
      </c>
      <c r="L172" s="115">
        <v>7.4150999999999998</v>
      </c>
      <c r="M172" s="115">
        <v>9</v>
      </c>
      <c r="N172" s="115">
        <v>2</v>
      </c>
      <c r="O172" s="115">
        <v>10</v>
      </c>
      <c r="P172" s="115">
        <v>23</v>
      </c>
      <c r="Q172" s="115">
        <v>113</v>
      </c>
      <c r="R172" s="115">
        <v>4.9130000000000003</v>
      </c>
      <c r="S172" s="115">
        <v>2</v>
      </c>
      <c r="T172" s="115">
        <v>5.6599999999999998E-2</v>
      </c>
      <c r="U172" s="115">
        <v>1.26E-2</v>
      </c>
      <c r="V172" s="115">
        <v>4.3999999999999997E-2</v>
      </c>
      <c r="W172" s="115">
        <v>0.43480000000000002</v>
      </c>
      <c r="X172" s="115">
        <v>97.969099999999997</v>
      </c>
      <c r="Y172" s="115">
        <v>7.1124000000000001</v>
      </c>
      <c r="Z172" s="115">
        <v>196.39699999999999</v>
      </c>
      <c r="AA172" s="115">
        <v>60.4</v>
      </c>
      <c r="AB172" s="115">
        <v>10.501099999999999</v>
      </c>
      <c r="AC172" s="115">
        <v>5.0700000000000002E-2</v>
      </c>
      <c r="AD172" s="115">
        <v>-3.6499999999999998E-2</v>
      </c>
      <c r="AE172" s="115">
        <v>2.4500000000000001E-2</v>
      </c>
      <c r="AF172" s="115">
        <v>-4.1500000000000002E-2</v>
      </c>
      <c r="AG172" s="115">
        <v>2.7799999999999998E-2</v>
      </c>
      <c r="AH172" s="115">
        <v>2E-3</v>
      </c>
      <c r="AI172" s="115">
        <v>1.4E-2</v>
      </c>
      <c r="AJ172" s="115">
        <v>-3.8699999999999998E-2</v>
      </c>
      <c r="AK172" s="115">
        <v>8.2201000000000004</v>
      </c>
      <c r="AL172" s="115">
        <v>-1.9622999999999999</v>
      </c>
      <c r="AM172" s="115">
        <v>3</v>
      </c>
      <c r="AN172" s="115">
        <v>2</v>
      </c>
      <c r="AO172" s="115">
        <v>0</v>
      </c>
      <c r="AP172" s="115">
        <v>2</v>
      </c>
      <c r="AQ172" s="115">
        <v>3</v>
      </c>
      <c r="AR172" s="115">
        <v>0.66669999999999996</v>
      </c>
      <c r="AS172" s="115">
        <v>2.3999999999999998E-3</v>
      </c>
      <c r="AT172" s="115">
        <v>0.5071</v>
      </c>
      <c r="AU172" s="114" t="str">
        <f>IF(A172&lt;&gt;"",INDEX(Index!$B$1:$B$77,MATCH($A172,Index!$A$1:$A$77,0)),"")</f>
        <v>CHI</v>
      </c>
      <c r="AV172" s="123" t="str">
        <f>IF(B172&lt;&gt;"",INDEX(Index!$C$1:$C$77,MATCH($A172,Index!$A$1:$A$77,0)),"")</f>
        <v>Williams</v>
      </c>
      <c r="AW172" s="123">
        <f t="shared" si="2"/>
        <v>15</v>
      </c>
      <c r="AX172" s="113">
        <f t="shared" si="3"/>
        <v>6</v>
      </c>
    </row>
    <row r="173" spans="1:50" x14ac:dyDescent="0.25">
      <c r="A173" s="95" t="s">
        <v>569</v>
      </c>
      <c r="B173" s="96">
        <v>2025</v>
      </c>
      <c r="C173" s="96">
        <v>5</v>
      </c>
      <c r="D173" s="115">
        <v>-0.78245200000000004</v>
      </c>
      <c r="E173" s="115">
        <v>-1.1599200000000001</v>
      </c>
      <c r="F173" s="115"/>
      <c r="G173" s="115">
        <v>80</v>
      </c>
      <c r="H173" s="115">
        <v>122</v>
      </c>
      <c r="I173" s="115">
        <v>0.65569999999999995</v>
      </c>
      <c r="J173" s="115">
        <v>-0.26750000000000002</v>
      </c>
      <c r="K173" s="115">
        <v>782</v>
      </c>
      <c r="L173" s="115">
        <v>6.4097999999999997</v>
      </c>
      <c r="M173" s="115">
        <v>4</v>
      </c>
      <c r="N173" s="115">
        <v>0</v>
      </c>
      <c r="O173" s="115">
        <v>19</v>
      </c>
      <c r="P173" s="115">
        <v>36</v>
      </c>
      <c r="Q173" s="115">
        <v>236</v>
      </c>
      <c r="R173" s="115">
        <v>6.5556000000000001</v>
      </c>
      <c r="S173" s="115">
        <v>3</v>
      </c>
      <c r="T173" s="115">
        <v>3.2800000000000003E-2</v>
      </c>
      <c r="U173" s="115">
        <v>0</v>
      </c>
      <c r="V173" s="115">
        <v>3.2800000000000003E-2</v>
      </c>
      <c r="W173" s="115">
        <v>0.45989999999999998</v>
      </c>
      <c r="X173" s="115">
        <v>94.364800000000002</v>
      </c>
      <c r="Y173" s="115">
        <v>5.0637999999999996</v>
      </c>
      <c r="Z173" s="115">
        <v>151.72200000000001</v>
      </c>
      <c r="AA173" s="115">
        <v>36.5</v>
      </c>
      <c r="AB173" s="115">
        <v>-8.8583999999999996</v>
      </c>
      <c r="AC173" s="115">
        <v>-4.7399999999999998E-2</v>
      </c>
      <c r="AD173" s="115">
        <v>-3.0999999999999999E-3</v>
      </c>
      <c r="AE173" s="115">
        <v>-7.4499999999999997E-2</v>
      </c>
      <c r="AF173" s="115">
        <v>3.5999999999999997E-2</v>
      </c>
      <c r="AG173" s="115">
        <v>6.9800000000000001E-2</v>
      </c>
      <c r="AH173" s="115">
        <v>8.6999999999999994E-3</v>
      </c>
      <c r="AI173" s="115">
        <v>-0.14180000000000001</v>
      </c>
      <c r="AJ173" s="115">
        <v>-4.1700000000000001E-2</v>
      </c>
      <c r="AK173" s="115">
        <v>7.1230000000000002</v>
      </c>
      <c r="AL173" s="115">
        <v>-2.1802999999999999</v>
      </c>
      <c r="AM173" s="115">
        <v>0</v>
      </c>
      <c r="AN173" s="115">
        <v>5</v>
      </c>
      <c r="AO173" s="115">
        <v>0</v>
      </c>
      <c r="AP173" s="115">
        <v>0</v>
      </c>
      <c r="AQ173" s="115">
        <v>3</v>
      </c>
      <c r="AR173" s="115">
        <v>0</v>
      </c>
      <c r="AS173" s="115">
        <v>-6.3E-3</v>
      </c>
      <c r="AT173" s="115">
        <v>-1.1722999999999999</v>
      </c>
      <c r="AU173" s="114" t="str">
        <f>IF(A173&lt;&gt;"",INDEX(Index!$B$1:$B$77,MATCH($A173,Index!$A$1:$A$77,0)),"")</f>
        <v>NYJ</v>
      </c>
      <c r="AV173" s="123" t="str">
        <f>IF(B173&lt;&gt;"",INDEX(Index!$C$1:$C$77,MATCH($A173,Index!$A$1:$A$77,0)),"")</f>
        <v>Fields</v>
      </c>
      <c r="AW173" s="123">
        <f t="shared" si="2"/>
        <v>2</v>
      </c>
      <c r="AX173" s="113">
        <f t="shared" si="3"/>
        <v>6</v>
      </c>
    </row>
    <row r="174" spans="1:50" x14ac:dyDescent="0.25">
      <c r="A174" s="95" t="s">
        <v>579</v>
      </c>
      <c r="B174" s="96">
        <v>2025</v>
      </c>
      <c r="C174" s="96">
        <v>5</v>
      </c>
      <c r="D174" s="115">
        <v>-0.90389900000000001</v>
      </c>
      <c r="E174" s="115">
        <v>0.92648399999999997</v>
      </c>
      <c r="F174" s="115"/>
      <c r="G174" s="115">
        <v>102</v>
      </c>
      <c r="H174" s="115">
        <v>143</v>
      </c>
      <c r="I174" s="115">
        <v>0.71330000000000005</v>
      </c>
      <c r="J174" s="115">
        <v>3.9304000000000001</v>
      </c>
      <c r="K174" s="115">
        <v>1076</v>
      </c>
      <c r="L174" s="115">
        <v>7.5244999999999997</v>
      </c>
      <c r="M174" s="115">
        <v>8</v>
      </c>
      <c r="N174" s="115">
        <v>3</v>
      </c>
      <c r="O174" s="115">
        <v>12</v>
      </c>
      <c r="P174" s="115">
        <v>16</v>
      </c>
      <c r="Q174" s="115">
        <v>123</v>
      </c>
      <c r="R174" s="115">
        <v>7.6875</v>
      </c>
      <c r="S174" s="115">
        <v>0</v>
      </c>
      <c r="T174" s="115">
        <v>5.5899999999999998E-2</v>
      </c>
      <c r="U174" s="115">
        <v>2.1000000000000001E-2</v>
      </c>
      <c r="V174" s="115">
        <v>3.5000000000000003E-2</v>
      </c>
      <c r="W174" s="115">
        <v>0.5</v>
      </c>
      <c r="X174" s="115">
        <v>102.783</v>
      </c>
      <c r="Y174" s="115">
        <v>6.4065000000000003</v>
      </c>
      <c r="Z174" s="115">
        <v>178.09100000000001</v>
      </c>
      <c r="AA174" s="115">
        <v>64.7</v>
      </c>
      <c r="AB174" s="115">
        <v>20.913799999999998</v>
      </c>
      <c r="AC174" s="115">
        <v>0.1137</v>
      </c>
      <c r="AD174" s="115">
        <v>4.53E-2</v>
      </c>
      <c r="AE174" s="115">
        <v>-2.7E-2</v>
      </c>
      <c r="AF174" s="115">
        <v>3.5400000000000001E-2</v>
      </c>
      <c r="AG174" s="115">
        <v>1.12E-2</v>
      </c>
      <c r="AH174" s="115">
        <v>6.4000000000000003E-3</v>
      </c>
      <c r="AI174" s="115">
        <v>-2.9700000000000001E-2</v>
      </c>
      <c r="AJ174" s="115">
        <v>-2.7099999999999999E-2</v>
      </c>
      <c r="AK174" s="115">
        <v>7.2937000000000003</v>
      </c>
      <c r="AL174" s="115">
        <v>-1.8111999999999999</v>
      </c>
      <c r="AM174" s="115">
        <v>2</v>
      </c>
      <c r="AN174" s="115">
        <v>3</v>
      </c>
      <c r="AO174" s="115">
        <v>0</v>
      </c>
      <c r="AP174" s="115">
        <v>0</v>
      </c>
      <c r="AQ174" s="115">
        <v>3</v>
      </c>
      <c r="AR174" s="115">
        <v>0</v>
      </c>
      <c r="AS174" s="115">
        <v>-4.0000000000000002E-4</v>
      </c>
      <c r="AT174" s="115">
        <v>-7.5399999999999995E-2</v>
      </c>
      <c r="AU174" s="114" t="str">
        <f>IF(A174&lt;&gt;"",INDEX(Index!$B$1:$B$77,MATCH($A174,Index!$A$1:$A$77,0)),"")</f>
        <v>HOU</v>
      </c>
      <c r="AV174" s="123" t="str">
        <f>IF(B174&lt;&gt;"",INDEX(Index!$C$1:$C$77,MATCH($A174,Index!$A$1:$A$77,0)),"")</f>
        <v>Stroud</v>
      </c>
      <c r="AW174" s="123">
        <f t="shared" si="2"/>
        <v>14</v>
      </c>
      <c r="AX174" s="113">
        <f t="shared" si="3"/>
        <v>6</v>
      </c>
    </row>
    <row r="175" spans="1:50" x14ac:dyDescent="0.25">
      <c r="A175" s="95" t="s">
        <v>583</v>
      </c>
      <c r="B175" s="96">
        <v>2025</v>
      </c>
      <c r="C175" s="96">
        <v>2</v>
      </c>
      <c r="D175" s="115">
        <v>-1.1906300000000001</v>
      </c>
      <c r="E175" s="115">
        <v>-0.19073499999999999</v>
      </c>
      <c r="F175" s="115"/>
      <c r="G175" s="115">
        <v>31</v>
      </c>
      <c r="H175" s="115">
        <v>46</v>
      </c>
      <c r="I175" s="115">
        <v>0.67390000000000005</v>
      </c>
      <c r="J175" s="115">
        <v>8.0416000000000007</v>
      </c>
      <c r="K175" s="115">
        <v>363</v>
      </c>
      <c r="L175" s="115">
        <v>7.8913000000000002</v>
      </c>
      <c r="M175" s="115">
        <v>3</v>
      </c>
      <c r="N175" s="115">
        <v>1</v>
      </c>
      <c r="O175" s="115">
        <v>3</v>
      </c>
      <c r="P175" s="115">
        <v>8</v>
      </c>
      <c r="Q175" s="115">
        <v>60</v>
      </c>
      <c r="R175" s="115">
        <v>7.5</v>
      </c>
      <c r="S175" s="115">
        <v>1</v>
      </c>
      <c r="T175" s="115">
        <v>6.5199999999999994E-2</v>
      </c>
      <c r="U175" s="115">
        <v>2.1700000000000001E-2</v>
      </c>
      <c r="V175" s="115">
        <v>4.3499999999999997E-2</v>
      </c>
      <c r="W175" s="115">
        <v>0.50770000000000004</v>
      </c>
      <c r="X175" s="115">
        <v>103.804</v>
      </c>
      <c r="Y175" s="115">
        <v>7.3673000000000002</v>
      </c>
      <c r="Z175" s="115">
        <v>186.749</v>
      </c>
      <c r="AA175" s="115">
        <v>70.5</v>
      </c>
      <c r="AB175" s="115">
        <v>12.154199999999999</v>
      </c>
      <c r="AC175" s="115">
        <v>0.187</v>
      </c>
      <c r="AD175" s="115">
        <v>-2.63E-2</v>
      </c>
      <c r="AE175" s="115">
        <v>4.6100000000000002E-2</v>
      </c>
      <c r="AF175" s="115">
        <v>6.3E-3</v>
      </c>
      <c r="AG175" s="115">
        <v>2.0000000000000001E-4</v>
      </c>
      <c r="AH175" s="115">
        <v>0.12640000000000001</v>
      </c>
      <c r="AI175" s="115">
        <v>-3.9899999999999998E-2</v>
      </c>
      <c r="AJ175" s="115">
        <v>-2.5100000000000001E-2</v>
      </c>
      <c r="AK175" s="115">
        <v>9.6303999999999998</v>
      </c>
      <c r="AL175" s="115">
        <v>-0.95650000000000002</v>
      </c>
      <c r="AM175" s="115">
        <v>1</v>
      </c>
      <c r="AN175" s="115">
        <v>1</v>
      </c>
      <c r="AO175" s="115">
        <v>0</v>
      </c>
      <c r="AP175" s="115">
        <v>0</v>
      </c>
      <c r="AQ175" s="115">
        <v>0</v>
      </c>
      <c r="AR175" s="115"/>
      <c r="AS175" s="115">
        <v>4.0000000000000002E-4</v>
      </c>
      <c r="AT175" s="115">
        <v>2.5399999999999999E-2</v>
      </c>
      <c r="AU175" s="114" t="str">
        <f>IF(A175&lt;&gt;"",INDEX(Index!$B$1:$B$77,MATCH($A175,Index!$A$1:$A$77,0)),"")</f>
        <v>WAS</v>
      </c>
      <c r="AV175" s="123" t="str">
        <f>IF(B175&lt;&gt;"",INDEX(Index!$C$1:$C$77,MATCH($A175,Index!$A$1:$A$77,0)),"")</f>
        <v>Mariota</v>
      </c>
      <c r="AW175" s="123">
        <f t="shared" si="2"/>
        <v>23</v>
      </c>
      <c r="AX175" s="113">
        <f t="shared" si="3"/>
        <v>6</v>
      </c>
    </row>
    <row r="176" spans="1:50" x14ac:dyDescent="0.25">
      <c r="A176" s="95" t="s">
        <v>575</v>
      </c>
      <c r="B176" s="96">
        <v>2025</v>
      </c>
      <c r="C176" s="96">
        <v>4</v>
      </c>
      <c r="D176" s="115">
        <v>-1.2637400000000001</v>
      </c>
      <c r="E176" s="115">
        <v>-0.53572600000000004</v>
      </c>
      <c r="F176" s="115"/>
      <c r="G176" s="115">
        <v>113</v>
      </c>
      <c r="H176" s="115">
        <v>165</v>
      </c>
      <c r="I176" s="115">
        <v>0.68479999999999996</v>
      </c>
      <c r="J176" s="115">
        <v>1.2858000000000001</v>
      </c>
      <c r="K176" s="115">
        <v>1252</v>
      </c>
      <c r="L176" s="115">
        <v>7.5879000000000003</v>
      </c>
      <c r="M176" s="115">
        <v>6</v>
      </c>
      <c r="N176" s="115">
        <v>3</v>
      </c>
      <c r="O176" s="115">
        <v>11</v>
      </c>
      <c r="P176" s="115">
        <v>12</v>
      </c>
      <c r="Q176" s="115">
        <v>27</v>
      </c>
      <c r="R176" s="115">
        <v>2.25</v>
      </c>
      <c r="S176" s="115">
        <v>0</v>
      </c>
      <c r="T176" s="115">
        <v>3.6400000000000002E-2</v>
      </c>
      <c r="U176" s="115">
        <v>1.8200000000000001E-2</v>
      </c>
      <c r="V176" s="115">
        <v>1.8200000000000001E-2</v>
      </c>
      <c r="W176" s="115">
        <v>0.53300000000000003</v>
      </c>
      <c r="X176" s="115">
        <v>95.315700000000007</v>
      </c>
      <c r="Y176" s="115">
        <v>6.6079999999999997</v>
      </c>
      <c r="Z176" s="115">
        <v>182.61099999999999</v>
      </c>
      <c r="AA176" s="115">
        <v>52.9</v>
      </c>
      <c r="AB176" s="115">
        <v>18.962499999999999</v>
      </c>
      <c r="AC176" s="115">
        <v>9.6299999999999997E-2</v>
      </c>
      <c r="AD176" s="115">
        <v>-1.6400000000000001E-2</v>
      </c>
      <c r="AE176" s="115">
        <v>-1.8200000000000001E-2</v>
      </c>
      <c r="AF176" s="115">
        <v>-1E-3</v>
      </c>
      <c r="AG176" s="115">
        <v>1.0200000000000001E-2</v>
      </c>
      <c r="AH176" s="115">
        <v>5.0500000000000003E-2</v>
      </c>
      <c r="AI176" s="115">
        <v>-1.1299999999999999E-2</v>
      </c>
      <c r="AJ176" s="115">
        <v>-1.6799999999999999E-2</v>
      </c>
      <c r="AK176" s="115">
        <v>7.4606000000000003</v>
      </c>
      <c r="AL176" s="115">
        <v>-1.7879</v>
      </c>
      <c r="AM176" s="115">
        <v>3</v>
      </c>
      <c r="AN176" s="115">
        <v>1</v>
      </c>
      <c r="AO176" s="115">
        <v>0</v>
      </c>
      <c r="AP176" s="115">
        <v>1</v>
      </c>
      <c r="AQ176" s="115">
        <v>2</v>
      </c>
      <c r="AR176" s="115">
        <v>0.5</v>
      </c>
      <c r="AS176" s="115">
        <v>2.3999999999999998E-3</v>
      </c>
      <c r="AT176" s="115">
        <v>0.47520000000000001</v>
      </c>
      <c r="AU176" s="114" t="str">
        <f>IF(A176&lt;&gt;"",INDEX(Index!$B$1:$B$77,MATCH($A176,Index!$A$1:$A$77,0)),"")</f>
        <v>SF</v>
      </c>
      <c r="AV176" s="123" t="str">
        <f>IF(B176&lt;&gt;"",INDEX(Index!$C$1:$C$77,MATCH($A176,Index!$A$1:$A$77,0)),"")</f>
        <v>Jones</v>
      </c>
      <c r="AW176" s="123">
        <f t="shared" si="2"/>
        <v>33</v>
      </c>
      <c r="AX176" s="113">
        <f t="shared" si="3"/>
        <v>6</v>
      </c>
    </row>
    <row r="177" spans="1:50" x14ac:dyDescent="0.25">
      <c r="A177" s="95" t="s">
        <v>576</v>
      </c>
      <c r="B177" s="96">
        <v>2025</v>
      </c>
      <c r="C177" s="96">
        <v>6</v>
      </c>
      <c r="D177" s="115">
        <v>-1.65527</v>
      </c>
      <c r="E177" s="115">
        <v>0.21526500000000001</v>
      </c>
      <c r="F177" s="115"/>
      <c r="G177" s="115">
        <v>123</v>
      </c>
      <c r="H177" s="115">
        <v>198</v>
      </c>
      <c r="I177" s="115">
        <v>0.62119999999999997</v>
      </c>
      <c r="J177" s="115">
        <v>-0.3513</v>
      </c>
      <c r="K177" s="115">
        <v>1150</v>
      </c>
      <c r="L177" s="115">
        <v>5.8080999999999996</v>
      </c>
      <c r="M177" s="115">
        <v>10</v>
      </c>
      <c r="N177" s="115">
        <v>5</v>
      </c>
      <c r="O177" s="115">
        <v>10</v>
      </c>
      <c r="P177" s="115">
        <v>10</v>
      </c>
      <c r="Q177" s="115">
        <v>67</v>
      </c>
      <c r="R177" s="115">
        <v>6.7</v>
      </c>
      <c r="S177" s="115">
        <v>1</v>
      </c>
      <c r="T177" s="115">
        <v>5.0500000000000003E-2</v>
      </c>
      <c r="U177" s="115">
        <v>2.53E-2</v>
      </c>
      <c r="V177" s="115">
        <v>2.53E-2</v>
      </c>
      <c r="W177" s="115">
        <v>0.47060000000000002</v>
      </c>
      <c r="X177" s="115">
        <v>84.364500000000007</v>
      </c>
      <c r="Y177" s="115">
        <v>5.0288000000000004</v>
      </c>
      <c r="Z177" s="115">
        <v>120.52500000000001</v>
      </c>
      <c r="AA177" s="115">
        <v>42.6</v>
      </c>
      <c r="AB177" s="115">
        <v>-3.7103999999999999</v>
      </c>
      <c r="AC177" s="115">
        <v>-1.5599999999999999E-2</v>
      </c>
      <c r="AD177" s="115">
        <v>-1.4800000000000001E-2</v>
      </c>
      <c r="AE177" s="115">
        <v>-2.0500000000000001E-2</v>
      </c>
      <c r="AF177" s="115">
        <v>-6.2799999999999995E-2</v>
      </c>
      <c r="AG177" s="115">
        <v>-2.4199999999999999E-2</v>
      </c>
      <c r="AH177" s="115">
        <v>-9.9000000000000008E-3</v>
      </c>
      <c r="AI177" s="115">
        <v>-1.7899999999999999E-2</v>
      </c>
      <c r="AJ177" s="115">
        <v>3.5299999999999998E-2</v>
      </c>
      <c r="AK177" s="115">
        <v>6.7121000000000004</v>
      </c>
      <c r="AL177" s="115">
        <v>-1.5303</v>
      </c>
      <c r="AM177" s="115">
        <v>3</v>
      </c>
      <c r="AN177" s="115">
        <v>3</v>
      </c>
      <c r="AO177" s="115">
        <v>0</v>
      </c>
      <c r="AP177" s="115">
        <v>2</v>
      </c>
      <c r="AQ177" s="115">
        <v>3</v>
      </c>
      <c r="AR177" s="115">
        <v>0.66669999999999996</v>
      </c>
      <c r="AS177" s="115">
        <v>-8.0000000000000004E-4</v>
      </c>
      <c r="AT177" s="115">
        <v>-0.1893</v>
      </c>
      <c r="AU177" s="114" t="str">
        <f>IF(A177&lt;&gt;"",INDEX(Index!$B$1:$B$77,MATCH($A177,Index!$A$1:$A$77,0)),"")</f>
        <v>CAR</v>
      </c>
      <c r="AV177" s="123" t="str">
        <f>IF(B177&lt;&gt;"",INDEX(Index!$C$1:$C$77,MATCH($A177,Index!$A$1:$A$77,0)),"")</f>
        <v>Young</v>
      </c>
      <c r="AW177" s="123">
        <f t="shared" si="2"/>
        <v>22</v>
      </c>
      <c r="AX177" s="113">
        <f t="shared" si="3"/>
        <v>6</v>
      </c>
    </row>
    <row r="178" spans="1:50" x14ac:dyDescent="0.25">
      <c r="A178" s="95" t="s">
        <v>587</v>
      </c>
      <c r="B178" s="96">
        <v>2025</v>
      </c>
      <c r="C178" s="96">
        <v>3</v>
      </c>
      <c r="D178" s="115">
        <v>-1.6900999999999999</v>
      </c>
      <c r="E178" s="115">
        <v>0.54199200000000003</v>
      </c>
      <c r="F178" s="115"/>
      <c r="G178" s="115">
        <v>56</v>
      </c>
      <c r="H178" s="115">
        <v>84</v>
      </c>
      <c r="I178" s="115">
        <v>0.66669999999999996</v>
      </c>
      <c r="J178" s="115">
        <v>0.44869999999999999</v>
      </c>
      <c r="K178" s="115">
        <v>508</v>
      </c>
      <c r="L178" s="115">
        <v>6.0476000000000001</v>
      </c>
      <c r="M178" s="115">
        <v>4</v>
      </c>
      <c r="N178" s="115">
        <v>2</v>
      </c>
      <c r="O178" s="115">
        <v>8</v>
      </c>
      <c r="P178" s="115">
        <v>28</v>
      </c>
      <c r="Q178" s="115">
        <v>169</v>
      </c>
      <c r="R178" s="115">
        <v>6.0357000000000003</v>
      </c>
      <c r="S178" s="115">
        <v>2</v>
      </c>
      <c r="T178" s="115">
        <v>4.7600000000000003E-2</v>
      </c>
      <c r="U178" s="115">
        <v>2.3800000000000002E-2</v>
      </c>
      <c r="V178" s="115">
        <v>2.3800000000000002E-2</v>
      </c>
      <c r="W178" s="115">
        <v>0.50390000000000001</v>
      </c>
      <c r="X178" s="115">
        <v>88.789699999999996</v>
      </c>
      <c r="Y178" s="115">
        <v>5.0978000000000003</v>
      </c>
      <c r="Z178" s="115">
        <v>199.23599999999999</v>
      </c>
      <c r="AA178" s="115">
        <v>59.7</v>
      </c>
      <c r="AB178" s="115">
        <v>5.1776</v>
      </c>
      <c r="AC178" s="115">
        <v>4.0099999999999997E-2</v>
      </c>
      <c r="AD178" s="115">
        <v>6.8599999999999994E-2</v>
      </c>
      <c r="AE178" s="115">
        <v>-2.0899999999999998E-2</v>
      </c>
      <c r="AF178" s="115">
        <v>2.1100000000000001E-2</v>
      </c>
      <c r="AG178" s="115">
        <v>3.1600000000000003E-2</v>
      </c>
      <c r="AH178" s="115">
        <v>-0.1246</v>
      </c>
      <c r="AI178" s="115">
        <v>-6.5600000000000006E-2</v>
      </c>
      <c r="AJ178" s="115">
        <v>3.0700000000000002E-2</v>
      </c>
      <c r="AK178" s="115">
        <v>8.1428999999999991</v>
      </c>
      <c r="AL178" s="115">
        <v>-0.86899999999999999</v>
      </c>
      <c r="AM178" s="115">
        <v>2</v>
      </c>
      <c r="AN178" s="115">
        <v>3</v>
      </c>
      <c r="AO178" s="115">
        <v>0</v>
      </c>
      <c r="AP178" s="115">
        <v>0</v>
      </c>
      <c r="AQ178" s="115">
        <v>1</v>
      </c>
      <c r="AR178" s="115">
        <v>0</v>
      </c>
      <c r="AS178" s="115">
        <v>1.8E-3</v>
      </c>
      <c r="AT178" s="115">
        <v>0.23499999999999999</v>
      </c>
      <c r="AU178" s="114" t="str">
        <f>IF(A178&lt;&gt;"",INDEX(Index!$B$1:$B$77,MATCH($A178,Index!$A$1:$A$77,0)),"")</f>
        <v>NYG</v>
      </c>
      <c r="AV178" s="123" t="str">
        <f>IF(B178&lt;&gt;"",INDEX(Index!$C$1:$C$77,MATCH($A178,Index!$A$1:$A$77,0)),"")</f>
        <v>Dart</v>
      </c>
      <c r="AW178" s="123">
        <f t="shared" si="2"/>
        <v>7</v>
      </c>
      <c r="AX178" s="113">
        <f t="shared" si="3"/>
        <v>6</v>
      </c>
    </row>
    <row r="179" spans="1:50" x14ac:dyDescent="0.25">
      <c r="A179" s="95" t="s">
        <v>584</v>
      </c>
      <c r="B179" s="96">
        <v>2025</v>
      </c>
      <c r="C179" s="96">
        <v>1</v>
      </c>
      <c r="D179" s="115">
        <v>-1.7</v>
      </c>
      <c r="E179" s="115">
        <v>5.3784800000000001E-2</v>
      </c>
      <c r="F179" s="115"/>
      <c r="G179" s="115">
        <v>33</v>
      </c>
      <c r="H179" s="115">
        <v>46</v>
      </c>
      <c r="I179" s="115">
        <v>0.71740000000000004</v>
      </c>
      <c r="J179" s="115">
        <v>6.0671999999999997</v>
      </c>
      <c r="K179" s="115">
        <v>253</v>
      </c>
      <c r="L179" s="115">
        <v>5.5</v>
      </c>
      <c r="M179" s="115">
        <v>3</v>
      </c>
      <c r="N179" s="115">
        <v>1</v>
      </c>
      <c r="O179" s="115">
        <v>6</v>
      </c>
      <c r="P179" s="115">
        <v>10</v>
      </c>
      <c r="Q179" s="115">
        <v>70</v>
      </c>
      <c r="R179" s="115">
        <v>7</v>
      </c>
      <c r="S179" s="115">
        <v>0</v>
      </c>
      <c r="T179" s="115">
        <v>6.5199999999999994E-2</v>
      </c>
      <c r="U179" s="115">
        <v>2.1700000000000001E-2</v>
      </c>
      <c r="V179" s="115">
        <v>4.3499999999999997E-2</v>
      </c>
      <c r="W179" s="115">
        <v>0.5</v>
      </c>
      <c r="X179" s="115">
        <v>97.463800000000006</v>
      </c>
      <c r="Y179" s="115">
        <v>4.4038000000000004</v>
      </c>
      <c r="Z179" s="115">
        <v>146.065</v>
      </c>
      <c r="AA179" s="115">
        <v>54.7</v>
      </c>
      <c r="AB179" s="115">
        <v>2.0386000000000002</v>
      </c>
      <c r="AC179" s="115">
        <v>3.09E-2</v>
      </c>
      <c r="AD179" s="115">
        <v>-1.14E-2</v>
      </c>
      <c r="AE179" s="115">
        <v>-4.5699999999999998E-2</v>
      </c>
      <c r="AF179" s="115">
        <v>3.1300000000000001E-2</v>
      </c>
      <c r="AG179" s="115">
        <v>-4.6399999999999997E-2</v>
      </c>
      <c r="AH179" s="115">
        <v>-2.1899999999999999E-2</v>
      </c>
      <c r="AI179" s="115">
        <v>6.0000000000000001E-3</v>
      </c>
      <c r="AJ179" s="115">
        <v>1.9800000000000002E-2</v>
      </c>
      <c r="AK179" s="115">
        <v>5.2173999999999996</v>
      </c>
      <c r="AL179" s="115">
        <v>-3.0217000000000001</v>
      </c>
      <c r="AM179" s="115">
        <v>0</v>
      </c>
      <c r="AN179" s="115">
        <v>2</v>
      </c>
      <c r="AO179" s="115">
        <v>0</v>
      </c>
      <c r="AP179" s="115">
        <v>0</v>
      </c>
      <c r="AQ179" s="115">
        <v>0</v>
      </c>
      <c r="AR179" s="115"/>
      <c r="AS179" s="115">
        <v>-3.5999999999999999E-3</v>
      </c>
      <c r="AT179" s="115">
        <v>-0.23960000000000001</v>
      </c>
      <c r="AU179" s="114" t="str">
        <f>IF(A179&lt;&gt;"",INDEX(Index!$B$1:$B$77,MATCH($A179,Index!$A$1:$A$77,0)),"")</f>
        <v>NYJ</v>
      </c>
      <c r="AV179" s="123" t="str">
        <f>IF(B179&lt;&gt;"",INDEX(Index!$C$1:$C$77,MATCH($A179,Index!$A$1:$A$77,0)),"")</f>
        <v>Taylor</v>
      </c>
      <c r="AW179" s="123">
        <f t="shared" si="2"/>
        <v>21</v>
      </c>
      <c r="AX179" s="113">
        <f t="shared" si="3"/>
        <v>6</v>
      </c>
    </row>
    <row r="180" spans="1:50" x14ac:dyDescent="0.25">
      <c r="A180" s="95" t="s">
        <v>578</v>
      </c>
      <c r="B180" s="96">
        <v>2025</v>
      </c>
      <c r="C180" s="96">
        <v>5</v>
      </c>
      <c r="D180" s="115">
        <v>-1.72523</v>
      </c>
      <c r="E180" s="115">
        <v>0.153975</v>
      </c>
      <c r="F180" s="115"/>
      <c r="G180" s="115">
        <v>98</v>
      </c>
      <c r="H180" s="115">
        <v>157</v>
      </c>
      <c r="I180" s="115">
        <v>0.62419999999999998</v>
      </c>
      <c r="J180" s="115">
        <v>-4.7546999999999997</v>
      </c>
      <c r="K180" s="115">
        <v>1168</v>
      </c>
      <c r="L180" s="115">
        <v>7.4394999999999998</v>
      </c>
      <c r="M180" s="115">
        <v>4</v>
      </c>
      <c r="N180" s="115">
        <v>3</v>
      </c>
      <c r="O180" s="115">
        <v>7</v>
      </c>
      <c r="P180" s="115">
        <v>8</v>
      </c>
      <c r="Q180" s="115">
        <v>43</v>
      </c>
      <c r="R180" s="115">
        <v>5.375</v>
      </c>
      <c r="S180" s="115">
        <v>1</v>
      </c>
      <c r="T180" s="115">
        <v>2.5499999999999998E-2</v>
      </c>
      <c r="U180" s="115">
        <v>1.9099999999999999E-2</v>
      </c>
      <c r="V180" s="115">
        <v>6.4000000000000003E-3</v>
      </c>
      <c r="W180" s="115">
        <v>0.48349999999999999</v>
      </c>
      <c r="X180" s="115">
        <v>85.629000000000005</v>
      </c>
      <c r="Y180" s="115">
        <v>6.4268000000000001</v>
      </c>
      <c r="Z180" s="115">
        <v>139.148</v>
      </c>
      <c r="AA180" s="115">
        <v>52.8</v>
      </c>
      <c r="AB180" s="115">
        <v>14.0817</v>
      </c>
      <c r="AC180" s="115">
        <v>7.7399999999999997E-2</v>
      </c>
      <c r="AD180" s="115">
        <v>7.7999999999999996E-3</v>
      </c>
      <c r="AE180" s="115">
        <v>2.7199999999999998E-2</v>
      </c>
      <c r="AF180" s="115">
        <v>-4.0599999999999997E-2</v>
      </c>
      <c r="AG180" s="115">
        <v>-3.3000000000000002E-2</v>
      </c>
      <c r="AH180" s="115">
        <v>1.7899999999999999E-2</v>
      </c>
      <c r="AI180" s="115">
        <v>-1.6899999999999998E-2</v>
      </c>
      <c r="AJ180" s="115">
        <v>1.5299999999999999E-2</v>
      </c>
      <c r="AK180" s="115">
        <v>7.7834000000000003</v>
      </c>
      <c r="AL180" s="115">
        <v>-1.1337999999999999</v>
      </c>
      <c r="AM180" s="115">
        <v>3</v>
      </c>
      <c r="AN180" s="115">
        <v>2</v>
      </c>
      <c r="AO180" s="115">
        <v>0</v>
      </c>
      <c r="AP180" s="115">
        <v>0</v>
      </c>
      <c r="AQ180" s="115">
        <v>1</v>
      </c>
      <c r="AR180" s="115">
        <v>0</v>
      </c>
      <c r="AS180" s="115">
        <v>4.5999999999999999E-3</v>
      </c>
      <c r="AT180" s="115">
        <v>0.84340000000000004</v>
      </c>
      <c r="AU180" s="114" t="str">
        <f>IF(A180&lt;&gt;"",INDEX(Index!$B$1:$B$77,MATCH($A180,Index!$A$1:$A$77,0)),"")</f>
        <v>ATL</v>
      </c>
      <c r="AV180" s="123" t="str">
        <f>IF(B180&lt;&gt;"",INDEX(Index!$C$1:$C$77,MATCH($A180,Index!$A$1:$A$77,0)),"")</f>
        <v>Penix</v>
      </c>
      <c r="AW180" s="123">
        <f t="shared" si="2"/>
        <v>28</v>
      </c>
      <c r="AX180" s="113">
        <f t="shared" si="3"/>
        <v>6</v>
      </c>
    </row>
    <row r="181" spans="1:50" x14ac:dyDescent="0.25">
      <c r="A181" s="95" t="s">
        <v>581</v>
      </c>
      <c r="B181" s="96">
        <v>2025</v>
      </c>
      <c r="C181" s="96">
        <v>6</v>
      </c>
      <c r="D181" s="115">
        <v>-1.7351700000000001</v>
      </c>
      <c r="E181" s="115">
        <v>0.19054199999999999</v>
      </c>
      <c r="F181" s="115"/>
      <c r="G181" s="115">
        <v>139</v>
      </c>
      <c r="H181" s="115">
        <v>201</v>
      </c>
      <c r="I181" s="115">
        <v>0.6915</v>
      </c>
      <c r="J181" s="115">
        <v>2.3374000000000001</v>
      </c>
      <c r="K181" s="115">
        <v>1217</v>
      </c>
      <c r="L181" s="115">
        <v>6.0547000000000004</v>
      </c>
      <c r="M181" s="115">
        <v>6</v>
      </c>
      <c r="N181" s="115">
        <v>1</v>
      </c>
      <c r="O181" s="115">
        <v>11</v>
      </c>
      <c r="P181" s="115">
        <v>25</v>
      </c>
      <c r="Q181" s="115">
        <v>144</v>
      </c>
      <c r="R181" s="115">
        <v>5.76</v>
      </c>
      <c r="S181" s="115">
        <v>0</v>
      </c>
      <c r="T181" s="115">
        <v>2.9899999999999999E-2</v>
      </c>
      <c r="U181" s="115">
        <v>5.0000000000000001E-3</v>
      </c>
      <c r="V181" s="115">
        <v>2.4899999999999999E-2</v>
      </c>
      <c r="W181" s="115">
        <v>0.5</v>
      </c>
      <c r="X181" s="115">
        <v>92.8172</v>
      </c>
      <c r="Y181" s="115">
        <v>5.8066000000000004</v>
      </c>
      <c r="Z181" s="115">
        <v>186.584</v>
      </c>
      <c r="AA181" s="115">
        <v>60.2</v>
      </c>
      <c r="AB181" s="115">
        <v>7.8964999999999996</v>
      </c>
      <c r="AC181" s="115">
        <v>3.0800000000000001E-2</v>
      </c>
      <c r="AD181" s="115">
        <v>1.7999999999999999E-2</v>
      </c>
      <c r="AE181" s="115">
        <v>3.3599999999999998E-2</v>
      </c>
      <c r="AF181" s="115">
        <v>-8.8000000000000005E-3</v>
      </c>
      <c r="AG181" s="115">
        <v>6.3399999999999998E-2</v>
      </c>
      <c r="AH181" s="115">
        <v>-7.1199999999999999E-2</v>
      </c>
      <c r="AI181" s="115">
        <v>-0.10489999999999999</v>
      </c>
      <c r="AJ181" s="115">
        <v>1.5E-3</v>
      </c>
      <c r="AK181" s="115">
        <v>7.2736000000000001</v>
      </c>
      <c r="AL181" s="115">
        <v>-1.5423</v>
      </c>
      <c r="AM181" s="115">
        <v>1</v>
      </c>
      <c r="AN181" s="115">
        <v>5</v>
      </c>
      <c r="AO181" s="115">
        <v>0</v>
      </c>
      <c r="AP181" s="115">
        <v>0</v>
      </c>
      <c r="AQ181" s="115">
        <v>4</v>
      </c>
      <c r="AR181" s="115">
        <v>0</v>
      </c>
      <c r="AS181" s="115">
        <v>-5.9999999999999995E-4</v>
      </c>
      <c r="AT181" s="115">
        <v>-0.1525</v>
      </c>
      <c r="AU181" s="114" t="str">
        <f>IF(A181&lt;&gt;"",INDEX(Index!$B$1:$B$77,MATCH($A181,Index!$A$1:$A$77,0)),"")</f>
        <v>NO</v>
      </c>
      <c r="AV181" s="123" t="str">
        <f>IF(B181&lt;&gt;"",INDEX(Index!$C$1:$C$77,MATCH($A181,Index!$A$1:$A$77,0)),"")</f>
        <v>Rattler</v>
      </c>
      <c r="AW181" s="123">
        <f t="shared" si="2"/>
        <v>12</v>
      </c>
      <c r="AX181" s="113">
        <f t="shared" si="3"/>
        <v>6</v>
      </c>
    </row>
    <row r="182" spans="1:50" x14ac:dyDescent="0.25">
      <c r="A182" s="95" t="s">
        <v>590</v>
      </c>
      <c r="B182" s="96">
        <v>2025</v>
      </c>
      <c r="C182" s="96">
        <v>1</v>
      </c>
      <c r="D182" s="115">
        <v>-1.85877</v>
      </c>
      <c r="E182" s="115">
        <v>0.343304</v>
      </c>
      <c r="F182" s="115"/>
      <c r="G182" s="115">
        <v>27</v>
      </c>
      <c r="H182" s="115">
        <v>45</v>
      </c>
      <c r="I182" s="115">
        <v>0.6</v>
      </c>
      <c r="J182" s="115">
        <v>2.8334999999999999</v>
      </c>
      <c r="K182" s="115">
        <v>320</v>
      </c>
      <c r="L182" s="115">
        <v>7.1111000000000004</v>
      </c>
      <c r="M182" s="115">
        <v>2</v>
      </c>
      <c r="N182" s="115">
        <v>1</v>
      </c>
      <c r="O182" s="115">
        <v>2</v>
      </c>
      <c r="P182" s="115">
        <v>4</v>
      </c>
      <c r="Q182" s="115">
        <v>21</v>
      </c>
      <c r="R182" s="115">
        <v>5.25</v>
      </c>
      <c r="S182" s="115">
        <v>0</v>
      </c>
      <c r="T182" s="115">
        <v>4.4400000000000002E-2</v>
      </c>
      <c r="U182" s="115">
        <v>2.2200000000000001E-2</v>
      </c>
      <c r="V182" s="115">
        <v>2.2200000000000001E-2</v>
      </c>
      <c r="W182" s="115">
        <v>0.5</v>
      </c>
      <c r="X182" s="115">
        <v>87.268500000000003</v>
      </c>
      <c r="Y182" s="115">
        <v>6.5319000000000003</v>
      </c>
      <c r="Z182" s="115">
        <v>217.69399999999999</v>
      </c>
      <c r="AA182" s="115">
        <v>65.3</v>
      </c>
      <c r="AB182" s="115">
        <v>9.2254000000000005</v>
      </c>
      <c r="AC182" s="115">
        <v>0.17080000000000001</v>
      </c>
      <c r="AD182" s="115">
        <v>4.6699999999999998E-2</v>
      </c>
      <c r="AE182" s="115">
        <v>4.9799999999999997E-2</v>
      </c>
      <c r="AF182" s="115">
        <v>-3.5000000000000003E-2</v>
      </c>
      <c r="AG182" s="115">
        <v>-3.1399999999999997E-2</v>
      </c>
      <c r="AH182" s="115">
        <v>7.5999999999999998E-2</v>
      </c>
      <c r="AI182" s="115">
        <v>1E-3</v>
      </c>
      <c r="AJ182" s="115">
        <v>-3.5499999999999997E-2</v>
      </c>
      <c r="AK182" s="115">
        <v>8.8888999999999996</v>
      </c>
      <c r="AL182" s="115">
        <v>-0.55559999999999998</v>
      </c>
      <c r="AM182" s="115">
        <v>1</v>
      </c>
      <c r="AN182" s="115">
        <v>2</v>
      </c>
      <c r="AO182" s="115">
        <v>0</v>
      </c>
      <c r="AP182" s="115">
        <v>0</v>
      </c>
      <c r="AQ182" s="115">
        <v>1</v>
      </c>
      <c r="AR182" s="115">
        <v>0</v>
      </c>
      <c r="AS182" s="115">
        <v>6.9999999999999999E-4</v>
      </c>
      <c r="AT182" s="115">
        <v>3.6999999999999998E-2</v>
      </c>
      <c r="AU182" s="114" t="str">
        <f>IF(A182&lt;&gt;"",INDEX(Index!$B$1:$B$77,MATCH($A182,Index!$A$1:$A$77,0)),"")</f>
        <v>ARI</v>
      </c>
      <c r="AV182" s="123" t="str">
        <f>IF(B182&lt;&gt;"",INDEX(Index!$C$1:$C$77,MATCH($A182,Index!$A$1:$A$77,0)),"")</f>
        <v>Brissett</v>
      </c>
      <c r="AW182" s="123">
        <f t="shared" si="2"/>
        <v>34</v>
      </c>
      <c r="AX182" s="113">
        <v>6</v>
      </c>
    </row>
    <row r="183" spans="1:50" x14ac:dyDescent="0.25">
      <c r="A183" s="95" t="s">
        <v>586</v>
      </c>
      <c r="B183" s="96">
        <v>2025</v>
      </c>
      <c r="C183" s="96">
        <v>3</v>
      </c>
      <c r="D183" s="115">
        <v>-1.89886</v>
      </c>
      <c r="E183" s="115">
        <v>0.36967699999999998</v>
      </c>
      <c r="F183" s="115"/>
      <c r="G183" s="115">
        <v>69</v>
      </c>
      <c r="H183" s="115">
        <v>99</v>
      </c>
      <c r="I183" s="115">
        <v>0.69699999999999995</v>
      </c>
      <c r="J183" s="115">
        <v>5.4916</v>
      </c>
      <c r="K183" s="115">
        <v>759</v>
      </c>
      <c r="L183" s="115">
        <v>7.6666999999999996</v>
      </c>
      <c r="M183" s="115">
        <v>5</v>
      </c>
      <c r="N183" s="115">
        <v>2</v>
      </c>
      <c r="O183" s="115">
        <v>12</v>
      </c>
      <c r="P183" s="115">
        <v>7</v>
      </c>
      <c r="Q183" s="115">
        <v>29</v>
      </c>
      <c r="R183" s="115">
        <v>4.1429</v>
      </c>
      <c r="S183" s="115">
        <v>0</v>
      </c>
      <c r="T183" s="115">
        <v>5.0500000000000003E-2</v>
      </c>
      <c r="U183" s="115">
        <v>2.0199999999999999E-2</v>
      </c>
      <c r="V183" s="115">
        <v>3.0300000000000001E-2</v>
      </c>
      <c r="W183" s="115">
        <v>0.496</v>
      </c>
      <c r="X183" s="115">
        <v>100.526</v>
      </c>
      <c r="Y183" s="115">
        <v>6.1802000000000001</v>
      </c>
      <c r="Z183" s="115">
        <v>153.69</v>
      </c>
      <c r="AA183" s="115">
        <v>42.5</v>
      </c>
      <c r="AB183" s="115">
        <v>20.756599999999999</v>
      </c>
      <c r="AC183" s="115">
        <v>0.1661</v>
      </c>
      <c r="AD183" s="115">
        <v>-5.1799999999999999E-2</v>
      </c>
      <c r="AE183" s="115">
        <v>-4.5600000000000002E-2</v>
      </c>
      <c r="AF183" s="115">
        <v>7.8799999999999995E-2</v>
      </c>
      <c r="AG183" s="115">
        <v>1.18E-2</v>
      </c>
      <c r="AH183" s="115">
        <v>3.5400000000000001E-2</v>
      </c>
      <c r="AI183" s="115">
        <v>4.1399999999999999E-2</v>
      </c>
      <c r="AJ183" s="115">
        <v>-3.0000000000000001E-3</v>
      </c>
      <c r="AK183" s="115">
        <v>7.6060999999999996</v>
      </c>
      <c r="AL183" s="115">
        <v>-1.3837999999999999</v>
      </c>
      <c r="AM183" s="115">
        <v>2</v>
      </c>
      <c r="AN183" s="115">
        <v>1</v>
      </c>
      <c r="AO183" s="115">
        <v>0</v>
      </c>
      <c r="AP183" s="115">
        <v>1</v>
      </c>
      <c r="AQ183" s="115">
        <v>2</v>
      </c>
      <c r="AR183" s="115">
        <v>0.5</v>
      </c>
      <c r="AS183" s="115">
        <v>3.5999999999999999E-3</v>
      </c>
      <c r="AT183" s="115">
        <v>0.44800000000000001</v>
      </c>
      <c r="AU183" s="114" t="str">
        <f>IF(A183&lt;&gt;"",INDEX(Index!$B$1:$B$77,MATCH($A183,Index!$A$1:$A$77,0)),"")</f>
        <v>MIN</v>
      </c>
      <c r="AV183" s="123" t="str">
        <f>IF(B183&lt;&gt;"",INDEX(Index!$C$1:$C$77,MATCH($A183,Index!$A$1:$A$77,0)),"")</f>
        <v>Wentz</v>
      </c>
      <c r="AW183" s="123">
        <f t="shared" si="2"/>
        <v>32</v>
      </c>
      <c r="AX183" s="113">
        <v>6</v>
      </c>
    </row>
    <row r="184" spans="1:50" x14ac:dyDescent="0.25">
      <c r="A184" s="95" t="s">
        <v>572</v>
      </c>
      <c r="B184" s="96">
        <v>2025</v>
      </c>
      <c r="C184" s="96">
        <v>6</v>
      </c>
      <c r="D184" s="115">
        <v>-1.90822</v>
      </c>
      <c r="E184" s="115">
        <v>-0.25655499999999998</v>
      </c>
      <c r="F184" s="115"/>
      <c r="G184" s="115">
        <v>123</v>
      </c>
      <c r="H184" s="115">
        <v>184</v>
      </c>
      <c r="I184" s="115">
        <v>0.66849999999999998</v>
      </c>
      <c r="J184" s="115">
        <v>-0.2349</v>
      </c>
      <c r="K184" s="115">
        <v>1350</v>
      </c>
      <c r="L184" s="115">
        <v>7.3369999999999997</v>
      </c>
      <c r="M184" s="115">
        <v>7</v>
      </c>
      <c r="N184" s="115">
        <v>10</v>
      </c>
      <c r="O184" s="115">
        <v>18</v>
      </c>
      <c r="P184" s="115">
        <v>16</v>
      </c>
      <c r="Q184" s="115">
        <v>75</v>
      </c>
      <c r="R184" s="115">
        <v>4.6875</v>
      </c>
      <c r="S184" s="115">
        <v>0</v>
      </c>
      <c r="T184" s="115">
        <v>3.7999999999999999E-2</v>
      </c>
      <c r="U184" s="115">
        <v>5.4300000000000001E-2</v>
      </c>
      <c r="V184" s="115">
        <v>-1.6299999999999999E-2</v>
      </c>
      <c r="W184" s="115">
        <v>0.4652</v>
      </c>
      <c r="X184" s="115">
        <v>78.396699999999996</v>
      </c>
      <c r="Y184" s="115">
        <v>4.4504999999999999</v>
      </c>
      <c r="Z184" s="115">
        <v>67.3142</v>
      </c>
      <c r="AA184" s="115">
        <v>37.799999999999997</v>
      </c>
      <c r="AB184" s="115">
        <v>-6.2999000000000001</v>
      </c>
      <c r="AC184" s="115">
        <v>-2.7400000000000001E-2</v>
      </c>
      <c r="AD184" s="115">
        <v>-1.7899999999999999E-2</v>
      </c>
      <c r="AE184" s="115">
        <v>-4.5600000000000002E-2</v>
      </c>
      <c r="AF184" s="115">
        <v>4.2799999999999998E-2</v>
      </c>
      <c r="AG184" s="115">
        <v>-0.13900000000000001</v>
      </c>
      <c r="AH184" s="115">
        <v>-3.3000000000000002E-2</v>
      </c>
      <c r="AI184" s="115">
        <v>5.74E-2</v>
      </c>
      <c r="AJ184" s="115">
        <v>8.6999999999999994E-3</v>
      </c>
      <c r="AK184" s="115">
        <v>7.3151999999999999</v>
      </c>
      <c r="AL184" s="115">
        <v>-1.3967000000000001</v>
      </c>
      <c r="AM184" s="115">
        <v>2</v>
      </c>
      <c r="AN184" s="115">
        <v>4</v>
      </c>
      <c r="AO184" s="115">
        <v>0</v>
      </c>
      <c r="AP184" s="115">
        <v>0</v>
      </c>
      <c r="AQ184" s="115">
        <v>1</v>
      </c>
      <c r="AR184" s="115">
        <v>0</v>
      </c>
      <c r="AS184" s="115">
        <v>1E-4</v>
      </c>
      <c r="AT184" s="115">
        <v>2.2800000000000001E-2</v>
      </c>
      <c r="AU184" s="114" t="str">
        <f>IF(A184&lt;&gt;"",INDEX(Index!$B$1:$B$77,MATCH($A184,Index!$A$1:$A$77,0)),"")</f>
        <v>LV</v>
      </c>
      <c r="AV184" s="123" t="str">
        <f>IF(B184&lt;&gt;"",INDEX(Index!$C$1:$C$77,MATCH($A184,Index!$A$1:$A$77,0)),"")</f>
        <v>Smith</v>
      </c>
      <c r="AW184" s="123">
        <f t="shared" si="2"/>
        <v>20</v>
      </c>
      <c r="AX184" s="113">
        <v>6</v>
      </c>
    </row>
    <row r="185" spans="1:50" x14ac:dyDescent="0.25">
      <c r="A185" s="95" t="s">
        <v>585</v>
      </c>
      <c r="B185" s="96">
        <v>2025</v>
      </c>
      <c r="C185" s="96">
        <v>3</v>
      </c>
      <c r="D185" s="115">
        <v>-1.98895</v>
      </c>
      <c r="E185" s="115">
        <v>0.13401099999999999</v>
      </c>
      <c r="F185" s="115"/>
      <c r="G185" s="115">
        <v>80</v>
      </c>
      <c r="H185" s="115">
        <v>124</v>
      </c>
      <c r="I185" s="115">
        <v>0.6452</v>
      </c>
      <c r="J185" s="115">
        <v>0.1186</v>
      </c>
      <c r="K185" s="115">
        <v>757</v>
      </c>
      <c r="L185" s="115">
        <v>6.1048</v>
      </c>
      <c r="M185" s="115">
        <v>6</v>
      </c>
      <c r="N185" s="115">
        <v>8</v>
      </c>
      <c r="O185" s="115">
        <v>9</v>
      </c>
      <c r="P185" s="115">
        <v>8</v>
      </c>
      <c r="Q185" s="115">
        <v>40</v>
      </c>
      <c r="R185" s="115">
        <v>5</v>
      </c>
      <c r="S185" s="115">
        <v>1</v>
      </c>
      <c r="T185" s="115">
        <v>4.8399999999999999E-2</v>
      </c>
      <c r="U185" s="115">
        <v>6.4500000000000002E-2</v>
      </c>
      <c r="V185" s="115">
        <v>-1.61E-2</v>
      </c>
      <c r="W185" s="115">
        <v>0.43140000000000001</v>
      </c>
      <c r="X185" s="115">
        <v>70.530900000000003</v>
      </c>
      <c r="Y185" s="115">
        <v>3.4361000000000002</v>
      </c>
      <c r="Z185" s="115">
        <v>58.973999999999997</v>
      </c>
      <c r="AA185" s="115">
        <v>35.6</v>
      </c>
      <c r="AB185" s="115">
        <v>-36.548900000000003</v>
      </c>
      <c r="AC185" s="115">
        <v>-0.2389</v>
      </c>
      <c r="AD185" s="115">
        <v>9.4999999999999998E-3</v>
      </c>
      <c r="AE185" s="115">
        <v>-2.9999999999999997E-4</v>
      </c>
      <c r="AF185" s="115">
        <v>1.0500000000000001E-2</v>
      </c>
      <c r="AG185" s="115">
        <v>-0.18540000000000001</v>
      </c>
      <c r="AH185" s="115">
        <v>-0.09</v>
      </c>
      <c r="AI185" s="115">
        <v>-0.12690000000000001</v>
      </c>
      <c r="AJ185" s="115">
        <v>4.4499999999999998E-2</v>
      </c>
      <c r="AK185" s="115">
        <v>7.6612999999999998</v>
      </c>
      <c r="AL185" s="115">
        <v>-1.5323</v>
      </c>
      <c r="AM185" s="115">
        <v>1</v>
      </c>
      <c r="AN185" s="115">
        <v>3</v>
      </c>
      <c r="AO185" s="115">
        <v>0</v>
      </c>
      <c r="AP185" s="115">
        <v>1</v>
      </c>
      <c r="AQ185" s="115">
        <v>1</v>
      </c>
      <c r="AR185" s="115">
        <v>1</v>
      </c>
      <c r="AS185" s="115">
        <v>-5.9999999999999995E-4</v>
      </c>
      <c r="AT185" s="115">
        <v>-8.9099999999999999E-2</v>
      </c>
      <c r="AU185" s="114" t="str">
        <f>IF(A185&lt;&gt;"",INDEX(Index!$B$1:$B$77,MATCH($A185,Index!$A$1:$A$77,0)),"")</f>
        <v>CIN</v>
      </c>
      <c r="AV185" s="123" t="str">
        <f>IF(B185&lt;&gt;"",INDEX(Index!$C$1:$C$77,MATCH($A185,Index!$A$1:$A$77,0)),"")</f>
        <v>Browning</v>
      </c>
      <c r="AW185" s="123">
        <f t="shared" si="2"/>
        <v>29</v>
      </c>
      <c r="AX185" s="113">
        <v>6</v>
      </c>
    </row>
    <row r="186" spans="1:50" x14ac:dyDescent="0.25">
      <c r="A186" s="95" t="s">
        <v>577</v>
      </c>
      <c r="B186" s="96">
        <v>2025</v>
      </c>
      <c r="C186" s="96">
        <v>5</v>
      </c>
      <c r="D186" s="115">
        <v>-2.3835099999999998</v>
      </c>
      <c r="E186" s="115">
        <v>0.45533200000000001</v>
      </c>
      <c r="F186" s="115"/>
      <c r="G186" s="115">
        <v>122</v>
      </c>
      <c r="H186" s="115">
        <v>202</v>
      </c>
      <c r="I186" s="115">
        <v>0.60399999999999998</v>
      </c>
      <c r="J186" s="115">
        <v>-2.3914</v>
      </c>
      <c r="K186" s="115">
        <v>1034</v>
      </c>
      <c r="L186" s="115">
        <v>5.1188000000000002</v>
      </c>
      <c r="M186" s="115">
        <v>4</v>
      </c>
      <c r="N186" s="115">
        <v>6</v>
      </c>
      <c r="O186" s="115">
        <v>10</v>
      </c>
      <c r="P186" s="115">
        <v>5</v>
      </c>
      <c r="Q186" s="115">
        <v>14</v>
      </c>
      <c r="R186" s="115">
        <v>2.8</v>
      </c>
      <c r="S186" s="115">
        <v>0</v>
      </c>
      <c r="T186" s="115">
        <v>1.9800000000000002E-2</v>
      </c>
      <c r="U186" s="115">
        <v>2.9700000000000001E-2</v>
      </c>
      <c r="V186" s="115">
        <v>-9.9000000000000008E-3</v>
      </c>
      <c r="W186" s="115">
        <v>0.37869999999999998</v>
      </c>
      <c r="X186" s="115">
        <v>67.966200000000001</v>
      </c>
      <c r="Y186" s="115">
        <v>3.6981000000000002</v>
      </c>
      <c r="Z186" s="115">
        <v>62.797199999999997</v>
      </c>
      <c r="AA186" s="115">
        <v>33.6</v>
      </c>
      <c r="AB186" s="115">
        <v>-48.491700000000002</v>
      </c>
      <c r="AC186" s="115">
        <v>-0.20630000000000001</v>
      </c>
      <c r="AD186" s="115">
        <v>-3.5299999999999998E-2</v>
      </c>
      <c r="AE186" s="115">
        <v>-1.1599999999999999E-2</v>
      </c>
      <c r="AF186" s="115">
        <v>-5.3699999999999998E-2</v>
      </c>
      <c r="AG186" s="115">
        <v>-3.9600000000000003E-2</v>
      </c>
      <c r="AH186" s="115">
        <v>-9.5000000000000001E-2</v>
      </c>
      <c r="AI186" s="115">
        <v>-6.3399999999999998E-2</v>
      </c>
      <c r="AJ186" s="115">
        <v>-6.8999999999999999E-3</v>
      </c>
      <c r="AK186" s="115">
        <v>7.1139000000000001</v>
      </c>
      <c r="AL186" s="115">
        <v>-1.9455</v>
      </c>
      <c r="AM186" s="115">
        <v>1</v>
      </c>
      <c r="AN186" s="115">
        <v>4</v>
      </c>
      <c r="AO186" s="115">
        <v>0</v>
      </c>
      <c r="AP186" s="115">
        <v>1</v>
      </c>
      <c r="AQ186" s="115">
        <v>2</v>
      </c>
      <c r="AR186" s="115">
        <v>0.5</v>
      </c>
      <c r="AS186" s="115">
        <v>-5.5999999999999999E-3</v>
      </c>
      <c r="AT186" s="115">
        <v>-1.3208</v>
      </c>
      <c r="AU186" s="114" t="str">
        <f>IF(A186&lt;&gt;"",INDEX(Index!$B$1:$B$77,MATCH($A186,Index!$A$1:$A$77,0)),"")</f>
        <v>CIN</v>
      </c>
      <c r="AV186" s="123" t="str">
        <f>IF(B186&lt;&gt;"",INDEX(Index!$C$1:$C$77,MATCH($A186,Index!$A$1:$A$77,0)),"")</f>
        <v>Flacco</v>
      </c>
      <c r="AW186" s="123">
        <f t="shared" si="2"/>
        <v>37</v>
      </c>
      <c r="AX186" s="113">
        <v>6</v>
      </c>
    </row>
    <row r="187" spans="1:50" x14ac:dyDescent="0.25">
      <c r="A187" s="95" t="s">
        <v>588</v>
      </c>
      <c r="B187" s="96">
        <v>2025</v>
      </c>
      <c r="C187" s="96">
        <v>2</v>
      </c>
      <c r="D187" s="115">
        <v>-2.5602800000000001</v>
      </c>
      <c r="E187" s="115">
        <v>-0.378133</v>
      </c>
      <c r="F187" s="115"/>
      <c r="G187" s="115">
        <v>34</v>
      </c>
      <c r="H187" s="115">
        <v>52</v>
      </c>
      <c r="I187" s="115">
        <v>0.65380000000000005</v>
      </c>
      <c r="J187" s="115">
        <v>-1.9399</v>
      </c>
      <c r="K187" s="115">
        <v>303</v>
      </c>
      <c r="L187" s="115">
        <v>5.8269000000000002</v>
      </c>
      <c r="M187" s="115">
        <v>0</v>
      </c>
      <c r="N187" s="115">
        <v>4</v>
      </c>
      <c r="O187" s="115">
        <v>1</v>
      </c>
      <c r="P187" s="115">
        <v>0</v>
      </c>
      <c r="Q187" s="115">
        <v>0</v>
      </c>
      <c r="R187" s="115"/>
      <c r="S187" s="115">
        <v>0</v>
      </c>
      <c r="T187" s="115">
        <v>0</v>
      </c>
      <c r="U187" s="115">
        <v>7.6899999999999996E-2</v>
      </c>
      <c r="V187" s="115">
        <v>-7.6899999999999996E-2</v>
      </c>
      <c r="W187" s="115">
        <v>0.42109999999999997</v>
      </c>
      <c r="X187" s="115">
        <v>48.798099999999998</v>
      </c>
      <c r="Y187" s="115">
        <v>2.0188999999999999</v>
      </c>
      <c r="Z187" s="115">
        <v>12.234400000000001</v>
      </c>
      <c r="AA187" s="115"/>
      <c r="AB187" s="115">
        <v>-25.889299999999999</v>
      </c>
      <c r="AC187" s="115">
        <v>-0.45419999999999999</v>
      </c>
      <c r="AD187" s="115">
        <v>-3.49E-2</v>
      </c>
      <c r="AE187" s="115">
        <v>5.3199999999999997E-2</v>
      </c>
      <c r="AF187" s="115">
        <v>-6.9099999999999995E-2</v>
      </c>
      <c r="AG187" s="115">
        <v>-0.23330000000000001</v>
      </c>
      <c r="AH187" s="115">
        <v>-0.22159999999999999</v>
      </c>
      <c r="AI187" s="115">
        <v>-9.7000000000000003E-3</v>
      </c>
      <c r="AJ187" s="115">
        <v>-3.7999999999999999E-2</v>
      </c>
      <c r="AK187" s="115">
        <v>6.4423000000000004</v>
      </c>
      <c r="AL187" s="115">
        <v>-2.0577000000000001</v>
      </c>
      <c r="AM187" s="115">
        <v>0</v>
      </c>
      <c r="AN187" s="115">
        <v>3</v>
      </c>
      <c r="AO187" s="115">
        <v>0</v>
      </c>
      <c r="AP187" s="115">
        <v>0</v>
      </c>
      <c r="AQ187" s="115">
        <v>0</v>
      </c>
      <c r="AR187" s="115"/>
      <c r="AS187" s="115">
        <v>-6.8999999999999999E-3</v>
      </c>
      <c r="AT187" s="115">
        <v>-0.39179999999999998</v>
      </c>
      <c r="AU187" s="114" t="str">
        <f>IF(A187&lt;&gt;"",INDEX(Index!$B$1:$B$77,MATCH($A187,Index!$A$1:$A$77,0)),"")</f>
        <v>BAL</v>
      </c>
      <c r="AV187" s="123" t="str">
        <f>IF(B187&lt;&gt;"",INDEX(Index!$C$1:$C$77,MATCH($A187,Index!$A$1:$A$77,0)),"")</f>
        <v>Rush</v>
      </c>
      <c r="AW187" s="123">
        <f t="shared" si="2"/>
        <v>41</v>
      </c>
      <c r="AX187" s="113">
        <v>6</v>
      </c>
    </row>
    <row r="188" spans="1:50" x14ac:dyDescent="0.25">
      <c r="A188" s="95" t="s">
        <v>580</v>
      </c>
      <c r="B188" s="96">
        <v>2025</v>
      </c>
      <c r="C188" s="96">
        <v>2</v>
      </c>
      <c r="D188" s="115">
        <v>-2.5679099999999999</v>
      </c>
      <c r="E188" s="115">
        <v>-0.98064799999999996</v>
      </c>
      <c r="F188" s="115"/>
      <c r="G188" s="115">
        <v>24</v>
      </c>
      <c r="H188" s="115">
        <v>41</v>
      </c>
      <c r="I188" s="115">
        <v>0.58540000000000003</v>
      </c>
      <c r="J188" s="115">
        <v>-7.2812999999999999</v>
      </c>
      <c r="K188" s="115">
        <v>301</v>
      </c>
      <c r="L188" s="115">
        <v>7.3414999999999999</v>
      </c>
      <c r="M188" s="115">
        <v>2</v>
      </c>
      <c r="N188" s="115">
        <v>3</v>
      </c>
      <c r="O188" s="115">
        <v>9</v>
      </c>
      <c r="P188" s="115">
        <v>6</v>
      </c>
      <c r="Q188" s="115">
        <v>50</v>
      </c>
      <c r="R188" s="115">
        <v>8.3332999999999995</v>
      </c>
      <c r="S188" s="115">
        <v>1</v>
      </c>
      <c r="T188" s="115">
        <v>4.8800000000000003E-2</v>
      </c>
      <c r="U188" s="115">
        <v>7.3200000000000001E-2</v>
      </c>
      <c r="V188" s="115">
        <v>-2.4400000000000002E-2</v>
      </c>
      <c r="W188" s="115">
        <v>0.42370000000000002</v>
      </c>
      <c r="X188" s="115">
        <v>67.2256</v>
      </c>
      <c r="Y188" s="115">
        <v>3.18</v>
      </c>
      <c r="Z188" s="115">
        <v>-1.2115</v>
      </c>
      <c r="AA188" s="115"/>
      <c r="AB188" s="115">
        <v>-17.266200000000001</v>
      </c>
      <c r="AC188" s="115">
        <v>-0.29260000000000003</v>
      </c>
      <c r="AD188" s="115">
        <v>5.6899999999999999E-2</v>
      </c>
      <c r="AE188" s="115">
        <v>-0.21179999999999999</v>
      </c>
      <c r="AF188" s="115">
        <v>-8.8000000000000005E-3</v>
      </c>
      <c r="AG188" s="115">
        <v>-0.22889999999999999</v>
      </c>
      <c r="AH188" s="115">
        <v>3.3599999999999998E-2</v>
      </c>
      <c r="AI188" s="115">
        <v>-9.7699999999999995E-2</v>
      </c>
      <c r="AJ188" s="115">
        <v>6.5000000000000002E-2</v>
      </c>
      <c r="AK188" s="115">
        <v>9</v>
      </c>
      <c r="AL188" s="115">
        <v>-0.31709999999999999</v>
      </c>
      <c r="AM188" s="115">
        <v>1</v>
      </c>
      <c r="AN188" s="115">
        <v>1</v>
      </c>
      <c r="AO188" s="115">
        <v>0</v>
      </c>
      <c r="AP188" s="115">
        <v>1</v>
      </c>
      <c r="AQ188" s="115">
        <v>2</v>
      </c>
      <c r="AR188" s="115">
        <v>0.5</v>
      </c>
      <c r="AS188" s="115">
        <v>-2.0999999999999999E-3</v>
      </c>
      <c r="AT188" s="115">
        <v>-0.1216</v>
      </c>
      <c r="AU188" s="114" t="str">
        <f>IF(A188&lt;&gt;"",INDEX(Index!$B$1:$B$77,MATCH($A188,Index!$A$1:$A$77,0)),"")</f>
        <v>MIN</v>
      </c>
      <c r="AV188" s="123" t="str">
        <f>IF(B188&lt;&gt;"",INDEX(Index!$C$1:$C$77,MATCH($A188,Index!$A$1:$A$77,0)),"")</f>
        <v>McCarthy</v>
      </c>
      <c r="AW188" s="123">
        <f t="shared" si="2"/>
        <v>25</v>
      </c>
      <c r="AX188" s="113">
        <v>6</v>
      </c>
    </row>
    <row r="189" spans="1:50" x14ac:dyDescent="0.25">
      <c r="A189" s="95" t="s">
        <v>589</v>
      </c>
      <c r="B189" s="96">
        <v>2025</v>
      </c>
      <c r="C189" s="96">
        <v>2</v>
      </c>
      <c r="D189" s="115">
        <v>-3.9185300000000001</v>
      </c>
      <c r="E189" s="115">
        <v>-0.41524800000000001</v>
      </c>
      <c r="F189" s="115"/>
      <c r="G189" s="115">
        <v>51</v>
      </c>
      <c r="H189" s="115">
        <v>88</v>
      </c>
      <c r="I189" s="115">
        <v>0.57950000000000002</v>
      </c>
      <c r="J189" s="115">
        <v>-8.1722999999999999</v>
      </c>
      <c r="K189" s="115">
        <v>430</v>
      </c>
      <c r="L189" s="115">
        <v>4.8864000000000001</v>
      </c>
      <c r="M189" s="115">
        <v>3</v>
      </c>
      <c r="N189" s="115">
        <v>0</v>
      </c>
      <c r="O189" s="115">
        <v>8</v>
      </c>
      <c r="P189" s="115">
        <v>2</v>
      </c>
      <c r="Q189" s="115">
        <v>5</v>
      </c>
      <c r="R189" s="115">
        <v>2.5</v>
      </c>
      <c r="S189" s="115">
        <v>0</v>
      </c>
      <c r="T189" s="115">
        <v>3.4099999999999998E-2</v>
      </c>
      <c r="U189" s="115">
        <v>0</v>
      </c>
      <c r="V189" s="115">
        <v>3.4099999999999998E-2</v>
      </c>
      <c r="W189" s="115">
        <v>0.37140000000000001</v>
      </c>
      <c r="X189" s="115">
        <v>82.1023</v>
      </c>
      <c r="Y189" s="115">
        <v>4.625</v>
      </c>
      <c r="Z189" s="115">
        <v>68.827600000000004</v>
      </c>
      <c r="AA189" s="115">
        <v>37.5</v>
      </c>
      <c r="AB189" s="115">
        <v>-10.904400000000001</v>
      </c>
      <c r="AC189" s="115">
        <v>-0.10390000000000001</v>
      </c>
      <c r="AD189" s="115">
        <v>-4.65E-2</v>
      </c>
      <c r="AE189" s="115">
        <v>-2.23E-2</v>
      </c>
      <c r="AF189" s="115">
        <v>-8.0199999999999994E-2</v>
      </c>
      <c r="AG189" s="115">
        <v>6.9800000000000001E-2</v>
      </c>
      <c r="AH189" s="115">
        <v>-9.1600000000000001E-2</v>
      </c>
      <c r="AI189" s="115">
        <v>-4.8899999999999999E-2</v>
      </c>
      <c r="AJ189" s="115">
        <v>1.7100000000000001E-2</v>
      </c>
      <c r="AK189" s="115">
        <v>6.1477000000000004</v>
      </c>
      <c r="AL189" s="115">
        <v>-3.2614000000000001</v>
      </c>
      <c r="AM189" s="115">
        <v>0</v>
      </c>
      <c r="AN189" s="115">
        <v>4</v>
      </c>
      <c r="AO189" s="115">
        <v>0</v>
      </c>
      <c r="AP189" s="115">
        <v>0</v>
      </c>
      <c r="AQ189" s="115">
        <v>1</v>
      </c>
      <c r="AR189" s="115">
        <v>0</v>
      </c>
      <c r="AS189" s="115">
        <v>-3.8E-3</v>
      </c>
      <c r="AT189" s="115">
        <v>-0.39750000000000002</v>
      </c>
      <c r="AU189" s="114" t="str">
        <f>IF(A189&lt;&gt;"",INDEX(Index!$B$1:$B$77,MATCH($A189,Index!$A$1:$A$77,0)),"")</f>
        <v>CLE</v>
      </c>
      <c r="AV189" s="123" t="str">
        <f>IF(B189&lt;&gt;"",INDEX(Index!$C$1:$C$77,MATCH($A189,Index!$A$1:$A$77,0)),"")</f>
        <v>Gabriel</v>
      </c>
      <c r="AW189" s="123">
        <f t="shared" si="2"/>
        <v>39</v>
      </c>
      <c r="AX189" s="113">
        <v>6</v>
      </c>
    </row>
    <row r="190" spans="1:50" ht="15.75" thickBot="1" x14ac:dyDescent="0.3">
      <c r="A190" s="95" t="s">
        <v>582</v>
      </c>
      <c r="B190" s="96">
        <v>2025</v>
      </c>
      <c r="C190" s="96">
        <v>6</v>
      </c>
      <c r="D190" s="115">
        <v>-4.0340600000000002</v>
      </c>
      <c r="E190" s="115">
        <v>-0.26200000000000001</v>
      </c>
      <c r="F190" s="115"/>
      <c r="G190" s="115">
        <v>111</v>
      </c>
      <c r="H190" s="115">
        <v>200</v>
      </c>
      <c r="I190" s="115">
        <v>0.55500000000000005</v>
      </c>
      <c r="J190" s="115">
        <v>-6.7466999999999997</v>
      </c>
      <c r="K190" s="115">
        <v>1101</v>
      </c>
      <c r="L190" s="115">
        <v>5.5049999999999999</v>
      </c>
      <c r="M190" s="115">
        <v>3</v>
      </c>
      <c r="N190" s="115">
        <v>4</v>
      </c>
      <c r="O190" s="115">
        <v>25</v>
      </c>
      <c r="P190" s="115">
        <v>10</v>
      </c>
      <c r="Q190" s="115">
        <v>44</v>
      </c>
      <c r="R190" s="115">
        <v>4.4000000000000004</v>
      </c>
      <c r="S190" s="115">
        <v>0</v>
      </c>
      <c r="T190" s="115">
        <v>1.4999999999999999E-2</v>
      </c>
      <c r="U190" s="115">
        <v>0.02</v>
      </c>
      <c r="V190" s="115">
        <v>-5.0000000000000001E-3</v>
      </c>
      <c r="W190" s="115">
        <v>0.38100000000000001</v>
      </c>
      <c r="X190" s="115">
        <v>67.9375</v>
      </c>
      <c r="Y190" s="115">
        <v>3.48</v>
      </c>
      <c r="Z190" s="115">
        <v>-16.272300000000001</v>
      </c>
      <c r="AA190" s="115">
        <v>24.9</v>
      </c>
      <c r="AB190" s="115">
        <v>-54.822899999999997</v>
      </c>
      <c r="AC190" s="115">
        <v>-0.21759999999999999</v>
      </c>
      <c r="AD190" s="115">
        <v>-2.2800000000000001E-2</v>
      </c>
      <c r="AE190" s="115">
        <v>-0.10539999999999999</v>
      </c>
      <c r="AF190" s="115">
        <v>-6.5500000000000003E-2</v>
      </c>
      <c r="AG190" s="115">
        <v>1.7100000000000001E-2</v>
      </c>
      <c r="AH190" s="115">
        <v>-3.85E-2</v>
      </c>
      <c r="AI190" s="115">
        <v>-9.5299999999999996E-2</v>
      </c>
      <c r="AJ190" s="115">
        <v>-6.3E-3</v>
      </c>
      <c r="AK190" s="115">
        <v>7.8</v>
      </c>
      <c r="AL190" s="115">
        <v>-1.655</v>
      </c>
      <c r="AM190" s="115">
        <v>1</v>
      </c>
      <c r="AN190" s="115">
        <v>5</v>
      </c>
      <c r="AO190" s="115">
        <v>0</v>
      </c>
      <c r="AP190" s="115">
        <v>1</v>
      </c>
      <c r="AQ190" s="115">
        <v>3</v>
      </c>
      <c r="AR190" s="115">
        <v>0.33329999999999999</v>
      </c>
      <c r="AS190" s="115">
        <v>-5.7000000000000002E-3</v>
      </c>
      <c r="AT190" s="115">
        <v>-1.4242999999999999</v>
      </c>
      <c r="AU190" s="114" t="str">
        <f>IF(A190&lt;&gt;"",INDEX(Index!$B$1:$B$77,MATCH($A190,Index!$A$1:$A$77,0)),"")</f>
        <v>TEN</v>
      </c>
      <c r="AV190" s="123" t="str">
        <f>IF(B190&lt;&gt;"",INDEX(Index!$C$1:$C$77,MATCH($A190,Index!$A$1:$A$77,0)),"")</f>
        <v>Ward</v>
      </c>
      <c r="AW190" s="123">
        <f t="shared" si="2"/>
        <v>26</v>
      </c>
      <c r="AX190" s="113">
        <v>6</v>
      </c>
    </row>
    <row r="191" spans="1:50" x14ac:dyDescent="0.25">
      <c r="A191" s="117" t="s">
        <v>552</v>
      </c>
      <c r="B191" s="118">
        <v>2025</v>
      </c>
      <c r="C191" s="118">
        <v>7</v>
      </c>
      <c r="D191" s="119">
        <v>3.6953499999999999</v>
      </c>
      <c r="E191" s="119">
        <v>0.39171499999999998</v>
      </c>
      <c r="F191" s="119">
        <v>1.5416799999999999</v>
      </c>
      <c r="G191" s="119">
        <v>164</v>
      </c>
      <c r="H191" s="119">
        <v>247</v>
      </c>
      <c r="I191" s="119">
        <v>0.66400000000000003</v>
      </c>
      <c r="J191" s="119">
        <v>1.7773000000000001</v>
      </c>
      <c r="K191" s="119">
        <v>1800</v>
      </c>
      <c r="L191" s="119">
        <v>7.2873999999999999</v>
      </c>
      <c r="M191" s="119">
        <v>14</v>
      </c>
      <c r="N191" s="119">
        <v>2</v>
      </c>
      <c r="O191" s="119">
        <v>11</v>
      </c>
      <c r="P191" s="119">
        <v>35</v>
      </c>
      <c r="Q191" s="119">
        <v>256</v>
      </c>
      <c r="R191" s="119">
        <v>7.3143000000000002</v>
      </c>
      <c r="S191" s="119">
        <v>4</v>
      </c>
      <c r="T191" s="119">
        <v>5.67E-2</v>
      </c>
      <c r="U191" s="119">
        <v>8.0999999999999996E-3</v>
      </c>
      <c r="V191" s="119">
        <v>4.8599999999999997E-2</v>
      </c>
      <c r="W191" s="119">
        <v>0.55159999999999998</v>
      </c>
      <c r="X191" s="119">
        <v>103.298</v>
      </c>
      <c r="Y191" s="119">
        <v>7.4419000000000004</v>
      </c>
      <c r="Z191" s="119">
        <v>300.57799999999997</v>
      </c>
      <c r="AA191" s="119">
        <v>77.7</v>
      </c>
      <c r="AB191" s="119">
        <v>85.721800000000002</v>
      </c>
      <c r="AC191" s="119">
        <v>0.27650000000000002</v>
      </c>
      <c r="AD191" s="119">
        <v>2.4199999999999999E-2</v>
      </c>
      <c r="AE191" s="119">
        <v>5.5899999999999998E-2</v>
      </c>
      <c r="AF191" s="119">
        <v>1.6799999999999999E-2</v>
      </c>
      <c r="AG191" s="119">
        <v>7.4999999999999997E-3</v>
      </c>
      <c r="AH191" s="119">
        <v>-9.4999999999999998E-3</v>
      </c>
      <c r="AI191" s="119">
        <v>9.1300000000000006E-2</v>
      </c>
      <c r="AJ191" s="119">
        <v>5.9999999999999995E-4</v>
      </c>
      <c r="AK191" s="119">
        <v>7.7732999999999999</v>
      </c>
      <c r="AL191" s="119">
        <v>-0.59509999999999996</v>
      </c>
      <c r="AM191" s="119">
        <v>4</v>
      </c>
      <c r="AN191" s="119">
        <v>3</v>
      </c>
      <c r="AO191" s="119">
        <v>0</v>
      </c>
      <c r="AP191" s="119">
        <v>0</v>
      </c>
      <c r="AQ191" s="119">
        <v>3</v>
      </c>
      <c r="AR191" s="119">
        <v>0</v>
      </c>
      <c r="AS191" s="119">
        <v>5.8999999999999999E-3</v>
      </c>
      <c r="AT191" s="119">
        <v>1.8178000000000001</v>
      </c>
      <c r="AU191" s="121" t="str">
        <f>IF(A191&lt;&gt;"",INDEX(Index!$B$1:$B$77,MATCH($A191,Index!$A$1:$A$77,0)),"")</f>
        <v>KC</v>
      </c>
      <c r="AV191" s="124" t="str">
        <f>IF(B191&lt;&gt;"",INDEX(Index!$C$1:$C$77,MATCH($A191,Index!$A$1:$A$77,0)),"")</f>
        <v>Mahomes</v>
      </c>
      <c r="AW191" s="124">
        <f t="shared" si="2"/>
        <v>3</v>
      </c>
      <c r="AX191" s="120">
        <v>7</v>
      </c>
    </row>
    <row r="192" spans="1:50" x14ac:dyDescent="0.25">
      <c r="A192" s="95" t="s">
        <v>550</v>
      </c>
      <c r="B192" s="96">
        <v>2025</v>
      </c>
      <c r="C192" s="96">
        <v>4</v>
      </c>
      <c r="D192" s="115">
        <v>3.1566000000000001</v>
      </c>
      <c r="E192" s="115">
        <v>-0.52360799999999996</v>
      </c>
      <c r="F192" s="115">
        <v>-0.37244300000000002</v>
      </c>
      <c r="G192" s="115">
        <v>68</v>
      </c>
      <c r="H192" s="115">
        <v>95</v>
      </c>
      <c r="I192" s="115">
        <v>0.71579999999999999</v>
      </c>
      <c r="J192" s="115">
        <v>9.0829000000000004</v>
      </c>
      <c r="K192" s="115">
        <v>869</v>
      </c>
      <c r="L192" s="115">
        <v>9.1473999999999993</v>
      </c>
      <c r="M192" s="115">
        <v>10</v>
      </c>
      <c r="N192" s="115">
        <v>1</v>
      </c>
      <c r="O192" s="115">
        <v>15</v>
      </c>
      <c r="P192" s="115">
        <v>21</v>
      </c>
      <c r="Q192" s="115">
        <v>166</v>
      </c>
      <c r="R192" s="115">
        <v>7.9047999999999998</v>
      </c>
      <c r="S192" s="115">
        <v>1</v>
      </c>
      <c r="T192" s="115">
        <v>0.1053</v>
      </c>
      <c r="U192" s="115">
        <v>1.0500000000000001E-2</v>
      </c>
      <c r="V192" s="115">
        <v>9.4700000000000006E-2</v>
      </c>
      <c r="W192" s="115">
        <v>0.51819999999999999</v>
      </c>
      <c r="X192" s="115">
        <v>130.548</v>
      </c>
      <c r="Y192" s="115">
        <v>8.3727</v>
      </c>
      <c r="Z192" s="115">
        <v>241.33199999999999</v>
      </c>
      <c r="AA192" s="115">
        <v>74.8</v>
      </c>
      <c r="AB192" s="115">
        <v>37.932699999999997</v>
      </c>
      <c r="AC192" s="115">
        <v>0.27689999999999998</v>
      </c>
      <c r="AD192" s="115">
        <v>5.4399999999999997E-2</v>
      </c>
      <c r="AE192" s="115">
        <v>-9.0999999999999998E-2</v>
      </c>
      <c r="AF192" s="115">
        <v>5.6300000000000003E-2</v>
      </c>
      <c r="AG192" s="115">
        <v>3.85E-2</v>
      </c>
      <c r="AH192" s="115">
        <v>0.14829999999999999</v>
      </c>
      <c r="AI192" s="115">
        <v>1E-4</v>
      </c>
      <c r="AJ192" s="115">
        <v>-1.9599999999999999E-2</v>
      </c>
      <c r="AK192" s="115">
        <v>8.8210999999999995</v>
      </c>
      <c r="AL192" s="115">
        <v>-0.56840000000000002</v>
      </c>
      <c r="AM192" s="115">
        <v>1</v>
      </c>
      <c r="AN192" s="115">
        <v>3</v>
      </c>
      <c r="AO192" s="115">
        <v>0</v>
      </c>
      <c r="AP192" s="115">
        <v>0</v>
      </c>
      <c r="AQ192" s="115">
        <v>1</v>
      </c>
      <c r="AR192" s="115">
        <v>0</v>
      </c>
      <c r="AS192" s="115">
        <v>4.5999999999999999E-3</v>
      </c>
      <c r="AT192" s="115">
        <v>0.63619999999999999</v>
      </c>
      <c r="AU192" s="114" t="str">
        <f>IF(A192&lt;&gt;"",INDEX(Index!$B$1:$B$77,MATCH($A192,Index!$A$1:$A$77,0)),"")</f>
        <v>BAL</v>
      </c>
      <c r="AV192" s="123" t="str">
        <f>IF(B192&lt;&gt;"",INDEX(Index!$C$1:$C$77,MATCH($A192,Index!$A$1:$A$77,0)),"")</f>
        <v>Jackson</v>
      </c>
      <c r="AW192" s="123">
        <f t="shared" si="2"/>
        <v>11</v>
      </c>
      <c r="AX192" s="113">
        <v>7</v>
      </c>
    </row>
    <row r="193" spans="1:50" x14ac:dyDescent="0.25">
      <c r="A193" s="95" t="s">
        <v>551</v>
      </c>
      <c r="B193" s="96">
        <v>2025</v>
      </c>
      <c r="C193" s="96">
        <v>6</v>
      </c>
      <c r="D193" s="115">
        <v>3.0625800000000001</v>
      </c>
      <c r="E193" s="115">
        <v>-0.78873099999999996</v>
      </c>
      <c r="F193" s="115">
        <v>-0.34684399999999999</v>
      </c>
      <c r="G193" s="115">
        <v>122</v>
      </c>
      <c r="H193" s="115">
        <v>177</v>
      </c>
      <c r="I193" s="115">
        <v>0.68930000000000002</v>
      </c>
      <c r="J193" s="115">
        <v>3.2075999999999998</v>
      </c>
      <c r="K193" s="115">
        <v>1397</v>
      </c>
      <c r="L193" s="115">
        <v>7.8926999999999996</v>
      </c>
      <c r="M193" s="115">
        <v>11</v>
      </c>
      <c r="N193" s="115">
        <v>4</v>
      </c>
      <c r="O193" s="115">
        <v>12</v>
      </c>
      <c r="P193" s="115">
        <v>36</v>
      </c>
      <c r="Q193" s="115">
        <v>263</v>
      </c>
      <c r="R193" s="115">
        <v>7.3056000000000001</v>
      </c>
      <c r="S193" s="115">
        <v>3</v>
      </c>
      <c r="T193" s="115">
        <v>6.2100000000000002E-2</v>
      </c>
      <c r="U193" s="115">
        <v>2.2599999999999999E-2</v>
      </c>
      <c r="V193" s="115">
        <v>3.95E-2</v>
      </c>
      <c r="W193" s="115">
        <v>0.51039999999999996</v>
      </c>
      <c r="X193" s="115">
        <v>103.708</v>
      </c>
      <c r="Y193" s="115">
        <v>7.2592999999999996</v>
      </c>
      <c r="Z193" s="115">
        <v>254.38300000000001</v>
      </c>
      <c r="AA193" s="115">
        <v>62.6</v>
      </c>
      <c r="AB193" s="115">
        <v>61.252600000000001</v>
      </c>
      <c r="AC193" s="115">
        <v>0.25419999999999998</v>
      </c>
      <c r="AD193" s="115">
        <v>6.4199999999999993E-2</v>
      </c>
      <c r="AE193" s="115">
        <v>4.3099999999999999E-2</v>
      </c>
      <c r="AF193" s="115">
        <v>3.4099999999999998E-2</v>
      </c>
      <c r="AG193" s="115">
        <v>2.7099999999999999E-2</v>
      </c>
      <c r="AH193" s="115">
        <v>-4.9799999999999997E-2</v>
      </c>
      <c r="AI193" s="115">
        <v>3.9E-2</v>
      </c>
      <c r="AJ193" s="115">
        <v>6.6E-3</v>
      </c>
      <c r="AK193" s="115">
        <v>7.8475000000000001</v>
      </c>
      <c r="AL193" s="115">
        <v>-0.68930000000000002</v>
      </c>
      <c r="AM193" s="115">
        <v>4</v>
      </c>
      <c r="AN193" s="115">
        <v>2</v>
      </c>
      <c r="AO193" s="115">
        <v>0</v>
      </c>
      <c r="AP193" s="115">
        <v>1</v>
      </c>
      <c r="AQ193" s="115">
        <v>3</v>
      </c>
      <c r="AR193" s="115">
        <v>0.33329999999999999</v>
      </c>
      <c r="AS193" s="115">
        <v>6.3E-3</v>
      </c>
      <c r="AT193" s="115">
        <v>1.5187999999999999</v>
      </c>
      <c r="AU193" s="114" t="str">
        <f>IF(A193&lt;&gt;"",INDEX(Index!$B$1:$B$77,MATCH($A193,Index!$A$1:$A$77,0)),"")</f>
        <v>BUF</v>
      </c>
      <c r="AV193" s="123" t="str">
        <f>IF(B193&lt;&gt;"",INDEX(Index!$C$1:$C$77,MATCH($A193,Index!$A$1:$A$77,0)),"")</f>
        <v>Allen</v>
      </c>
      <c r="AW193" s="123">
        <f t="shared" si="2"/>
        <v>1</v>
      </c>
      <c r="AX193" s="113">
        <v>7</v>
      </c>
    </row>
    <row r="194" spans="1:50" x14ac:dyDescent="0.25">
      <c r="A194" s="95" t="s">
        <v>555</v>
      </c>
      <c r="B194" s="96">
        <v>2025</v>
      </c>
      <c r="C194" s="96">
        <v>7</v>
      </c>
      <c r="D194" s="115">
        <v>2.8266499999999999</v>
      </c>
      <c r="E194" s="115">
        <v>0.173287</v>
      </c>
      <c r="F194" s="115">
        <v>1.6314</v>
      </c>
      <c r="G194" s="115">
        <v>185</v>
      </c>
      <c r="H194" s="115">
        <v>258</v>
      </c>
      <c r="I194" s="115">
        <v>0.71709999999999996</v>
      </c>
      <c r="J194" s="115">
        <v>5.0143000000000004</v>
      </c>
      <c r="K194" s="115">
        <v>1881</v>
      </c>
      <c r="L194" s="115">
        <v>7.2907000000000002</v>
      </c>
      <c r="M194" s="115">
        <v>16</v>
      </c>
      <c r="N194" s="115">
        <v>3</v>
      </c>
      <c r="O194" s="115">
        <v>8</v>
      </c>
      <c r="P194" s="115">
        <v>10</v>
      </c>
      <c r="Q194" s="115">
        <v>59</v>
      </c>
      <c r="R194" s="115">
        <v>5.9</v>
      </c>
      <c r="S194" s="115">
        <v>1</v>
      </c>
      <c r="T194" s="115">
        <v>6.2E-2</v>
      </c>
      <c r="U194" s="115">
        <v>1.1599999999999999E-2</v>
      </c>
      <c r="V194" s="115">
        <v>5.04E-2</v>
      </c>
      <c r="W194" s="115">
        <v>0.4899</v>
      </c>
      <c r="X194" s="115">
        <v>108.04300000000001</v>
      </c>
      <c r="Y194" s="115">
        <v>7.6052999999999997</v>
      </c>
      <c r="Z194" s="115">
        <v>283.19200000000001</v>
      </c>
      <c r="AA194" s="115">
        <v>81.2</v>
      </c>
      <c r="AB194" s="115">
        <v>90.946100000000001</v>
      </c>
      <c r="AC194" s="115">
        <v>0.30730000000000002</v>
      </c>
      <c r="AD194" s="115">
        <v>-2.0400000000000001E-2</v>
      </c>
      <c r="AE194" s="115">
        <v>6.1800000000000001E-2</v>
      </c>
      <c r="AF194" s="115">
        <v>2.01E-2</v>
      </c>
      <c r="AG194" s="115">
        <v>2.4400000000000002E-2</v>
      </c>
      <c r="AH194" s="115">
        <v>5.3699999999999998E-2</v>
      </c>
      <c r="AI194" s="115">
        <v>3.8600000000000002E-2</v>
      </c>
      <c r="AJ194" s="115">
        <v>3.9100000000000003E-2</v>
      </c>
      <c r="AK194" s="115">
        <v>7.1395</v>
      </c>
      <c r="AL194" s="115">
        <v>-1.2867999999999999</v>
      </c>
      <c r="AM194" s="115">
        <v>3</v>
      </c>
      <c r="AN194" s="115">
        <v>3</v>
      </c>
      <c r="AO194" s="115">
        <v>1</v>
      </c>
      <c r="AP194" s="115">
        <v>1</v>
      </c>
      <c r="AQ194" s="115">
        <v>4</v>
      </c>
      <c r="AR194" s="115">
        <v>0.25</v>
      </c>
      <c r="AS194" s="115">
        <v>1.1299999999999999E-2</v>
      </c>
      <c r="AT194" s="115">
        <v>3.3485999999999998</v>
      </c>
      <c r="AU194" s="114" t="str">
        <f>IF(A194&lt;&gt;"",INDEX(Index!$B$1:$B$77,MATCH($A194,Index!$A$1:$A$77,0)),"")</f>
        <v>DAL</v>
      </c>
      <c r="AV194" s="123" t="str">
        <f>IF(B194&lt;&gt;"",INDEX(Index!$C$1:$C$77,MATCH($A194,Index!$A$1:$A$77,0)),"")</f>
        <v>Prescott</v>
      </c>
      <c r="AW194" s="123">
        <f t="shared" ref="AW194:AW257" si="4">IF(AT194&lt;&gt;"",COUNTIFS($AX$2:$AX$994,AX194,$Q$2:$Q$994,"&gt;"&amp;$Q194)+1,"")</f>
        <v>24</v>
      </c>
      <c r="AX194" s="113">
        <v>7</v>
      </c>
    </row>
    <row r="195" spans="1:50" x14ac:dyDescent="0.25">
      <c r="A195" s="95" t="s">
        <v>561</v>
      </c>
      <c r="B195" s="96">
        <v>2025</v>
      </c>
      <c r="C195" s="96">
        <v>7</v>
      </c>
      <c r="D195" s="115">
        <v>1.4747399999999999</v>
      </c>
      <c r="E195" s="115">
        <v>0.50703100000000001</v>
      </c>
      <c r="F195" s="115">
        <v>0.49473600000000001</v>
      </c>
      <c r="G195" s="115">
        <v>160</v>
      </c>
      <c r="H195" s="115">
        <v>255</v>
      </c>
      <c r="I195" s="115">
        <v>0.62749999999999995</v>
      </c>
      <c r="J195" s="115">
        <v>-2.9632999999999998</v>
      </c>
      <c r="K195" s="115">
        <v>1556</v>
      </c>
      <c r="L195" s="115">
        <v>6.1020000000000003</v>
      </c>
      <c r="M195" s="115">
        <v>11</v>
      </c>
      <c r="N195" s="115">
        <v>4</v>
      </c>
      <c r="O195" s="115">
        <v>8</v>
      </c>
      <c r="P195" s="115">
        <v>30</v>
      </c>
      <c r="Q195" s="115">
        <v>180</v>
      </c>
      <c r="R195" s="115">
        <v>6</v>
      </c>
      <c r="S195" s="115">
        <v>3</v>
      </c>
      <c r="T195" s="115">
        <v>4.3099999999999999E-2</v>
      </c>
      <c r="U195" s="115">
        <v>1.5699999999999999E-2</v>
      </c>
      <c r="V195" s="115">
        <v>2.75E-2</v>
      </c>
      <c r="W195" s="115">
        <v>0.41849999999999998</v>
      </c>
      <c r="X195" s="115">
        <v>87.638900000000007</v>
      </c>
      <c r="Y195" s="115">
        <v>5.8783000000000003</v>
      </c>
      <c r="Z195" s="115">
        <v>215.42</v>
      </c>
      <c r="AA195" s="115">
        <v>55.8</v>
      </c>
      <c r="AB195" s="115">
        <v>19.9663</v>
      </c>
      <c r="AC195" s="115">
        <v>6.3799999999999996E-2</v>
      </c>
      <c r="AD195" s="115">
        <v>-2E-3</v>
      </c>
      <c r="AE195" s="115">
        <v>5.7799999999999997E-2</v>
      </c>
      <c r="AF195" s="115">
        <v>-1.89E-2</v>
      </c>
      <c r="AG195" s="115">
        <v>1.7500000000000002E-2</v>
      </c>
      <c r="AH195" s="115">
        <v>-0.1174</v>
      </c>
      <c r="AI195" s="115">
        <v>6.9199999999999998E-2</v>
      </c>
      <c r="AJ195" s="115">
        <v>-3.2300000000000002E-2</v>
      </c>
      <c r="AK195" s="115">
        <v>6.9569000000000001</v>
      </c>
      <c r="AL195" s="115">
        <v>-2.2275</v>
      </c>
      <c r="AM195" s="115">
        <v>5</v>
      </c>
      <c r="AN195" s="115">
        <v>2</v>
      </c>
      <c r="AO195" s="115">
        <v>0</v>
      </c>
      <c r="AP195" s="115">
        <v>3</v>
      </c>
      <c r="AQ195" s="115">
        <v>3</v>
      </c>
      <c r="AR195" s="115">
        <v>1</v>
      </c>
      <c r="AS195" s="115">
        <v>2.8E-3</v>
      </c>
      <c r="AT195" s="115">
        <v>0.86970000000000003</v>
      </c>
      <c r="AU195" s="114" t="str">
        <f>IF(A195&lt;&gt;"",INDEX(Index!$B$1:$B$77,MATCH($A195,Index!$A$1:$A$77,0)),"")</f>
        <v>DEN</v>
      </c>
      <c r="AV195" s="123" t="str">
        <f>IF(B195&lt;&gt;"",INDEX(Index!$C$1:$C$77,MATCH($A195,Index!$A$1:$A$77,0)),"")</f>
        <v>Nix</v>
      </c>
      <c r="AW195" s="123">
        <f t="shared" si="4"/>
        <v>8</v>
      </c>
      <c r="AX195" s="113">
        <v>7</v>
      </c>
    </row>
    <row r="196" spans="1:50" x14ac:dyDescent="0.25">
      <c r="A196" s="95" t="s">
        <v>554</v>
      </c>
      <c r="B196" s="96">
        <v>2025</v>
      </c>
      <c r="C196" s="96">
        <v>7</v>
      </c>
      <c r="D196" s="115">
        <v>1.4365699999999999</v>
      </c>
      <c r="E196" s="115">
        <v>0.29107300000000003</v>
      </c>
      <c r="F196" s="115">
        <v>6.1519799999999999E-2</v>
      </c>
      <c r="G196" s="115">
        <v>136</v>
      </c>
      <c r="H196" s="115">
        <v>195</v>
      </c>
      <c r="I196" s="115">
        <v>0.69740000000000002</v>
      </c>
      <c r="J196" s="115">
        <v>6.4734999999999996</v>
      </c>
      <c r="K196" s="115">
        <v>1498</v>
      </c>
      <c r="L196" s="115">
        <v>7.6821000000000002</v>
      </c>
      <c r="M196" s="115">
        <v>11</v>
      </c>
      <c r="N196" s="115">
        <v>1</v>
      </c>
      <c r="O196" s="115">
        <v>21</v>
      </c>
      <c r="P196" s="115">
        <v>45</v>
      </c>
      <c r="Q196" s="115">
        <v>197</v>
      </c>
      <c r="R196" s="115">
        <v>4.3777999999999997</v>
      </c>
      <c r="S196" s="115">
        <v>5</v>
      </c>
      <c r="T196" s="115">
        <v>5.6399999999999999E-2</v>
      </c>
      <c r="U196" s="115">
        <v>5.1000000000000004E-3</v>
      </c>
      <c r="V196" s="115">
        <v>5.1299999999999998E-2</v>
      </c>
      <c r="W196" s="115">
        <v>0.47039999999999998</v>
      </c>
      <c r="X196" s="115">
        <v>108.878</v>
      </c>
      <c r="Y196" s="115">
        <v>7.25</v>
      </c>
      <c r="Z196" s="115">
        <v>212.48</v>
      </c>
      <c r="AA196" s="115">
        <v>67.3</v>
      </c>
      <c r="AB196" s="115">
        <v>37.666200000000003</v>
      </c>
      <c r="AC196" s="115">
        <v>0.13950000000000001</v>
      </c>
      <c r="AD196" s="115">
        <v>4.5499999999999999E-2</v>
      </c>
      <c r="AE196" s="115">
        <v>-2.29E-2</v>
      </c>
      <c r="AF196" s="115">
        <v>5.2400000000000002E-2</v>
      </c>
      <c r="AG196" s="115">
        <v>3.8300000000000001E-2</v>
      </c>
      <c r="AH196" s="115">
        <v>3.7499999999999999E-2</v>
      </c>
      <c r="AI196" s="115">
        <v>-8.8099999999999998E-2</v>
      </c>
      <c r="AJ196" s="115">
        <v>-1.3100000000000001E-2</v>
      </c>
      <c r="AK196" s="115">
        <v>8.9025999999999996</v>
      </c>
      <c r="AL196" s="115">
        <v>0.2359</v>
      </c>
      <c r="AM196" s="115">
        <v>5</v>
      </c>
      <c r="AN196" s="115">
        <v>2</v>
      </c>
      <c r="AO196" s="115">
        <v>0</v>
      </c>
      <c r="AP196" s="115">
        <v>1</v>
      </c>
      <c r="AQ196" s="115">
        <v>2</v>
      </c>
      <c r="AR196" s="115">
        <v>0.5</v>
      </c>
      <c r="AS196" s="115">
        <v>4.4999999999999997E-3</v>
      </c>
      <c r="AT196" s="115">
        <v>1.2179</v>
      </c>
      <c r="AU196" s="114" t="str">
        <f>IF(A196&lt;&gt;"",INDEX(Index!$B$1:$B$77,MATCH($A196,Index!$A$1:$A$77,0)),"")</f>
        <v>PHI</v>
      </c>
      <c r="AV196" s="123" t="str">
        <f>IF(B196&lt;&gt;"",INDEX(Index!$C$1:$C$77,MATCH($A196,Index!$A$1:$A$77,0)),"")</f>
        <v>Hurts</v>
      </c>
      <c r="AW196" s="123">
        <f t="shared" si="4"/>
        <v>6</v>
      </c>
      <c r="AX196" s="113">
        <v>7</v>
      </c>
    </row>
    <row r="197" spans="1:50" x14ac:dyDescent="0.25">
      <c r="A197" s="95" t="s">
        <v>559</v>
      </c>
      <c r="B197" s="96">
        <v>2025</v>
      </c>
      <c r="C197" s="96">
        <v>7</v>
      </c>
      <c r="D197" s="115">
        <v>1.2885500000000001</v>
      </c>
      <c r="E197" s="115">
        <v>-0.73563900000000004</v>
      </c>
      <c r="F197" s="115">
        <v>0.64700100000000005</v>
      </c>
      <c r="G197" s="115">
        <v>157</v>
      </c>
      <c r="H197" s="115">
        <v>244</v>
      </c>
      <c r="I197" s="115">
        <v>0.64339999999999997</v>
      </c>
      <c r="J197" s="115">
        <v>-0.96909999999999996</v>
      </c>
      <c r="K197" s="115">
        <v>1767</v>
      </c>
      <c r="L197" s="115">
        <v>7.2417999999999996</v>
      </c>
      <c r="M197" s="115">
        <v>13</v>
      </c>
      <c r="N197" s="115">
        <v>2</v>
      </c>
      <c r="O197" s="115">
        <v>14</v>
      </c>
      <c r="P197" s="115">
        <v>17</v>
      </c>
      <c r="Q197" s="115">
        <v>162</v>
      </c>
      <c r="R197" s="115">
        <v>9.5294000000000008</v>
      </c>
      <c r="S197" s="115">
        <v>0</v>
      </c>
      <c r="T197" s="115">
        <v>5.33E-2</v>
      </c>
      <c r="U197" s="115">
        <v>8.2000000000000007E-3</v>
      </c>
      <c r="V197" s="115">
        <v>4.5100000000000001E-2</v>
      </c>
      <c r="W197" s="115">
        <v>0.45419999999999999</v>
      </c>
      <c r="X197" s="115">
        <v>100.22199999999999</v>
      </c>
      <c r="Y197" s="115">
        <v>7.1512000000000002</v>
      </c>
      <c r="Z197" s="115">
        <v>230.08199999999999</v>
      </c>
      <c r="AA197" s="115">
        <v>63.5</v>
      </c>
      <c r="AB197" s="115">
        <v>46.099699999999999</v>
      </c>
      <c r="AC197" s="115">
        <v>0.15629999999999999</v>
      </c>
      <c r="AD197" s="115">
        <v>3.1E-2</v>
      </c>
      <c r="AE197" s="115">
        <v>2.8199999999999999E-2</v>
      </c>
      <c r="AF197" s="115">
        <v>-2.4899999999999999E-2</v>
      </c>
      <c r="AG197" s="115">
        <v>3.61E-2</v>
      </c>
      <c r="AH197" s="115">
        <v>-5.4300000000000001E-2</v>
      </c>
      <c r="AI197" s="115">
        <v>4.5499999999999999E-2</v>
      </c>
      <c r="AJ197" s="115">
        <v>4.7999999999999996E-3</v>
      </c>
      <c r="AK197" s="115">
        <v>8.8524999999999991</v>
      </c>
      <c r="AL197" s="115">
        <v>-0.16800000000000001</v>
      </c>
      <c r="AM197" s="115">
        <v>5</v>
      </c>
      <c r="AN197" s="115">
        <v>2</v>
      </c>
      <c r="AO197" s="115">
        <v>0</v>
      </c>
      <c r="AP197" s="115">
        <v>4</v>
      </c>
      <c r="AQ197" s="115">
        <v>5</v>
      </c>
      <c r="AR197" s="115">
        <v>0.8</v>
      </c>
      <c r="AS197" s="115">
        <v>7.0000000000000001E-3</v>
      </c>
      <c r="AT197" s="115">
        <v>2.0665</v>
      </c>
      <c r="AU197" s="114" t="str">
        <f>IF(A197&lt;&gt;"",INDEX(Index!$B$1:$B$77,MATCH($A197,Index!$A$1:$A$77,0)),"")</f>
        <v>TB</v>
      </c>
      <c r="AV197" s="123" t="str">
        <f>IF(B197&lt;&gt;"",INDEX(Index!$C$1:$C$77,MATCH($A197,Index!$A$1:$A$77,0)),"")</f>
        <v>Mayfield</v>
      </c>
      <c r="AW197" s="123">
        <f t="shared" si="4"/>
        <v>12</v>
      </c>
      <c r="AX197" s="113">
        <v>7</v>
      </c>
    </row>
    <row r="198" spans="1:50" x14ac:dyDescent="0.25">
      <c r="A198" s="95" t="s">
        <v>553</v>
      </c>
      <c r="B198" s="96">
        <v>2025</v>
      </c>
      <c r="C198" s="96">
        <v>7</v>
      </c>
      <c r="D198" s="115">
        <v>1.2499499999999999</v>
      </c>
      <c r="E198" s="115">
        <v>-0.56622300000000003</v>
      </c>
      <c r="F198" s="115">
        <v>0.21204999999999999</v>
      </c>
      <c r="G198" s="115">
        <v>152</v>
      </c>
      <c r="H198" s="115">
        <v>203</v>
      </c>
      <c r="I198" s="115">
        <v>0.74880000000000002</v>
      </c>
      <c r="J198" s="115">
        <v>9.6477000000000004</v>
      </c>
      <c r="K198" s="115">
        <v>1631</v>
      </c>
      <c r="L198" s="115">
        <v>8.0344999999999995</v>
      </c>
      <c r="M198" s="115">
        <v>15</v>
      </c>
      <c r="N198" s="115">
        <v>3</v>
      </c>
      <c r="O198" s="115">
        <v>13</v>
      </c>
      <c r="P198" s="115">
        <v>6</v>
      </c>
      <c r="Q198" s="115">
        <v>27</v>
      </c>
      <c r="R198" s="115">
        <v>4.5</v>
      </c>
      <c r="S198" s="115">
        <v>0</v>
      </c>
      <c r="T198" s="115">
        <v>7.3899999999999993E-2</v>
      </c>
      <c r="U198" s="115">
        <v>1.4800000000000001E-2</v>
      </c>
      <c r="V198" s="115">
        <v>5.91E-2</v>
      </c>
      <c r="W198" s="115">
        <v>0.54549999999999998</v>
      </c>
      <c r="X198" s="115">
        <v>116.431</v>
      </c>
      <c r="Y198" s="115">
        <v>7.9954000000000001</v>
      </c>
      <c r="Z198" s="115">
        <v>221.32900000000001</v>
      </c>
      <c r="AA198" s="115">
        <v>66.599999999999994</v>
      </c>
      <c r="AB198" s="115">
        <v>52.707900000000002</v>
      </c>
      <c r="AC198" s="115">
        <v>0.22819999999999999</v>
      </c>
      <c r="AD198" s="115">
        <v>-2.7199999999999998E-2</v>
      </c>
      <c r="AE198" s="115">
        <v>-2.75E-2</v>
      </c>
      <c r="AF198" s="115">
        <v>1.5900000000000001E-2</v>
      </c>
      <c r="AG198" s="115">
        <v>2.8000000000000001E-2</v>
      </c>
      <c r="AH198" s="115">
        <v>-4.7000000000000002E-3</v>
      </c>
      <c r="AI198" s="115">
        <v>0.16830000000000001</v>
      </c>
      <c r="AJ198" s="115">
        <v>-1.4500000000000001E-2</v>
      </c>
      <c r="AK198" s="115">
        <v>6.5517000000000003</v>
      </c>
      <c r="AL198" s="115">
        <v>-1.5812999999999999</v>
      </c>
      <c r="AM198" s="115">
        <v>5</v>
      </c>
      <c r="AN198" s="115">
        <v>2</v>
      </c>
      <c r="AO198" s="115">
        <v>0</v>
      </c>
      <c r="AP198" s="115">
        <v>0</v>
      </c>
      <c r="AQ198" s="115">
        <v>0</v>
      </c>
      <c r="AR198" s="115"/>
      <c r="AS198" s="115">
        <v>4.8999999999999998E-3</v>
      </c>
      <c r="AT198" s="115">
        <v>1.1322000000000001</v>
      </c>
      <c r="AU198" s="114" t="str">
        <f>IF(A198&lt;&gt;"",INDEX(Index!$B$1:$B$77,MATCH($A198,Index!$A$1:$A$77,0)),"")</f>
        <v>DET</v>
      </c>
      <c r="AV198" s="123" t="str">
        <f>IF(B198&lt;&gt;"",INDEX(Index!$C$1:$C$77,MATCH($A198,Index!$A$1:$A$77,0)),"")</f>
        <v>Goff</v>
      </c>
      <c r="AW198" s="123">
        <f t="shared" si="4"/>
        <v>36</v>
      </c>
      <c r="AX198" s="113">
        <v>7</v>
      </c>
    </row>
    <row r="199" spans="1:50" x14ac:dyDescent="0.25">
      <c r="A199" s="95" t="s">
        <v>567</v>
      </c>
      <c r="B199" s="96">
        <v>2025</v>
      </c>
      <c r="C199" s="96">
        <v>7</v>
      </c>
      <c r="D199" s="115">
        <v>1.24475</v>
      </c>
      <c r="E199" s="115">
        <v>0.36680099999999999</v>
      </c>
      <c r="F199" s="115">
        <v>1.25339</v>
      </c>
      <c r="G199" s="115">
        <v>160</v>
      </c>
      <c r="H199" s="115">
        <v>240</v>
      </c>
      <c r="I199" s="115">
        <v>0.66669999999999996</v>
      </c>
      <c r="J199" s="115">
        <v>2.4077000000000002</v>
      </c>
      <c r="K199" s="115">
        <v>1866</v>
      </c>
      <c r="L199" s="115">
        <v>7.7750000000000004</v>
      </c>
      <c r="M199" s="115">
        <v>17</v>
      </c>
      <c r="N199" s="115">
        <v>2</v>
      </c>
      <c r="O199" s="115">
        <v>11</v>
      </c>
      <c r="P199" s="115">
        <v>5</v>
      </c>
      <c r="Q199" s="115">
        <v>11</v>
      </c>
      <c r="R199" s="115">
        <v>2.2000000000000002</v>
      </c>
      <c r="S199" s="115">
        <v>0</v>
      </c>
      <c r="T199" s="115">
        <v>7.0800000000000002E-2</v>
      </c>
      <c r="U199" s="115">
        <v>8.3000000000000001E-3</v>
      </c>
      <c r="V199" s="115">
        <v>6.25E-2</v>
      </c>
      <c r="W199" s="115">
        <v>0.51619999999999999</v>
      </c>
      <c r="X199" s="115">
        <v>110.17400000000001</v>
      </c>
      <c r="Y199" s="115">
        <v>8.1554000000000002</v>
      </c>
      <c r="Z199" s="115">
        <v>235.93100000000001</v>
      </c>
      <c r="AA199" s="115">
        <v>66</v>
      </c>
      <c r="AB199" s="115">
        <v>56.475999999999999</v>
      </c>
      <c r="AC199" s="115">
        <v>0.2039</v>
      </c>
      <c r="AD199" s="115">
        <v>-5.3699999999999998E-2</v>
      </c>
      <c r="AE199" s="115">
        <v>6.7000000000000002E-3</v>
      </c>
      <c r="AF199" s="115">
        <v>-2.2200000000000001E-2</v>
      </c>
      <c r="AG199" s="115">
        <v>4.5400000000000003E-2</v>
      </c>
      <c r="AH199" s="115">
        <v>0.14560000000000001</v>
      </c>
      <c r="AI199" s="115">
        <v>-2.86E-2</v>
      </c>
      <c r="AJ199" s="115">
        <v>2.1000000000000001E-2</v>
      </c>
      <c r="AK199" s="115">
        <v>8.8249999999999993</v>
      </c>
      <c r="AL199" s="115">
        <v>0.76670000000000005</v>
      </c>
      <c r="AM199" s="115">
        <v>5</v>
      </c>
      <c r="AN199" s="115">
        <v>2</v>
      </c>
      <c r="AO199" s="115">
        <v>0</v>
      </c>
      <c r="AP199" s="115">
        <v>1</v>
      </c>
      <c r="AQ199" s="115">
        <v>3</v>
      </c>
      <c r="AR199" s="115">
        <v>0.33329999999999999</v>
      </c>
      <c r="AS199" s="115">
        <v>7.3000000000000001E-3</v>
      </c>
      <c r="AT199" s="115">
        <v>2.0223</v>
      </c>
      <c r="AU199" s="114" t="str">
        <f>IF(A199&lt;&gt;"",INDEX(Index!$B$1:$B$77,MATCH($A199,Index!$A$1:$A$77,0)),"")</f>
        <v>LAR</v>
      </c>
      <c r="AV199" s="123" t="str">
        <f>IF(B199&lt;&gt;"",INDEX(Index!$C$1:$C$77,MATCH($A199,Index!$A$1:$A$77,0)),"")</f>
        <v>Stafford</v>
      </c>
      <c r="AW199" s="123">
        <f t="shared" si="4"/>
        <v>39</v>
      </c>
      <c r="AX199" s="113">
        <v>7</v>
      </c>
    </row>
    <row r="200" spans="1:50" x14ac:dyDescent="0.25">
      <c r="A200" s="95" t="s">
        <v>558</v>
      </c>
      <c r="B200" s="96">
        <v>2025</v>
      </c>
      <c r="C200" s="96">
        <v>6</v>
      </c>
      <c r="D200" s="115">
        <v>1.1338900000000001</v>
      </c>
      <c r="E200" s="115">
        <v>0.18340500000000001</v>
      </c>
      <c r="F200" s="115">
        <v>-0.25448999999999999</v>
      </c>
      <c r="G200" s="115">
        <v>118</v>
      </c>
      <c r="H200" s="115">
        <v>172</v>
      </c>
      <c r="I200" s="115">
        <v>0.68600000000000005</v>
      </c>
      <c r="J200" s="115">
        <v>4.3094999999999999</v>
      </c>
      <c r="K200" s="115">
        <v>1270</v>
      </c>
      <c r="L200" s="115">
        <v>7.3837000000000002</v>
      </c>
      <c r="M200" s="115">
        <v>14</v>
      </c>
      <c r="N200" s="115">
        <v>5</v>
      </c>
      <c r="O200" s="115">
        <v>9</v>
      </c>
      <c r="P200" s="115">
        <v>5</v>
      </c>
      <c r="Q200" s="115">
        <v>23</v>
      </c>
      <c r="R200" s="115">
        <v>4.5999999999999996</v>
      </c>
      <c r="S200" s="115">
        <v>0</v>
      </c>
      <c r="T200" s="115">
        <v>8.14E-2</v>
      </c>
      <c r="U200" s="115">
        <v>2.9100000000000001E-2</v>
      </c>
      <c r="V200" s="115">
        <v>5.2299999999999999E-2</v>
      </c>
      <c r="W200" s="115">
        <v>0.4667</v>
      </c>
      <c r="X200" s="115">
        <v>105.039</v>
      </c>
      <c r="Y200" s="115">
        <v>6.9668999999999999</v>
      </c>
      <c r="Z200" s="115">
        <v>186.28100000000001</v>
      </c>
      <c r="AA200" s="115">
        <v>55</v>
      </c>
      <c r="AB200" s="115">
        <v>36.938699999999997</v>
      </c>
      <c r="AC200" s="115">
        <v>0.18940000000000001</v>
      </c>
      <c r="AD200" s="115">
        <v>-3.1199999999999999E-2</v>
      </c>
      <c r="AE200" s="115">
        <v>3.6499999999999998E-2</v>
      </c>
      <c r="AF200" s="115">
        <v>1.41E-2</v>
      </c>
      <c r="AG200" s="115">
        <v>-1.54E-2</v>
      </c>
      <c r="AH200" s="115">
        <v>-0.1236</v>
      </c>
      <c r="AI200" s="115">
        <v>0.20430000000000001</v>
      </c>
      <c r="AJ200" s="115">
        <v>1.4800000000000001E-2</v>
      </c>
      <c r="AK200" s="115">
        <v>6.0872000000000002</v>
      </c>
      <c r="AL200" s="115">
        <v>-3.3022999999999998</v>
      </c>
      <c r="AM200" s="115">
        <v>4</v>
      </c>
      <c r="AN200" s="115">
        <v>2</v>
      </c>
      <c r="AO200" s="115">
        <v>0</v>
      </c>
      <c r="AP200" s="115">
        <v>1</v>
      </c>
      <c r="AQ200" s="115">
        <v>2</v>
      </c>
      <c r="AR200" s="115">
        <v>0.5</v>
      </c>
      <c r="AS200" s="115">
        <v>5.1999999999999998E-3</v>
      </c>
      <c r="AT200" s="115">
        <v>1.0168999999999999</v>
      </c>
      <c r="AU200" s="114" t="str">
        <f>IF(A200&lt;&gt;"",INDEX(Index!$B$1:$B$77,MATCH($A200,Index!$A$1:$A$77,0)),"")</f>
        <v>GB</v>
      </c>
      <c r="AV200" s="123" t="str">
        <f>IF(B200&lt;&gt;"",INDEX(Index!$C$1:$C$77,MATCH($A200,Index!$A$1:$A$77,0)),"")</f>
        <v>Rodgers</v>
      </c>
      <c r="AW200" s="123">
        <f t="shared" si="4"/>
        <v>37</v>
      </c>
      <c r="AX200" s="113">
        <v>7</v>
      </c>
    </row>
    <row r="201" spans="1:50" x14ac:dyDescent="0.25">
      <c r="A201" s="95" t="s">
        <v>557</v>
      </c>
      <c r="B201" s="96">
        <v>2025</v>
      </c>
      <c r="C201" s="96">
        <v>2</v>
      </c>
      <c r="D201" s="115">
        <v>0.97246999999999995</v>
      </c>
      <c r="E201" s="115">
        <v>-0.72667099999999996</v>
      </c>
      <c r="F201" s="115">
        <v>-1.3634200000000001</v>
      </c>
      <c r="G201" s="115">
        <v>21</v>
      </c>
      <c r="H201" s="115">
        <v>36</v>
      </c>
      <c r="I201" s="115">
        <v>0.58330000000000004</v>
      </c>
      <c r="J201" s="115">
        <v>-1.5459000000000001</v>
      </c>
      <c r="K201" s="115">
        <v>189</v>
      </c>
      <c r="L201" s="115">
        <v>5.25</v>
      </c>
      <c r="M201" s="115">
        <v>2</v>
      </c>
      <c r="N201" s="115">
        <v>0</v>
      </c>
      <c r="O201" s="115">
        <v>5</v>
      </c>
      <c r="P201" s="115">
        <v>2</v>
      </c>
      <c r="Q201" s="115">
        <v>3</v>
      </c>
      <c r="R201" s="115">
        <v>1.5</v>
      </c>
      <c r="S201" s="115">
        <v>0</v>
      </c>
      <c r="T201" s="115">
        <v>5.5599999999999997E-2</v>
      </c>
      <c r="U201" s="115">
        <v>0</v>
      </c>
      <c r="V201" s="115">
        <v>5.5599999999999997E-2</v>
      </c>
      <c r="W201" s="115">
        <v>0.43480000000000002</v>
      </c>
      <c r="X201" s="115">
        <v>91.087999999999994</v>
      </c>
      <c r="Y201" s="115">
        <v>4.9512</v>
      </c>
      <c r="Z201" s="115">
        <v>25.4618</v>
      </c>
      <c r="AA201" s="115">
        <v>57.6</v>
      </c>
      <c r="AB201" s="115">
        <v>-0.90390000000000004</v>
      </c>
      <c r="AC201" s="115">
        <v>-1.9599999999999999E-2</v>
      </c>
      <c r="AD201" s="115">
        <v>-7.0000000000000007E-2</v>
      </c>
      <c r="AE201" s="115">
        <v>-4.7300000000000002E-2</v>
      </c>
      <c r="AF201" s="115">
        <v>-5.7099999999999998E-2</v>
      </c>
      <c r="AG201" s="115">
        <v>7.0999999999999994E-2</v>
      </c>
      <c r="AH201" s="115">
        <v>0.19650000000000001</v>
      </c>
      <c r="AI201" s="115">
        <v>-0.19570000000000001</v>
      </c>
      <c r="AJ201" s="115">
        <v>-6.8999999999999999E-3</v>
      </c>
      <c r="AK201" s="115">
        <v>6.8611000000000004</v>
      </c>
      <c r="AL201" s="115">
        <v>-1.0832999999999999</v>
      </c>
      <c r="AM201" s="115">
        <v>2</v>
      </c>
      <c r="AN201" s="115">
        <v>0</v>
      </c>
      <c r="AO201" s="115">
        <v>0</v>
      </c>
      <c r="AP201" s="115">
        <v>0</v>
      </c>
      <c r="AQ201" s="115">
        <v>0</v>
      </c>
      <c r="AR201" s="115"/>
      <c r="AS201" s="115">
        <v>1.6000000000000001E-3</v>
      </c>
      <c r="AT201" s="115">
        <v>7.4800000000000005E-2</v>
      </c>
      <c r="AU201" s="114" t="str">
        <f>IF(A201&lt;&gt;"",INDEX(Index!$B$1:$B$77,MATCH($A201,Index!$A$1:$A$77,0)),"")</f>
        <v>CIN</v>
      </c>
      <c r="AV201" s="123" t="str">
        <f>IF(B201&lt;&gt;"",INDEX(Index!$C$1:$C$77,MATCH($A201,Index!$A$1:$A$77,0)),"")</f>
        <v>Burrow</v>
      </c>
      <c r="AW201" s="123">
        <f t="shared" si="4"/>
        <v>40</v>
      </c>
      <c r="AX201" s="113">
        <v>7</v>
      </c>
    </row>
    <row r="202" spans="1:50" x14ac:dyDescent="0.25">
      <c r="A202" s="95" t="s">
        <v>570</v>
      </c>
      <c r="B202" s="96">
        <v>2025</v>
      </c>
      <c r="C202" s="96">
        <v>7</v>
      </c>
      <c r="D202" s="115">
        <v>0.90152100000000002</v>
      </c>
      <c r="E202" s="115">
        <v>0.43357400000000001</v>
      </c>
      <c r="F202" s="115">
        <v>1.6301099999999999</v>
      </c>
      <c r="G202" s="115">
        <v>152</v>
      </c>
      <c r="H202" s="115">
        <v>202</v>
      </c>
      <c r="I202" s="115">
        <v>0.75249999999999995</v>
      </c>
      <c r="J202" s="115">
        <v>11.559799999999999</v>
      </c>
      <c r="K202" s="115">
        <v>1744</v>
      </c>
      <c r="L202" s="115">
        <v>8.6336999999999993</v>
      </c>
      <c r="M202" s="115">
        <v>12</v>
      </c>
      <c r="N202" s="115">
        <v>2</v>
      </c>
      <c r="O202" s="115">
        <v>22</v>
      </c>
      <c r="P202" s="115">
        <v>36</v>
      </c>
      <c r="Q202" s="115">
        <v>207</v>
      </c>
      <c r="R202" s="115">
        <v>5.75</v>
      </c>
      <c r="S202" s="115">
        <v>2</v>
      </c>
      <c r="T202" s="115">
        <v>5.9400000000000001E-2</v>
      </c>
      <c r="U202" s="115">
        <v>9.9000000000000008E-3</v>
      </c>
      <c r="V202" s="115">
        <v>4.9500000000000002E-2</v>
      </c>
      <c r="W202" s="115">
        <v>0.53090000000000004</v>
      </c>
      <c r="X202" s="115">
        <v>116.44</v>
      </c>
      <c r="Y202" s="115">
        <v>8.1115999999999993</v>
      </c>
      <c r="Z202" s="115">
        <v>235.08</v>
      </c>
      <c r="AA202" s="115">
        <v>76.8</v>
      </c>
      <c r="AB202" s="115">
        <v>86.328299999999999</v>
      </c>
      <c r="AC202" s="115">
        <v>0.31390000000000001</v>
      </c>
      <c r="AD202" s="115">
        <v>1.41E-2</v>
      </c>
      <c r="AE202" s="115">
        <v>-1.35E-2</v>
      </c>
      <c r="AF202" s="115">
        <v>7.1400000000000005E-2</v>
      </c>
      <c r="AG202" s="115">
        <v>4.1500000000000002E-2</v>
      </c>
      <c r="AH202" s="115">
        <v>0.14319999999999999</v>
      </c>
      <c r="AI202" s="115">
        <v>-2.8899999999999999E-2</v>
      </c>
      <c r="AJ202" s="115">
        <v>-3.7000000000000002E-3</v>
      </c>
      <c r="AK202" s="115">
        <v>7.4702999999999999</v>
      </c>
      <c r="AL202" s="115">
        <v>-1.5347</v>
      </c>
      <c r="AM202" s="115">
        <v>5</v>
      </c>
      <c r="AN202" s="115">
        <v>2</v>
      </c>
      <c r="AO202" s="115">
        <v>0</v>
      </c>
      <c r="AP202" s="115">
        <v>0</v>
      </c>
      <c r="AQ202" s="115">
        <v>2</v>
      </c>
      <c r="AR202" s="115">
        <v>0</v>
      </c>
      <c r="AS202" s="115">
        <v>8.6999999999999994E-3</v>
      </c>
      <c r="AT202" s="115">
        <v>2.3877000000000002</v>
      </c>
      <c r="AU202" s="114" t="str">
        <f>IF(A202&lt;&gt;"",INDEX(Index!$B$1:$B$77,MATCH($A202,Index!$A$1:$A$77,0)),"")</f>
        <v>NE</v>
      </c>
      <c r="AV202" s="123" t="str">
        <f>IF(B202&lt;&gt;"",INDEX(Index!$C$1:$C$77,MATCH($A202,Index!$A$1:$A$77,0)),"")</f>
        <v>Maye</v>
      </c>
      <c r="AW202" s="123">
        <f t="shared" si="4"/>
        <v>5</v>
      </c>
      <c r="AX202" s="113">
        <v>7</v>
      </c>
    </row>
    <row r="203" spans="1:50" x14ac:dyDescent="0.25">
      <c r="A203" s="95" t="s">
        <v>562</v>
      </c>
      <c r="B203" s="96">
        <v>2025</v>
      </c>
      <c r="C203" s="96">
        <v>5</v>
      </c>
      <c r="D203" s="115">
        <v>0.80156899999999998</v>
      </c>
      <c r="E203" s="115">
        <v>-0.20914199999999999</v>
      </c>
      <c r="F203" s="115">
        <v>-0.309251</v>
      </c>
      <c r="G203" s="115">
        <v>89</v>
      </c>
      <c r="H203" s="115">
        <v>144</v>
      </c>
      <c r="I203" s="115">
        <v>0.61809999999999998</v>
      </c>
      <c r="J203" s="115">
        <v>-2.0165000000000002</v>
      </c>
      <c r="K203" s="115">
        <v>1031</v>
      </c>
      <c r="L203" s="115">
        <v>7.1597</v>
      </c>
      <c r="M203" s="115">
        <v>8</v>
      </c>
      <c r="N203" s="115">
        <v>1</v>
      </c>
      <c r="O203" s="115">
        <v>13</v>
      </c>
      <c r="P203" s="115">
        <v>38</v>
      </c>
      <c r="Q203" s="115">
        <v>216</v>
      </c>
      <c r="R203" s="115">
        <v>5.6841999999999997</v>
      </c>
      <c r="S203" s="115">
        <v>1</v>
      </c>
      <c r="T203" s="115">
        <v>5.5599999999999997E-2</v>
      </c>
      <c r="U203" s="115">
        <v>6.8999999999999999E-3</v>
      </c>
      <c r="V203" s="115">
        <v>4.8599999999999997E-2</v>
      </c>
      <c r="W203" s="115">
        <v>0.4834</v>
      </c>
      <c r="X203" s="115">
        <v>99.045100000000005</v>
      </c>
      <c r="Y203" s="115">
        <v>6.9298999999999999</v>
      </c>
      <c r="Z203" s="115">
        <v>180.84200000000001</v>
      </c>
      <c r="AA203" s="115">
        <v>51.4</v>
      </c>
      <c r="AB203" s="115">
        <v>24.581399999999999</v>
      </c>
      <c r="AC203" s="115">
        <v>0.11650000000000001</v>
      </c>
      <c r="AD203" s="115">
        <v>1.0800000000000001E-2</v>
      </c>
      <c r="AE203" s="115">
        <v>5.4000000000000003E-3</v>
      </c>
      <c r="AF203" s="115">
        <v>-5.3800000000000001E-2</v>
      </c>
      <c r="AG203" s="115">
        <v>4.2700000000000002E-2</v>
      </c>
      <c r="AH203" s="115">
        <v>2.81E-2</v>
      </c>
      <c r="AI203" s="115">
        <v>-2.01E-2</v>
      </c>
      <c r="AJ203" s="115">
        <v>1.37E-2</v>
      </c>
      <c r="AK203" s="115">
        <v>8.3611000000000004</v>
      </c>
      <c r="AL203" s="115">
        <v>-0.44440000000000002</v>
      </c>
      <c r="AM203" s="115">
        <v>2</v>
      </c>
      <c r="AN203" s="115">
        <v>3</v>
      </c>
      <c r="AO203" s="115">
        <v>0</v>
      </c>
      <c r="AP203" s="115">
        <v>0</v>
      </c>
      <c r="AQ203" s="115">
        <v>0</v>
      </c>
      <c r="AR203" s="115"/>
      <c r="AS203" s="115">
        <v>3.7000000000000002E-3</v>
      </c>
      <c r="AT203" s="115">
        <v>0.77780000000000005</v>
      </c>
      <c r="AU203" s="114" t="str">
        <f>IF(A203&lt;&gt;"",INDEX(Index!$B$1:$B$77,MATCH($A203,Index!$A$1:$A$77,0)),"")</f>
        <v>WAS</v>
      </c>
      <c r="AV203" s="123" t="str">
        <f>IF(B203&lt;&gt;"",INDEX(Index!$C$1:$C$77,MATCH($A203,Index!$A$1:$A$77,0)),"")</f>
        <v>Daniels</v>
      </c>
      <c r="AW203" s="123">
        <f t="shared" si="4"/>
        <v>4</v>
      </c>
      <c r="AX203" s="113">
        <v>7</v>
      </c>
    </row>
    <row r="204" spans="1:50" x14ac:dyDescent="0.25">
      <c r="A204" s="95" t="s">
        <v>568</v>
      </c>
      <c r="B204" s="96">
        <v>2025</v>
      </c>
      <c r="C204" s="96">
        <v>7</v>
      </c>
      <c r="D204" s="115">
        <v>0.66376800000000002</v>
      </c>
      <c r="E204" s="115">
        <v>0.34983500000000001</v>
      </c>
      <c r="F204" s="115">
        <v>2.3384499999999999</v>
      </c>
      <c r="G204" s="115">
        <v>152</v>
      </c>
      <c r="H204" s="115">
        <v>213</v>
      </c>
      <c r="I204" s="115">
        <v>0.71360000000000001</v>
      </c>
      <c r="J204" s="115">
        <v>4.0381999999999998</v>
      </c>
      <c r="K204" s="115">
        <v>1790</v>
      </c>
      <c r="L204" s="115">
        <v>8.4038000000000004</v>
      </c>
      <c r="M204" s="115">
        <v>10</v>
      </c>
      <c r="N204" s="115">
        <v>3</v>
      </c>
      <c r="O204" s="115">
        <v>6</v>
      </c>
      <c r="P204" s="115">
        <v>22</v>
      </c>
      <c r="Q204" s="115">
        <v>86</v>
      </c>
      <c r="R204" s="115">
        <v>3.9091</v>
      </c>
      <c r="S204" s="115">
        <v>4</v>
      </c>
      <c r="T204" s="115">
        <v>4.6899999999999997E-2</v>
      </c>
      <c r="U204" s="115">
        <v>1.41E-2</v>
      </c>
      <c r="V204" s="115">
        <v>3.2899999999999999E-2</v>
      </c>
      <c r="W204" s="115">
        <v>0.56130000000000002</v>
      </c>
      <c r="X204" s="115">
        <v>106.348</v>
      </c>
      <c r="Y204" s="115">
        <v>8.2510999999999992</v>
      </c>
      <c r="Z204" s="115">
        <v>261.90100000000001</v>
      </c>
      <c r="AA204" s="115">
        <v>80.2</v>
      </c>
      <c r="AB204" s="115">
        <v>78.141000000000005</v>
      </c>
      <c r="AC204" s="115">
        <v>0.30890000000000001</v>
      </c>
      <c r="AD204" s="115">
        <v>1.3100000000000001E-2</v>
      </c>
      <c r="AE204" s="115">
        <v>6.4000000000000001E-2</v>
      </c>
      <c r="AF204" s="115">
        <v>4.3799999999999999E-2</v>
      </c>
      <c r="AG204" s="115">
        <v>2.18E-2</v>
      </c>
      <c r="AH204" s="115">
        <v>1.34E-2</v>
      </c>
      <c r="AI204" s="115">
        <v>7.4399999999999994E-2</v>
      </c>
      <c r="AJ204" s="115">
        <v>-1.1599999999999999E-2</v>
      </c>
      <c r="AK204" s="115">
        <v>8.3427000000000007</v>
      </c>
      <c r="AL204" s="115">
        <v>-0.49299999999999999</v>
      </c>
      <c r="AM204" s="115">
        <v>6</v>
      </c>
      <c r="AN204" s="115">
        <v>1</v>
      </c>
      <c r="AO204" s="115">
        <v>0</v>
      </c>
      <c r="AP204" s="115">
        <v>2</v>
      </c>
      <c r="AQ204" s="115">
        <v>3</v>
      </c>
      <c r="AR204" s="115">
        <v>0.66669999999999996</v>
      </c>
      <c r="AS204" s="115">
        <v>7.4000000000000003E-3</v>
      </c>
      <c r="AT204" s="115">
        <v>1.8646</v>
      </c>
      <c r="AU204" s="114" t="str">
        <f>IF(A204&lt;&gt;"",INDEX(Index!$B$1:$B$77,MATCH($A204,Index!$A$1:$A$77,0)),"")</f>
        <v>IND</v>
      </c>
      <c r="AV204" s="123" t="str">
        <f>IF(B204&lt;&gt;"",INDEX(Index!$C$1:$C$77,MATCH($A204,Index!$A$1:$A$77,0)),"")</f>
        <v>Jones</v>
      </c>
      <c r="AW204" s="123">
        <f t="shared" si="4"/>
        <v>20</v>
      </c>
      <c r="AX204" s="113">
        <v>7</v>
      </c>
    </row>
    <row r="205" spans="1:50" x14ac:dyDescent="0.25">
      <c r="A205" s="95" t="s">
        <v>560</v>
      </c>
      <c r="B205" s="96">
        <v>2025</v>
      </c>
      <c r="C205" s="96">
        <v>2</v>
      </c>
      <c r="D205" s="115">
        <v>0.64551000000000003</v>
      </c>
      <c r="E205" s="115">
        <v>-0.12831300000000001</v>
      </c>
      <c r="F205" s="115">
        <v>-1.32458E-2</v>
      </c>
      <c r="G205" s="115">
        <v>48</v>
      </c>
      <c r="H205" s="115">
        <v>73</v>
      </c>
      <c r="I205" s="115">
        <v>0.65749999999999997</v>
      </c>
      <c r="J205" s="115">
        <v>3.0061</v>
      </c>
      <c r="K205" s="115">
        <v>586</v>
      </c>
      <c r="L205" s="115">
        <v>8.0274000000000001</v>
      </c>
      <c r="M205" s="115">
        <v>4</v>
      </c>
      <c r="N205" s="115">
        <v>4</v>
      </c>
      <c r="O205" s="115">
        <v>2</v>
      </c>
      <c r="P205" s="115">
        <v>5</v>
      </c>
      <c r="Q205" s="115">
        <v>32</v>
      </c>
      <c r="R205" s="115">
        <v>6.4</v>
      </c>
      <c r="S205" s="115">
        <v>0</v>
      </c>
      <c r="T205" s="115">
        <v>5.4800000000000001E-2</v>
      </c>
      <c r="U205" s="115">
        <v>5.4800000000000001E-2</v>
      </c>
      <c r="V205" s="115">
        <v>0</v>
      </c>
      <c r="W205" s="115">
        <v>0.57650000000000001</v>
      </c>
      <c r="X205" s="115">
        <v>85.759100000000004</v>
      </c>
      <c r="Y205" s="115">
        <v>6.28</v>
      </c>
      <c r="Z205" s="115">
        <v>190.423</v>
      </c>
      <c r="AA205" s="115">
        <v>67.099999999999994</v>
      </c>
      <c r="AB205" s="115">
        <v>16.7165</v>
      </c>
      <c r="AC205" s="115">
        <v>0.19670000000000001</v>
      </c>
      <c r="AD205" s="115">
        <v>-5.1000000000000004E-3</v>
      </c>
      <c r="AE205" s="115">
        <v>2.5499999999999998E-2</v>
      </c>
      <c r="AF205" s="115">
        <v>-4.4999999999999997E-3</v>
      </c>
      <c r="AG205" s="115">
        <v>-0.122</v>
      </c>
      <c r="AH205" s="115">
        <v>0.16489999999999999</v>
      </c>
      <c r="AI205" s="115">
        <v>2.98E-2</v>
      </c>
      <c r="AJ205" s="115">
        <v>1.83E-2</v>
      </c>
      <c r="AK205" s="115">
        <v>7.7534000000000001</v>
      </c>
      <c r="AL205" s="115">
        <v>-0.39729999999999999</v>
      </c>
      <c r="AM205" s="115">
        <v>1</v>
      </c>
      <c r="AN205" s="115">
        <v>1</v>
      </c>
      <c r="AO205" s="115">
        <v>0</v>
      </c>
      <c r="AP205" s="115">
        <v>1</v>
      </c>
      <c r="AQ205" s="115">
        <v>2</v>
      </c>
      <c r="AR205" s="115">
        <v>0.5</v>
      </c>
      <c r="AS205" s="115">
        <v>8.0999999999999996E-3</v>
      </c>
      <c r="AT205" s="115">
        <v>0.68879999999999997</v>
      </c>
      <c r="AU205" s="114" t="str">
        <f>IF(A205&lt;&gt;"",INDEX(Index!$B$1:$B$77,MATCH($A205,Index!$A$1:$A$77,0)),"")</f>
        <v>SF</v>
      </c>
      <c r="AV205" s="123" t="str">
        <f>IF(B205&lt;&gt;"",INDEX(Index!$C$1:$C$77,MATCH($A205,Index!$A$1:$A$77,0)),"")</f>
        <v>Purdy</v>
      </c>
      <c r="AW205" s="123">
        <f t="shared" si="4"/>
        <v>34</v>
      </c>
      <c r="AX205" s="113">
        <v>7</v>
      </c>
    </row>
    <row r="206" spans="1:50" x14ac:dyDescent="0.25">
      <c r="A206" s="95" t="s">
        <v>563</v>
      </c>
      <c r="B206" s="96">
        <v>2025</v>
      </c>
      <c r="C206" s="96">
        <v>7</v>
      </c>
      <c r="D206" s="115">
        <v>0.54788300000000001</v>
      </c>
      <c r="E206" s="115">
        <v>0.42619099999999999</v>
      </c>
      <c r="F206" s="115">
        <v>0.61363800000000002</v>
      </c>
      <c r="G206" s="115">
        <v>183</v>
      </c>
      <c r="H206" s="115">
        <v>271</v>
      </c>
      <c r="I206" s="115">
        <v>0.67530000000000001</v>
      </c>
      <c r="J206" s="115">
        <v>1.5192000000000001</v>
      </c>
      <c r="K206" s="115">
        <v>1913</v>
      </c>
      <c r="L206" s="115">
        <v>7.0590000000000002</v>
      </c>
      <c r="M206" s="115">
        <v>13</v>
      </c>
      <c r="N206" s="115">
        <v>6</v>
      </c>
      <c r="O206" s="115">
        <v>20</v>
      </c>
      <c r="P206" s="115">
        <v>22</v>
      </c>
      <c r="Q206" s="115">
        <v>193</v>
      </c>
      <c r="R206" s="115">
        <v>8.7727000000000004</v>
      </c>
      <c r="S206" s="115">
        <v>0</v>
      </c>
      <c r="T206" s="115">
        <v>4.8000000000000001E-2</v>
      </c>
      <c r="U206" s="115">
        <v>2.2100000000000002E-2</v>
      </c>
      <c r="V206" s="115">
        <v>2.58E-2</v>
      </c>
      <c r="W206" s="115">
        <v>0.48630000000000001</v>
      </c>
      <c r="X206" s="115">
        <v>94.534099999999995</v>
      </c>
      <c r="Y206" s="115">
        <v>6.1237000000000004</v>
      </c>
      <c r="Z206" s="115">
        <v>203.05500000000001</v>
      </c>
      <c r="AA206" s="115">
        <v>63.1</v>
      </c>
      <c r="AB206" s="115">
        <v>30.85</v>
      </c>
      <c r="AC206" s="115">
        <v>9.3799999999999994E-2</v>
      </c>
      <c r="AD206" s="115">
        <v>2.41E-2</v>
      </c>
      <c r="AE206" s="115">
        <v>1.2999999999999999E-3</v>
      </c>
      <c r="AF206" s="115">
        <v>8.6E-3</v>
      </c>
      <c r="AG206" s="115">
        <v>-2.63E-2</v>
      </c>
      <c r="AH206" s="115">
        <v>1.9E-2</v>
      </c>
      <c r="AI206" s="115">
        <v>-1.7100000000000001E-2</v>
      </c>
      <c r="AJ206" s="115">
        <v>-5.7000000000000002E-3</v>
      </c>
      <c r="AK206" s="115">
        <v>7.6052</v>
      </c>
      <c r="AL206" s="115">
        <v>-1.3985000000000001</v>
      </c>
      <c r="AM206" s="115">
        <v>4</v>
      </c>
      <c r="AN206" s="115">
        <v>3</v>
      </c>
      <c r="AO206" s="115">
        <v>0</v>
      </c>
      <c r="AP206" s="115">
        <v>2</v>
      </c>
      <c r="AQ206" s="115">
        <v>3</v>
      </c>
      <c r="AR206" s="115">
        <v>0.66669999999999996</v>
      </c>
      <c r="AS206" s="115">
        <v>3.3E-3</v>
      </c>
      <c r="AT206" s="115">
        <v>1.0944</v>
      </c>
      <c r="AU206" s="114" t="str">
        <f>IF(A206&lt;&gt;"",INDEX(Index!$B$1:$B$77,MATCH($A206,Index!$A$1:$A$77,0)),"")</f>
        <v>LAC</v>
      </c>
      <c r="AV206" s="123" t="str">
        <f>IF(B206&lt;&gt;"",INDEX(Index!$C$1:$C$77,MATCH($A206,Index!$A$1:$A$77,0)),"")</f>
        <v>Herbert</v>
      </c>
      <c r="AW206" s="123">
        <f t="shared" si="4"/>
        <v>7</v>
      </c>
      <c r="AX206" s="113">
        <v>7</v>
      </c>
    </row>
    <row r="207" spans="1:50" x14ac:dyDescent="0.25">
      <c r="A207" s="95" t="s">
        <v>566</v>
      </c>
      <c r="B207" s="96">
        <v>2025</v>
      </c>
      <c r="C207" s="96">
        <v>6</v>
      </c>
      <c r="D207" s="115">
        <v>0.539211</v>
      </c>
      <c r="E207" s="115">
        <v>-0.101481</v>
      </c>
      <c r="F207" s="115">
        <v>0.76268100000000005</v>
      </c>
      <c r="G207" s="115">
        <v>122</v>
      </c>
      <c r="H207" s="115">
        <v>176</v>
      </c>
      <c r="I207" s="115">
        <v>0.69320000000000004</v>
      </c>
      <c r="J207" s="115">
        <v>6.8826999999999998</v>
      </c>
      <c r="K207" s="115">
        <v>1438</v>
      </c>
      <c r="L207" s="115">
        <v>8.1705000000000005</v>
      </c>
      <c r="M207" s="115">
        <v>10</v>
      </c>
      <c r="N207" s="115">
        <v>2</v>
      </c>
      <c r="O207" s="115">
        <v>10</v>
      </c>
      <c r="P207" s="115">
        <v>17</v>
      </c>
      <c r="Q207" s="115">
        <v>116</v>
      </c>
      <c r="R207" s="115">
        <v>6.8235000000000001</v>
      </c>
      <c r="S207" s="115">
        <v>0</v>
      </c>
      <c r="T207" s="115">
        <v>5.6800000000000003E-2</v>
      </c>
      <c r="U207" s="115">
        <v>1.14E-2</v>
      </c>
      <c r="V207" s="115">
        <v>4.5499999999999999E-2</v>
      </c>
      <c r="W207" s="115">
        <v>0.54790000000000005</v>
      </c>
      <c r="X207" s="115">
        <v>108.09699999999999</v>
      </c>
      <c r="Y207" s="115">
        <v>7.8762999999999996</v>
      </c>
      <c r="Z207" s="115">
        <v>215.23099999999999</v>
      </c>
      <c r="AA207" s="115">
        <v>70.3</v>
      </c>
      <c r="AB207" s="115">
        <v>72.920100000000005</v>
      </c>
      <c r="AC207" s="115">
        <v>0.33300000000000002</v>
      </c>
      <c r="AD207" s="115">
        <v>2.9399999999999999E-2</v>
      </c>
      <c r="AE207" s="115">
        <v>1.6400000000000001E-2</v>
      </c>
      <c r="AF207" s="115">
        <v>2.0199999999999999E-2</v>
      </c>
      <c r="AG207" s="115">
        <v>1.89E-2</v>
      </c>
      <c r="AH207" s="115">
        <v>5.28E-2</v>
      </c>
      <c r="AI207" s="115">
        <v>9.35E-2</v>
      </c>
      <c r="AJ207" s="115">
        <v>1.1900000000000001E-2</v>
      </c>
      <c r="AK207" s="115">
        <v>7.9545000000000003</v>
      </c>
      <c r="AL207" s="115">
        <v>-0.80110000000000003</v>
      </c>
      <c r="AM207" s="115">
        <v>4</v>
      </c>
      <c r="AN207" s="115">
        <v>1</v>
      </c>
      <c r="AO207" s="115">
        <v>1</v>
      </c>
      <c r="AP207" s="115">
        <v>1</v>
      </c>
      <c r="AQ207" s="115">
        <v>2</v>
      </c>
      <c r="AR207" s="115">
        <v>0.5</v>
      </c>
      <c r="AS207" s="115">
        <v>1.17E-2</v>
      </c>
      <c r="AT207" s="115">
        <v>2.5659000000000001</v>
      </c>
      <c r="AU207" s="114" t="str">
        <f>IF(A207&lt;&gt;"",INDEX(Index!$B$1:$B$77,MATCH($A207,Index!$A$1:$A$77,0)),"")</f>
        <v>GB</v>
      </c>
      <c r="AV207" s="123" t="str">
        <f>IF(B207&lt;&gt;"",INDEX(Index!$C$1:$C$77,MATCH($A207,Index!$A$1:$A$77,0)),"")</f>
        <v>Love</v>
      </c>
      <c r="AW207" s="123">
        <f t="shared" si="4"/>
        <v>16</v>
      </c>
      <c r="AX207" s="113">
        <v>7</v>
      </c>
    </row>
    <row r="208" spans="1:50" x14ac:dyDescent="0.25">
      <c r="A208" s="95" t="s">
        <v>556</v>
      </c>
      <c r="B208" s="96">
        <v>2025</v>
      </c>
      <c r="C208" s="96">
        <v>5</v>
      </c>
      <c r="D208" s="115">
        <v>0.51619300000000001</v>
      </c>
      <c r="E208" s="115">
        <v>3.6627199999999999E-2</v>
      </c>
      <c r="F208" s="115">
        <v>-0.83574700000000002</v>
      </c>
      <c r="G208" s="115">
        <v>110</v>
      </c>
      <c r="H208" s="115">
        <v>161</v>
      </c>
      <c r="I208" s="115">
        <v>0.68320000000000003</v>
      </c>
      <c r="J208" s="115">
        <v>-0.52880000000000005</v>
      </c>
      <c r="K208" s="115">
        <v>962</v>
      </c>
      <c r="L208" s="115">
        <v>5.9752000000000001</v>
      </c>
      <c r="M208" s="115">
        <v>6</v>
      </c>
      <c r="N208" s="115">
        <v>3</v>
      </c>
      <c r="O208" s="115">
        <v>16</v>
      </c>
      <c r="P208" s="115">
        <v>27</v>
      </c>
      <c r="Q208" s="115">
        <v>175</v>
      </c>
      <c r="R208" s="115">
        <v>6.4814999999999996</v>
      </c>
      <c r="S208" s="115">
        <v>1</v>
      </c>
      <c r="T208" s="115">
        <v>3.73E-2</v>
      </c>
      <c r="U208" s="115">
        <v>1.8599999999999998E-2</v>
      </c>
      <c r="V208" s="115">
        <v>1.8599999999999998E-2</v>
      </c>
      <c r="W208" s="115">
        <v>0.45</v>
      </c>
      <c r="X208" s="115">
        <v>88.573999999999998</v>
      </c>
      <c r="Y208" s="115">
        <v>4.7232000000000003</v>
      </c>
      <c r="Z208" s="115">
        <v>151.27199999999999</v>
      </c>
      <c r="AA208" s="115">
        <v>44.5</v>
      </c>
      <c r="AB208" s="115">
        <v>23.545000000000002</v>
      </c>
      <c r="AC208" s="115">
        <v>0.107</v>
      </c>
      <c r="AD208" s="115">
        <v>4.7000000000000002E-3</v>
      </c>
      <c r="AE208" s="115">
        <v>-3.0999999999999999E-3</v>
      </c>
      <c r="AF208" s="115">
        <v>3.8600000000000002E-2</v>
      </c>
      <c r="AG208" s="115">
        <v>2.9399999999999999E-2</v>
      </c>
      <c r="AH208" s="115">
        <v>-9.5600000000000004E-2</v>
      </c>
      <c r="AI208" s="115">
        <v>2.7199999999999998E-2</v>
      </c>
      <c r="AJ208" s="115">
        <v>1.6299999999999999E-2</v>
      </c>
      <c r="AK208" s="115">
        <v>5.8446999999999996</v>
      </c>
      <c r="AL208" s="115">
        <v>-3.0682999999999998</v>
      </c>
      <c r="AM208" s="115">
        <v>2</v>
      </c>
      <c r="AN208" s="115">
        <v>3</v>
      </c>
      <c r="AO208" s="115">
        <v>0</v>
      </c>
      <c r="AP208" s="115">
        <v>0</v>
      </c>
      <c r="AQ208" s="115">
        <v>2</v>
      </c>
      <c r="AR208" s="115">
        <v>0</v>
      </c>
      <c r="AS208" s="115">
        <v>4.1999999999999997E-3</v>
      </c>
      <c r="AT208" s="115">
        <v>0.92720000000000002</v>
      </c>
      <c r="AU208" s="114" t="str">
        <f>IF(A208&lt;&gt;"",INDEX(Index!$B$1:$B$77,MATCH($A208,Index!$A$1:$A$77,0)),"")</f>
        <v>ARI</v>
      </c>
      <c r="AV208" s="123" t="str">
        <f>IF(B208&lt;&gt;"",INDEX(Index!$C$1:$C$77,MATCH($A208,Index!$A$1:$A$77,0)),"")</f>
        <v>Murray</v>
      </c>
      <c r="AW208" s="123">
        <f t="shared" si="4"/>
        <v>10</v>
      </c>
      <c r="AX208" s="113">
        <v>7</v>
      </c>
    </row>
    <row r="209" spans="1:50" x14ac:dyDescent="0.25">
      <c r="A209" s="95" t="s">
        <v>573</v>
      </c>
      <c r="B209" s="96">
        <v>2025</v>
      </c>
      <c r="C209" s="96">
        <v>7</v>
      </c>
      <c r="D209" s="115">
        <v>2.1262199999999998E-2</v>
      </c>
      <c r="E209" s="115">
        <v>-0.326544</v>
      </c>
      <c r="F209" s="115">
        <v>1.0266599999999999</v>
      </c>
      <c r="G209" s="115">
        <v>131</v>
      </c>
      <c r="H209" s="115">
        <v>191</v>
      </c>
      <c r="I209" s="115">
        <v>0.68589999999999995</v>
      </c>
      <c r="J209" s="115">
        <v>9.1196000000000002</v>
      </c>
      <c r="K209" s="115">
        <v>1754</v>
      </c>
      <c r="L209" s="115">
        <v>9.1831999999999994</v>
      </c>
      <c r="M209" s="115">
        <v>12</v>
      </c>
      <c r="N209" s="115">
        <v>4</v>
      </c>
      <c r="O209" s="115">
        <v>9</v>
      </c>
      <c r="P209" s="115">
        <v>5</v>
      </c>
      <c r="Q209" s="115">
        <v>47</v>
      </c>
      <c r="R209" s="115">
        <v>9.4</v>
      </c>
      <c r="S209" s="115">
        <v>0</v>
      </c>
      <c r="T209" s="115">
        <v>6.2799999999999995E-2</v>
      </c>
      <c r="U209" s="115">
        <v>2.0899999999999998E-2</v>
      </c>
      <c r="V209" s="115">
        <v>4.19E-2</v>
      </c>
      <c r="W209" s="115">
        <v>0.52749999999999997</v>
      </c>
      <c r="X209" s="115">
        <v>109.71899999999999</v>
      </c>
      <c r="Y209" s="115">
        <v>8.7799999999999994</v>
      </c>
      <c r="Z209" s="115">
        <v>203.64400000000001</v>
      </c>
      <c r="AA209" s="115">
        <v>72.5</v>
      </c>
      <c r="AB209" s="115">
        <v>55.3842</v>
      </c>
      <c r="AC209" s="115">
        <v>0.25409999999999999</v>
      </c>
      <c r="AD209" s="115">
        <v>-1.1299999999999999E-2</v>
      </c>
      <c r="AE209" s="115">
        <v>2.3E-3</v>
      </c>
      <c r="AF209" s="115">
        <v>4.4200000000000003E-2</v>
      </c>
      <c r="AG209" s="115">
        <v>-1.4500000000000001E-2</v>
      </c>
      <c r="AH209" s="115">
        <v>0.1759</v>
      </c>
      <c r="AI209" s="115">
        <v>-3.5299999999999998E-2</v>
      </c>
      <c r="AJ209" s="115">
        <v>2.8E-3</v>
      </c>
      <c r="AK209" s="115">
        <v>9.2355999999999998</v>
      </c>
      <c r="AL209" s="115">
        <v>-5.1999999999999998E-3</v>
      </c>
      <c r="AM209" s="115">
        <v>5</v>
      </c>
      <c r="AN209" s="115">
        <v>2</v>
      </c>
      <c r="AO209" s="115">
        <v>0</v>
      </c>
      <c r="AP209" s="115">
        <v>0</v>
      </c>
      <c r="AQ209" s="115">
        <v>2</v>
      </c>
      <c r="AR209" s="115">
        <v>0</v>
      </c>
      <c r="AS209" s="115">
        <v>5.7000000000000002E-3</v>
      </c>
      <c r="AT209" s="115">
        <v>1.2356</v>
      </c>
      <c r="AU209" s="114" t="str">
        <f>IF(A209&lt;&gt;"",INDEX(Index!$B$1:$B$77,MATCH($A209,Index!$A$1:$A$77,0)),"")</f>
        <v>SEA</v>
      </c>
      <c r="AV209" s="123" t="str">
        <f>IF(B209&lt;&gt;"",INDEX(Index!$C$1:$C$77,MATCH($A209,Index!$A$1:$A$77,0)),"")</f>
        <v>Darnold</v>
      </c>
      <c r="AW209" s="123">
        <f t="shared" si="4"/>
        <v>28</v>
      </c>
      <c r="AX209" s="113">
        <v>7</v>
      </c>
    </row>
    <row r="210" spans="1:50" x14ac:dyDescent="0.25">
      <c r="A210" s="95" t="s">
        <v>564</v>
      </c>
      <c r="B210" s="96">
        <v>2025</v>
      </c>
      <c r="C210" s="96">
        <v>3</v>
      </c>
      <c r="D210" s="115">
        <v>-0.124794</v>
      </c>
      <c r="E210" s="115">
        <v>-0.72087800000000002</v>
      </c>
      <c r="F210" s="115">
        <v>-0.42435</v>
      </c>
      <c r="G210" s="115">
        <v>66</v>
      </c>
      <c r="H210" s="115">
        <v>112</v>
      </c>
      <c r="I210" s="115">
        <v>0.58930000000000005</v>
      </c>
      <c r="J210" s="115">
        <v>-0.86109999999999998</v>
      </c>
      <c r="K210" s="115">
        <v>786</v>
      </c>
      <c r="L210" s="115">
        <v>7.0179</v>
      </c>
      <c r="M210" s="115">
        <v>3</v>
      </c>
      <c r="N210" s="115">
        <v>3</v>
      </c>
      <c r="O210" s="115">
        <v>8</v>
      </c>
      <c r="P210" s="115">
        <v>16</v>
      </c>
      <c r="Q210" s="115">
        <v>94</v>
      </c>
      <c r="R210" s="115">
        <v>5.875</v>
      </c>
      <c r="S210" s="115">
        <v>0</v>
      </c>
      <c r="T210" s="115">
        <v>2.6800000000000001E-2</v>
      </c>
      <c r="U210" s="115">
        <v>2.6800000000000001E-2</v>
      </c>
      <c r="V210" s="115">
        <v>0</v>
      </c>
      <c r="W210" s="115">
        <v>0.41499999999999998</v>
      </c>
      <c r="X210" s="115">
        <v>78.199399999999997</v>
      </c>
      <c r="Y210" s="115">
        <v>5.4832999999999998</v>
      </c>
      <c r="Z210" s="115">
        <v>140.05699999999999</v>
      </c>
      <c r="AA210" s="115">
        <v>31.7</v>
      </c>
      <c r="AB210" s="115">
        <v>-0.13880000000000001</v>
      </c>
      <c r="AC210" s="115">
        <v>-8.9999999999999998E-4</v>
      </c>
      <c r="AD210" s="115">
        <v>-3.44E-2</v>
      </c>
      <c r="AE210" s="115">
        <v>1.72E-2</v>
      </c>
      <c r="AF210" s="115">
        <v>-0.10639999999999999</v>
      </c>
      <c r="AG210" s="115">
        <v>1.11E-2</v>
      </c>
      <c r="AH210" s="115">
        <v>3.73E-2</v>
      </c>
      <c r="AI210" s="115">
        <v>-7.7700000000000005E-2</v>
      </c>
      <c r="AJ210" s="115">
        <v>6.2100000000000002E-2</v>
      </c>
      <c r="AK210" s="115">
        <v>9.2589000000000006</v>
      </c>
      <c r="AL210" s="115">
        <v>0.19639999999999999</v>
      </c>
      <c r="AM210" s="115">
        <v>2</v>
      </c>
      <c r="AN210" s="115">
        <v>3</v>
      </c>
      <c r="AO210" s="115">
        <v>0</v>
      </c>
      <c r="AP210" s="115">
        <v>0</v>
      </c>
      <c r="AQ210" s="115">
        <v>2</v>
      </c>
      <c r="AR210" s="115">
        <v>0</v>
      </c>
      <c r="AS210" s="115">
        <v>7.4999999999999997E-3</v>
      </c>
      <c r="AT210" s="115">
        <v>1.0956999999999999</v>
      </c>
      <c r="AU210" s="114" t="str">
        <f>IF(A210&lt;&gt;"",INDEX(Index!$B$1:$B$77,MATCH($A210,Index!$A$1:$A$77,0)),"")</f>
        <v>NYG</v>
      </c>
      <c r="AV210" s="123" t="str">
        <f>IF(B210&lt;&gt;"",INDEX(Index!$C$1:$C$77,MATCH($A210,Index!$A$1:$A$77,0)),"")</f>
        <v>Wilson</v>
      </c>
      <c r="AW210" s="123">
        <f t="shared" si="4"/>
        <v>18</v>
      </c>
      <c r="AX210" s="113">
        <v>7</v>
      </c>
    </row>
    <row r="211" spans="1:50" x14ac:dyDescent="0.25">
      <c r="A211" s="95" t="s">
        <v>565</v>
      </c>
      <c r="B211" s="96">
        <v>2025</v>
      </c>
      <c r="C211" s="96">
        <v>7</v>
      </c>
      <c r="D211" s="115">
        <v>-0.748672</v>
      </c>
      <c r="E211" s="115">
        <v>-0.98784400000000006</v>
      </c>
      <c r="F211" s="115">
        <v>-2.0262199999999999</v>
      </c>
      <c r="G211" s="115">
        <v>139</v>
      </c>
      <c r="H211" s="115">
        <v>205</v>
      </c>
      <c r="I211" s="115">
        <v>0.67800000000000005</v>
      </c>
      <c r="J211" s="115">
        <v>2.2776999999999998</v>
      </c>
      <c r="K211" s="115">
        <v>1313</v>
      </c>
      <c r="L211" s="115">
        <v>6.4048999999999996</v>
      </c>
      <c r="M211" s="115">
        <v>11</v>
      </c>
      <c r="N211" s="115">
        <v>10</v>
      </c>
      <c r="O211" s="115">
        <v>15</v>
      </c>
      <c r="P211" s="115">
        <v>7</v>
      </c>
      <c r="Q211" s="115">
        <v>36</v>
      </c>
      <c r="R211" s="115">
        <v>5.1429</v>
      </c>
      <c r="S211" s="115">
        <v>0</v>
      </c>
      <c r="T211" s="115">
        <v>5.3699999999999998E-2</v>
      </c>
      <c r="U211" s="115">
        <v>4.8800000000000003E-2</v>
      </c>
      <c r="V211" s="115">
        <v>4.8999999999999998E-3</v>
      </c>
      <c r="W211" s="115">
        <v>0.42149999999999999</v>
      </c>
      <c r="X211" s="115">
        <v>82.835400000000007</v>
      </c>
      <c r="Y211" s="115">
        <v>4.5590999999999999</v>
      </c>
      <c r="Z211" s="115">
        <v>103.42400000000001</v>
      </c>
      <c r="AA211" s="115">
        <v>42.5</v>
      </c>
      <c r="AB211" s="115">
        <v>-10.2768</v>
      </c>
      <c r="AC211" s="115">
        <v>-4.2500000000000003E-2</v>
      </c>
      <c r="AD211" s="115">
        <v>-2.1700000000000001E-2</v>
      </c>
      <c r="AE211" s="115">
        <v>-4.4999999999999997E-3</v>
      </c>
      <c r="AF211" s="115">
        <v>2.1399999999999999E-2</v>
      </c>
      <c r="AG211" s="115">
        <v>-9.2499999999999999E-2</v>
      </c>
      <c r="AH211" s="115">
        <v>1.0200000000000001E-2</v>
      </c>
      <c r="AI211" s="115">
        <v>6.8999999999999999E-3</v>
      </c>
      <c r="AJ211" s="115">
        <v>-5.2200000000000003E-2</v>
      </c>
      <c r="AK211" s="115">
        <v>6.8975999999999997</v>
      </c>
      <c r="AL211" s="115">
        <v>-1.8976</v>
      </c>
      <c r="AM211" s="115">
        <v>1</v>
      </c>
      <c r="AN211" s="115">
        <v>6</v>
      </c>
      <c r="AO211" s="115">
        <v>0</v>
      </c>
      <c r="AP211" s="115">
        <v>0</v>
      </c>
      <c r="AQ211" s="115">
        <v>4</v>
      </c>
      <c r="AR211" s="115">
        <v>0</v>
      </c>
      <c r="AS211" s="115">
        <v>4.0000000000000002E-4</v>
      </c>
      <c r="AT211" s="115">
        <v>8.6999999999999994E-2</v>
      </c>
      <c r="AU211" s="114" t="str">
        <f>IF(A211&lt;&gt;"",INDEX(Index!$B$1:$B$77,MATCH($A211,Index!$A$1:$A$77,0)),"")</f>
        <v>MIA</v>
      </c>
      <c r="AV211" s="123" t="str">
        <f>IF(B211&lt;&gt;"",INDEX(Index!$C$1:$C$77,MATCH($A211,Index!$A$1:$A$77,0)),"")</f>
        <v>Tagovailoa</v>
      </c>
      <c r="AW211" s="123">
        <f t="shared" si="4"/>
        <v>33</v>
      </c>
      <c r="AX211" s="113">
        <v>7</v>
      </c>
    </row>
    <row r="212" spans="1:50" x14ac:dyDescent="0.25">
      <c r="A212" s="95" t="s">
        <v>571</v>
      </c>
      <c r="B212" s="96">
        <v>2025</v>
      </c>
      <c r="C212" s="96">
        <v>7</v>
      </c>
      <c r="D212" s="115">
        <v>-1.1625399999999999</v>
      </c>
      <c r="E212" s="115">
        <v>-0.49522500000000003</v>
      </c>
      <c r="F212" s="115">
        <v>-0.73785699999999999</v>
      </c>
      <c r="G212" s="115">
        <v>152</v>
      </c>
      <c r="H212" s="115">
        <v>257</v>
      </c>
      <c r="I212" s="115">
        <v>0.59140000000000004</v>
      </c>
      <c r="J212" s="115">
        <v>-5.6254999999999997</v>
      </c>
      <c r="K212" s="115">
        <v>1620</v>
      </c>
      <c r="L212" s="115">
        <v>6.3034999999999997</v>
      </c>
      <c r="M212" s="115">
        <v>9</v>
      </c>
      <c r="N212" s="115">
        <v>5</v>
      </c>
      <c r="O212" s="115">
        <v>20</v>
      </c>
      <c r="P212" s="115">
        <v>22</v>
      </c>
      <c r="Q212" s="115">
        <v>121</v>
      </c>
      <c r="R212" s="115">
        <v>5.5</v>
      </c>
      <c r="S212" s="115">
        <v>2</v>
      </c>
      <c r="T212" s="115">
        <v>3.5000000000000003E-2</v>
      </c>
      <c r="U212" s="115">
        <v>1.95E-2</v>
      </c>
      <c r="V212" s="115">
        <v>1.5599999999999999E-2</v>
      </c>
      <c r="W212" s="115">
        <v>0.4395</v>
      </c>
      <c r="X212" s="115">
        <v>81.201400000000007</v>
      </c>
      <c r="Y212" s="115">
        <v>5.2744</v>
      </c>
      <c r="Z212" s="115">
        <v>127.676</v>
      </c>
      <c r="AA212" s="115">
        <v>42.7</v>
      </c>
      <c r="AB212" s="115">
        <v>5.2163000000000004</v>
      </c>
      <c r="AC212" s="115">
        <v>1.66E-2</v>
      </c>
      <c r="AD212" s="115">
        <v>-1.0500000000000001E-2</v>
      </c>
      <c r="AE212" s="115">
        <v>2.35E-2</v>
      </c>
      <c r="AF212" s="115">
        <v>-6.2899999999999998E-2</v>
      </c>
      <c r="AG212" s="115">
        <v>1.17E-2</v>
      </c>
      <c r="AH212" s="115">
        <v>-1.67E-2</v>
      </c>
      <c r="AI212" s="115">
        <v>-2.29E-2</v>
      </c>
      <c r="AJ212" s="115">
        <v>4.4999999999999997E-3</v>
      </c>
      <c r="AK212" s="115">
        <v>8.1440000000000001</v>
      </c>
      <c r="AL212" s="115">
        <v>-1.0894999999999999</v>
      </c>
      <c r="AM212" s="115">
        <v>4</v>
      </c>
      <c r="AN212" s="115">
        <v>3</v>
      </c>
      <c r="AO212" s="115">
        <v>0</v>
      </c>
      <c r="AP212" s="115">
        <v>1</v>
      </c>
      <c r="AQ212" s="115">
        <v>3</v>
      </c>
      <c r="AR212" s="115">
        <v>0.33329999999999999</v>
      </c>
      <c r="AS212" s="115">
        <v>1.6999999999999999E-3</v>
      </c>
      <c r="AT212" s="115">
        <v>0.54849999999999999</v>
      </c>
      <c r="AU212" s="114" t="str">
        <f>IF(A212&lt;&gt;"",INDEX(Index!$B$1:$B$77,MATCH($A212,Index!$A$1:$A$77,0)),"")</f>
        <v>JAX</v>
      </c>
      <c r="AV212" s="123" t="str">
        <f>IF(B212&lt;&gt;"",INDEX(Index!$C$1:$C$77,MATCH($A212,Index!$A$1:$A$77,0)),"")</f>
        <v>Lawrence</v>
      </c>
      <c r="AW212" s="123">
        <f t="shared" si="4"/>
        <v>15</v>
      </c>
      <c r="AX212" s="113">
        <v>7</v>
      </c>
    </row>
    <row r="213" spans="1:50" x14ac:dyDescent="0.25">
      <c r="A213" s="95" t="s">
        <v>583</v>
      </c>
      <c r="B213" s="96">
        <v>2025</v>
      </c>
      <c r="C213" s="96">
        <v>2</v>
      </c>
      <c r="D213" s="115">
        <v>-1.1785099999999999</v>
      </c>
      <c r="E213" s="115">
        <v>-0.19073499999999999</v>
      </c>
      <c r="F213" s="115">
        <v>0.29882999999999998</v>
      </c>
      <c r="G213" s="115">
        <v>35</v>
      </c>
      <c r="H213" s="115">
        <v>56</v>
      </c>
      <c r="I213" s="115">
        <v>0.625</v>
      </c>
      <c r="J213" s="115">
        <v>3.2667000000000002</v>
      </c>
      <c r="K213" s="115">
        <v>426</v>
      </c>
      <c r="L213" s="115">
        <v>7.6071</v>
      </c>
      <c r="M213" s="115">
        <v>3</v>
      </c>
      <c r="N213" s="115">
        <v>2</v>
      </c>
      <c r="O213" s="115">
        <v>5</v>
      </c>
      <c r="P213" s="115">
        <v>10</v>
      </c>
      <c r="Q213" s="115">
        <v>94</v>
      </c>
      <c r="R213" s="115">
        <v>9.4</v>
      </c>
      <c r="S213" s="115">
        <v>1</v>
      </c>
      <c r="T213" s="115">
        <v>5.3600000000000002E-2</v>
      </c>
      <c r="U213" s="115">
        <v>3.5700000000000003E-2</v>
      </c>
      <c r="V213" s="115">
        <v>1.7899999999999999E-2</v>
      </c>
      <c r="W213" s="115">
        <v>0.5</v>
      </c>
      <c r="X213" s="115">
        <v>88.839299999999994</v>
      </c>
      <c r="Y213" s="115">
        <v>6.0655999999999999</v>
      </c>
      <c r="Z213" s="115">
        <v>186.749</v>
      </c>
      <c r="AA213" s="115">
        <v>59.2</v>
      </c>
      <c r="AB213" s="115">
        <v>3.8653</v>
      </c>
      <c r="AC213" s="115">
        <v>4.8300000000000003E-2</v>
      </c>
      <c r="AD213" s="115">
        <v>6.4000000000000003E-3</v>
      </c>
      <c r="AE213" s="115">
        <v>2.76E-2</v>
      </c>
      <c r="AF213" s="115">
        <v>-3.7900000000000003E-2</v>
      </c>
      <c r="AG213" s="115">
        <v>-9.9199999999999997E-2</v>
      </c>
      <c r="AH213" s="115">
        <v>0.1288</v>
      </c>
      <c r="AI213" s="115">
        <v>-7.8399999999999997E-2</v>
      </c>
      <c r="AJ213" s="115">
        <v>1.0999999999999999E-2</v>
      </c>
      <c r="AK213" s="115">
        <v>10.071400000000001</v>
      </c>
      <c r="AL213" s="115">
        <v>-0.125</v>
      </c>
      <c r="AM213" s="115">
        <v>1</v>
      </c>
      <c r="AN213" s="115">
        <v>2</v>
      </c>
      <c r="AO213" s="115">
        <v>0</v>
      </c>
      <c r="AP213" s="115">
        <v>0</v>
      </c>
      <c r="AQ213" s="115">
        <v>0</v>
      </c>
      <c r="AR213" s="115"/>
      <c r="AS213" s="115">
        <v>-2.9999999999999997E-4</v>
      </c>
      <c r="AT213" s="115">
        <v>-2.07E-2</v>
      </c>
      <c r="AU213" s="114" t="str">
        <f>IF(A213&lt;&gt;"",INDEX(Index!$B$1:$B$77,MATCH($A213,Index!$A$1:$A$77,0)),"")</f>
        <v>WAS</v>
      </c>
      <c r="AV213" s="123" t="str">
        <f>IF(B213&lt;&gt;"",INDEX(Index!$C$1:$C$77,MATCH($A213,Index!$A$1:$A$77,0)),"")</f>
        <v>Mariota</v>
      </c>
      <c r="AW213" s="123">
        <f t="shared" si="4"/>
        <v>18</v>
      </c>
      <c r="AX213" s="113">
        <v>7</v>
      </c>
    </row>
    <row r="214" spans="1:50" x14ac:dyDescent="0.25">
      <c r="A214" s="95" t="s">
        <v>574</v>
      </c>
      <c r="B214" s="96">
        <v>2025</v>
      </c>
      <c r="C214" s="96">
        <v>6</v>
      </c>
      <c r="D214" s="115">
        <v>-1.21946</v>
      </c>
      <c r="E214" s="115">
        <v>-0.51613699999999996</v>
      </c>
      <c r="F214" s="115">
        <v>0.31459399999999998</v>
      </c>
      <c r="G214" s="115">
        <v>113</v>
      </c>
      <c r="H214" s="115">
        <v>185</v>
      </c>
      <c r="I214" s="115">
        <v>0.61080000000000001</v>
      </c>
      <c r="J214" s="115">
        <v>-5.6142000000000003</v>
      </c>
      <c r="K214" s="115">
        <v>1351</v>
      </c>
      <c r="L214" s="115">
        <v>7.3026999999999997</v>
      </c>
      <c r="M214" s="115">
        <v>9</v>
      </c>
      <c r="N214" s="115">
        <v>3</v>
      </c>
      <c r="O214" s="115">
        <v>11</v>
      </c>
      <c r="P214" s="115">
        <v>23</v>
      </c>
      <c r="Q214" s="115">
        <v>113</v>
      </c>
      <c r="R214" s="115">
        <v>4.9130000000000003</v>
      </c>
      <c r="S214" s="115">
        <v>2</v>
      </c>
      <c r="T214" s="115">
        <v>4.8599999999999997E-2</v>
      </c>
      <c r="U214" s="115">
        <v>1.6199999999999999E-2</v>
      </c>
      <c r="V214" s="115">
        <v>3.2399999999999998E-2</v>
      </c>
      <c r="W214" s="115">
        <v>0.434</v>
      </c>
      <c r="X214" s="115">
        <v>92.871600000000001</v>
      </c>
      <c r="Y214" s="115">
        <v>6.7397999999999998</v>
      </c>
      <c r="Z214" s="115">
        <v>166.53299999999999</v>
      </c>
      <c r="AA214" s="115">
        <v>52.2</v>
      </c>
      <c r="AB214" s="115">
        <v>11.543200000000001</v>
      </c>
      <c r="AC214" s="115">
        <v>4.9099999999999998E-2</v>
      </c>
      <c r="AD214" s="115">
        <v>-3.5700000000000003E-2</v>
      </c>
      <c r="AE214" s="115">
        <v>2.75E-2</v>
      </c>
      <c r="AF214" s="115">
        <v>-3.1E-2</v>
      </c>
      <c r="AG214" s="115">
        <v>2.2200000000000001E-2</v>
      </c>
      <c r="AH214" s="115">
        <v>-1.6999999999999999E-3</v>
      </c>
      <c r="AI214" s="115">
        <v>2.23E-2</v>
      </c>
      <c r="AJ214" s="115">
        <v>-4.4299999999999999E-2</v>
      </c>
      <c r="AK214" s="115">
        <v>8.2540999999999993</v>
      </c>
      <c r="AL214" s="115">
        <v>-1.8216000000000001</v>
      </c>
      <c r="AM214" s="115">
        <v>4</v>
      </c>
      <c r="AN214" s="115">
        <v>2</v>
      </c>
      <c r="AO214" s="115">
        <v>0</v>
      </c>
      <c r="AP214" s="115">
        <v>2</v>
      </c>
      <c r="AQ214" s="115">
        <v>3</v>
      </c>
      <c r="AR214" s="115">
        <v>0.66669999999999996</v>
      </c>
      <c r="AS214" s="115">
        <v>1.6999999999999999E-3</v>
      </c>
      <c r="AT214" s="115">
        <v>0.40150000000000002</v>
      </c>
      <c r="AU214" s="114" t="str">
        <f>IF(A214&lt;&gt;"",INDEX(Index!$B$1:$B$77,MATCH($A214,Index!$A$1:$A$77,0)),"")</f>
        <v>CHI</v>
      </c>
      <c r="AV214" s="123" t="str">
        <f>IF(B214&lt;&gt;"",INDEX(Index!$C$1:$C$77,MATCH($A214,Index!$A$1:$A$77,0)),"")</f>
        <v>Williams</v>
      </c>
      <c r="AW214" s="123">
        <f t="shared" si="4"/>
        <v>17</v>
      </c>
      <c r="AX214" s="113">
        <v>7</v>
      </c>
    </row>
    <row r="215" spans="1:50" x14ac:dyDescent="0.25">
      <c r="A215" s="95" t="s">
        <v>579</v>
      </c>
      <c r="B215" s="96">
        <v>2025</v>
      </c>
      <c r="C215" s="96">
        <v>6</v>
      </c>
      <c r="D215" s="115">
        <v>-1.2844800000000001</v>
      </c>
      <c r="E215" s="115">
        <v>-0.39269999999999999</v>
      </c>
      <c r="F215" s="115">
        <v>0.49501800000000001</v>
      </c>
      <c r="G215" s="115">
        <v>125</v>
      </c>
      <c r="H215" s="115">
        <v>192</v>
      </c>
      <c r="I215" s="115">
        <v>0.65100000000000002</v>
      </c>
      <c r="J215" s="115">
        <v>-0.51900000000000002</v>
      </c>
      <c r="K215" s="115">
        <v>1305</v>
      </c>
      <c r="L215" s="115">
        <v>6.7968999999999999</v>
      </c>
      <c r="M215" s="115">
        <v>9</v>
      </c>
      <c r="N215" s="115">
        <v>4</v>
      </c>
      <c r="O215" s="115">
        <v>15</v>
      </c>
      <c r="P215" s="115">
        <v>18</v>
      </c>
      <c r="Q215" s="115">
        <v>148</v>
      </c>
      <c r="R215" s="115">
        <v>8.2222000000000008</v>
      </c>
      <c r="S215" s="115">
        <v>0</v>
      </c>
      <c r="T215" s="115">
        <v>4.6899999999999997E-2</v>
      </c>
      <c r="U215" s="115">
        <v>2.0799999999999999E-2</v>
      </c>
      <c r="V215" s="115">
        <v>2.5999999999999999E-2</v>
      </c>
      <c r="W215" s="115">
        <v>0.47949999999999998</v>
      </c>
      <c r="X215" s="115">
        <v>91.601600000000005</v>
      </c>
      <c r="Y215" s="115">
        <v>5.6329000000000002</v>
      </c>
      <c r="Z215" s="115">
        <v>155.06</v>
      </c>
      <c r="AA215" s="115">
        <v>55.3</v>
      </c>
      <c r="AB215" s="115">
        <v>10.174200000000001</v>
      </c>
      <c r="AC215" s="115">
        <v>4.1700000000000001E-2</v>
      </c>
      <c r="AD215" s="115">
        <v>3.7499999999999999E-2</v>
      </c>
      <c r="AE215" s="115">
        <v>-1.54E-2</v>
      </c>
      <c r="AF215" s="115">
        <v>-3.8E-3</v>
      </c>
      <c r="AG215" s="115">
        <v>8.2000000000000007E-3</v>
      </c>
      <c r="AH215" s="115">
        <v>5.0000000000000001E-3</v>
      </c>
      <c r="AI215" s="115">
        <v>-4.6899999999999997E-2</v>
      </c>
      <c r="AJ215" s="115">
        <v>-3.2800000000000003E-2</v>
      </c>
      <c r="AK215" s="115">
        <v>7.6406000000000001</v>
      </c>
      <c r="AL215" s="115">
        <v>-1.4271</v>
      </c>
      <c r="AM215" s="115">
        <v>2</v>
      </c>
      <c r="AN215" s="115">
        <v>4</v>
      </c>
      <c r="AO215" s="115">
        <v>0</v>
      </c>
      <c r="AP215" s="115">
        <v>0</v>
      </c>
      <c r="AQ215" s="115">
        <v>3</v>
      </c>
      <c r="AR215" s="115">
        <v>0</v>
      </c>
      <c r="AS215" s="115">
        <v>-1.1000000000000001E-3</v>
      </c>
      <c r="AT215" s="115">
        <v>-0.26819999999999999</v>
      </c>
      <c r="AU215" s="114" t="str">
        <f>IF(A215&lt;&gt;"",INDEX(Index!$B$1:$B$77,MATCH($A215,Index!$A$1:$A$77,0)),"")</f>
        <v>HOU</v>
      </c>
      <c r="AV215" s="123" t="str">
        <f>IF(B215&lt;&gt;"",INDEX(Index!$C$1:$C$77,MATCH($A215,Index!$A$1:$A$77,0)),"")</f>
        <v>Stroud</v>
      </c>
      <c r="AW215" s="123">
        <f t="shared" si="4"/>
        <v>14</v>
      </c>
      <c r="AX215" s="113">
        <v>7</v>
      </c>
    </row>
    <row r="216" spans="1:50" x14ac:dyDescent="0.25">
      <c r="A216" s="95" t="s">
        <v>569</v>
      </c>
      <c r="B216" s="96">
        <v>2025</v>
      </c>
      <c r="C216" s="96">
        <v>6</v>
      </c>
      <c r="D216" s="115">
        <v>-1.4307700000000001</v>
      </c>
      <c r="E216" s="115">
        <v>-0.66043600000000002</v>
      </c>
      <c r="F216" s="115">
        <v>-1.0601799999999999</v>
      </c>
      <c r="G216" s="115">
        <v>86</v>
      </c>
      <c r="H216" s="115">
        <v>134</v>
      </c>
      <c r="I216" s="115">
        <v>0.64180000000000004</v>
      </c>
      <c r="J216" s="115">
        <v>-1.5566</v>
      </c>
      <c r="K216" s="115">
        <v>828</v>
      </c>
      <c r="L216" s="115">
        <v>6.1791</v>
      </c>
      <c r="M216" s="115">
        <v>4</v>
      </c>
      <c r="N216" s="115">
        <v>0</v>
      </c>
      <c r="O216" s="115">
        <v>22</v>
      </c>
      <c r="P216" s="115">
        <v>40</v>
      </c>
      <c r="Q216" s="115">
        <v>258</v>
      </c>
      <c r="R216" s="115">
        <v>6.45</v>
      </c>
      <c r="S216" s="115">
        <v>3</v>
      </c>
      <c r="T216" s="115">
        <v>2.9899999999999999E-2</v>
      </c>
      <c r="U216" s="115">
        <v>0</v>
      </c>
      <c r="V216" s="115">
        <v>2.9899999999999999E-2</v>
      </c>
      <c r="W216" s="115">
        <v>0.4466</v>
      </c>
      <c r="X216" s="115">
        <v>91.2624</v>
      </c>
      <c r="Y216" s="115">
        <v>4.7371999999999996</v>
      </c>
      <c r="Z216" s="115">
        <v>120.202</v>
      </c>
      <c r="AA216" s="115">
        <v>31.8</v>
      </c>
      <c r="AB216" s="115">
        <v>-17.4068</v>
      </c>
      <c r="AC216" s="115">
        <v>-8.4500000000000006E-2</v>
      </c>
      <c r="AD216" s="115">
        <v>-2.0999999999999999E-3</v>
      </c>
      <c r="AE216" s="115">
        <v>-7.22E-2</v>
      </c>
      <c r="AF216" s="115">
        <v>2.9100000000000001E-2</v>
      </c>
      <c r="AG216" s="115">
        <v>7.0999999999999994E-2</v>
      </c>
      <c r="AH216" s="115">
        <v>-1.1599999999999999E-2</v>
      </c>
      <c r="AI216" s="115">
        <v>-0.1459</v>
      </c>
      <c r="AJ216" s="115">
        <v>-4.2700000000000002E-2</v>
      </c>
      <c r="AK216" s="115">
        <v>7.1342999999999996</v>
      </c>
      <c r="AL216" s="115">
        <v>-2.1417999999999999</v>
      </c>
      <c r="AM216" s="115">
        <v>0</v>
      </c>
      <c r="AN216" s="115">
        <v>6</v>
      </c>
      <c r="AO216" s="115">
        <v>0</v>
      </c>
      <c r="AP216" s="115">
        <v>0</v>
      </c>
      <c r="AQ216" s="115">
        <v>3</v>
      </c>
      <c r="AR216" s="115">
        <v>0</v>
      </c>
      <c r="AS216" s="115">
        <v>-6.7999999999999996E-3</v>
      </c>
      <c r="AT216" s="115">
        <v>-1.4066000000000001</v>
      </c>
      <c r="AU216" s="114" t="str">
        <f>IF(A216&lt;&gt;"",INDEX(Index!$B$1:$B$77,MATCH($A216,Index!$A$1:$A$77,0)),"")</f>
        <v>NYJ</v>
      </c>
      <c r="AV216" s="123" t="str">
        <f>IF(B216&lt;&gt;"",INDEX(Index!$C$1:$C$77,MATCH($A216,Index!$A$1:$A$77,0)),"")</f>
        <v>Fields</v>
      </c>
      <c r="AW216" s="123">
        <f t="shared" si="4"/>
        <v>2</v>
      </c>
      <c r="AX216" s="113">
        <v>7</v>
      </c>
    </row>
    <row r="217" spans="1:50" x14ac:dyDescent="0.25">
      <c r="A217" s="95" t="s">
        <v>587</v>
      </c>
      <c r="B217" s="96">
        <v>2025</v>
      </c>
      <c r="C217" s="96">
        <v>4</v>
      </c>
      <c r="D217" s="115">
        <v>-1.5040899999999999</v>
      </c>
      <c r="E217" s="115">
        <v>0.17388600000000001</v>
      </c>
      <c r="F217" s="115">
        <v>1.06446</v>
      </c>
      <c r="G217" s="115">
        <v>71</v>
      </c>
      <c r="H217" s="115">
        <v>117</v>
      </c>
      <c r="I217" s="115">
        <v>0.60680000000000001</v>
      </c>
      <c r="J217" s="115">
        <v>-4.5087000000000002</v>
      </c>
      <c r="K217" s="115">
        <v>791</v>
      </c>
      <c r="L217" s="115">
        <v>6.7606999999999999</v>
      </c>
      <c r="M217" s="115">
        <v>7</v>
      </c>
      <c r="N217" s="115">
        <v>3</v>
      </c>
      <c r="O217" s="115">
        <v>12</v>
      </c>
      <c r="P217" s="115">
        <v>33</v>
      </c>
      <c r="Q217" s="115">
        <v>180</v>
      </c>
      <c r="R217" s="115">
        <v>5.4545000000000003</v>
      </c>
      <c r="S217" s="115">
        <v>3</v>
      </c>
      <c r="T217" s="115">
        <v>5.9799999999999999E-2</v>
      </c>
      <c r="U217" s="115">
        <v>2.5600000000000001E-2</v>
      </c>
      <c r="V217" s="115">
        <v>3.4200000000000001E-2</v>
      </c>
      <c r="W217" s="115">
        <v>0.49149999999999999</v>
      </c>
      <c r="X217" s="115">
        <v>90.081900000000005</v>
      </c>
      <c r="Y217" s="115">
        <v>5.8295000000000003</v>
      </c>
      <c r="Z217" s="115">
        <v>195.059</v>
      </c>
      <c r="AA217" s="115">
        <v>61.9</v>
      </c>
      <c r="AB217" s="115">
        <v>24.213000000000001</v>
      </c>
      <c r="AC217" s="115">
        <v>0.1368</v>
      </c>
      <c r="AD217" s="115">
        <v>5.04E-2</v>
      </c>
      <c r="AE217" s="115">
        <v>-1.14E-2</v>
      </c>
      <c r="AF217" s="115">
        <v>6.0000000000000001E-3</v>
      </c>
      <c r="AG217" s="115">
        <v>1.72E-2</v>
      </c>
      <c r="AH217" s="115">
        <v>-9.4299999999999995E-2</v>
      </c>
      <c r="AI217" s="115">
        <v>2.01E-2</v>
      </c>
      <c r="AJ217" s="115">
        <v>5.8999999999999997E-2</v>
      </c>
      <c r="AK217" s="115">
        <v>8.7691999999999997</v>
      </c>
      <c r="AL217" s="115">
        <v>-0.4103</v>
      </c>
      <c r="AM217" s="115">
        <v>2</v>
      </c>
      <c r="AN217" s="115">
        <v>4</v>
      </c>
      <c r="AO217" s="115">
        <v>0</v>
      </c>
      <c r="AP217" s="115">
        <v>0</v>
      </c>
      <c r="AQ217" s="115">
        <v>2</v>
      </c>
      <c r="AR217" s="115">
        <v>0</v>
      </c>
      <c r="AS217" s="115">
        <v>5.7000000000000002E-3</v>
      </c>
      <c r="AT217" s="115">
        <v>1.0027999999999999</v>
      </c>
      <c r="AU217" s="114" t="str">
        <f>IF(A217&lt;&gt;"",INDEX(Index!$B$1:$B$77,MATCH($A217,Index!$A$1:$A$77,0)),"")</f>
        <v>NYG</v>
      </c>
      <c r="AV217" s="123" t="str">
        <f>IF(B217&lt;&gt;"",INDEX(Index!$C$1:$C$77,MATCH($A217,Index!$A$1:$A$77,0)),"")</f>
        <v>Dart</v>
      </c>
      <c r="AW217" s="123">
        <f t="shared" si="4"/>
        <v>8</v>
      </c>
      <c r="AX217" s="113">
        <v>7</v>
      </c>
    </row>
    <row r="218" spans="1:50" x14ac:dyDescent="0.25">
      <c r="A218" s="95" t="s">
        <v>575</v>
      </c>
      <c r="B218" s="96">
        <v>2025</v>
      </c>
      <c r="C218" s="96">
        <v>5</v>
      </c>
      <c r="D218" s="115">
        <v>-1.59118</v>
      </c>
      <c r="E218" s="115">
        <v>-0.33955800000000003</v>
      </c>
      <c r="F218" s="115">
        <v>0.239423</v>
      </c>
      <c r="G218" s="115">
        <v>130</v>
      </c>
      <c r="H218" s="115">
        <v>191</v>
      </c>
      <c r="I218" s="115">
        <v>0.68059999999999998</v>
      </c>
      <c r="J218" s="115">
        <v>1.2687999999999999</v>
      </c>
      <c r="K218" s="115">
        <v>1404</v>
      </c>
      <c r="L218" s="115">
        <v>7.3507999999999996</v>
      </c>
      <c r="M218" s="115">
        <v>6</v>
      </c>
      <c r="N218" s="115">
        <v>4</v>
      </c>
      <c r="O218" s="115">
        <v>12</v>
      </c>
      <c r="P218" s="115">
        <v>15</v>
      </c>
      <c r="Q218" s="115">
        <v>40</v>
      </c>
      <c r="R218" s="115">
        <v>2.6667000000000001</v>
      </c>
      <c r="S218" s="115">
        <v>0</v>
      </c>
      <c r="T218" s="115">
        <v>3.1399999999999997E-2</v>
      </c>
      <c r="U218" s="115">
        <v>2.0899999999999998E-2</v>
      </c>
      <c r="V218" s="115">
        <v>1.0500000000000001E-2</v>
      </c>
      <c r="W218" s="115">
        <v>0.53300000000000003</v>
      </c>
      <c r="X218" s="115">
        <v>91.175799999999995</v>
      </c>
      <c r="Y218" s="115">
        <v>6.2462999999999997</v>
      </c>
      <c r="Z218" s="115">
        <v>155.27699999999999</v>
      </c>
      <c r="AA218" s="115">
        <v>55.2</v>
      </c>
      <c r="AB218" s="115">
        <v>21.6828</v>
      </c>
      <c r="AC218" s="115">
        <v>9.5500000000000002E-2</v>
      </c>
      <c r="AD218" s="115">
        <v>-1.4999999999999999E-2</v>
      </c>
      <c r="AE218" s="115">
        <v>-6.1000000000000004E-3</v>
      </c>
      <c r="AF218" s="115">
        <v>4.0000000000000001E-3</v>
      </c>
      <c r="AG218" s="115">
        <v>-5.0000000000000001E-3</v>
      </c>
      <c r="AH218" s="115">
        <v>3.2800000000000003E-2</v>
      </c>
      <c r="AI218" s="115">
        <v>1.54E-2</v>
      </c>
      <c r="AJ218" s="115">
        <v>-2.0400000000000001E-2</v>
      </c>
      <c r="AK218" s="115">
        <v>7.1360999999999999</v>
      </c>
      <c r="AL218" s="115">
        <v>-1.9843</v>
      </c>
      <c r="AM218" s="115">
        <v>4</v>
      </c>
      <c r="AN218" s="115">
        <v>1</v>
      </c>
      <c r="AO218" s="115">
        <v>0</v>
      </c>
      <c r="AP218" s="115">
        <v>1</v>
      </c>
      <c r="AQ218" s="115">
        <v>2</v>
      </c>
      <c r="AR218" s="115">
        <v>0.5</v>
      </c>
      <c r="AS218" s="115">
        <v>2.5999999999999999E-3</v>
      </c>
      <c r="AT218" s="115">
        <v>0.59699999999999998</v>
      </c>
      <c r="AU218" s="114" t="str">
        <f>IF(A218&lt;&gt;"",INDEX(Index!$B$1:$B$77,MATCH($A218,Index!$A$1:$A$77,0)),"")</f>
        <v>SF</v>
      </c>
      <c r="AV218" s="123" t="str">
        <f>IF(B218&lt;&gt;"",INDEX(Index!$C$1:$C$77,MATCH($A218,Index!$A$1:$A$77,0)),"")</f>
        <v>Jones</v>
      </c>
      <c r="AW218" s="123">
        <f t="shared" si="4"/>
        <v>31</v>
      </c>
      <c r="AX218" s="113">
        <v>7</v>
      </c>
    </row>
    <row r="219" spans="1:50" x14ac:dyDescent="0.25">
      <c r="A219" s="95" t="s">
        <v>576</v>
      </c>
      <c r="B219" s="96">
        <v>2025</v>
      </c>
      <c r="C219" s="96">
        <v>7</v>
      </c>
      <c r="D219" s="115">
        <v>-1.62836</v>
      </c>
      <c r="E219" s="115">
        <v>1.47919E-2</v>
      </c>
      <c r="F219" s="115">
        <v>-0.26222699999999999</v>
      </c>
      <c r="G219" s="115">
        <v>138</v>
      </c>
      <c r="H219" s="115">
        <v>223</v>
      </c>
      <c r="I219" s="115">
        <v>0.61880000000000002</v>
      </c>
      <c r="J219" s="115">
        <v>-0.67820000000000003</v>
      </c>
      <c r="K219" s="115">
        <v>1288</v>
      </c>
      <c r="L219" s="115">
        <v>5.7758000000000003</v>
      </c>
      <c r="M219" s="115">
        <v>11</v>
      </c>
      <c r="N219" s="115">
        <v>5</v>
      </c>
      <c r="O219" s="115">
        <v>11</v>
      </c>
      <c r="P219" s="115">
        <v>12</v>
      </c>
      <c r="Q219" s="115">
        <v>77</v>
      </c>
      <c r="R219" s="115">
        <v>6.4166999999999996</v>
      </c>
      <c r="S219" s="115">
        <v>1</v>
      </c>
      <c r="T219" s="115">
        <v>4.9299999999999997E-2</v>
      </c>
      <c r="U219" s="115">
        <v>2.24E-2</v>
      </c>
      <c r="V219" s="115">
        <v>2.69E-2</v>
      </c>
      <c r="W219" s="115">
        <v>0.46439999999999998</v>
      </c>
      <c r="X219" s="115">
        <v>84.818799999999996</v>
      </c>
      <c r="Y219" s="115">
        <v>5.0940000000000003</v>
      </c>
      <c r="Z219" s="115">
        <v>122.96299999999999</v>
      </c>
      <c r="AA219" s="115">
        <v>44.8</v>
      </c>
      <c r="AB219" s="115">
        <v>-5.0309999999999997</v>
      </c>
      <c r="AC219" s="115">
        <v>-1.8800000000000001E-2</v>
      </c>
      <c r="AD219" s="115">
        <v>-1.83E-2</v>
      </c>
      <c r="AE219" s="115">
        <v>-1.1599999999999999E-2</v>
      </c>
      <c r="AF219" s="115">
        <v>-5.9299999999999999E-2</v>
      </c>
      <c r="AG219" s="115">
        <v>-1.2800000000000001E-2</v>
      </c>
      <c r="AH219" s="115">
        <v>-2.4500000000000001E-2</v>
      </c>
      <c r="AI219" s="115">
        <v>-5.1000000000000004E-3</v>
      </c>
      <c r="AJ219" s="115">
        <v>2.2700000000000001E-2</v>
      </c>
      <c r="AK219" s="115">
        <v>6.5247000000000002</v>
      </c>
      <c r="AL219" s="115">
        <v>-1.7891999999999999</v>
      </c>
      <c r="AM219" s="115">
        <v>4</v>
      </c>
      <c r="AN219" s="115">
        <v>3</v>
      </c>
      <c r="AO219" s="115">
        <v>0</v>
      </c>
      <c r="AP219" s="115">
        <v>2</v>
      </c>
      <c r="AQ219" s="115">
        <v>3</v>
      </c>
      <c r="AR219" s="115">
        <v>0.66669999999999996</v>
      </c>
      <c r="AS219" s="115">
        <v>-6.9999999999999999E-4</v>
      </c>
      <c r="AT219" s="115">
        <v>-0.18820000000000001</v>
      </c>
      <c r="AU219" s="114" t="str">
        <f>IF(A219&lt;&gt;"",INDEX(Index!$B$1:$B$77,MATCH($A219,Index!$A$1:$A$77,0)),"")</f>
        <v>CAR</v>
      </c>
      <c r="AV219" s="123" t="str">
        <f>IF(B219&lt;&gt;"",INDEX(Index!$C$1:$C$77,MATCH($A219,Index!$A$1:$A$77,0)),"")</f>
        <v>Young</v>
      </c>
      <c r="AW219" s="123">
        <f t="shared" si="4"/>
        <v>22</v>
      </c>
      <c r="AX219" s="113">
        <v>7</v>
      </c>
    </row>
    <row r="220" spans="1:50" x14ac:dyDescent="0.25">
      <c r="A220" s="95" t="s">
        <v>577</v>
      </c>
      <c r="B220" s="96">
        <v>2025</v>
      </c>
      <c r="C220" s="96">
        <v>6</v>
      </c>
      <c r="D220" s="115">
        <v>-1.6818200000000001</v>
      </c>
      <c r="E220" s="115">
        <v>0.68957199999999996</v>
      </c>
      <c r="F220" s="115">
        <v>-0.47370099999999998</v>
      </c>
      <c r="G220" s="115">
        <v>153</v>
      </c>
      <c r="H220" s="115">
        <v>249</v>
      </c>
      <c r="I220" s="115">
        <v>0.61450000000000005</v>
      </c>
      <c r="J220" s="115">
        <v>-1.6121000000000001</v>
      </c>
      <c r="K220" s="115">
        <v>1376</v>
      </c>
      <c r="L220" s="115">
        <v>5.5260999999999996</v>
      </c>
      <c r="M220" s="115">
        <v>7</v>
      </c>
      <c r="N220" s="115">
        <v>6</v>
      </c>
      <c r="O220" s="115">
        <v>12</v>
      </c>
      <c r="P220" s="115">
        <v>7</v>
      </c>
      <c r="Q220" s="115">
        <v>28</v>
      </c>
      <c r="R220" s="115">
        <v>4</v>
      </c>
      <c r="S220" s="115">
        <v>0</v>
      </c>
      <c r="T220" s="115">
        <v>2.81E-2</v>
      </c>
      <c r="U220" s="115">
        <v>2.41E-2</v>
      </c>
      <c r="V220" s="115">
        <v>4.0000000000000001E-3</v>
      </c>
      <c r="W220" s="115">
        <v>0.4083</v>
      </c>
      <c r="X220" s="115">
        <v>75.644199999999998</v>
      </c>
      <c r="Y220" s="115">
        <v>4.4904000000000002</v>
      </c>
      <c r="Z220" s="115">
        <v>105.142</v>
      </c>
      <c r="AA220" s="115">
        <v>42.6</v>
      </c>
      <c r="AB220" s="115">
        <v>-28.8156</v>
      </c>
      <c r="AC220" s="115">
        <v>-9.9699999999999997E-2</v>
      </c>
      <c r="AD220" s="115">
        <v>-2.52E-2</v>
      </c>
      <c r="AE220" s="115">
        <v>8.0000000000000004E-4</v>
      </c>
      <c r="AF220" s="115">
        <v>-3.2899999999999999E-2</v>
      </c>
      <c r="AG220" s="115">
        <v>-1.7899999999999999E-2</v>
      </c>
      <c r="AH220" s="115">
        <v>-7.0699999999999999E-2</v>
      </c>
      <c r="AI220" s="115">
        <v>-3.7199999999999997E-2</v>
      </c>
      <c r="AJ220" s="115">
        <v>-6.4999999999999997E-3</v>
      </c>
      <c r="AK220" s="115">
        <v>7.1245000000000003</v>
      </c>
      <c r="AL220" s="115">
        <v>-1.8835</v>
      </c>
      <c r="AM220" s="115">
        <v>2</v>
      </c>
      <c r="AN220" s="115">
        <v>4</v>
      </c>
      <c r="AO220" s="115">
        <v>0</v>
      </c>
      <c r="AP220" s="115">
        <v>2</v>
      </c>
      <c r="AQ220" s="115">
        <v>3</v>
      </c>
      <c r="AR220" s="115">
        <v>0.66669999999999996</v>
      </c>
      <c r="AS220" s="115">
        <v>-2E-3</v>
      </c>
      <c r="AT220" s="115">
        <v>-0.56620000000000004</v>
      </c>
      <c r="AU220" s="114" t="str">
        <f>IF(A220&lt;&gt;"",INDEX(Index!$B$1:$B$77,MATCH($A220,Index!$A$1:$A$77,0)),"")</f>
        <v>CIN</v>
      </c>
      <c r="AV220" s="123" t="str">
        <f>IF(B220&lt;&gt;"",INDEX(Index!$C$1:$C$77,MATCH($A220,Index!$A$1:$A$77,0)),"")</f>
        <v>Flacco</v>
      </c>
      <c r="AW220" s="123">
        <f t="shared" si="4"/>
        <v>35</v>
      </c>
      <c r="AX220" s="113">
        <v>7</v>
      </c>
    </row>
    <row r="221" spans="1:50" x14ac:dyDescent="0.25">
      <c r="A221" s="95" t="s">
        <v>584</v>
      </c>
      <c r="B221" s="96">
        <v>2025</v>
      </c>
      <c r="C221" s="96">
        <v>1</v>
      </c>
      <c r="D221" s="115">
        <v>-1.68788</v>
      </c>
      <c r="E221" s="115">
        <v>5.3784800000000001E-2</v>
      </c>
      <c r="F221" s="115">
        <v>5.3784800000000001E-2</v>
      </c>
      <c r="G221" s="115">
        <v>43</v>
      </c>
      <c r="H221" s="115">
        <v>68</v>
      </c>
      <c r="I221" s="115">
        <v>0.63239999999999996</v>
      </c>
      <c r="J221" s="115">
        <v>1.5486</v>
      </c>
      <c r="K221" s="115">
        <v>379</v>
      </c>
      <c r="L221" s="115">
        <v>5.5735000000000001</v>
      </c>
      <c r="M221" s="115">
        <v>3</v>
      </c>
      <c r="N221" s="115">
        <v>3</v>
      </c>
      <c r="O221" s="115">
        <v>9</v>
      </c>
      <c r="P221" s="115">
        <v>13</v>
      </c>
      <c r="Q221" s="115">
        <v>81</v>
      </c>
      <c r="R221" s="115">
        <v>6.2308000000000003</v>
      </c>
      <c r="S221" s="115">
        <v>0</v>
      </c>
      <c r="T221" s="115">
        <v>4.41E-2</v>
      </c>
      <c r="U221" s="115">
        <v>4.41E-2</v>
      </c>
      <c r="V221" s="115">
        <v>0</v>
      </c>
      <c r="W221" s="115">
        <v>0.4526</v>
      </c>
      <c r="X221" s="115">
        <v>74.325999999999993</v>
      </c>
      <c r="Y221" s="115">
        <v>3.2856999999999998</v>
      </c>
      <c r="Z221" s="115">
        <v>146.065</v>
      </c>
      <c r="AA221" s="115"/>
      <c r="AB221" s="115">
        <v>-4.1516000000000002</v>
      </c>
      <c r="AC221" s="115">
        <v>-4.3700000000000003E-2</v>
      </c>
      <c r="AD221" s="115">
        <v>-3.1899999999999998E-2</v>
      </c>
      <c r="AE221" s="115">
        <v>-4.1700000000000001E-2</v>
      </c>
      <c r="AF221" s="115">
        <v>1.83E-2</v>
      </c>
      <c r="AG221" s="115">
        <v>-6.93E-2</v>
      </c>
      <c r="AH221" s="115">
        <v>5.8500000000000003E-2</v>
      </c>
      <c r="AI221" s="115">
        <v>-6.5100000000000005E-2</v>
      </c>
      <c r="AJ221" s="115">
        <v>-2.5000000000000001E-3</v>
      </c>
      <c r="AK221" s="115">
        <v>7.6471</v>
      </c>
      <c r="AL221" s="115">
        <v>-0.95589999999999997</v>
      </c>
      <c r="AM221" s="115">
        <v>0</v>
      </c>
      <c r="AN221" s="115">
        <v>3</v>
      </c>
      <c r="AO221" s="115">
        <v>0</v>
      </c>
      <c r="AP221" s="115">
        <v>0</v>
      </c>
      <c r="AQ221" s="115">
        <v>1</v>
      </c>
      <c r="AR221" s="115">
        <v>0</v>
      </c>
      <c r="AS221" s="115">
        <v>-6.1999999999999998E-3</v>
      </c>
      <c r="AT221" s="115">
        <v>-0.5907</v>
      </c>
      <c r="AU221" s="114" t="str">
        <f>IF(A221&lt;&gt;"",INDEX(Index!$B$1:$B$77,MATCH($A221,Index!$A$1:$A$77,0)),"")</f>
        <v>NYJ</v>
      </c>
      <c r="AV221" s="123" t="str">
        <f>IF(B221&lt;&gt;"",INDEX(Index!$C$1:$C$77,MATCH($A221,Index!$A$1:$A$77,0)),"")</f>
        <v>Taylor</v>
      </c>
      <c r="AW221" s="123">
        <f t="shared" si="4"/>
        <v>21</v>
      </c>
      <c r="AX221" s="113">
        <v>7</v>
      </c>
    </row>
    <row r="222" spans="1:50" x14ac:dyDescent="0.25">
      <c r="A222" s="95" t="s">
        <v>590</v>
      </c>
      <c r="B222" s="96">
        <v>2025</v>
      </c>
      <c r="C222" s="96">
        <v>2</v>
      </c>
      <c r="D222" s="115">
        <v>-1.7053</v>
      </c>
      <c r="E222" s="115">
        <v>0.141342</v>
      </c>
      <c r="F222" s="115">
        <v>0.48464600000000002</v>
      </c>
      <c r="G222" s="115">
        <v>52</v>
      </c>
      <c r="H222" s="115">
        <v>81</v>
      </c>
      <c r="I222" s="115">
        <v>0.64200000000000002</v>
      </c>
      <c r="J222" s="115">
        <v>3.7052999999999998</v>
      </c>
      <c r="K222" s="115">
        <v>599</v>
      </c>
      <c r="L222" s="115">
        <v>7.3951000000000002</v>
      </c>
      <c r="M222" s="115">
        <v>4</v>
      </c>
      <c r="N222" s="115">
        <v>1</v>
      </c>
      <c r="O222" s="115">
        <v>8</v>
      </c>
      <c r="P222" s="115">
        <v>10</v>
      </c>
      <c r="Q222" s="115">
        <v>47</v>
      </c>
      <c r="R222" s="115">
        <v>4.7</v>
      </c>
      <c r="S222" s="115">
        <v>0</v>
      </c>
      <c r="T222" s="115">
        <v>4.9399999999999999E-2</v>
      </c>
      <c r="U222" s="115">
        <v>1.23E-2</v>
      </c>
      <c r="V222" s="115">
        <v>3.6999999999999998E-2</v>
      </c>
      <c r="W222" s="115">
        <v>0.47660000000000002</v>
      </c>
      <c r="X222" s="115">
        <v>97.710899999999995</v>
      </c>
      <c r="Y222" s="115">
        <v>6.5506000000000002</v>
      </c>
      <c r="Z222" s="115">
        <v>192.98099999999999</v>
      </c>
      <c r="AA222" s="115">
        <v>48.4</v>
      </c>
      <c r="AB222" s="115">
        <v>12.692600000000001</v>
      </c>
      <c r="AC222" s="115">
        <v>0.1186</v>
      </c>
      <c r="AD222" s="115">
        <v>-8.8999999999999999E-3</v>
      </c>
      <c r="AE222" s="115">
        <v>-4.0399999999999998E-2</v>
      </c>
      <c r="AF222" s="115">
        <v>5.7000000000000002E-3</v>
      </c>
      <c r="AG222" s="115">
        <v>0.02</v>
      </c>
      <c r="AH222" s="115">
        <v>1.9E-2</v>
      </c>
      <c r="AI222" s="115">
        <v>2.7099999999999999E-2</v>
      </c>
      <c r="AJ222" s="115">
        <v>6.3E-3</v>
      </c>
      <c r="AK222" s="115">
        <v>8.7901000000000007</v>
      </c>
      <c r="AL222" s="115">
        <v>-0.70369999999999999</v>
      </c>
      <c r="AM222" s="115">
        <v>1</v>
      </c>
      <c r="AN222" s="115">
        <v>3</v>
      </c>
      <c r="AO222" s="115">
        <v>0</v>
      </c>
      <c r="AP222" s="115">
        <v>0</v>
      </c>
      <c r="AQ222" s="115">
        <v>2</v>
      </c>
      <c r="AR222" s="115">
        <v>0</v>
      </c>
      <c r="AS222" s="115">
        <v>-8.9999999999999998E-4</v>
      </c>
      <c r="AT222" s="115">
        <v>-9.4200000000000006E-2</v>
      </c>
      <c r="AU222" s="114" t="str">
        <f>IF(A222&lt;&gt;"",INDEX(Index!$B$1:$B$77,MATCH($A222,Index!$A$1:$A$77,0)),"")</f>
        <v>ARI</v>
      </c>
      <c r="AV222" s="123" t="str">
        <f>IF(B222&lt;&gt;"",INDEX(Index!$C$1:$C$77,MATCH($A222,Index!$A$1:$A$77,0)),"")</f>
        <v>Brissett</v>
      </c>
      <c r="AW222" s="123">
        <f t="shared" si="4"/>
        <v>28</v>
      </c>
      <c r="AX222" s="113">
        <v>7</v>
      </c>
    </row>
    <row r="223" spans="1:50" x14ac:dyDescent="0.25">
      <c r="A223" s="95" t="s">
        <v>578</v>
      </c>
      <c r="B223" s="96">
        <v>2025</v>
      </c>
      <c r="C223" s="96">
        <v>6</v>
      </c>
      <c r="D223" s="115">
        <v>-1.7348300000000001</v>
      </c>
      <c r="E223" s="115">
        <v>-2.1715700000000001E-2</v>
      </c>
      <c r="F223" s="115">
        <v>0.18310999999999999</v>
      </c>
      <c r="G223" s="115">
        <v>119</v>
      </c>
      <c r="H223" s="115">
        <v>195</v>
      </c>
      <c r="I223" s="115">
        <v>0.61029999999999995</v>
      </c>
      <c r="J223" s="115">
        <v>-4.9539999999999997</v>
      </c>
      <c r="K223" s="115">
        <v>1409</v>
      </c>
      <c r="L223" s="115">
        <v>7.2256</v>
      </c>
      <c r="M223" s="115">
        <v>5</v>
      </c>
      <c r="N223" s="115">
        <v>3</v>
      </c>
      <c r="O223" s="115">
        <v>9</v>
      </c>
      <c r="P223" s="115">
        <v>10</v>
      </c>
      <c r="Q223" s="115">
        <v>49</v>
      </c>
      <c r="R223" s="115">
        <v>4.9000000000000004</v>
      </c>
      <c r="S223" s="115">
        <v>1</v>
      </c>
      <c r="T223" s="115">
        <v>2.5600000000000001E-2</v>
      </c>
      <c r="U223" s="115">
        <v>1.54E-2</v>
      </c>
      <c r="V223" s="115">
        <v>1.03E-2</v>
      </c>
      <c r="W223" s="115">
        <v>0.47160000000000002</v>
      </c>
      <c r="X223" s="115">
        <v>85.181600000000003</v>
      </c>
      <c r="Y223" s="115">
        <v>6.3921999999999999</v>
      </c>
      <c r="Z223" s="115">
        <v>136.87</v>
      </c>
      <c r="AA223" s="115">
        <v>48.3</v>
      </c>
      <c r="AB223" s="115">
        <v>7.9268000000000001</v>
      </c>
      <c r="AC223" s="115">
        <v>3.4599999999999999E-2</v>
      </c>
      <c r="AD223" s="115">
        <v>4.1999999999999997E-3</v>
      </c>
      <c r="AE223" s="115">
        <v>1.6799999999999999E-2</v>
      </c>
      <c r="AF223" s="115">
        <v>-6.4100000000000004E-2</v>
      </c>
      <c r="AG223" s="115">
        <v>-1.0699999999999999E-2</v>
      </c>
      <c r="AH223" s="115">
        <v>2.3099999999999999E-2</v>
      </c>
      <c r="AI223" s="115">
        <v>-2.76E-2</v>
      </c>
      <c r="AJ223" s="115">
        <v>2.5999999999999999E-3</v>
      </c>
      <c r="AK223" s="115">
        <v>8.0974000000000004</v>
      </c>
      <c r="AL223" s="115">
        <v>-0.85640000000000005</v>
      </c>
      <c r="AM223" s="115">
        <v>3</v>
      </c>
      <c r="AN223" s="115">
        <v>3</v>
      </c>
      <c r="AO223" s="115">
        <v>0</v>
      </c>
      <c r="AP223" s="115">
        <v>0</v>
      </c>
      <c r="AQ223" s="115">
        <v>2</v>
      </c>
      <c r="AR223" s="115">
        <v>0</v>
      </c>
      <c r="AS223" s="115">
        <v>3.5000000000000001E-3</v>
      </c>
      <c r="AT223" s="115">
        <v>0.80379999999999996</v>
      </c>
      <c r="AU223" s="114" t="str">
        <f>IF(A223&lt;&gt;"",INDEX(Index!$B$1:$B$77,MATCH($A223,Index!$A$1:$A$77,0)),"")</f>
        <v>ATL</v>
      </c>
      <c r="AV223" s="123" t="str">
        <f>IF(B223&lt;&gt;"",INDEX(Index!$C$1:$C$77,MATCH($A223,Index!$A$1:$A$77,0)),"")</f>
        <v>Penix</v>
      </c>
      <c r="AW223" s="123">
        <f t="shared" si="4"/>
        <v>27</v>
      </c>
      <c r="AX223" s="113">
        <v>7</v>
      </c>
    </row>
    <row r="224" spans="1:50" x14ac:dyDescent="0.25">
      <c r="A224" s="95" t="s">
        <v>586</v>
      </c>
      <c r="B224" s="96">
        <v>2025</v>
      </c>
      <c r="C224" s="96">
        <v>4</v>
      </c>
      <c r="D224" s="115">
        <v>-1.8926799999999999</v>
      </c>
      <c r="E224" s="115">
        <v>-5.9408600000000001E-3</v>
      </c>
      <c r="F224" s="115">
        <v>0.35674400000000001</v>
      </c>
      <c r="G224" s="115">
        <v>95</v>
      </c>
      <c r="H224" s="115">
        <v>141</v>
      </c>
      <c r="I224" s="115">
        <v>0.67379999999999995</v>
      </c>
      <c r="J224" s="115">
        <v>3.7048000000000001</v>
      </c>
      <c r="K224" s="115">
        <v>1072</v>
      </c>
      <c r="L224" s="115">
        <v>7.6028000000000002</v>
      </c>
      <c r="M224" s="115">
        <v>5</v>
      </c>
      <c r="N224" s="115">
        <v>4</v>
      </c>
      <c r="O224" s="115">
        <v>14</v>
      </c>
      <c r="P224" s="115">
        <v>9</v>
      </c>
      <c r="Q224" s="115">
        <v>57</v>
      </c>
      <c r="R224" s="115">
        <v>6.3333000000000004</v>
      </c>
      <c r="S224" s="115">
        <v>0</v>
      </c>
      <c r="T224" s="115">
        <v>3.5499999999999997E-2</v>
      </c>
      <c r="U224" s="115">
        <v>2.8400000000000002E-2</v>
      </c>
      <c r="V224" s="115">
        <v>7.1000000000000004E-3</v>
      </c>
      <c r="W224" s="115">
        <v>0.50290000000000001</v>
      </c>
      <c r="X224" s="115">
        <v>89.9084</v>
      </c>
      <c r="Y224" s="115">
        <v>5.7676999999999996</v>
      </c>
      <c r="Z224" s="115">
        <v>146.66800000000001</v>
      </c>
      <c r="AA224" s="115">
        <v>42.6</v>
      </c>
      <c r="AB224" s="115">
        <v>22.488399999999999</v>
      </c>
      <c r="AC224" s="115">
        <v>0.13</v>
      </c>
      <c r="AD224" s="115">
        <v>-2.2499999999999999E-2</v>
      </c>
      <c r="AE224" s="115">
        <v>-2.1499999999999998E-2</v>
      </c>
      <c r="AF224" s="115">
        <v>5.2699999999999997E-2</v>
      </c>
      <c r="AG224" s="115">
        <v>-2.5100000000000001E-2</v>
      </c>
      <c r="AH224" s="115">
        <v>2.76E-2</v>
      </c>
      <c r="AI224" s="115">
        <v>4.1200000000000001E-2</v>
      </c>
      <c r="AJ224" s="115">
        <v>-1.2200000000000001E-2</v>
      </c>
      <c r="AK224" s="115">
        <v>8.3262</v>
      </c>
      <c r="AL224" s="115">
        <v>-0.62409999999999999</v>
      </c>
      <c r="AM224" s="115">
        <v>2</v>
      </c>
      <c r="AN224" s="115">
        <v>2</v>
      </c>
      <c r="AO224" s="115">
        <v>0</v>
      </c>
      <c r="AP224" s="115">
        <v>1</v>
      </c>
      <c r="AQ224" s="115">
        <v>3</v>
      </c>
      <c r="AR224" s="115">
        <v>0.33329999999999999</v>
      </c>
      <c r="AS224" s="115">
        <v>2E-3</v>
      </c>
      <c r="AT224" s="115">
        <v>0.34110000000000001</v>
      </c>
      <c r="AU224" s="114" t="str">
        <f>IF(A224&lt;&gt;"",INDEX(Index!$B$1:$B$77,MATCH($A224,Index!$A$1:$A$77,0)),"")</f>
        <v>MIN</v>
      </c>
      <c r="AV224" s="123" t="str">
        <f>IF(B224&lt;&gt;"",INDEX(Index!$C$1:$C$77,MATCH($A224,Index!$A$1:$A$77,0)),"")</f>
        <v>Wentz</v>
      </c>
      <c r="AW224" s="123">
        <f t="shared" si="4"/>
        <v>25</v>
      </c>
      <c r="AX224" s="113">
        <v>7</v>
      </c>
    </row>
    <row r="225" spans="1:50" x14ac:dyDescent="0.25">
      <c r="A225" s="95" t="s">
        <v>585</v>
      </c>
      <c r="B225" s="96">
        <v>2025</v>
      </c>
      <c r="C225" s="96">
        <v>3</v>
      </c>
      <c r="D225" s="115">
        <v>-1.9768300000000001</v>
      </c>
      <c r="E225" s="115">
        <v>0.13401099999999999</v>
      </c>
      <c r="F225" s="115">
        <v>-0.76969699999999996</v>
      </c>
      <c r="G225" s="115">
        <v>80</v>
      </c>
      <c r="H225" s="115">
        <v>124</v>
      </c>
      <c r="I225" s="115">
        <v>0.6452</v>
      </c>
      <c r="J225" s="115">
        <v>0.1186</v>
      </c>
      <c r="K225" s="115">
        <v>757</v>
      </c>
      <c r="L225" s="115">
        <v>6.1048</v>
      </c>
      <c r="M225" s="115">
        <v>6</v>
      </c>
      <c r="N225" s="115">
        <v>8</v>
      </c>
      <c r="O225" s="115">
        <v>9</v>
      </c>
      <c r="P225" s="115">
        <v>8</v>
      </c>
      <c r="Q225" s="115">
        <v>40</v>
      </c>
      <c r="R225" s="115">
        <v>5</v>
      </c>
      <c r="S225" s="115">
        <v>1</v>
      </c>
      <c r="T225" s="115">
        <v>4.8399999999999999E-2</v>
      </c>
      <c r="U225" s="115">
        <v>6.4500000000000002E-2</v>
      </c>
      <c r="V225" s="115">
        <v>-1.61E-2</v>
      </c>
      <c r="W225" s="115">
        <v>0.43140000000000001</v>
      </c>
      <c r="X225" s="115">
        <v>70.530900000000003</v>
      </c>
      <c r="Y225" s="115">
        <v>3.4361000000000002</v>
      </c>
      <c r="Z225" s="115">
        <v>58.973999999999997</v>
      </c>
      <c r="AA225" s="115">
        <v>34.299999999999997</v>
      </c>
      <c r="AB225" s="115">
        <v>-36.548900000000003</v>
      </c>
      <c r="AC225" s="115">
        <v>-0.2389</v>
      </c>
      <c r="AD225" s="115">
        <v>1.01E-2</v>
      </c>
      <c r="AE225" s="115">
        <v>2.7000000000000001E-3</v>
      </c>
      <c r="AF225" s="115">
        <v>1.7600000000000001E-2</v>
      </c>
      <c r="AG225" s="115">
        <v>-0.18410000000000001</v>
      </c>
      <c r="AH225" s="115">
        <v>-8.7800000000000003E-2</v>
      </c>
      <c r="AI225" s="115">
        <v>-0.129</v>
      </c>
      <c r="AJ225" s="115">
        <v>4.1799999999999997E-2</v>
      </c>
      <c r="AK225" s="115">
        <v>7.6612999999999998</v>
      </c>
      <c r="AL225" s="115">
        <v>-1.5323</v>
      </c>
      <c r="AM225" s="115">
        <v>1</v>
      </c>
      <c r="AN225" s="115">
        <v>3</v>
      </c>
      <c r="AO225" s="115">
        <v>0</v>
      </c>
      <c r="AP225" s="115">
        <v>1</v>
      </c>
      <c r="AQ225" s="115">
        <v>1</v>
      </c>
      <c r="AR225" s="115">
        <v>1</v>
      </c>
      <c r="AS225" s="115">
        <v>-5.9999999999999995E-4</v>
      </c>
      <c r="AT225" s="115">
        <v>-8.9099999999999999E-2</v>
      </c>
      <c r="AU225" s="114" t="str">
        <f>IF(A225&lt;&gt;"",INDEX(Index!$B$1:$B$77,MATCH($A225,Index!$A$1:$A$77,0)),"")</f>
        <v>CIN</v>
      </c>
      <c r="AV225" s="123" t="str">
        <f>IF(B225&lt;&gt;"",INDEX(Index!$C$1:$C$77,MATCH($A225,Index!$A$1:$A$77,0)),"")</f>
        <v>Browning</v>
      </c>
      <c r="AW225" s="123">
        <f t="shared" si="4"/>
        <v>31</v>
      </c>
      <c r="AX225" s="113">
        <v>7</v>
      </c>
    </row>
    <row r="226" spans="1:50" x14ac:dyDescent="0.25">
      <c r="A226" s="95" t="s">
        <v>581</v>
      </c>
      <c r="B226" s="96">
        <v>2025</v>
      </c>
      <c r="C226" s="96">
        <v>7</v>
      </c>
      <c r="D226" s="115">
        <v>-2.1435499999999998</v>
      </c>
      <c r="E226" s="115">
        <v>-0.42050799999999999</v>
      </c>
      <c r="F226" s="115">
        <v>1.2125900000000001</v>
      </c>
      <c r="G226" s="115">
        <v>159</v>
      </c>
      <c r="H226" s="115">
        <v>233</v>
      </c>
      <c r="I226" s="115">
        <v>0.68240000000000001</v>
      </c>
      <c r="J226" s="115">
        <v>2.0697999999999999</v>
      </c>
      <c r="K226" s="115">
        <v>1450</v>
      </c>
      <c r="L226" s="115">
        <v>6.2232000000000003</v>
      </c>
      <c r="M226" s="115">
        <v>8</v>
      </c>
      <c r="N226" s="115">
        <v>4</v>
      </c>
      <c r="O226" s="115">
        <v>15</v>
      </c>
      <c r="P226" s="115">
        <v>27</v>
      </c>
      <c r="Q226" s="115">
        <v>156</v>
      </c>
      <c r="R226" s="115">
        <v>5.7778</v>
      </c>
      <c r="S226" s="115">
        <v>0</v>
      </c>
      <c r="T226" s="115">
        <v>3.4299999999999997E-2</v>
      </c>
      <c r="U226" s="115">
        <v>1.72E-2</v>
      </c>
      <c r="V226" s="115">
        <v>1.72E-2</v>
      </c>
      <c r="W226" s="115">
        <v>0.4899</v>
      </c>
      <c r="X226" s="115">
        <v>89.171999999999997</v>
      </c>
      <c r="Y226" s="115">
        <v>5.4234</v>
      </c>
      <c r="Z226" s="115">
        <v>161.44</v>
      </c>
      <c r="AA226" s="115">
        <v>55.7</v>
      </c>
      <c r="AB226" s="115">
        <v>1.33</v>
      </c>
      <c r="AC226" s="115">
        <v>4.4999999999999997E-3</v>
      </c>
      <c r="AD226" s="115">
        <v>1.6799999999999999E-2</v>
      </c>
      <c r="AE226" s="115">
        <v>1.2800000000000001E-2</v>
      </c>
      <c r="AF226" s="115">
        <v>5.4000000000000003E-3</v>
      </c>
      <c r="AG226" s="115">
        <v>2.7300000000000001E-2</v>
      </c>
      <c r="AH226" s="115">
        <v>-4.0300000000000002E-2</v>
      </c>
      <c r="AI226" s="115">
        <v>-0.1166</v>
      </c>
      <c r="AJ226" s="115">
        <v>9.2999999999999992E-3</v>
      </c>
      <c r="AK226" s="115">
        <v>7.9313000000000002</v>
      </c>
      <c r="AL226" s="115">
        <v>-1.0428999999999999</v>
      </c>
      <c r="AM226" s="115">
        <v>1</v>
      </c>
      <c r="AN226" s="115">
        <v>6</v>
      </c>
      <c r="AO226" s="115">
        <v>0</v>
      </c>
      <c r="AP226" s="115">
        <v>0</v>
      </c>
      <c r="AQ226" s="115">
        <v>4</v>
      </c>
      <c r="AR226" s="115">
        <v>0</v>
      </c>
      <c r="AS226" s="115">
        <v>-1.2999999999999999E-3</v>
      </c>
      <c r="AT226" s="115">
        <v>-0.39269999999999999</v>
      </c>
      <c r="AU226" s="114" t="str">
        <f>IF(A226&lt;&gt;"",INDEX(Index!$B$1:$B$77,MATCH($A226,Index!$A$1:$A$77,0)),"")</f>
        <v>NO</v>
      </c>
      <c r="AV226" s="123" t="str">
        <f>IF(B226&lt;&gt;"",INDEX(Index!$C$1:$C$77,MATCH($A226,Index!$A$1:$A$77,0)),"")</f>
        <v>Rattler</v>
      </c>
      <c r="AW226" s="123">
        <f t="shared" si="4"/>
        <v>13</v>
      </c>
      <c r="AX226" s="113">
        <v>7</v>
      </c>
    </row>
    <row r="227" spans="1:50" x14ac:dyDescent="0.25">
      <c r="A227" s="95" t="s">
        <v>572</v>
      </c>
      <c r="B227" s="96">
        <v>2025</v>
      </c>
      <c r="C227" s="96">
        <v>7</v>
      </c>
      <c r="D227" s="115">
        <v>-2.2606700000000002</v>
      </c>
      <c r="E227" s="115">
        <v>-0.36456899999999998</v>
      </c>
      <c r="F227" s="115">
        <v>-2.1579100000000002</v>
      </c>
      <c r="G227" s="115">
        <v>133</v>
      </c>
      <c r="H227" s="115">
        <v>200</v>
      </c>
      <c r="I227" s="115">
        <v>0.66500000000000004</v>
      </c>
      <c r="J227" s="115">
        <v>-0.8236</v>
      </c>
      <c r="K227" s="115">
        <v>1417</v>
      </c>
      <c r="L227" s="115">
        <v>7.085</v>
      </c>
      <c r="M227" s="115">
        <v>7</v>
      </c>
      <c r="N227" s="115">
        <v>10</v>
      </c>
      <c r="O227" s="115">
        <v>19</v>
      </c>
      <c r="P227" s="115">
        <v>17</v>
      </c>
      <c r="Q227" s="115">
        <v>76</v>
      </c>
      <c r="R227" s="115">
        <v>4.4706000000000001</v>
      </c>
      <c r="S227" s="115">
        <v>0</v>
      </c>
      <c r="T227" s="115">
        <v>3.5000000000000003E-2</v>
      </c>
      <c r="U227" s="115">
        <v>0.05</v>
      </c>
      <c r="V227" s="115">
        <v>-1.4999999999999999E-2</v>
      </c>
      <c r="W227" s="115">
        <v>0.43819999999999998</v>
      </c>
      <c r="X227" s="115">
        <v>77.854200000000006</v>
      </c>
      <c r="Y227" s="115">
        <v>4.3880999999999997</v>
      </c>
      <c r="Z227" s="115">
        <v>60.956400000000002</v>
      </c>
      <c r="AA227" s="115">
        <v>34</v>
      </c>
      <c r="AB227" s="115">
        <v>-18.030799999999999</v>
      </c>
      <c r="AC227" s="115">
        <v>-7.1800000000000003E-2</v>
      </c>
      <c r="AD227" s="115">
        <v>-2.4299999999999999E-2</v>
      </c>
      <c r="AE227" s="115">
        <v>-3.7600000000000001E-2</v>
      </c>
      <c r="AF227" s="115">
        <v>3.78E-2</v>
      </c>
      <c r="AG227" s="115">
        <v>-0.1203</v>
      </c>
      <c r="AH227" s="115">
        <v>-6.9699999999999998E-2</v>
      </c>
      <c r="AI227" s="115">
        <v>5.1499999999999997E-2</v>
      </c>
      <c r="AJ227" s="115">
        <v>8.9999999999999998E-4</v>
      </c>
      <c r="AK227" s="115">
        <v>6.98</v>
      </c>
      <c r="AL227" s="115">
        <v>-2.1150000000000002</v>
      </c>
      <c r="AM227" s="115">
        <v>2</v>
      </c>
      <c r="AN227" s="115">
        <v>5</v>
      </c>
      <c r="AO227" s="115">
        <v>0</v>
      </c>
      <c r="AP227" s="115">
        <v>0</v>
      </c>
      <c r="AQ227" s="115">
        <v>1</v>
      </c>
      <c r="AR227" s="115">
        <v>0</v>
      </c>
      <c r="AS227" s="115">
        <v>-2.0000000000000001E-4</v>
      </c>
      <c r="AT227" s="115">
        <v>-4.8399999999999999E-2</v>
      </c>
      <c r="AU227" s="114" t="str">
        <f>IF(A227&lt;&gt;"",INDEX(Index!$B$1:$B$77,MATCH($A227,Index!$A$1:$A$77,0)),"")</f>
        <v>LV</v>
      </c>
      <c r="AV227" s="123" t="str">
        <f>IF(B227&lt;&gt;"",INDEX(Index!$C$1:$C$77,MATCH($A227,Index!$A$1:$A$77,0)),"")</f>
        <v>Smith</v>
      </c>
      <c r="AW227" s="123">
        <f t="shared" si="4"/>
        <v>23</v>
      </c>
      <c r="AX227" s="113">
        <v>7</v>
      </c>
    </row>
    <row r="228" spans="1:50" x14ac:dyDescent="0.25">
      <c r="A228" s="95" t="s">
        <v>588</v>
      </c>
      <c r="B228" s="96">
        <v>2025</v>
      </c>
      <c r="C228" s="96">
        <v>2</v>
      </c>
      <c r="D228" s="115">
        <v>-2.5481500000000001</v>
      </c>
      <c r="E228" s="115">
        <v>-0.378133</v>
      </c>
      <c r="F228" s="115">
        <v>-0.79516200000000004</v>
      </c>
      <c r="G228" s="115">
        <v>34</v>
      </c>
      <c r="H228" s="115">
        <v>52</v>
      </c>
      <c r="I228" s="115">
        <v>0.65380000000000005</v>
      </c>
      <c r="J228" s="115">
        <v>-1.9399</v>
      </c>
      <c r="K228" s="115">
        <v>303</v>
      </c>
      <c r="L228" s="115">
        <v>5.8269000000000002</v>
      </c>
      <c r="M228" s="115">
        <v>0</v>
      </c>
      <c r="N228" s="115">
        <v>4</v>
      </c>
      <c r="O228" s="115">
        <v>1</v>
      </c>
      <c r="P228" s="115">
        <v>0</v>
      </c>
      <c r="Q228" s="115">
        <v>0</v>
      </c>
      <c r="R228" s="115"/>
      <c r="S228" s="115">
        <v>0</v>
      </c>
      <c r="T228" s="115">
        <v>0</v>
      </c>
      <c r="U228" s="115">
        <v>7.6899999999999996E-2</v>
      </c>
      <c r="V228" s="115">
        <v>-7.6899999999999996E-2</v>
      </c>
      <c r="W228" s="115">
        <v>0.42109999999999997</v>
      </c>
      <c r="X228" s="115">
        <v>48.798099999999998</v>
      </c>
      <c r="Y228" s="115">
        <v>2.0188999999999999</v>
      </c>
      <c r="Z228" s="115">
        <v>12.234400000000001</v>
      </c>
      <c r="AA228" s="115"/>
      <c r="AB228" s="115">
        <v>-25.889299999999999</v>
      </c>
      <c r="AC228" s="115">
        <v>-0.45419999999999999</v>
      </c>
      <c r="AD228" s="115">
        <v>-3.4299999999999997E-2</v>
      </c>
      <c r="AE228" s="115">
        <v>5.6300000000000003E-2</v>
      </c>
      <c r="AF228" s="115">
        <v>-6.2E-2</v>
      </c>
      <c r="AG228" s="115">
        <v>-0.23200000000000001</v>
      </c>
      <c r="AH228" s="115">
        <v>-0.2195</v>
      </c>
      <c r="AI228" s="115">
        <v>-1.18E-2</v>
      </c>
      <c r="AJ228" s="115">
        <v>-4.0800000000000003E-2</v>
      </c>
      <c r="AK228" s="115">
        <v>6.4423000000000004</v>
      </c>
      <c r="AL228" s="115">
        <v>-2.0577000000000001</v>
      </c>
      <c r="AM228" s="115">
        <v>0</v>
      </c>
      <c r="AN228" s="115">
        <v>3</v>
      </c>
      <c r="AO228" s="115">
        <v>0</v>
      </c>
      <c r="AP228" s="115">
        <v>0</v>
      </c>
      <c r="AQ228" s="115">
        <v>0</v>
      </c>
      <c r="AR228" s="115"/>
      <c r="AS228" s="115">
        <v>-6.8999999999999999E-3</v>
      </c>
      <c r="AT228" s="115">
        <v>-0.39179999999999998</v>
      </c>
      <c r="AU228" s="114" t="str">
        <f>IF(A228&lt;&gt;"",INDEX(Index!$B$1:$B$77,MATCH($A228,Index!$A$1:$A$77,0)),"")</f>
        <v>BAL</v>
      </c>
      <c r="AV228" s="123" t="str">
        <f>IF(B228&lt;&gt;"",INDEX(Index!$C$1:$C$77,MATCH($A228,Index!$A$1:$A$77,0)),"")</f>
        <v>Rush</v>
      </c>
      <c r="AW228" s="123">
        <f t="shared" si="4"/>
        <v>41</v>
      </c>
      <c r="AX228" s="113">
        <v>7</v>
      </c>
    </row>
    <row r="229" spans="1:50" x14ac:dyDescent="0.25">
      <c r="A229" s="95" t="s">
        <v>580</v>
      </c>
      <c r="B229" s="96">
        <v>2025</v>
      </c>
      <c r="C229" s="96">
        <v>2</v>
      </c>
      <c r="D229" s="115">
        <v>-2.55579</v>
      </c>
      <c r="E229" s="115">
        <v>-0.98064799999999996</v>
      </c>
      <c r="F229" s="115">
        <v>-0.89308399999999999</v>
      </c>
      <c r="G229" s="115">
        <v>24</v>
      </c>
      <c r="H229" s="115">
        <v>41</v>
      </c>
      <c r="I229" s="115">
        <v>0.58540000000000003</v>
      </c>
      <c r="J229" s="115">
        <v>-7.2812999999999999</v>
      </c>
      <c r="K229" s="115">
        <v>301</v>
      </c>
      <c r="L229" s="115">
        <v>7.3414999999999999</v>
      </c>
      <c r="M229" s="115">
        <v>2</v>
      </c>
      <c r="N229" s="115">
        <v>3</v>
      </c>
      <c r="O229" s="115">
        <v>9</v>
      </c>
      <c r="P229" s="115">
        <v>6</v>
      </c>
      <c r="Q229" s="115">
        <v>50</v>
      </c>
      <c r="R229" s="115">
        <v>8.3332999999999995</v>
      </c>
      <c r="S229" s="115">
        <v>1</v>
      </c>
      <c r="T229" s="115">
        <v>4.8800000000000003E-2</v>
      </c>
      <c r="U229" s="115">
        <v>7.3200000000000001E-2</v>
      </c>
      <c r="V229" s="115">
        <v>-2.4400000000000002E-2</v>
      </c>
      <c r="W229" s="115">
        <v>0.42370000000000002</v>
      </c>
      <c r="X229" s="115">
        <v>67.2256</v>
      </c>
      <c r="Y229" s="115">
        <v>3.18</v>
      </c>
      <c r="Z229" s="115">
        <v>-1.2115</v>
      </c>
      <c r="AA229" s="115"/>
      <c r="AB229" s="115">
        <v>-17.266200000000001</v>
      </c>
      <c r="AC229" s="115">
        <v>-0.29260000000000003</v>
      </c>
      <c r="AD229" s="115">
        <v>5.7500000000000002E-2</v>
      </c>
      <c r="AE229" s="115">
        <v>-0.20880000000000001</v>
      </c>
      <c r="AF229" s="115">
        <v>-1.6999999999999999E-3</v>
      </c>
      <c r="AG229" s="115">
        <v>-0.2276</v>
      </c>
      <c r="AH229" s="115">
        <v>3.5700000000000003E-2</v>
      </c>
      <c r="AI229" s="115">
        <v>-9.98E-2</v>
      </c>
      <c r="AJ229" s="115">
        <v>6.2199999999999998E-2</v>
      </c>
      <c r="AK229" s="115">
        <v>9</v>
      </c>
      <c r="AL229" s="115">
        <v>-0.31709999999999999</v>
      </c>
      <c r="AM229" s="115">
        <v>1</v>
      </c>
      <c r="AN229" s="115">
        <v>1</v>
      </c>
      <c r="AO229" s="115">
        <v>0</v>
      </c>
      <c r="AP229" s="115">
        <v>1</v>
      </c>
      <c r="AQ229" s="115">
        <v>2</v>
      </c>
      <c r="AR229" s="115">
        <v>0.5</v>
      </c>
      <c r="AS229" s="115">
        <v>-2.0999999999999999E-3</v>
      </c>
      <c r="AT229" s="115">
        <v>-0.1216</v>
      </c>
      <c r="AU229" s="114" t="str">
        <f>IF(A229&lt;&gt;"",INDEX(Index!$B$1:$B$77,MATCH($A229,Index!$A$1:$A$77,0)),"")</f>
        <v>MIN</v>
      </c>
      <c r="AV229" s="123" t="str">
        <f>IF(B229&lt;&gt;"",INDEX(Index!$C$1:$C$77,MATCH($A229,Index!$A$1:$A$77,0)),"")</f>
        <v>McCarthy</v>
      </c>
      <c r="AW229" s="123">
        <f t="shared" si="4"/>
        <v>26</v>
      </c>
      <c r="AX229" s="113">
        <v>7</v>
      </c>
    </row>
    <row r="230" spans="1:50" x14ac:dyDescent="0.25">
      <c r="A230" s="95" t="s">
        <v>582</v>
      </c>
      <c r="B230" s="96">
        <v>2025</v>
      </c>
      <c r="C230" s="96">
        <v>7</v>
      </c>
      <c r="D230" s="115">
        <v>-3.89744</v>
      </c>
      <c r="E230" s="115">
        <v>0.12449200000000001</v>
      </c>
      <c r="F230" s="115">
        <v>-2.3645499999999999</v>
      </c>
      <c r="G230" s="115">
        <v>136</v>
      </c>
      <c r="H230" s="115">
        <v>234</v>
      </c>
      <c r="I230" s="115">
        <v>0.58120000000000005</v>
      </c>
      <c r="J230" s="115">
        <v>-4.7595999999999998</v>
      </c>
      <c r="K230" s="115">
        <v>1356</v>
      </c>
      <c r="L230" s="115">
        <v>5.7949000000000002</v>
      </c>
      <c r="M230" s="115">
        <v>4</v>
      </c>
      <c r="N230" s="115">
        <v>5</v>
      </c>
      <c r="O230" s="115">
        <v>30</v>
      </c>
      <c r="P230" s="115">
        <v>10</v>
      </c>
      <c r="Q230" s="115">
        <v>44</v>
      </c>
      <c r="R230" s="115">
        <v>4.4000000000000004</v>
      </c>
      <c r="S230" s="115">
        <v>0</v>
      </c>
      <c r="T230" s="115">
        <v>1.7100000000000001E-2</v>
      </c>
      <c r="U230" s="115">
        <v>2.1399999999999999E-2</v>
      </c>
      <c r="V230" s="115">
        <v>-4.3E-3</v>
      </c>
      <c r="W230" s="115">
        <v>0.39379999999999998</v>
      </c>
      <c r="X230" s="115">
        <v>71.456599999999995</v>
      </c>
      <c r="Y230" s="115">
        <v>3.6894</v>
      </c>
      <c r="Z230" s="115">
        <v>1.6852</v>
      </c>
      <c r="AA230" s="115">
        <v>23.9</v>
      </c>
      <c r="AB230" s="115">
        <v>-66.179000000000002</v>
      </c>
      <c r="AC230" s="115">
        <v>-0.2266</v>
      </c>
      <c r="AD230" s="115">
        <v>-2.3900000000000001E-2</v>
      </c>
      <c r="AE230" s="115">
        <v>-0.1321</v>
      </c>
      <c r="AF230" s="115">
        <v>-3.7999999999999999E-2</v>
      </c>
      <c r="AG230" s="115">
        <v>8.5000000000000006E-3</v>
      </c>
      <c r="AH230" s="115">
        <v>-5.7700000000000001E-2</v>
      </c>
      <c r="AI230" s="115">
        <v>-6.3200000000000006E-2</v>
      </c>
      <c r="AJ230" s="115">
        <v>-0.01</v>
      </c>
      <c r="AK230" s="115">
        <v>7.6325000000000003</v>
      </c>
      <c r="AL230" s="115">
        <v>-1.7009000000000001</v>
      </c>
      <c r="AM230" s="115">
        <v>1</v>
      </c>
      <c r="AN230" s="115">
        <v>6</v>
      </c>
      <c r="AO230" s="115">
        <v>0</v>
      </c>
      <c r="AP230" s="115">
        <v>1</v>
      </c>
      <c r="AQ230" s="115">
        <v>3</v>
      </c>
      <c r="AR230" s="115">
        <v>0.33329999999999999</v>
      </c>
      <c r="AS230" s="115">
        <v>-5.0000000000000001E-3</v>
      </c>
      <c r="AT230" s="115">
        <v>-1.4497</v>
      </c>
      <c r="AU230" s="114" t="str">
        <f>IF(A230&lt;&gt;"",INDEX(Index!$B$1:$B$77,MATCH($A230,Index!$A$1:$A$77,0)),"")</f>
        <v>TEN</v>
      </c>
      <c r="AV230" s="123" t="str">
        <f>IF(B230&lt;&gt;"",INDEX(Index!$C$1:$C$77,MATCH($A230,Index!$A$1:$A$77,0)),"")</f>
        <v>Ward</v>
      </c>
      <c r="AW230" s="123">
        <f t="shared" si="4"/>
        <v>30</v>
      </c>
      <c r="AX230" s="113">
        <v>7</v>
      </c>
    </row>
    <row r="231" spans="1:50" ht="15.75" thickBot="1" x14ac:dyDescent="0.3">
      <c r="A231" s="95" t="s">
        <v>589</v>
      </c>
      <c r="B231" s="96">
        <v>2025</v>
      </c>
      <c r="C231" s="96">
        <v>3</v>
      </c>
      <c r="D231" s="115">
        <v>-3.9706399999999999</v>
      </c>
      <c r="E231" s="115">
        <v>-6.4231899999999995E-2</v>
      </c>
      <c r="F231" s="115">
        <v>-0.166819</v>
      </c>
      <c r="G231" s="115">
        <v>64</v>
      </c>
      <c r="H231" s="115">
        <v>106</v>
      </c>
      <c r="I231" s="115">
        <v>0.6038</v>
      </c>
      <c r="J231" s="115">
        <v>-6.5030999999999999</v>
      </c>
      <c r="K231" s="115">
        <v>546</v>
      </c>
      <c r="L231" s="115">
        <v>5.1509</v>
      </c>
      <c r="M231" s="115">
        <v>3</v>
      </c>
      <c r="N231" s="115">
        <v>0</v>
      </c>
      <c r="O231" s="115">
        <v>10</v>
      </c>
      <c r="P231" s="115">
        <v>5</v>
      </c>
      <c r="Q231" s="115">
        <v>18</v>
      </c>
      <c r="R231" s="115">
        <v>3.6</v>
      </c>
      <c r="S231" s="115">
        <v>0</v>
      </c>
      <c r="T231" s="115">
        <v>2.8299999999999999E-2</v>
      </c>
      <c r="U231" s="115">
        <v>0</v>
      </c>
      <c r="V231" s="115">
        <v>2.8299999999999999E-2</v>
      </c>
      <c r="W231" s="115">
        <v>0.38169999999999998</v>
      </c>
      <c r="X231" s="115">
        <v>83.293999999999997</v>
      </c>
      <c r="Y231" s="115">
        <v>4.7069000000000001</v>
      </c>
      <c r="Z231" s="115">
        <v>65.4268</v>
      </c>
      <c r="AA231" s="115"/>
      <c r="AB231" s="115">
        <v>-4.9782999999999999</v>
      </c>
      <c r="AC231" s="115">
        <v>-3.7999999999999999E-2</v>
      </c>
      <c r="AD231" s="115">
        <v>-4.5999999999999999E-2</v>
      </c>
      <c r="AE231" s="115">
        <v>-1.9099999999999999E-2</v>
      </c>
      <c r="AF231" s="115">
        <v>-4.5199999999999997E-2</v>
      </c>
      <c r="AG231" s="115">
        <v>7.0999999999999994E-2</v>
      </c>
      <c r="AH231" s="115">
        <v>-0.1469</v>
      </c>
      <c r="AI231" s="115">
        <v>1.12E-2</v>
      </c>
      <c r="AJ231" s="115">
        <v>4.7500000000000001E-2</v>
      </c>
      <c r="AK231" s="115">
        <v>5.9150999999999998</v>
      </c>
      <c r="AL231" s="115">
        <v>-3.6981000000000002</v>
      </c>
      <c r="AM231" s="115">
        <v>1</v>
      </c>
      <c r="AN231" s="115">
        <v>4</v>
      </c>
      <c r="AO231" s="115">
        <v>0</v>
      </c>
      <c r="AP231" s="115">
        <v>0</v>
      </c>
      <c r="AQ231" s="115">
        <v>1</v>
      </c>
      <c r="AR231" s="115">
        <v>0</v>
      </c>
      <c r="AS231" s="115">
        <v>-1.1999999999999999E-3</v>
      </c>
      <c r="AT231" s="115">
        <v>-0.1603</v>
      </c>
      <c r="AU231" s="114" t="str">
        <f>IF(A231&lt;&gt;"",INDEX(Index!$B$1:$B$77,MATCH($A231,Index!$A$1:$A$77,0)),"")</f>
        <v>CLE</v>
      </c>
      <c r="AV231" s="123" t="str">
        <f>IF(B231&lt;&gt;"",INDEX(Index!$C$1:$C$77,MATCH($A231,Index!$A$1:$A$77,0)),"")</f>
        <v>Gabriel</v>
      </c>
      <c r="AW231" s="123">
        <f t="shared" si="4"/>
        <v>38</v>
      </c>
      <c r="AX231" s="113">
        <v>7</v>
      </c>
    </row>
    <row r="232" spans="1:50" x14ac:dyDescent="0.25">
      <c r="A232" s="117" t="s">
        <v>552</v>
      </c>
      <c r="B232" s="118">
        <v>2025</v>
      </c>
      <c r="C232" s="118">
        <v>8</v>
      </c>
      <c r="D232" s="118">
        <v>3.6087199999999999</v>
      </c>
      <c r="E232" s="118">
        <v>-0.114854</v>
      </c>
      <c r="F232" s="119">
        <v>1.42683</v>
      </c>
      <c r="G232" s="119">
        <v>100.866</v>
      </c>
      <c r="H232" s="119">
        <v>0.28660000000000002</v>
      </c>
      <c r="I232" s="119">
        <v>189</v>
      </c>
      <c r="J232" s="119">
        <v>281</v>
      </c>
      <c r="K232" s="119">
        <v>0.67259999999999998</v>
      </c>
      <c r="L232" s="119">
        <v>2.8549000000000002</v>
      </c>
      <c r="M232" s="119">
        <v>2099</v>
      </c>
      <c r="N232" s="119">
        <v>7.4698000000000002</v>
      </c>
      <c r="O232" s="119">
        <v>17</v>
      </c>
      <c r="P232" s="119">
        <v>4</v>
      </c>
      <c r="Q232" s="119">
        <v>14</v>
      </c>
      <c r="R232" s="119">
        <v>38</v>
      </c>
      <c r="S232" s="119">
        <v>287</v>
      </c>
      <c r="T232" s="119">
        <v>7.5526</v>
      </c>
      <c r="U232" s="119">
        <v>4</v>
      </c>
      <c r="V232" s="119">
        <v>6.0499999999999998E-2</v>
      </c>
      <c r="W232" s="119">
        <v>1.4200000000000001E-2</v>
      </c>
      <c r="X232" s="119">
        <v>4.6300000000000001E-2</v>
      </c>
      <c r="Y232" s="119">
        <v>0.55400000000000005</v>
      </c>
      <c r="Z232" s="119">
        <v>103.492</v>
      </c>
      <c r="AA232" s="119">
        <v>7.3695000000000004</v>
      </c>
      <c r="AB232" s="119">
        <v>292.29000000000002</v>
      </c>
      <c r="AC232" s="119">
        <v>76.3</v>
      </c>
      <c r="AD232" s="119">
        <v>1.8800000000000001E-2</v>
      </c>
      <c r="AE232" s="119">
        <v>5.8299999999999998E-2</v>
      </c>
      <c r="AF232" s="119">
        <v>2.93E-2</v>
      </c>
      <c r="AG232" s="119">
        <v>-3.8E-3</v>
      </c>
      <c r="AH232" s="119">
        <v>-7.1999999999999998E-3</v>
      </c>
      <c r="AI232" s="119">
        <v>0.1</v>
      </c>
      <c r="AJ232" s="119">
        <v>6.9999999999999999E-4</v>
      </c>
      <c r="AK232" s="119">
        <v>7.6120999999999999</v>
      </c>
      <c r="AL232" s="119">
        <v>-0.72240000000000004</v>
      </c>
      <c r="AM232" s="119">
        <v>5</v>
      </c>
      <c r="AN232" s="119">
        <v>3</v>
      </c>
      <c r="AO232" s="119">
        <v>0</v>
      </c>
      <c r="AP232" s="119">
        <v>0</v>
      </c>
      <c r="AQ232" s="119">
        <v>3</v>
      </c>
      <c r="AR232" s="119">
        <v>0</v>
      </c>
      <c r="AS232" s="119">
        <v>6.0000000000000001E-3</v>
      </c>
      <c r="AT232" s="119">
        <v>2.1101000000000001</v>
      </c>
      <c r="AU232" s="121" t="str">
        <f>IF(A232&lt;&gt;"",INDEX(Index!$B$1:$B$77,MATCH($A232,Index!$A$1:$A$77,0)),"")</f>
        <v>KC</v>
      </c>
      <c r="AV232" s="124" t="str">
        <f>IF(B232&lt;&gt;"",INDEX(Index!$C$1:$C$77,MATCH($A232,Index!$A$1:$A$77,0)),"")</f>
        <v>Mahomes</v>
      </c>
      <c r="AW232" s="124">
        <f t="shared" si="4"/>
        <v>16</v>
      </c>
      <c r="AX232" s="120">
        <v>8</v>
      </c>
    </row>
    <row r="233" spans="1:50" x14ac:dyDescent="0.25">
      <c r="A233" s="95" t="s">
        <v>550</v>
      </c>
      <c r="B233" s="96">
        <v>2025</v>
      </c>
      <c r="C233" s="96">
        <v>4</v>
      </c>
      <c r="D233" s="96">
        <v>3.1848299999999998</v>
      </c>
      <c r="E233" s="96">
        <v>-0.52360799999999996</v>
      </c>
      <c r="F233" s="115">
        <v>-0.37244300000000002</v>
      </c>
      <c r="G233" s="115">
        <v>37.932699999999997</v>
      </c>
      <c r="H233" s="115">
        <v>0.27689999999999998</v>
      </c>
      <c r="I233" s="115">
        <v>68</v>
      </c>
      <c r="J233" s="115">
        <v>95</v>
      </c>
      <c r="K233" s="115">
        <v>0.71579999999999999</v>
      </c>
      <c r="L233" s="115">
        <v>9.0829000000000004</v>
      </c>
      <c r="M233" s="115">
        <v>869</v>
      </c>
      <c r="N233" s="115">
        <v>9.1473999999999993</v>
      </c>
      <c r="O233" s="115">
        <v>10</v>
      </c>
      <c r="P233" s="115">
        <v>1</v>
      </c>
      <c r="Q233" s="115">
        <v>15</v>
      </c>
      <c r="R233" s="115">
        <v>21</v>
      </c>
      <c r="S233" s="115">
        <v>166</v>
      </c>
      <c r="T233" s="115">
        <v>7.9047999999999998</v>
      </c>
      <c r="U233" s="115">
        <v>1</v>
      </c>
      <c r="V233" s="115">
        <v>0.1053</v>
      </c>
      <c r="W233" s="115">
        <v>1.0500000000000001E-2</v>
      </c>
      <c r="X233" s="115">
        <v>9.4700000000000006E-2</v>
      </c>
      <c r="Y233" s="115">
        <v>0.51819999999999999</v>
      </c>
      <c r="Z233" s="115">
        <v>130.548</v>
      </c>
      <c r="AA233" s="115">
        <v>8.3727</v>
      </c>
      <c r="AB233" s="115">
        <v>241.33199999999999</v>
      </c>
      <c r="AC233" s="115">
        <v>75.7</v>
      </c>
      <c r="AD233" s="115">
        <v>5.5599999999999997E-2</v>
      </c>
      <c r="AE233" s="115">
        <v>-9.06E-2</v>
      </c>
      <c r="AF233" s="115">
        <v>5.6500000000000002E-2</v>
      </c>
      <c r="AG233" s="115">
        <v>3.9600000000000003E-2</v>
      </c>
      <c r="AH233" s="115">
        <v>0.1497</v>
      </c>
      <c r="AI233" s="115">
        <v>-4.5999999999999999E-3</v>
      </c>
      <c r="AJ233" s="115">
        <v>-1.9900000000000001E-2</v>
      </c>
      <c r="AK233" s="115">
        <v>8.8210999999999995</v>
      </c>
      <c r="AL233" s="115">
        <v>-0.56840000000000002</v>
      </c>
      <c r="AM233" s="115">
        <v>1</v>
      </c>
      <c r="AN233" s="115">
        <v>3</v>
      </c>
      <c r="AO233" s="115">
        <v>0</v>
      </c>
      <c r="AP233" s="115">
        <v>0</v>
      </c>
      <c r="AQ233" s="115">
        <v>1</v>
      </c>
      <c r="AR233" s="115">
        <v>0</v>
      </c>
      <c r="AS233" s="115">
        <v>4.5999999999999999E-3</v>
      </c>
      <c r="AT233" s="115">
        <v>0.63619999999999999</v>
      </c>
      <c r="AU233" s="114" t="str">
        <f>IF(A233&lt;&gt;"",INDEX(Index!$B$1:$B$77,MATCH($A233,Index!$A$1:$A$77,0)),"")</f>
        <v>BAL</v>
      </c>
      <c r="AV233" s="123" t="str">
        <f>IF(B233&lt;&gt;"",INDEX(Index!$C$1:$C$77,MATCH($A233,Index!$A$1:$A$77,0)),"")</f>
        <v>Jackson</v>
      </c>
      <c r="AW233" s="123">
        <f t="shared" si="4"/>
        <v>14</v>
      </c>
      <c r="AX233" s="113">
        <v>8</v>
      </c>
    </row>
    <row r="234" spans="1:50" x14ac:dyDescent="0.25">
      <c r="A234" s="95" t="s">
        <v>551</v>
      </c>
      <c r="B234" s="96">
        <v>2025</v>
      </c>
      <c r="C234" s="96">
        <v>7</v>
      </c>
      <c r="D234" s="96">
        <v>2.9169299999999998</v>
      </c>
      <c r="E234" s="96">
        <v>-0.17388100000000001</v>
      </c>
      <c r="F234" s="115">
        <v>-0.52072399999999996</v>
      </c>
      <c r="G234" s="115">
        <v>72.3262</v>
      </c>
      <c r="H234" s="115">
        <v>0.27189999999999998</v>
      </c>
      <c r="I234" s="115">
        <v>134</v>
      </c>
      <c r="J234" s="115">
        <v>196</v>
      </c>
      <c r="K234" s="115">
        <v>0.68369999999999997</v>
      </c>
      <c r="L234" s="115">
        <v>2.1817000000000002</v>
      </c>
      <c r="M234" s="115">
        <v>1560</v>
      </c>
      <c r="N234" s="115">
        <v>7.9592000000000001</v>
      </c>
      <c r="O234" s="115">
        <v>12</v>
      </c>
      <c r="P234" s="115">
        <v>4</v>
      </c>
      <c r="Q234" s="115">
        <v>14</v>
      </c>
      <c r="R234" s="115">
        <v>39</v>
      </c>
      <c r="S234" s="115">
        <v>270</v>
      </c>
      <c r="T234" s="115">
        <v>6.9230999999999998</v>
      </c>
      <c r="U234" s="115">
        <v>5</v>
      </c>
      <c r="V234" s="115">
        <v>6.1199999999999997E-2</v>
      </c>
      <c r="W234" s="115">
        <v>2.0400000000000001E-2</v>
      </c>
      <c r="X234" s="115">
        <v>4.0800000000000003E-2</v>
      </c>
      <c r="Y234" s="115">
        <v>0.51129999999999998</v>
      </c>
      <c r="Z234" s="115">
        <v>104.124</v>
      </c>
      <c r="AA234" s="115">
        <v>7.3094999999999999</v>
      </c>
      <c r="AB234" s="115">
        <v>246.84</v>
      </c>
      <c r="AC234" s="115">
        <v>62</v>
      </c>
      <c r="AD234" s="115">
        <v>6.2399999999999997E-2</v>
      </c>
      <c r="AE234" s="115">
        <v>3.4299999999999997E-2</v>
      </c>
      <c r="AF234" s="115">
        <v>3.2300000000000002E-2</v>
      </c>
      <c r="AG234" s="115">
        <v>3.2399999999999998E-2</v>
      </c>
      <c r="AH234" s="115">
        <v>-4.8500000000000001E-2</v>
      </c>
      <c r="AI234" s="115">
        <v>5.8799999999999998E-2</v>
      </c>
      <c r="AJ234" s="115">
        <v>9.5999999999999992E-3</v>
      </c>
      <c r="AK234" s="115">
        <v>7.6786000000000003</v>
      </c>
      <c r="AL234" s="115">
        <v>-0.84689999999999999</v>
      </c>
      <c r="AM234" s="115">
        <v>5</v>
      </c>
      <c r="AN234" s="115">
        <v>2</v>
      </c>
      <c r="AO234" s="115">
        <v>0</v>
      </c>
      <c r="AP234" s="115">
        <v>1</v>
      </c>
      <c r="AQ234" s="115">
        <v>3</v>
      </c>
      <c r="AR234" s="115">
        <v>0.33329999999999999</v>
      </c>
      <c r="AS234" s="115">
        <v>5.7000000000000002E-3</v>
      </c>
      <c r="AT234" s="115">
        <v>1.5093000000000001</v>
      </c>
      <c r="AU234" s="114" t="str">
        <f>IF(A234&lt;&gt;"",INDEX(Index!$B$1:$B$77,MATCH($A234,Index!$A$1:$A$77,0)),"")</f>
        <v>BUF</v>
      </c>
      <c r="AV234" s="123" t="str">
        <f>IF(B234&lt;&gt;"",INDEX(Index!$C$1:$C$77,MATCH($A234,Index!$A$1:$A$77,0)),"")</f>
        <v>Allen</v>
      </c>
      <c r="AW234" s="123">
        <f t="shared" si="4"/>
        <v>16</v>
      </c>
      <c r="AX234" s="113">
        <v>8</v>
      </c>
    </row>
    <row r="235" spans="1:50" x14ac:dyDescent="0.25">
      <c r="A235" s="95" t="s">
        <v>555</v>
      </c>
      <c r="B235" s="96">
        <v>2025</v>
      </c>
      <c r="C235" s="96">
        <v>8</v>
      </c>
      <c r="D235" s="96">
        <v>2.2084999999999999</v>
      </c>
      <c r="E235" s="96">
        <v>-0.64638099999999998</v>
      </c>
      <c r="F235" s="115">
        <v>0.98502100000000004</v>
      </c>
      <c r="G235" s="115">
        <v>90.6631</v>
      </c>
      <c r="H235" s="115">
        <v>0.26740000000000003</v>
      </c>
      <c r="I235" s="115">
        <v>204</v>
      </c>
      <c r="J235" s="115">
        <v>289</v>
      </c>
      <c r="K235" s="115">
        <v>0.70589999999999997</v>
      </c>
      <c r="L235" s="115">
        <v>4.1390000000000002</v>
      </c>
      <c r="M235" s="115">
        <v>2069</v>
      </c>
      <c r="N235" s="115">
        <v>7.1592000000000002</v>
      </c>
      <c r="O235" s="115">
        <v>16</v>
      </c>
      <c r="P235" s="115">
        <v>5</v>
      </c>
      <c r="Q235" s="115">
        <v>10</v>
      </c>
      <c r="R235" s="115">
        <v>16</v>
      </c>
      <c r="S235" s="115">
        <v>90</v>
      </c>
      <c r="T235" s="115">
        <v>5.625</v>
      </c>
      <c r="U235" s="115">
        <v>1</v>
      </c>
      <c r="V235" s="115">
        <v>5.5399999999999998E-2</v>
      </c>
      <c r="W235" s="115">
        <v>1.7299999999999999E-2</v>
      </c>
      <c r="X235" s="115">
        <v>3.8100000000000002E-2</v>
      </c>
      <c r="Y235" s="115">
        <v>0.49259999999999998</v>
      </c>
      <c r="Z235" s="115">
        <v>101.982</v>
      </c>
      <c r="AA235" s="115">
        <v>7.0434999999999999</v>
      </c>
      <c r="AB235" s="115">
        <v>255.197</v>
      </c>
      <c r="AC235" s="115">
        <v>79.5</v>
      </c>
      <c r="AD235" s="115">
        <v>-1.41E-2</v>
      </c>
      <c r="AE235" s="115">
        <v>5.6599999999999998E-2</v>
      </c>
      <c r="AF235" s="115">
        <v>1.9099999999999999E-2</v>
      </c>
      <c r="AG235" s="115">
        <v>7.6E-3</v>
      </c>
      <c r="AH235" s="115">
        <v>5.4100000000000002E-2</v>
      </c>
      <c r="AI235" s="115">
        <v>1.78E-2</v>
      </c>
      <c r="AJ235" s="115">
        <v>3.5499999999999997E-2</v>
      </c>
      <c r="AK235" s="115">
        <v>7.1142000000000003</v>
      </c>
      <c r="AL235" s="115">
        <v>-1.2595000000000001</v>
      </c>
      <c r="AM235" s="115">
        <v>3</v>
      </c>
      <c r="AN235" s="115">
        <v>4</v>
      </c>
      <c r="AO235" s="115">
        <v>1</v>
      </c>
      <c r="AP235" s="115">
        <v>1</v>
      </c>
      <c r="AQ235" s="115">
        <v>4</v>
      </c>
      <c r="AR235" s="115">
        <v>0.25</v>
      </c>
      <c r="AS235" s="115">
        <v>9.7000000000000003E-3</v>
      </c>
      <c r="AT235" s="115">
        <v>3.2972000000000001</v>
      </c>
      <c r="AU235" s="114" t="str">
        <f>IF(A235&lt;&gt;"",INDEX(Index!$B$1:$B$77,MATCH($A235,Index!$A$1:$A$77,0)),"")</f>
        <v>DAL</v>
      </c>
      <c r="AV235" s="123" t="str">
        <f>IF(B235&lt;&gt;"",INDEX(Index!$C$1:$C$77,MATCH($A235,Index!$A$1:$A$77,0)),"")</f>
        <v>Prescott</v>
      </c>
      <c r="AW235" s="123">
        <f t="shared" si="4"/>
        <v>27</v>
      </c>
      <c r="AX235" s="113">
        <v>8</v>
      </c>
    </row>
    <row r="236" spans="1:50" x14ac:dyDescent="0.25">
      <c r="A236" s="95" t="s">
        <v>561</v>
      </c>
      <c r="B236" s="96">
        <v>2025</v>
      </c>
      <c r="C236" s="96">
        <v>8</v>
      </c>
      <c r="D236" s="96">
        <v>1.66279</v>
      </c>
      <c r="E236" s="96">
        <v>0.15982499999999999</v>
      </c>
      <c r="F236" s="115">
        <v>0.65456099999999995</v>
      </c>
      <c r="G236" s="115">
        <v>38.4953</v>
      </c>
      <c r="H236" s="115">
        <v>0.1113</v>
      </c>
      <c r="I236" s="115">
        <v>179</v>
      </c>
      <c r="J236" s="115">
        <v>284</v>
      </c>
      <c r="K236" s="115">
        <v>0.63029999999999997</v>
      </c>
      <c r="L236" s="115">
        <v>-1.7701</v>
      </c>
      <c r="M236" s="115">
        <v>1803</v>
      </c>
      <c r="N236" s="115">
        <v>6.3486000000000002</v>
      </c>
      <c r="O236" s="115">
        <v>15</v>
      </c>
      <c r="P236" s="115">
        <v>5</v>
      </c>
      <c r="Q236" s="115">
        <v>8</v>
      </c>
      <c r="R236" s="115">
        <v>30</v>
      </c>
      <c r="S236" s="115">
        <v>180</v>
      </c>
      <c r="T236" s="115">
        <v>6</v>
      </c>
      <c r="U236" s="115">
        <v>3</v>
      </c>
      <c r="V236" s="115">
        <v>5.28E-2</v>
      </c>
      <c r="W236" s="115">
        <v>1.7600000000000001E-2</v>
      </c>
      <c r="X236" s="115">
        <v>3.5200000000000002E-2</v>
      </c>
      <c r="Y236" s="115">
        <v>0.43930000000000002</v>
      </c>
      <c r="Z236" s="115">
        <v>91.3292</v>
      </c>
      <c r="AA236" s="115">
        <v>6.2603</v>
      </c>
      <c r="AB236" s="115">
        <v>220.547</v>
      </c>
      <c r="AC236" s="115">
        <v>58.7</v>
      </c>
      <c r="AD236" s="115">
        <v>-4.0000000000000001E-3</v>
      </c>
      <c r="AE236" s="115">
        <v>6.2100000000000002E-2</v>
      </c>
      <c r="AF236" s="115">
        <v>-1.54E-2</v>
      </c>
      <c r="AG236" s="115">
        <v>8.3999999999999995E-3</v>
      </c>
      <c r="AH236" s="115">
        <v>-7.0599999999999996E-2</v>
      </c>
      <c r="AI236" s="115">
        <v>6.2E-2</v>
      </c>
      <c r="AJ236" s="115">
        <v>-2.1999999999999999E-2</v>
      </c>
      <c r="AK236" s="115">
        <v>7.2992999999999997</v>
      </c>
      <c r="AL236" s="115">
        <v>-1.8028</v>
      </c>
      <c r="AM236" s="115">
        <v>6</v>
      </c>
      <c r="AN236" s="115">
        <v>2</v>
      </c>
      <c r="AO236" s="115">
        <v>0</v>
      </c>
      <c r="AP236" s="115">
        <v>3</v>
      </c>
      <c r="AQ236" s="115">
        <v>3</v>
      </c>
      <c r="AR236" s="115">
        <v>1</v>
      </c>
      <c r="AS236" s="115">
        <v>3.3E-3</v>
      </c>
      <c r="AT236" s="115">
        <v>1.1247</v>
      </c>
      <c r="AU236" s="114" t="str">
        <f>IF(A236&lt;&gt;"",INDEX(Index!$B$1:$B$77,MATCH($A236,Index!$A$1:$A$77,0)),"")</f>
        <v>DEN</v>
      </c>
      <c r="AV236" s="123" t="str">
        <f>IF(B236&lt;&gt;"",INDEX(Index!$C$1:$C$77,MATCH($A236,Index!$A$1:$A$77,0)),"")</f>
        <v>Nix</v>
      </c>
      <c r="AW236" s="123">
        <f t="shared" si="4"/>
        <v>35</v>
      </c>
      <c r="AX236" s="113">
        <v>8</v>
      </c>
    </row>
    <row r="237" spans="1:50" x14ac:dyDescent="0.25">
      <c r="A237" s="95" t="s">
        <v>554</v>
      </c>
      <c r="B237" s="96">
        <v>2025</v>
      </c>
      <c r="C237" s="96">
        <v>8</v>
      </c>
      <c r="D237" s="96">
        <v>1.4752700000000001</v>
      </c>
      <c r="E237" s="96">
        <v>1.0467499999999999E-2</v>
      </c>
      <c r="F237" s="115">
        <v>7.1987300000000004E-2</v>
      </c>
      <c r="G237" s="115">
        <v>52.088900000000002</v>
      </c>
      <c r="H237" s="115">
        <v>0.1736</v>
      </c>
      <c r="I237" s="115">
        <v>151</v>
      </c>
      <c r="J237" s="115">
        <v>215</v>
      </c>
      <c r="K237" s="115">
        <v>0.70230000000000004</v>
      </c>
      <c r="L237" s="115">
        <v>6.7972000000000001</v>
      </c>
      <c r="M237" s="115">
        <v>1677</v>
      </c>
      <c r="N237" s="115">
        <v>7.8</v>
      </c>
      <c r="O237" s="115">
        <v>15</v>
      </c>
      <c r="P237" s="115">
        <v>1</v>
      </c>
      <c r="Q237" s="115">
        <v>25</v>
      </c>
      <c r="R237" s="115">
        <v>49</v>
      </c>
      <c r="S237" s="115">
        <v>219</v>
      </c>
      <c r="T237" s="115">
        <v>4.4694000000000003</v>
      </c>
      <c r="U237" s="115">
        <v>5</v>
      </c>
      <c r="V237" s="115">
        <v>6.9800000000000001E-2</v>
      </c>
      <c r="W237" s="115">
        <v>4.7000000000000002E-3</v>
      </c>
      <c r="X237" s="115">
        <v>6.5100000000000005E-2</v>
      </c>
      <c r="Y237" s="115">
        <v>0.47670000000000001</v>
      </c>
      <c r="Z237" s="115">
        <v>114.428</v>
      </c>
      <c r="AA237" s="115">
        <v>7.4874999999999998</v>
      </c>
      <c r="AB237" s="115">
        <v>212.58199999999999</v>
      </c>
      <c r="AC237" s="115">
        <v>67</v>
      </c>
      <c r="AD237" s="115">
        <v>5.4100000000000002E-2</v>
      </c>
      <c r="AE237" s="115">
        <v>-3.0200000000000001E-2</v>
      </c>
      <c r="AF237" s="115">
        <v>5.8200000000000002E-2</v>
      </c>
      <c r="AG237" s="115">
        <v>4.2700000000000002E-2</v>
      </c>
      <c r="AH237" s="115">
        <v>3.5400000000000001E-2</v>
      </c>
      <c r="AI237" s="115">
        <v>-6.8400000000000002E-2</v>
      </c>
      <c r="AJ237" s="115">
        <v>-8.8000000000000005E-3</v>
      </c>
      <c r="AK237" s="115">
        <v>8.7581000000000007</v>
      </c>
      <c r="AL237" s="115">
        <v>0.107</v>
      </c>
      <c r="AM237" s="115">
        <v>6</v>
      </c>
      <c r="AN237" s="115">
        <v>2</v>
      </c>
      <c r="AO237" s="115">
        <v>0</v>
      </c>
      <c r="AP237" s="115">
        <v>1</v>
      </c>
      <c r="AQ237" s="115">
        <v>2</v>
      </c>
      <c r="AR237" s="115">
        <v>0.5</v>
      </c>
      <c r="AS237" s="115">
        <v>4.8999999999999998E-3</v>
      </c>
      <c r="AT237" s="115">
        <v>1.4613</v>
      </c>
      <c r="AU237" s="114" t="str">
        <f>IF(A237&lt;&gt;"",INDEX(Index!$B$1:$B$77,MATCH($A237,Index!$A$1:$A$77,0)),"")</f>
        <v>PHI</v>
      </c>
      <c r="AV237" s="123" t="str">
        <f>IF(B237&lt;&gt;"",INDEX(Index!$C$1:$C$77,MATCH($A237,Index!$A$1:$A$77,0)),"")</f>
        <v>Hurts</v>
      </c>
      <c r="AW237" s="123">
        <f t="shared" si="4"/>
        <v>3</v>
      </c>
      <c r="AX237" s="113">
        <v>8</v>
      </c>
    </row>
    <row r="238" spans="1:50" x14ac:dyDescent="0.25">
      <c r="A238" s="95" t="s">
        <v>566</v>
      </c>
      <c r="B238" s="96">
        <v>2025</v>
      </c>
      <c r="C238" s="96">
        <v>7</v>
      </c>
      <c r="D238" s="96">
        <v>1.3872599999999999</v>
      </c>
      <c r="E238" s="96">
        <v>0.81981800000000005</v>
      </c>
      <c r="F238" s="115">
        <v>1.5825</v>
      </c>
      <c r="G238" s="115">
        <v>94.219099999999997</v>
      </c>
      <c r="H238" s="115">
        <v>0.36799999999999999</v>
      </c>
      <c r="I238" s="115">
        <v>151</v>
      </c>
      <c r="J238" s="115">
        <v>213</v>
      </c>
      <c r="K238" s="115">
        <v>0.70889999999999997</v>
      </c>
      <c r="L238" s="115">
        <v>8.0536999999999992</v>
      </c>
      <c r="M238" s="115">
        <v>1798</v>
      </c>
      <c r="N238" s="115">
        <v>8.4413</v>
      </c>
      <c r="O238" s="115">
        <v>13</v>
      </c>
      <c r="P238" s="115">
        <v>2</v>
      </c>
      <c r="Q238" s="115">
        <v>10</v>
      </c>
      <c r="R238" s="115">
        <v>17</v>
      </c>
      <c r="S238" s="115">
        <v>116</v>
      </c>
      <c r="T238" s="115">
        <v>6.8235000000000001</v>
      </c>
      <c r="U238" s="115">
        <v>0</v>
      </c>
      <c r="V238" s="115">
        <v>6.0999999999999999E-2</v>
      </c>
      <c r="W238" s="115">
        <v>9.4000000000000004E-3</v>
      </c>
      <c r="X238" s="115">
        <v>5.16E-2</v>
      </c>
      <c r="Y238" s="115">
        <v>0.55079999999999996</v>
      </c>
      <c r="Z238" s="115">
        <v>112.764</v>
      </c>
      <c r="AA238" s="115">
        <v>8.4528999999999996</v>
      </c>
      <c r="AB238" s="115">
        <v>245.77600000000001</v>
      </c>
      <c r="AC238" s="115">
        <v>73.5</v>
      </c>
      <c r="AD238" s="115">
        <v>2.1299999999999999E-2</v>
      </c>
      <c r="AE238" s="115">
        <v>2.86E-2</v>
      </c>
      <c r="AF238" s="115">
        <v>1.47E-2</v>
      </c>
      <c r="AG238" s="115">
        <v>2.76E-2</v>
      </c>
      <c r="AH238" s="115">
        <v>2.1600000000000001E-2</v>
      </c>
      <c r="AI238" s="115">
        <v>0.15740000000000001</v>
      </c>
      <c r="AJ238" s="115">
        <v>6.1000000000000004E-3</v>
      </c>
      <c r="AK238" s="115">
        <v>7.4836</v>
      </c>
      <c r="AL238" s="115">
        <v>-1.0516000000000001</v>
      </c>
      <c r="AM238" s="115">
        <v>5</v>
      </c>
      <c r="AN238" s="115">
        <v>1</v>
      </c>
      <c r="AO238" s="115">
        <v>1</v>
      </c>
      <c r="AP238" s="115">
        <v>1</v>
      </c>
      <c r="AQ238" s="115">
        <v>2</v>
      </c>
      <c r="AR238" s="115">
        <v>0.5</v>
      </c>
      <c r="AS238" s="115">
        <v>1.2500000000000001E-2</v>
      </c>
      <c r="AT238" s="115">
        <v>3.194</v>
      </c>
      <c r="AU238" s="114" t="str">
        <f>IF(A238&lt;&gt;"",INDEX(Index!$B$1:$B$77,MATCH($A238,Index!$A$1:$A$77,0)),"")</f>
        <v>GB</v>
      </c>
      <c r="AV238" s="123" t="str">
        <f>IF(B238&lt;&gt;"",INDEX(Index!$C$1:$C$77,MATCH($A238,Index!$A$1:$A$77,0)),"")</f>
        <v>Love</v>
      </c>
      <c r="AW238" s="123">
        <f t="shared" si="4"/>
        <v>27</v>
      </c>
      <c r="AX238" s="113">
        <v>8</v>
      </c>
    </row>
    <row r="239" spans="1:50" x14ac:dyDescent="0.25">
      <c r="A239" s="95" t="s">
        <v>553</v>
      </c>
      <c r="B239" s="96">
        <v>2025</v>
      </c>
      <c r="C239" s="96">
        <v>7</v>
      </c>
      <c r="D239" s="96">
        <v>1.2781899999999999</v>
      </c>
      <c r="E239" s="96">
        <v>-0.56622300000000003</v>
      </c>
      <c r="F239" s="115">
        <v>0.21204999999999999</v>
      </c>
      <c r="G239" s="115">
        <v>52.707900000000002</v>
      </c>
      <c r="H239" s="115">
        <v>0.22819999999999999</v>
      </c>
      <c r="I239" s="115">
        <v>152</v>
      </c>
      <c r="J239" s="115">
        <v>203</v>
      </c>
      <c r="K239" s="115">
        <v>0.74880000000000002</v>
      </c>
      <c r="L239" s="115">
        <v>9.6477000000000004</v>
      </c>
      <c r="M239" s="115">
        <v>1631</v>
      </c>
      <c r="N239" s="115">
        <v>8.0344999999999995</v>
      </c>
      <c r="O239" s="115">
        <v>15</v>
      </c>
      <c r="P239" s="115">
        <v>3</v>
      </c>
      <c r="Q239" s="115">
        <v>13</v>
      </c>
      <c r="R239" s="115">
        <v>6</v>
      </c>
      <c r="S239" s="115">
        <v>27</v>
      </c>
      <c r="T239" s="115">
        <v>4.5</v>
      </c>
      <c r="U239" s="115">
        <v>0</v>
      </c>
      <c r="V239" s="115">
        <v>7.3899999999999993E-2</v>
      </c>
      <c r="W239" s="115">
        <v>1.4800000000000001E-2</v>
      </c>
      <c r="X239" s="115">
        <v>5.91E-2</v>
      </c>
      <c r="Y239" s="115">
        <v>0.54549999999999998</v>
      </c>
      <c r="Z239" s="115">
        <v>116.431</v>
      </c>
      <c r="AA239" s="115">
        <v>7.9954000000000001</v>
      </c>
      <c r="AB239" s="115">
        <v>221.32900000000001</v>
      </c>
      <c r="AC239" s="115">
        <v>66.900000000000006</v>
      </c>
      <c r="AD239" s="115">
        <v>-2.6100000000000002E-2</v>
      </c>
      <c r="AE239" s="115">
        <v>-2.7E-2</v>
      </c>
      <c r="AF239" s="115">
        <v>1.61E-2</v>
      </c>
      <c r="AG239" s="115">
        <v>2.9100000000000001E-2</v>
      </c>
      <c r="AH239" s="115">
        <v>-3.3E-3</v>
      </c>
      <c r="AI239" s="115">
        <v>0.1636</v>
      </c>
      <c r="AJ239" s="115">
        <v>-1.49E-2</v>
      </c>
      <c r="AK239" s="115">
        <v>6.5517000000000003</v>
      </c>
      <c r="AL239" s="115">
        <v>-1.5812999999999999</v>
      </c>
      <c r="AM239" s="115">
        <v>5</v>
      </c>
      <c r="AN239" s="115">
        <v>2</v>
      </c>
      <c r="AO239" s="115">
        <v>0</v>
      </c>
      <c r="AP239" s="115">
        <v>0</v>
      </c>
      <c r="AQ239" s="115">
        <v>0</v>
      </c>
      <c r="AR239" s="115"/>
      <c r="AS239" s="115">
        <v>4.8999999999999998E-3</v>
      </c>
      <c r="AT239" s="115">
        <v>1.1322000000000001</v>
      </c>
      <c r="AU239" s="114" t="str">
        <f>IF(A239&lt;&gt;"",INDEX(Index!$B$1:$B$77,MATCH($A239,Index!$A$1:$A$77,0)),"")</f>
        <v>DET</v>
      </c>
      <c r="AV239" s="123" t="str">
        <f>IF(B239&lt;&gt;"",INDEX(Index!$C$1:$C$77,MATCH($A239,Index!$A$1:$A$77,0)),"")</f>
        <v>Goff</v>
      </c>
      <c r="AW239" s="123">
        <f t="shared" si="4"/>
        <v>19</v>
      </c>
      <c r="AX239" s="113">
        <v>8</v>
      </c>
    </row>
    <row r="240" spans="1:50" x14ac:dyDescent="0.25">
      <c r="A240" s="95" t="s">
        <v>567</v>
      </c>
      <c r="B240" s="96">
        <v>2025</v>
      </c>
      <c r="C240" s="96">
        <v>7</v>
      </c>
      <c r="D240" s="96">
        <v>1.27298</v>
      </c>
      <c r="E240" s="96">
        <v>0.36680099999999999</v>
      </c>
      <c r="F240" s="115">
        <v>1.25339</v>
      </c>
      <c r="G240" s="115">
        <v>56.475999999999999</v>
      </c>
      <c r="H240" s="115">
        <v>0.2039</v>
      </c>
      <c r="I240" s="115">
        <v>160</v>
      </c>
      <c r="J240" s="115">
        <v>240</v>
      </c>
      <c r="K240" s="115">
        <v>0.66669999999999996</v>
      </c>
      <c r="L240" s="115">
        <v>2.4077000000000002</v>
      </c>
      <c r="M240" s="115">
        <v>1866</v>
      </c>
      <c r="N240" s="115">
        <v>7.7750000000000004</v>
      </c>
      <c r="O240" s="115">
        <v>17</v>
      </c>
      <c r="P240" s="115">
        <v>2</v>
      </c>
      <c r="Q240" s="115">
        <v>11</v>
      </c>
      <c r="R240" s="115">
        <v>5</v>
      </c>
      <c r="S240" s="115">
        <v>11</v>
      </c>
      <c r="T240" s="115">
        <v>2.2000000000000002</v>
      </c>
      <c r="U240" s="115">
        <v>0</v>
      </c>
      <c r="V240" s="115">
        <v>7.0800000000000002E-2</v>
      </c>
      <c r="W240" s="115">
        <v>8.3000000000000001E-3</v>
      </c>
      <c r="X240" s="115">
        <v>6.25E-2</v>
      </c>
      <c r="Y240" s="115">
        <v>0.51619999999999999</v>
      </c>
      <c r="Z240" s="115">
        <v>110.17400000000001</v>
      </c>
      <c r="AA240" s="115">
        <v>8.1554000000000002</v>
      </c>
      <c r="AB240" s="115">
        <v>235.93100000000001</v>
      </c>
      <c r="AC240" s="115">
        <v>65.5</v>
      </c>
      <c r="AD240" s="115">
        <v>-5.2600000000000001E-2</v>
      </c>
      <c r="AE240" s="115">
        <v>7.1000000000000004E-3</v>
      </c>
      <c r="AF240" s="115">
        <v>-2.1999999999999999E-2</v>
      </c>
      <c r="AG240" s="115">
        <v>4.65E-2</v>
      </c>
      <c r="AH240" s="115">
        <v>0.1469</v>
      </c>
      <c r="AI240" s="115">
        <v>-3.3300000000000003E-2</v>
      </c>
      <c r="AJ240" s="115">
        <v>2.06E-2</v>
      </c>
      <c r="AK240" s="115">
        <v>8.8249999999999993</v>
      </c>
      <c r="AL240" s="115">
        <v>0.76670000000000005</v>
      </c>
      <c r="AM240" s="115">
        <v>5</v>
      </c>
      <c r="AN240" s="115">
        <v>2</v>
      </c>
      <c r="AO240" s="115">
        <v>0</v>
      </c>
      <c r="AP240" s="115">
        <v>1</v>
      </c>
      <c r="AQ240" s="115">
        <v>3</v>
      </c>
      <c r="AR240" s="115">
        <v>0.33329999999999999</v>
      </c>
      <c r="AS240" s="115">
        <v>7.3000000000000001E-3</v>
      </c>
      <c r="AT240" s="115">
        <v>2.0223</v>
      </c>
      <c r="AU240" s="114" t="str">
        <f>IF(A240&lt;&gt;"",INDEX(Index!$B$1:$B$77,MATCH($A240,Index!$A$1:$A$77,0)),"")</f>
        <v>LAR</v>
      </c>
      <c r="AV240" s="123" t="str">
        <f>IF(B240&lt;&gt;"",INDEX(Index!$C$1:$C$77,MATCH($A240,Index!$A$1:$A$77,0)),"")</f>
        <v>Stafford</v>
      </c>
      <c r="AW240" s="123">
        <f t="shared" si="4"/>
        <v>24</v>
      </c>
      <c r="AX240" s="113">
        <v>8</v>
      </c>
    </row>
    <row r="241" spans="1:50" x14ac:dyDescent="0.25">
      <c r="A241" s="95" t="s">
        <v>570</v>
      </c>
      <c r="B241" s="96">
        <v>2025</v>
      </c>
      <c r="C241" s="96">
        <v>8</v>
      </c>
      <c r="D241" s="96">
        <v>1.0747100000000001</v>
      </c>
      <c r="E241" s="96">
        <v>0.14496000000000001</v>
      </c>
      <c r="F241" s="115">
        <v>1.77508</v>
      </c>
      <c r="G241" s="115">
        <v>97.614500000000007</v>
      </c>
      <c r="H241" s="115">
        <v>0.31290000000000001</v>
      </c>
      <c r="I241" s="115">
        <v>170</v>
      </c>
      <c r="J241" s="115">
        <v>226</v>
      </c>
      <c r="K241" s="115">
        <v>0.75219999999999998</v>
      </c>
      <c r="L241" s="115">
        <v>12.3146</v>
      </c>
      <c r="M241" s="115">
        <v>2026</v>
      </c>
      <c r="N241" s="115">
        <v>8.9646000000000008</v>
      </c>
      <c r="O241" s="115">
        <v>15</v>
      </c>
      <c r="P241" s="115">
        <v>3</v>
      </c>
      <c r="Q241" s="115">
        <v>28</v>
      </c>
      <c r="R241" s="115">
        <v>40</v>
      </c>
      <c r="S241" s="115">
        <v>260</v>
      </c>
      <c r="T241" s="115">
        <v>6.5</v>
      </c>
      <c r="U241" s="115">
        <v>2</v>
      </c>
      <c r="V241" s="115">
        <v>6.6400000000000001E-2</v>
      </c>
      <c r="W241" s="115">
        <v>1.3299999999999999E-2</v>
      </c>
      <c r="X241" s="115">
        <v>5.3100000000000001E-2</v>
      </c>
      <c r="Y241" s="115">
        <v>0.53849999999999998</v>
      </c>
      <c r="Z241" s="115">
        <v>118.71299999999999</v>
      </c>
      <c r="AA241" s="115">
        <v>8.1771999999999991</v>
      </c>
      <c r="AB241" s="115">
        <v>235.499</v>
      </c>
      <c r="AC241" s="115">
        <v>76.3</v>
      </c>
      <c r="AD241" s="115">
        <v>2.01E-2</v>
      </c>
      <c r="AE241" s="115">
        <v>-2.5899999999999999E-2</v>
      </c>
      <c r="AF241" s="115">
        <v>7.8399999999999997E-2</v>
      </c>
      <c r="AG241" s="115">
        <v>3.2199999999999999E-2</v>
      </c>
      <c r="AH241" s="115">
        <v>0.15740000000000001</v>
      </c>
      <c r="AI241" s="115">
        <v>-3.8199999999999998E-2</v>
      </c>
      <c r="AJ241" s="115">
        <v>-1.8E-3</v>
      </c>
      <c r="AK241" s="115">
        <v>7.9027000000000003</v>
      </c>
      <c r="AL241" s="115">
        <v>-1.1106</v>
      </c>
      <c r="AM241" s="115">
        <v>6</v>
      </c>
      <c r="AN241" s="115">
        <v>2</v>
      </c>
      <c r="AO241" s="115">
        <v>0</v>
      </c>
      <c r="AP241" s="115">
        <v>0</v>
      </c>
      <c r="AQ241" s="115">
        <v>2</v>
      </c>
      <c r="AR241" s="115">
        <v>0</v>
      </c>
      <c r="AS241" s="115">
        <v>7.9000000000000008E-3</v>
      </c>
      <c r="AT241" s="115">
        <v>2.4710000000000001</v>
      </c>
      <c r="AU241" s="114" t="str">
        <f>IF(A241&lt;&gt;"",INDEX(Index!$B$1:$B$77,MATCH($A241,Index!$A$1:$A$77,0)),"")</f>
        <v>NE</v>
      </c>
      <c r="AV241" s="123" t="str">
        <f>IF(B241&lt;&gt;"",INDEX(Index!$C$1:$C$77,MATCH($A241,Index!$A$1:$A$77,0)),"")</f>
        <v>Maye</v>
      </c>
      <c r="AW241" s="123">
        <f t="shared" si="4"/>
        <v>2</v>
      </c>
      <c r="AX241" s="113">
        <v>8</v>
      </c>
    </row>
    <row r="242" spans="1:50" x14ac:dyDescent="0.25">
      <c r="A242" s="95" t="s">
        <v>558</v>
      </c>
      <c r="B242" s="96">
        <v>2025</v>
      </c>
      <c r="C242" s="96">
        <v>7</v>
      </c>
      <c r="D242" s="96">
        <v>1.0278400000000001</v>
      </c>
      <c r="E242" s="96">
        <v>-0.13428300000000001</v>
      </c>
      <c r="F242" s="115">
        <v>-0.38877299999999998</v>
      </c>
      <c r="G242" s="115">
        <v>31.9148</v>
      </c>
      <c r="H242" s="115">
        <v>0.1341</v>
      </c>
      <c r="I242" s="115">
        <v>142</v>
      </c>
      <c r="J242" s="115">
        <v>208</v>
      </c>
      <c r="K242" s="115">
        <v>0.68269999999999997</v>
      </c>
      <c r="L242" s="115">
        <v>4.4161000000000001</v>
      </c>
      <c r="M242" s="115">
        <v>1489</v>
      </c>
      <c r="N242" s="115">
        <v>7.1586999999999996</v>
      </c>
      <c r="O242" s="115">
        <v>16</v>
      </c>
      <c r="P242" s="115">
        <v>5</v>
      </c>
      <c r="Q242" s="115">
        <v>12</v>
      </c>
      <c r="R242" s="115">
        <v>5</v>
      </c>
      <c r="S242" s="115">
        <v>23</v>
      </c>
      <c r="T242" s="115">
        <v>4.5999999999999996</v>
      </c>
      <c r="U242" s="115">
        <v>0</v>
      </c>
      <c r="V242" s="115">
        <v>7.6899999999999996E-2</v>
      </c>
      <c r="W242" s="115">
        <v>2.4E-2</v>
      </c>
      <c r="X242" s="115">
        <v>5.2900000000000003E-2</v>
      </c>
      <c r="Y242" s="115">
        <v>0.4496</v>
      </c>
      <c r="Z242" s="115">
        <v>104.42700000000001</v>
      </c>
      <c r="AA242" s="115">
        <v>6.8318000000000003</v>
      </c>
      <c r="AB242" s="115">
        <v>183.196</v>
      </c>
      <c r="AC242" s="115">
        <v>52</v>
      </c>
      <c r="AD242" s="115">
        <v>-3.0599999999999999E-2</v>
      </c>
      <c r="AE242" s="115">
        <v>2.9100000000000001E-2</v>
      </c>
      <c r="AF242" s="115">
        <v>4.8999999999999998E-3</v>
      </c>
      <c r="AG242" s="115">
        <v>1.2999999999999999E-3</v>
      </c>
      <c r="AH242" s="115">
        <v>-0.1075</v>
      </c>
      <c r="AI242" s="115">
        <v>0.13120000000000001</v>
      </c>
      <c r="AJ242" s="115">
        <v>1.4999999999999999E-2</v>
      </c>
      <c r="AK242" s="115">
        <v>6.1875</v>
      </c>
      <c r="AL242" s="115">
        <v>-3.1875</v>
      </c>
      <c r="AM242" s="115">
        <v>4</v>
      </c>
      <c r="AN242" s="115">
        <v>3</v>
      </c>
      <c r="AO242" s="115">
        <v>0</v>
      </c>
      <c r="AP242" s="115">
        <v>1</v>
      </c>
      <c r="AQ242" s="115">
        <v>3</v>
      </c>
      <c r="AR242" s="115">
        <v>0.33329999999999999</v>
      </c>
      <c r="AS242" s="115">
        <v>3.5999999999999999E-3</v>
      </c>
      <c r="AT242" s="115">
        <v>0.84560000000000002</v>
      </c>
      <c r="AU242" s="114" t="str">
        <f>IF(A242&lt;&gt;"",INDEX(Index!$B$1:$B$77,MATCH($A242,Index!$A$1:$A$77,0)),"")</f>
        <v>GB</v>
      </c>
      <c r="AV242" s="123" t="str">
        <f>IF(B242&lt;&gt;"",INDEX(Index!$C$1:$C$77,MATCH($A242,Index!$A$1:$A$77,0)),"")</f>
        <v>Rodgers</v>
      </c>
      <c r="AW242" s="123">
        <f t="shared" si="4"/>
        <v>22</v>
      </c>
      <c r="AX242" s="113">
        <v>8</v>
      </c>
    </row>
    <row r="243" spans="1:50" x14ac:dyDescent="0.25">
      <c r="A243" s="95" t="s">
        <v>557</v>
      </c>
      <c r="B243" s="96">
        <v>2025</v>
      </c>
      <c r="C243" s="96">
        <v>2</v>
      </c>
      <c r="D243" s="96">
        <v>1.0006999999999999</v>
      </c>
      <c r="E243" s="96">
        <v>-0.72667099999999996</v>
      </c>
      <c r="F243" s="115">
        <v>-1.3634200000000001</v>
      </c>
      <c r="G243" s="115">
        <v>-0.90390000000000004</v>
      </c>
      <c r="H243" s="115">
        <v>-1.9599999999999999E-2</v>
      </c>
      <c r="I243" s="115">
        <v>21</v>
      </c>
      <c r="J243" s="115">
        <v>36</v>
      </c>
      <c r="K243" s="115">
        <v>0.58330000000000004</v>
      </c>
      <c r="L243" s="115">
        <v>-1.5459000000000001</v>
      </c>
      <c r="M243" s="115">
        <v>189</v>
      </c>
      <c r="N243" s="115">
        <v>5.25</v>
      </c>
      <c r="O243" s="115">
        <v>2</v>
      </c>
      <c r="P243" s="115">
        <v>0</v>
      </c>
      <c r="Q243" s="115">
        <v>5</v>
      </c>
      <c r="R243" s="115">
        <v>2</v>
      </c>
      <c r="S243" s="115">
        <v>3</v>
      </c>
      <c r="T243" s="115">
        <v>1.5</v>
      </c>
      <c r="U243" s="115">
        <v>0</v>
      </c>
      <c r="V243" s="115">
        <v>5.5599999999999997E-2</v>
      </c>
      <c r="W243" s="115">
        <v>0</v>
      </c>
      <c r="X243" s="115">
        <v>5.5599999999999997E-2</v>
      </c>
      <c r="Y243" s="115">
        <v>0.43480000000000002</v>
      </c>
      <c r="Z243" s="115">
        <v>91.087999999999994</v>
      </c>
      <c r="AA243" s="115">
        <v>4.9512</v>
      </c>
      <c r="AB243" s="115">
        <v>25.4618</v>
      </c>
      <c r="AC243" s="115">
        <v>57.6</v>
      </c>
      <c r="AD243" s="115">
        <v>-6.8900000000000003E-2</v>
      </c>
      <c r="AE243" s="115">
        <v>-4.6899999999999997E-2</v>
      </c>
      <c r="AF243" s="115">
        <v>-5.6800000000000003E-2</v>
      </c>
      <c r="AG243" s="115">
        <v>7.22E-2</v>
      </c>
      <c r="AH243" s="115">
        <v>0.1978</v>
      </c>
      <c r="AI243" s="115">
        <v>-0.20039999999999999</v>
      </c>
      <c r="AJ243" s="115">
        <v>-7.3000000000000001E-3</v>
      </c>
      <c r="AK243" s="115">
        <v>6.8611000000000004</v>
      </c>
      <c r="AL243" s="115">
        <v>-1.0832999999999999</v>
      </c>
      <c r="AM243" s="115">
        <v>2</v>
      </c>
      <c r="AN243" s="115">
        <v>0</v>
      </c>
      <c r="AO243" s="115">
        <v>0</v>
      </c>
      <c r="AP243" s="115">
        <v>0</v>
      </c>
      <c r="AQ243" s="115">
        <v>0</v>
      </c>
      <c r="AR243" s="115"/>
      <c r="AS243" s="115">
        <v>1.6000000000000001E-3</v>
      </c>
      <c r="AT243" s="115">
        <v>7.4800000000000005E-2</v>
      </c>
      <c r="AU243" s="114" t="str">
        <f>IF(A243&lt;&gt;"",INDEX(Index!$B$1:$B$77,MATCH($A243,Index!$A$1:$A$77,0)),"")</f>
        <v>CIN</v>
      </c>
      <c r="AV243" s="123" t="str">
        <f>IF(B243&lt;&gt;"",INDEX(Index!$C$1:$C$77,MATCH($A243,Index!$A$1:$A$77,0)),"")</f>
        <v>Burrow</v>
      </c>
      <c r="AW243" s="123">
        <f t="shared" si="4"/>
        <v>41</v>
      </c>
      <c r="AX243" s="113">
        <v>8</v>
      </c>
    </row>
    <row r="244" spans="1:50" x14ac:dyDescent="0.25">
      <c r="A244" s="95" t="s">
        <v>563</v>
      </c>
      <c r="B244" s="96">
        <v>2025</v>
      </c>
      <c r="C244" s="96">
        <v>8</v>
      </c>
      <c r="D244" s="96">
        <v>0.97487900000000005</v>
      </c>
      <c r="E244" s="96">
        <v>0.39876499999999998</v>
      </c>
      <c r="F244" s="115">
        <v>1.0124</v>
      </c>
      <c r="G244" s="115">
        <v>46.865699999999997</v>
      </c>
      <c r="H244" s="115">
        <v>0.1288</v>
      </c>
      <c r="I244" s="115">
        <v>201</v>
      </c>
      <c r="J244" s="115">
        <v>296</v>
      </c>
      <c r="K244" s="115">
        <v>0.67910000000000004</v>
      </c>
      <c r="L244" s="115">
        <v>2.1497000000000002</v>
      </c>
      <c r="M244" s="115">
        <v>2140</v>
      </c>
      <c r="N244" s="115">
        <v>7.2297000000000002</v>
      </c>
      <c r="O244" s="115">
        <v>16</v>
      </c>
      <c r="P244" s="115">
        <v>7</v>
      </c>
      <c r="Q244" s="115">
        <v>22</v>
      </c>
      <c r="R244" s="115">
        <v>29</v>
      </c>
      <c r="S244" s="115">
        <v>255</v>
      </c>
      <c r="T244" s="115">
        <v>8.7931000000000008</v>
      </c>
      <c r="U244" s="115">
        <v>0</v>
      </c>
      <c r="V244" s="115">
        <v>5.4100000000000002E-2</v>
      </c>
      <c r="W244" s="115">
        <v>2.3599999999999999E-2</v>
      </c>
      <c r="X244" s="115">
        <v>3.04E-2</v>
      </c>
      <c r="Y244" s="115">
        <v>0.5</v>
      </c>
      <c r="Z244" s="115">
        <v>96.959500000000006</v>
      </c>
      <c r="AA244" s="115">
        <v>6.3175999999999997</v>
      </c>
      <c r="AB244" s="115">
        <v>215.50899999999999</v>
      </c>
      <c r="AC244" s="115">
        <v>68.8</v>
      </c>
      <c r="AD244" s="115">
        <v>0.03</v>
      </c>
      <c r="AE244" s="115">
        <v>1.9E-3</v>
      </c>
      <c r="AF244" s="115">
        <v>1.49E-2</v>
      </c>
      <c r="AG244" s="115">
        <v>-3.0700000000000002E-2</v>
      </c>
      <c r="AH244" s="115">
        <v>4.5900000000000003E-2</v>
      </c>
      <c r="AI244" s="115">
        <v>-1.7600000000000001E-2</v>
      </c>
      <c r="AJ244" s="115">
        <v>-6.1999999999999998E-3</v>
      </c>
      <c r="AK244" s="115">
        <v>7.6588000000000003</v>
      </c>
      <c r="AL244" s="115">
        <v>-1.3277000000000001</v>
      </c>
      <c r="AM244" s="115">
        <v>5</v>
      </c>
      <c r="AN244" s="115">
        <v>3</v>
      </c>
      <c r="AO244" s="115">
        <v>0</v>
      </c>
      <c r="AP244" s="115">
        <v>2</v>
      </c>
      <c r="AQ244" s="115">
        <v>3</v>
      </c>
      <c r="AR244" s="115">
        <v>0.66669999999999996</v>
      </c>
      <c r="AS244" s="115">
        <v>3.7000000000000002E-3</v>
      </c>
      <c r="AT244" s="115">
        <v>1.3426</v>
      </c>
      <c r="AU244" s="114" t="str">
        <f>IF(A244&lt;&gt;"",INDEX(Index!$B$1:$B$77,MATCH($A244,Index!$A$1:$A$77,0)),"")</f>
        <v>LAC</v>
      </c>
      <c r="AV244" s="123" t="str">
        <f>IF(B244&lt;&gt;"",INDEX(Index!$C$1:$C$77,MATCH($A244,Index!$A$1:$A$77,0)),"")</f>
        <v>Herbert</v>
      </c>
      <c r="AW244" s="123">
        <f t="shared" si="4"/>
        <v>4</v>
      </c>
      <c r="AX244" s="113">
        <v>8</v>
      </c>
    </row>
    <row r="245" spans="1:50" x14ac:dyDescent="0.25">
      <c r="A245" s="95" t="s">
        <v>568</v>
      </c>
      <c r="B245" s="96">
        <v>2025</v>
      </c>
      <c r="C245" s="96">
        <v>8</v>
      </c>
      <c r="D245" s="96">
        <v>0.88485100000000005</v>
      </c>
      <c r="E245" s="96">
        <v>0.192852</v>
      </c>
      <c r="F245" s="115">
        <v>2.5313099999999999</v>
      </c>
      <c r="G245" s="115">
        <v>91.689099999999996</v>
      </c>
      <c r="H245" s="115">
        <v>0.3206</v>
      </c>
      <c r="I245" s="115">
        <v>173</v>
      </c>
      <c r="J245" s="115">
        <v>242</v>
      </c>
      <c r="K245" s="115">
        <v>0.71489999999999998</v>
      </c>
      <c r="L245" s="115">
        <v>5.0686999999999998</v>
      </c>
      <c r="M245" s="115">
        <v>2062</v>
      </c>
      <c r="N245" s="115">
        <v>8.5206999999999997</v>
      </c>
      <c r="O245" s="115">
        <v>13</v>
      </c>
      <c r="P245" s="115">
        <v>3</v>
      </c>
      <c r="Q245" s="115">
        <v>9</v>
      </c>
      <c r="R245" s="115">
        <v>23</v>
      </c>
      <c r="S245" s="115">
        <v>89</v>
      </c>
      <c r="T245" s="115">
        <v>3.8696000000000002</v>
      </c>
      <c r="U245" s="115">
        <v>4</v>
      </c>
      <c r="V245" s="115">
        <v>5.3699999999999998E-2</v>
      </c>
      <c r="W245" s="115">
        <v>1.24E-2</v>
      </c>
      <c r="X245" s="115">
        <v>4.1300000000000003E-2</v>
      </c>
      <c r="Y245" s="115">
        <v>0.5524</v>
      </c>
      <c r="Z245" s="115">
        <v>109.9</v>
      </c>
      <c r="AA245" s="115">
        <v>8.4581999999999997</v>
      </c>
      <c r="AB245" s="115">
        <v>259.86500000000001</v>
      </c>
      <c r="AC245" s="115">
        <v>79.3</v>
      </c>
      <c r="AD245" s="115">
        <v>7.7000000000000002E-3</v>
      </c>
      <c r="AE245" s="115">
        <v>5.5599999999999997E-2</v>
      </c>
      <c r="AF245" s="115">
        <v>4.7300000000000002E-2</v>
      </c>
      <c r="AG245" s="115">
        <v>2.86E-2</v>
      </c>
      <c r="AH245" s="115">
        <v>2.92E-2</v>
      </c>
      <c r="AI245" s="115">
        <v>7.4999999999999997E-2</v>
      </c>
      <c r="AJ245" s="115">
        <v>-1.3599999999999999E-2</v>
      </c>
      <c r="AK245" s="115">
        <v>8.4091000000000005</v>
      </c>
      <c r="AL245" s="115">
        <v>-0.54959999999999998</v>
      </c>
      <c r="AM245" s="115">
        <v>7</v>
      </c>
      <c r="AN245" s="115">
        <v>1</v>
      </c>
      <c r="AO245" s="115">
        <v>0</v>
      </c>
      <c r="AP245" s="115">
        <v>2</v>
      </c>
      <c r="AQ245" s="115">
        <v>3</v>
      </c>
      <c r="AR245" s="115">
        <v>0.66669999999999996</v>
      </c>
      <c r="AS245" s="115">
        <v>6.7999999999999996E-3</v>
      </c>
      <c r="AT245" s="115">
        <v>1.9378</v>
      </c>
      <c r="AU245" s="114" t="str">
        <f>IF(A245&lt;&gt;"",INDEX(Index!$B$1:$B$77,MATCH($A245,Index!$A$1:$A$77,0)),"")</f>
        <v>IND</v>
      </c>
      <c r="AV245" s="123" t="str">
        <f>IF(B245&lt;&gt;"",INDEX(Index!$C$1:$C$77,MATCH($A245,Index!$A$1:$A$77,0)),"")</f>
        <v>Jones</v>
      </c>
      <c r="AW245" s="123">
        <f t="shared" si="4"/>
        <v>29</v>
      </c>
      <c r="AX245" s="113">
        <v>8</v>
      </c>
    </row>
    <row r="246" spans="1:50" x14ac:dyDescent="0.25">
      <c r="A246" s="95" t="s">
        <v>562</v>
      </c>
      <c r="B246" s="96">
        <v>2025</v>
      </c>
      <c r="C246" s="96">
        <v>5</v>
      </c>
      <c r="D246" s="96">
        <v>0.82979999999999998</v>
      </c>
      <c r="E246" s="96">
        <v>-0.20914199999999999</v>
      </c>
      <c r="F246" s="115">
        <v>-0.309251</v>
      </c>
      <c r="G246" s="115">
        <v>24.581399999999999</v>
      </c>
      <c r="H246" s="115">
        <v>0.11650000000000001</v>
      </c>
      <c r="I246" s="115">
        <v>89</v>
      </c>
      <c r="J246" s="115">
        <v>144</v>
      </c>
      <c r="K246" s="115">
        <v>0.61809999999999998</v>
      </c>
      <c r="L246" s="115">
        <v>-2.0165000000000002</v>
      </c>
      <c r="M246" s="115">
        <v>1031</v>
      </c>
      <c r="N246" s="115">
        <v>7.1597</v>
      </c>
      <c r="O246" s="115">
        <v>8</v>
      </c>
      <c r="P246" s="115">
        <v>1</v>
      </c>
      <c r="Q246" s="115">
        <v>13</v>
      </c>
      <c r="R246" s="115">
        <v>38</v>
      </c>
      <c r="S246" s="115">
        <v>216</v>
      </c>
      <c r="T246" s="115">
        <v>5.6841999999999997</v>
      </c>
      <c r="U246" s="115">
        <v>1</v>
      </c>
      <c r="V246" s="115">
        <v>5.5599999999999997E-2</v>
      </c>
      <c r="W246" s="115">
        <v>6.8999999999999999E-3</v>
      </c>
      <c r="X246" s="115">
        <v>4.8599999999999997E-2</v>
      </c>
      <c r="Y246" s="115">
        <v>0.4834</v>
      </c>
      <c r="Z246" s="115">
        <v>99.045100000000005</v>
      </c>
      <c r="AA246" s="115">
        <v>6.9298999999999999</v>
      </c>
      <c r="AB246" s="115">
        <v>180.84200000000001</v>
      </c>
      <c r="AC246" s="115">
        <v>50.9</v>
      </c>
      <c r="AD246" s="115">
        <v>1.1900000000000001E-2</v>
      </c>
      <c r="AE246" s="115">
        <v>5.8999999999999999E-3</v>
      </c>
      <c r="AF246" s="115">
        <v>-5.3600000000000002E-2</v>
      </c>
      <c r="AG246" s="115">
        <v>4.3799999999999999E-2</v>
      </c>
      <c r="AH246" s="115">
        <v>2.9499999999999998E-2</v>
      </c>
      <c r="AI246" s="115">
        <v>-2.4799999999999999E-2</v>
      </c>
      <c r="AJ246" s="115">
        <v>1.34E-2</v>
      </c>
      <c r="AK246" s="115">
        <v>8.3611000000000004</v>
      </c>
      <c r="AL246" s="115">
        <v>-0.44440000000000002</v>
      </c>
      <c r="AM246" s="115">
        <v>2</v>
      </c>
      <c r="AN246" s="115">
        <v>3</v>
      </c>
      <c r="AO246" s="115">
        <v>0</v>
      </c>
      <c r="AP246" s="115">
        <v>0</v>
      </c>
      <c r="AQ246" s="115">
        <v>0</v>
      </c>
      <c r="AR246" s="115"/>
      <c r="AS246" s="115">
        <v>3.7000000000000002E-3</v>
      </c>
      <c r="AT246" s="115">
        <v>0.77780000000000005</v>
      </c>
      <c r="AU246" s="114" t="str">
        <f>IF(A246&lt;&gt;"",INDEX(Index!$B$1:$B$77,MATCH($A246,Index!$A$1:$A$77,0)),"")</f>
        <v>WAS</v>
      </c>
      <c r="AV246" s="123" t="str">
        <f>IF(B246&lt;&gt;"",INDEX(Index!$C$1:$C$77,MATCH($A246,Index!$A$1:$A$77,0)),"")</f>
        <v>Daniels</v>
      </c>
      <c r="AW246" s="123">
        <f t="shared" si="4"/>
        <v>19</v>
      </c>
      <c r="AX246" s="113">
        <v>8</v>
      </c>
    </row>
    <row r="247" spans="1:50" x14ac:dyDescent="0.25">
      <c r="A247" s="95" t="s">
        <v>559</v>
      </c>
      <c r="B247" s="96">
        <v>2025</v>
      </c>
      <c r="C247" s="96">
        <v>8</v>
      </c>
      <c r="D247" s="96">
        <v>0.69211500000000004</v>
      </c>
      <c r="E247" s="96">
        <v>-0.62466500000000003</v>
      </c>
      <c r="F247" s="115">
        <v>2.2335199999999999E-2</v>
      </c>
      <c r="G247" s="115">
        <v>44.329300000000003</v>
      </c>
      <c r="H247" s="115">
        <v>0.13769999999999999</v>
      </c>
      <c r="I247" s="115">
        <v>172</v>
      </c>
      <c r="J247" s="115">
        <v>268</v>
      </c>
      <c r="K247" s="115">
        <v>0.64180000000000004</v>
      </c>
      <c r="L247" s="115">
        <v>-1.8402000000000001</v>
      </c>
      <c r="M247" s="115">
        <v>1919</v>
      </c>
      <c r="N247" s="115">
        <v>7.1604000000000001</v>
      </c>
      <c r="O247" s="115">
        <v>13</v>
      </c>
      <c r="P247" s="115">
        <v>2</v>
      </c>
      <c r="Q247" s="115">
        <v>17</v>
      </c>
      <c r="R247" s="115">
        <v>17</v>
      </c>
      <c r="S247" s="115">
        <v>162</v>
      </c>
      <c r="T247" s="115">
        <v>9.5294000000000008</v>
      </c>
      <c r="U247" s="115">
        <v>0</v>
      </c>
      <c r="V247" s="115">
        <v>4.8500000000000001E-2</v>
      </c>
      <c r="W247" s="115">
        <v>7.4999999999999997E-3</v>
      </c>
      <c r="X247" s="115">
        <v>4.1000000000000002E-2</v>
      </c>
      <c r="Y247" s="115">
        <v>0.45029999999999998</v>
      </c>
      <c r="Z247" s="115">
        <v>98.460800000000006</v>
      </c>
      <c r="AA247" s="115">
        <v>6.9088000000000003</v>
      </c>
      <c r="AB247" s="115">
        <v>204.422</v>
      </c>
      <c r="AC247" s="115">
        <v>61</v>
      </c>
      <c r="AD247" s="115">
        <v>2.6599999999999999E-2</v>
      </c>
      <c r="AE247" s="115">
        <v>1.3100000000000001E-2</v>
      </c>
      <c r="AF247" s="115">
        <v>-2.75E-2</v>
      </c>
      <c r="AG247" s="115">
        <v>4.0099999999999997E-2</v>
      </c>
      <c r="AH247" s="115">
        <v>-6.1800000000000001E-2</v>
      </c>
      <c r="AI247" s="115">
        <v>5.4600000000000003E-2</v>
      </c>
      <c r="AJ247" s="115">
        <v>1.9E-3</v>
      </c>
      <c r="AK247" s="115">
        <v>8.6753999999999998</v>
      </c>
      <c r="AL247" s="115">
        <v>-0.27989999999999998</v>
      </c>
      <c r="AM247" s="115">
        <v>6</v>
      </c>
      <c r="AN247" s="115">
        <v>2</v>
      </c>
      <c r="AO247" s="115">
        <v>0</v>
      </c>
      <c r="AP247" s="115">
        <v>4</v>
      </c>
      <c r="AQ247" s="115">
        <v>5</v>
      </c>
      <c r="AR247" s="115">
        <v>0.8</v>
      </c>
      <c r="AS247" s="115">
        <v>6.3E-3</v>
      </c>
      <c r="AT247" s="115">
        <v>2.0356000000000001</v>
      </c>
      <c r="AU247" s="114" t="str">
        <f>IF(A247&lt;&gt;"",INDEX(Index!$B$1:$B$77,MATCH($A247,Index!$A$1:$A$77,0)),"")</f>
        <v>TB</v>
      </c>
      <c r="AV247" s="123" t="str">
        <f>IF(B247&lt;&gt;"",INDEX(Index!$C$1:$C$77,MATCH($A247,Index!$A$1:$A$77,0)),"")</f>
        <v>Mayfield</v>
      </c>
      <c r="AW247" s="123">
        <f t="shared" si="4"/>
        <v>10</v>
      </c>
      <c r="AX247" s="113">
        <v>8</v>
      </c>
    </row>
    <row r="248" spans="1:50" x14ac:dyDescent="0.25">
      <c r="A248" s="95" t="s">
        <v>560</v>
      </c>
      <c r="B248" s="96">
        <v>2025</v>
      </c>
      <c r="C248" s="96">
        <v>2</v>
      </c>
      <c r="D248" s="96">
        <v>0.67374000000000001</v>
      </c>
      <c r="E248" s="96">
        <v>-0.12831300000000001</v>
      </c>
      <c r="F248" s="115">
        <v>-1.32458E-2</v>
      </c>
      <c r="G248" s="115">
        <v>16.7165</v>
      </c>
      <c r="H248" s="115">
        <v>0.19670000000000001</v>
      </c>
      <c r="I248" s="115">
        <v>48</v>
      </c>
      <c r="J248" s="115">
        <v>73</v>
      </c>
      <c r="K248" s="115">
        <v>0.65749999999999997</v>
      </c>
      <c r="L248" s="115">
        <v>3.0061</v>
      </c>
      <c r="M248" s="115">
        <v>586</v>
      </c>
      <c r="N248" s="115">
        <v>8.0274000000000001</v>
      </c>
      <c r="O248" s="115">
        <v>4</v>
      </c>
      <c r="P248" s="115">
        <v>4</v>
      </c>
      <c r="Q248" s="115">
        <v>2</v>
      </c>
      <c r="R248" s="115">
        <v>5</v>
      </c>
      <c r="S248" s="115">
        <v>32</v>
      </c>
      <c r="T248" s="115">
        <v>6.4</v>
      </c>
      <c r="U248" s="115">
        <v>0</v>
      </c>
      <c r="V248" s="115">
        <v>5.4800000000000001E-2</v>
      </c>
      <c r="W248" s="115">
        <v>5.4800000000000001E-2</v>
      </c>
      <c r="X248" s="115">
        <v>0</v>
      </c>
      <c r="Y248" s="115">
        <v>0.57650000000000001</v>
      </c>
      <c r="Z248" s="115">
        <v>85.759100000000004</v>
      </c>
      <c r="AA248" s="115">
        <v>6.28</v>
      </c>
      <c r="AB248" s="115">
        <v>190.423</v>
      </c>
      <c r="AC248" s="115">
        <v>67.2</v>
      </c>
      <c r="AD248" s="115">
        <v>-4.0000000000000001E-3</v>
      </c>
      <c r="AE248" s="115">
        <v>2.5899999999999999E-2</v>
      </c>
      <c r="AF248" s="115">
        <v>-4.3E-3</v>
      </c>
      <c r="AG248" s="115">
        <v>-0.12089999999999999</v>
      </c>
      <c r="AH248" s="115">
        <v>0.1663</v>
      </c>
      <c r="AI248" s="115">
        <v>2.5100000000000001E-2</v>
      </c>
      <c r="AJ248" s="115">
        <v>1.7899999999999999E-2</v>
      </c>
      <c r="AK248" s="115">
        <v>7.7534000000000001</v>
      </c>
      <c r="AL248" s="115">
        <v>-0.39729999999999999</v>
      </c>
      <c r="AM248" s="115">
        <v>1</v>
      </c>
      <c r="AN248" s="115">
        <v>1</v>
      </c>
      <c r="AO248" s="115">
        <v>0</v>
      </c>
      <c r="AP248" s="115">
        <v>1</v>
      </c>
      <c r="AQ248" s="115">
        <v>2</v>
      </c>
      <c r="AR248" s="115">
        <v>0.5</v>
      </c>
      <c r="AS248" s="115">
        <v>8.0999999999999996E-3</v>
      </c>
      <c r="AT248" s="115">
        <v>0.68879999999999997</v>
      </c>
      <c r="AU248" s="114" t="str">
        <f>IF(A248&lt;&gt;"",INDEX(Index!$B$1:$B$77,MATCH($A248,Index!$A$1:$A$77,0)),"")</f>
        <v>SF</v>
      </c>
      <c r="AV248" s="123" t="str">
        <f>IF(B248&lt;&gt;"",INDEX(Index!$C$1:$C$77,MATCH($A248,Index!$A$1:$A$77,0)),"")</f>
        <v>Purdy</v>
      </c>
      <c r="AW248" s="123">
        <f t="shared" si="4"/>
        <v>42</v>
      </c>
      <c r="AX248" s="113">
        <v>8</v>
      </c>
    </row>
    <row r="249" spans="1:50" x14ac:dyDescent="0.25">
      <c r="A249" s="95" t="s">
        <v>556</v>
      </c>
      <c r="B249" s="96">
        <v>2025</v>
      </c>
      <c r="C249" s="96">
        <v>5</v>
      </c>
      <c r="D249" s="96">
        <v>0.54442400000000002</v>
      </c>
      <c r="E249" s="96">
        <v>3.6627199999999999E-2</v>
      </c>
      <c r="F249" s="115">
        <v>-0.83574700000000002</v>
      </c>
      <c r="G249" s="115">
        <v>23.545000000000002</v>
      </c>
      <c r="H249" s="115">
        <v>0.107</v>
      </c>
      <c r="I249" s="115">
        <v>110</v>
      </c>
      <c r="J249" s="115">
        <v>161</v>
      </c>
      <c r="K249" s="115">
        <v>0.68320000000000003</v>
      </c>
      <c r="L249" s="115">
        <v>-0.52880000000000005</v>
      </c>
      <c r="M249" s="115">
        <v>962</v>
      </c>
      <c r="N249" s="115">
        <v>5.9752000000000001</v>
      </c>
      <c r="O249" s="115">
        <v>6</v>
      </c>
      <c r="P249" s="115">
        <v>3</v>
      </c>
      <c r="Q249" s="115">
        <v>16</v>
      </c>
      <c r="R249" s="115">
        <v>27</v>
      </c>
      <c r="S249" s="115">
        <v>175</v>
      </c>
      <c r="T249" s="115">
        <v>6.4814999999999996</v>
      </c>
      <c r="U249" s="115">
        <v>1</v>
      </c>
      <c r="V249" s="115">
        <v>3.73E-2</v>
      </c>
      <c r="W249" s="115">
        <v>1.8599999999999998E-2</v>
      </c>
      <c r="X249" s="115">
        <v>1.8599999999999998E-2</v>
      </c>
      <c r="Y249" s="115">
        <v>0.45</v>
      </c>
      <c r="Z249" s="115">
        <v>88.573999999999998</v>
      </c>
      <c r="AA249" s="115">
        <v>4.7232000000000003</v>
      </c>
      <c r="AB249" s="115">
        <v>151.27199999999999</v>
      </c>
      <c r="AC249" s="115">
        <v>44.1</v>
      </c>
      <c r="AD249" s="115">
        <v>5.7999999999999996E-3</v>
      </c>
      <c r="AE249" s="115">
        <v>-2.5999999999999999E-3</v>
      </c>
      <c r="AF249" s="115">
        <v>3.8800000000000001E-2</v>
      </c>
      <c r="AG249" s="115">
        <v>3.0499999999999999E-2</v>
      </c>
      <c r="AH249" s="115">
        <v>-9.4200000000000006E-2</v>
      </c>
      <c r="AI249" s="115">
        <v>2.2499999999999999E-2</v>
      </c>
      <c r="AJ249" s="115">
        <v>1.6E-2</v>
      </c>
      <c r="AK249" s="115">
        <v>5.8446999999999996</v>
      </c>
      <c r="AL249" s="115">
        <v>-3.0682999999999998</v>
      </c>
      <c r="AM249" s="115">
        <v>2</v>
      </c>
      <c r="AN249" s="115">
        <v>3</v>
      </c>
      <c r="AO249" s="115">
        <v>0</v>
      </c>
      <c r="AP249" s="115">
        <v>0</v>
      </c>
      <c r="AQ249" s="115">
        <v>2</v>
      </c>
      <c r="AR249" s="115">
        <v>0</v>
      </c>
      <c r="AS249" s="115">
        <v>4.1999999999999997E-3</v>
      </c>
      <c r="AT249" s="115">
        <v>0.92720000000000002</v>
      </c>
      <c r="AU249" s="114" t="str">
        <f>IF(A249&lt;&gt;"",INDEX(Index!$B$1:$B$77,MATCH($A249,Index!$A$1:$A$77,0)),"")</f>
        <v>ARI</v>
      </c>
      <c r="AV249" s="123" t="str">
        <f>IF(B249&lt;&gt;"",INDEX(Index!$C$1:$C$77,MATCH($A249,Index!$A$1:$A$77,0)),"")</f>
        <v>Murray</v>
      </c>
      <c r="AW249" s="123">
        <f t="shared" si="4"/>
        <v>12</v>
      </c>
      <c r="AX249" s="113">
        <v>8</v>
      </c>
    </row>
    <row r="250" spans="1:50" x14ac:dyDescent="0.25">
      <c r="A250" s="95" t="s">
        <v>591</v>
      </c>
      <c r="B250" s="96">
        <v>2025</v>
      </c>
      <c r="C250" s="96">
        <v>1</v>
      </c>
      <c r="D250" s="96">
        <v>0.20449000000000001</v>
      </c>
      <c r="E250" s="96">
        <v>-0.32927400000000001</v>
      </c>
      <c r="F250" s="115">
        <v>-0.32927400000000001</v>
      </c>
      <c r="G250" s="115">
        <v>-6.4212999999999996</v>
      </c>
      <c r="H250" s="115">
        <v>-0.15659999999999999</v>
      </c>
      <c r="I250" s="115">
        <v>26</v>
      </c>
      <c r="J250" s="115">
        <v>38</v>
      </c>
      <c r="K250" s="115">
        <v>0.68420000000000003</v>
      </c>
      <c r="L250" s="115">
        <v>0.43859999999999999</v>
      </c>
      <c r="M250" s="115">
        <v>202</v>
      </c>
      <c r="N250" s="115">
        <v>5.3158000000000003</v>
      </c>
      <c r="O250" s="115">
        <v>0</v>
      </c>
      <c r="P250" s="115">
        <v>0</v>
      </c>
      <c r="Q250" s="115">
        <v>1</v>
      </c>
      <c r="R250" s="115">
        <v>1</v>
      </c>
      <c r="S250" s="115">
        <v>3</v>
      </c>
      <c r="T250" s="115">
        <v>3</v>
      </c>
      <c r="U250" s="115">
        <v>0</v>
      </c>
      <c r="V250" s="115">
        <v>0</v>
      </c>
      <c r="W250" s="115">
        <v>0</v>
      </c>
      <c r="X250" s="115">
        <v>0</v>
      </c>
      <c r="Y250" s="115">
        <v>0.41460000000000002</v>
      </c>
      <c r="Z250" s="115">
        <v>81.25</v>
      </c>
      <c r="AA250" s="115">
        <v>5.0513000000000003</v>
      </c>
      <c r="AB250" s="115">
        <v>92.161000000000001</v>
      </c>
      <c r="AC250" s="115"/>
      <c r="AD250" s="115">
        <v>-3.1E-2</v>
      </c>
      <c r="AE250" s="115">
        <v>6.3200000000000006E-2</v>
      </c>
      <c r="AF250" s="115">
        <v>-0.16400000000000001</v>
      </c>
      <c r="AG250" s="115">
        <v>7.22E-2</v>
      </c>
      <c r="AH250" s="115">
        <v>-0.13170000000000001</v>
      </c>
      <c r="AI250" s="115">
        <v>-8.8099999999999998E-2</v>
      </c>
      <c r="AJ250" s="115">
        <v>3.2199999999999999E-2</v>
      </c>
      <c r="AK250" s="115">
        <v>7.7632000000000003</v>
      </c>
      <c r="AL250" s="115">
        <v>-0.52629999999999999</v>
      </c>
      <c r="AM250" s="115">
        <v>0</v>
      </c>
      <c r="AN250" s="115">
        <v>2</v>
      </c>
      <c r="AO250" s="115">
        <v>0</v>
      </c>
      <c r="AP250" s="115">
        <v>0</v>
      </c>
      <c r="AQ250" s="115">
        <v>0</v>
      </c>
      <c r="AR250" s="115"/>
      <c r="AS250" s="115">
        <v>-2.9999999999999997E-4</v>
      </c>
      <c r="AT250" s="115">
        <v>-1.21E-2</v>
      </c>
      <c r="AU250" s="114" t="str">
        <f>IF(A250&lt;&gt;"",INDEX(Index!$B$1:$B$77,MATCH($A250,Index!$A$1:$A$77,0)),"")</f>
        <v>ATL</v>
      </c>
      <c r="AV250" s="123" t="str">
        <f>IF(B250&lt;&gt;"",INDEX(Index!$C$1:$C$77,MATCH($A250,Index!$A$1:$A$77,0)),"")</f>
        <v>Cousins</v>
      </c>
      <c r="AW250" s="123">
        <f t="shared" si="4"/>
        <v>43</v>
      </c>
      <c r="AX250" s="113">
        <v>8</v>
      </c>
    </row>
    <row r="251" spans="1:50" x14ac:dyDescent="0.25">
      <c r="A251" s="95" t="s">
        <v>573</v>
      </c>
      <c r="B251" s="96">
        <v>2025</v>
      </c>
      <c r="C251" s="96">
        <v>7</v>
      </c>
      <c r="D251" s="96">
        <v>4.95764E-2</v>
      </c>
      <c r="E251" s="96">
        <v>-0.32645999999999997</v>
      </c>
      <c r="F251" s="115">
        <v>1.0267500000000001</v>
      </c>
      <c r="G251" s="115">
        <v>55.3842</v>
      </c>
      <c r="H251" s="115">
        <v>0.25409999999999999</v>
      </c>
      <c r="I251" s="115">
        <v>131</v>
      </c>
      <c r="J251" s="115">
        <v>191</v>
      </c>
      <c r="K251" s="115">
        <v>0.68589999999999995</v>
      </c>
      <c r="L251" s="115">
        <v>9.1196000000000002</v>
      </c>
      <c r="M251" s="115">
        <v>1754</v>
      </c>
      <c r="N251" s="115">
        <v>9.1831999999999994</v>
      </c>
      <c r="O251" s="115">
        <v>12</v>
      </c>
      <c r="P251" s="115">
        <v>4</v>
      </c>
      <c r="Q251" s="115">
        <v>9</v>
      </c>
      <c r="R251" s="115">
        <v>5</v>
      </c>
      <c r="S251" s="115">
        <v>47</v>
      </c>
      <c r="T251" s="115">
        <v>9.4</v>
      </c>
      <c r="U251" s="115">
        <v>0</v>
      </c>
      <c r="V251" s="115">
        <v>6.2799999999999995E-2</v>
      </c>
      <c r="W251" s="115">
        <v>2.0899999999999998E-2</v>
      </c>
      <c r="X251" s="115">
        <v>4.19E-2</v>
      </c>
      <c r="Y251" s="115">
        <v>0.52749999999999997</v>
      </c>
      <c r="Z251" s="115">
        <v>109.71899999999999</v>
      </c>
      <c r="AA251" s="115">
        <v>8.7799999999999994</v>
      </c>
      <c r="AB251" s="115">
        <v>203.64699999999999</v>
      </c>
      <c r="AC251" s="115">
        <v>72.2</v>
      </c>
      <c r="AD251" s="115">
        <v>-1.0200000000000001E-2</v>
      </c>
      <c r="AE251" s="115">
        <v>2.8E-3</v>
      </c>
      <c r="AF251" s="115">
        <v>4.4400000000000002E-2</v>
      </c>
      <c r="AG251" s="115">
        <v>-1.3299999999999999E-2</v>
      </c>
      <c r="AH251" s="115">
        <v>0.17730000000000001</v>
      </c>
      <c r="AI251" s="115">
        <v>-0.04</v>
      </c>
      <c r="AJ251" s="115">
        <v>2.5000000000000001E-3</v>
      </c>
      <c r="AK251" s="115">
        <v>9.2355999999999998</v>
      </c>
      <c r="AL251" s="115">
        <v>-5.1999999999999998E-3</v>
      </c>
      <c r="AM251" s="115">
        <v>5</v>
      </c>
      <c r="AN251" s="115">
        <v>2</v>
      </c>
      <c r="AO251" s="115">
        <v>0</v>
      </c>
      <c r="AP251" s="115">
        <v>0</v>
      </c>
      <c r="AQ251" s="115">
        <v>2</v>
      </c>
      <c r="AR251" s="115">
        <v>0</v>
      </c>
      <c r="AS251" s="115">
        <v>5.7000000000000002E-3</v>
      </c>
      <c r="AT251" s="115">
        <v>1.2356</v>
      </c>
      <c r="AU251" s="114" t="str">
        <f>IF(A251&lt;&gt;"",INDEX(Index!$B$1:$B$77,MATCH($A251,Index!$A$1:$A$77,0)),"")</f>
        <v>SEA</v>
      </c>
      <c r="AV251" s="123" t="str">
        <f>IF(B251&lt;&gt;"",INDEX(Index!$C$1:$C$77,MATCH($A251,Index!$A$1:$A$77,0)),"")</f>
        <v>Darnold</v>
      </c>
      <c r="AW251" s="123">
        <f t="shared" si="4"/>
        <v>29</v>
      </c>
      <c r="AX251" s="113">
        <v>8</v>
      </c>
    </row>
    <row r="252" spans="1:50" x14ac:dyDescent="0.25">
      <c r="A252" s="95" t="s">
        <v>564</v>
      </c>
      <c r="B252" s="96">
        <v>2025</v>
      </c>
      <c r="C252" s="96">
        <v>3</v>
      </c>
      <c r="D252" s="96">
        <v>-9.6563700000000002E-2</v>
      </c>
      <c r="E252" s="96">
        <v>-0.72087800000000002</v>
      </c>
      <c r="F252" s="115">
        <v>-0.42435</v>
      </c>
      <c r="G252" s="115">
        <v>-0.13880000000000001</v>
      </c>
      <c r="H252" s="115">
        <v>-8.9999999999999998E-4</v>
      </c>
      <c r="I252" s="115">
        <v>66</v>
      </c>
      <c r="J252" s="115">
        <v>112</v>
      </c>
      <c r="K252" s="115">
        <v>0.58930000000000005</v>
      </c>
      <c r="L252" s="115">
        <v>-0.86109999999999998</v>
      </c>
      <c r="M252" s="115">
        <v>786</v>
      </c>
      <c r="N252" s="115">
        <v>7.0179</v>
      </c>
      <c r="O252" s="115">
        <v>3</v>
      </c>
      <c r="P252" s="115">
        <v>3</v>
      </c>
      <c r="Q252" s="115">
        <v>8</v>
      </c>
      <c r="R252" s="115">
        <v>16</v>
      </c>
      <c r="S252" s="115">
        <v>94</v>
      </c>
      <c r="T252" s="115">
        <v>5.875</v>
      </c>
      <c r="U252" s="115">
        <v>0</v>
      </c>
      <c r="V252" s="115">
        <v>2.6800000000000001E-2</v>
      </c>
      <c r="W252" s="115">
        <v>2.6800000000000001E-2</v>
      </c>
      <c r="X252" s="115">
        <v>0</v>
      </c>
      <c r="Y252" s="115">
        <v>0.41499999999999998</v>
      </c>
      <c r="Z252" s="115">
        <v>78.199399999999997</v>
      </c>
      <c r="AA252" s="115">
        <v>5.4832999999999998</v>
      </c>
      <c r="AB252" s="115">
        <v>140.05699999999999</v>
      </c>
      <c r="AC252" s="115"/>
      <c r="AD252" s="115">
        <v>-3.3300000000000003E-2</v>
      </c>
      <c r="AE252" s="115">
        <v>1.77E-2</v>
      </c>
      <c r="AF252" s="115">
        <v>-0.1062</v>
      </c>
      <c r="AG252" s="115">
        <v>1.2200000000000001E-2</v>
      </c>
      <c r="AH252" s="115">
        <v>3.8699999999999998E-2</v>
      </c>
      <c r="AI252" s="115">
        <v>-8.2400000000000001E-2</v>
      </c>
      <c r="AJ252" s="115">
        <v>6.1800000000000001E-2</v>
      </c>
      <c r="AK252" s="115">
        <v>9.2589000000000006</v>
      </c>
      <c r="AL252" s="115">
        <v>0.19639999999999999</v>
      </c>
      <c r="AM252" s="115">
        <v>2</v>
      </c>
      <c r="AN252" s="115">
        <v>3</v>
      </c>
      <c r="AO252" s="115">
        <v>0</v>
      </c>
      <c r="AP252" s="115">
        <v>0</v>
      </c>
      <c r="AQ252" s="115">
        <v>2</v>
      </c>
      <c r="AR252" s="115">
        <v>0</v>
      </c>
      <c r="AS252" s="115">
        <v>7.4999999999999997E-3</v>
      </c>
      <c r="AT252" s="115">
        <v>1.0956999999999999</v>
      </c>
      <c r="AU252" s="114" t="str">
        <f>IF(A252&lt;&gt;"",INDEX(Index!$B$1:$B$77,MATCH($A252,Index!$A$1:$A$77,0)),"")</f>
        <v>NYG</v>
      </c>
      <c r="AV252" s="123" t="str">
        <f>IF(B252&lt;&gt;"",INDEX(Index!$C$1:$C$77,MATCH($A252,Index!$A$1:$A$77,0)),"")</f>
        <v>Wilson</v>
      </c>
      <c r="AW252" s="123">
        <f t="shared" si="4"/>
        <v>35</v>
      </c>
      <c r="AX252" s="113">
        <v>8</v>
      </c>
    </row>
    <row r="253" spans="1:50" x14ac:dyDescent="0.25">
      <c r="A253" s="95" t="s">
        <v>565</v>
      </c>
      <c r="B253" s="96">
        <v>2025</v>
      </c>
      <c r="C253" s="96">
        <v>8</v>
      </c>
      <c r="D253" s="96">
        <v>-0.17572099999999999</v>
      </c>
      <c r="E253" s="96">
        <v>0.54472100000000001</v>
      </c>
      <c r="F253" s="115">
        <v>-1.4815</v>
      </c>
      <c r="G253" s="115">
        <v>1.5455000000000001</v>
      </c>
      <c r="H253" s="115">
        <v>5.7000000000000002E-3</v>
      </c>
      <c r="I253" s="115">
        <v>159</v>
      </c>
      <c r="J253" s="115">
        <v>231</v>
      </c>
      <c r="K253" s="115">
        <v>0.68830000000000002</v>
      </c>
      <c r="L253" s="115">
        <v>2.2530000000000001</v>
      </c>
      <c r="M253" s="115">
        <v>1518</v>
      </c>
      <c r="N253" s="115">
        <v>6.5713999999999997</v>
      </c>
      <c r="O253" s="115">
        <v>15</v>
      </c>
      <c r="P253" s="115">
        <v>10</v>
      </c>
      <c r="Q253" s="115">
        <v>16</v>
      </c>
      <c r="R253" s="115">
        <v>7</v>
      </c>
      <c r="S253" s="115">
        <v>36</v>
      </c>
      <c r="T253" s="115">
        <v>5.1429</v>
      </c>
      <c r="U253" s="115">
        <v>0</v>
      </c>
      <c r="V253" s="115">
        <v>6.4899999999999999E-2</v>
      </c>
      <c r="W253" s="115">
        <v>4.3299999999999998E-2</v>
      </c>
      <c r="X253" s="115">
        <v>2.1600000000000001E-2</v>
      </c>
      <c r="Y253" s="115">
        <v>0.4375</v>
      </c>
      <c r="Z253" s="115">
        <v>90.431100000000001</v>
      </c>
      <c r="AA253" s="115">
        <v>5.1821999999999999</v>
      </c>
      <c r="AB253" s="115">
        <v>129.648</v>
      </c>
      <c r="AC253" s="115">
        <v>46.6</v>
      </c>
      <c r="AD253" s="115">
        <v>-2.1999999999999999E-2</v>
      </c>
      <c r="AE253" s="115">
        <v>1E-4</v>
      </c>
      <c r="AF253" s="115">
        <v>2.41E-2</v>
      </c>
      <c r="AG253" s="115">
        <v>-7.3400000000000007E-2</v>
      </c>
      <c r="AH253" s="115">
        <v>-1.2500000000000001E-2</v>
      </c>
      <c r="AI253" s="115">
        <v>4.0099999999999997E-2</v>
      </c>
      <c r="AJ253" s="115">
        <v>-4.1500000000000002E-2</v>
      </c>
      <c r="AK253" s="115">
        <v>6.5843999999999996</v>
      </c>
      <c r="AL253" s="115">
        <v>-2.2553999999999998</v>
      </c>
      <c r="AM253" s="115">
        <v>2</v>
      </c>
      <c r="AN253" s="115">
        <v>6</v>
      </c>
      <c r="AO253" s="115">
        <v>0</v>
      </c>
      <c r="AP253" s="115">
        <v>0</v>
      </c>
      <c r="AQ253" s="115">
        <v>4</v>
      </c>
      <c r="AR253" s="115">
        <v>0</v>
      </c>
      <c r="AS253" s="115">
        <v>6.9999999999999999E-4</v>
      </c>
      <c r="AT253" s="115">
        <v>0.19550000000000001</v>
      </c>
      <c r="AU253" s="114" t="str">
        <f>IF(A253&lt;&gt;"",INDEX(Index!$B$1:$B$77,MATCH($A253,Index!$A$1:$A$77,0)),"")</f>
        <v>MIA</v>
      </c>
      <c r="AV253" s="123" t="str">
        <f>IF(B253&lt;&gt;"",INDEX(Index!$C$1:$C$77,MATCH($A253,Index!$A$1:$A$77,0)),"")</f>
        <v>Tagovailoa</v>
      </c>
      <c r="AW253" s="123">
        <f t="shared" si="4"/>
        <v>12</v>
      </c>
      <c r="AX253" s="113">
        <v>8</v>
      </c>
    </row>
    <row r="254" spans="1:50" x14ac:dyDescent="0.25">
      <c r="A254" s="95" t="s">
        <v>579</v>
      </c>
      <c r="B254" s="96">
        <v>2025</v>
      </c>
      <c r="C254" s="96">
        <v>7</v>
      </c>
      <c r="D254" s="96">
        <v>-0.53755500000000001</v>
      </c>
      <c r="E254" s="96">
        <v>0.71861200000000003</v>
      </c>
      <c r="F254" s="115">
        <v>1.2137100000000001</v>
      </c>
      <c r="G254" s="115">
        <v>34.362699999999997</v>
      </c>
      <c r="H254" s="115">
        <v>0.1177</v>
      </c>
      <c r="I254" s="115">
        <v>155</v>
      </c>
      <c r="J254" s="115">
        <v>231</v>
      </c>
      <c r="K254" s="115">
        <v>0.67100000000000004</v>
      </c>
      <c r="L254" s="115">
        <v>1.0068999999999999</v>
      </c>
      <c r="M254" s="115">
        <v>1623</v>
      </c>
      <c r="N254" s="115">
        <v>7.0259999999999998</v>
      </c>
      <c r="O254" s="115">
        <v>11</v>
      </c>
      <c r="P254" s="115">
        <v>5</v>
      </c>
      <c r="Q254" s="115">
        <v>15</v>
      </c>
      <c r="R254" s="115">
        <v>24</v>
      </c>
      <c r="S254" s="115">
        <v>178</v>
      </c>
      <c r="T254" s="115">
        <v>7.4166999999999996</v>
      </c>
      <c r="U254" s="115">
        <v>0</v>
      </c>
      <c r="V254" s="115">
        <v>4.7600000000000003E-2</v>
      </c>
      <c r="W254" s="115">
        <v>2.1600000000000001E-2</v>
      </c>
      <c r="X254" s="115">
        <v>2.5999999999999999E-2</v>
      </c>
      <c r="Y254" s="115">
        <v>0.49320000000000003</v>
      </c>
      <c r="Z254" s="115">
        <v>94.128799999999998</v>
      </c>
      <c r="AA254" s="115">
        <v>6.0122</v>
      </c>
      <c r="AB254" s="115">
        <v>183.21</v>
      </c>
      <c r="AC254" s="115">
        <v>63.1</v>
      </c>
      <c r="AD254" s="115">
        <v>4.1700000000000001E-2</v>
      </c>
      <c r="AE254" s="115">
        <v>3.7000000000000002E-3</v>
      </c>
      <c r="AF254" s="115">
        <v>1.6799999999999999E-2</v>
      </c>
      <c r="AG254" s="115">
        <v>1.9099999999999999E-2</v>
      </c>
      <c r="AH254" s="115">
        <v>-4.8999999999999998E-3</v>
      </c>
      <c r="AI254" s="115">
        <v>-1.9599999999999999E-2</v>
      </c>
      <c r="AJ254" s="115">
        <v>-2.98E-2</v>
      </c>
      <c r="AK254" s="115">
        <v>7.8139000000000003</v>
      </c>
      <c r="AL254" s="115">
        <v>-1.2078</v>
      </c>
      <c r="AM254" s="115">
        <v>3</v>
      </c>
      <c r="AN254" s="115">
        <v>4</v>
      </c>
      <c r="AO254" s="115">
        <v>0</v>
      </c>
      <c r="AP254" s="115">
        <v>0</v>
      </c>
      <c r="AQ254" s="115">
        <v>3</v>
      </c>
      <c r="AR254" s="115">
        <v>0</v>
      </c>
      <c r="AS254" s="115">
        <v>8.0000000000000004E-4</v>
      </c>
      <c r="AT254" s="115">
        <v>0.2356</v>
      </c>
      <c r="AU254" s="114" t="str">
        <f>IF(A254&lt;&gt;"",INDEX(Index!$B$1:$B$77,MATCH($A254,Index!$A$1:$A$77,0)),"")</f>
        <v>HOU</v>
      </c>
      <c r="AV254" s="123" t="str">
        <f>IF(B254&lt;&gt;"",INDEX(Index!$C$1:$C$77,MATCH($A254,Index!$A$1:$A$77,0)),"")</f>
        <v>Stroud</v>
      </c>
      <c r="AW254" s="123">
        <f t="shared" si="4"/>
        <v>14</v>
      </c>
      <c r="AX254" s="113">
        <v>8</v>
      </c>
    </row>
    <row r="255" spans="1:50" x14ac:dyDescent="0.25">
      <c r="A255" s="95" t="s">
        <v>574</v>
      </c>
      <c r="B255" s="96">
        <v>2025</v>
      </c>
      <c r="C255" s="96">
        <v>7</v>
      </c>
      <c r="D255" s="96">
        <v>-1.06349</v>
      </c>
      <c r="E255" s="96">
        <v>0.12773399999999999</v>
      </c>
      <c r="F255" s="115">
        <v>0.442328</v>
      </c>
      <c r="G255" s="115">
        <v>14.080500000000001</v>
      </c>
      <c r="H255" s="115">
        <v>5.0599999999999999E-2</v>
      </c>
      <c r="I255" s="115">
        <v>138</v>
      </c>
      <c r="J255" s="115">
        <v>223</v>
      </c>
      <c r="K255" s="115">
        <v>0.61880000000000002</v>
      </c>
      <c r="L255" s="115">
        <v>-3.4363999999999999</v>
      </c>
      <c r="M255" s="115">
        <v>1636</v>
      </c>
      <c r="N255" s="115">
        <v>7.3362999999999996</v>
      </c>
      <c r="O255" s="115">
        <v>9</v>
      </c>
      <c r="P255" s="115">
        <v>4</v>
      </c>
      <c r="Q255" s="115">
        <v>12</v>
      </c>
      <c r="R255" s="115">
        <v>26</v>
      </c>
      <c r="S255" s="115">
        <v>137</v>
      </c>
      <c r="T255" s="115">
        <v>5.2691999999999997</v>
      </c>
      <c r="U255" s="115">
        <v>2</v>
      </c>
      <c r="V255" s="115">
        <v>4.0399999999999998E-2</v>
      </c>
      <c r="W255" s="115">
        <v>1.7899999999999999E-2</v>
      </c>
      <c r="X255" s="115">
        <v>2.24E-2</v>
      </c>
      <c r="Y255" s="115">
        <v>0.43530000000000002</v>
      </c>
      <c r="Z255" s="115">
        <v>90.1999</v>
      </c>
      <c r="AA255" s="115">
        <v>6.6043000000000003</v>
      </c>
      <c r="AB255" s="115">
        <v>168.47300000000001</v>
      </c>
      <c r="AC255" s="115">
        <v>52.9</v>
      </c>
      <c r="AD255" s="115">
        <v>-3.44E-2</v>
      </c>
      <c r="AE255" s="115">
        <v>3.3399999999999999E-2</v>
      </c>
      <c r="AF255" s="115">
        <v>-4.19E-2</v>
      </c>
      <c r="AG255" s="115">
        <v>1.55E-2</v>
      </c>
      <c r="AH255" s="115">
        <v>-8.6E-3</v>
      </c>
      <c r="AI255" s="115">
        <v>3.27E-2</v>
      </c>
      <c r="AJ255" s="115">
        <v>-3.6700000000000003E-2</v>
      </c>
      <c r="AK255" s="115">
        <v>8.2377000000000002</v>
      </c>
      <c r="AL255" s="115">
        <v>-1.5336000000000001</v>
      </c>
      <c r="AM255" s="115">
        <v>4</v>
      </c>
      <c r="AN255" s="115">
        <v>3</v>
      </c>
      <c r="AO255" s="115">
        <v>0</v>
      </c>
      <c r="AP255" s="115">
        <v>2</v>
      </c>
      <c r="AQ255" s="115">
        <v>4</v>
      </c>
      <c r="AR255" s="115">
        <v>0.5</v>
      </c>
      <c r="AS255" s="115">
        <v>1.1000000000000001E-3</v>
      </c>
      <c r="AT255" s="115">
        <v>0.30649999999999999</v>
      </c>
      <c r="AU255" s="114" t="str">
        <f>IF(A255&lt;&gt;"",INDEX(Index!$B$1:$B$77,MATCH($A255,Index!$A$1:$A$77,0)),"")</f>
        <v>CHI</v>
      </c>
      <c r="AV255" s="123" t="str">
        <f>IF(B255&lt;&gt;"",INDEX(Index!$C$1:$C$77,MATCH($A255,Index!$A$1:$A$77,0)),"")</f>
        <v>Williams</v>
      </c>
      <c r="AW255" s="123">
        <f t="shared" si="4"/>
        <v>22</v>
      </c>
      <c r="AX255" s="113">
        <v>8</v>
      </c>
    </row>
    <row r="256" spans="1:50" x14ac:dyDescent="0.25">
      <c r="A256" s="95" t="s">
        <v>569</v>
      </c>
      <c r="B256" s="96">
        <v>2025</v>
      </c>
      <c r="C256" s="96">
        <v>7</v>
      </c>
      <c r="D256" s="96">
        <v>-1.0785199999999999</v>
      </c>
      <c r="E256" s="96">
        <v>0.324021</v>
      </c>
      <c r="F256" s="115">
        <v>-0.73615399999999998</v>
      </c>
      <c r="G256" s="115">
        <v>-3.1589</v>
      </c>
      <c r="H256" s="115">
        <v>-1.2800000000000001E-2</v>
      </c>
      <c r="I256" s="115">
        <v>107</v>
      </c>
      <c r="J256" s="115">
        <v>165</v>
      </c>
      <c r="K256" s="115">
        <v>0.64849999999999997</v>
      </c>
      <c r="L256" s="115">
        <v>-0.57320000000000004</v>
      </c>
      <c r="M256" s="115">
        <v>1072</v>
      </c>
      <c r="N256" s="115">
        <v>6.4969999999999999</v>
      </c>
      <c r="O256" s="115">
        <v>5</v>
      </c>
      <c r="P256" s="115">
        <v>0</v>
      </c>
      <c r="Q256" s="115">
        <v>22</v>
      </c>
      <c r="R256" s="115">
        <v>50</v>
      </c>
      <c r="S256" s="115">
        <v>290</v>
      </c>
      <c r="T256" s="115">
        <v>5.8</v>
      </c>
      <c r="U256" s="115">
        <v>3</v>
      </c>
      <c r="V256" s="115">
        <v>3.0300000000000001E-2</v>
      </c>
      <c r="W256" s="115">
        <v>0</v>
      </c>
      <c r="X256" s="115">
        <v>3.0300000000000001E-2</v>
      </c>
      <c r="Y256" s="115">
        <v>0.46560000000000001</v>
      </c>
      <c r="Z256" s="115">
        <v>93.295500000000004</v>
      </c>
      <c r="AA256" s="115">
        <v>5.3635999999999999</v>
      </c>
      <c r="AB256" s="115">
        <v>136.01599999999999</v>
      </c>
      <c r="AC256" s="115">
        <v>38.1</v>
      </c>
      <c r="AD256" s="115">
        <v>-6.3E-3</v>
      </c>
      <c r="AE256" s="115">
        <v>-4.3499999999999997E-2</v>
      </c>
      <c r="AF256" s="115">
        <v>3.1600000000000003E-2</v>
      </c>
      <c r="AG256" s="115">
        <v>7.22E-2</v>
      </c>
      <c r="AH256" s="115">
        <v>-9.2999999999999992E-3</v>
      </c>
      <c r="AI256" s="115">
        <v>-0.10780000000000001</v>
      </c>
      <c r="AJ256" s="115">
        <v>-4.0300000000000002E-2</v>
      </c>
      <c r="AK256" s="115">
        <v>6.8848000000000003</v>
      </c>
      <c r="AL256" s="115">
        <v>-2.0485000000000002</v>
      </c>
      <c r="AM256" s="115">
        <v>1</v>
      </c>
      <c r="AN256" s="115">
        <v>6</v>
      </c>
      <c r="AO256" s="115">
        <v>0</v>
      </c>
      <c r="AP256" s="115">
        <v>1</v>
      </c>
      <c r="AQ256" s="115">
        <v>4</v>
      </c>
      <c r="AR256" s="115">
        <v>0.25</v>
      </c>
      <c r="AS256" s="115">
        <v>-4.4999999999999997E-3</v>
      </c>
      <c r="AT256" s="115">
        <v>-1.1145</v>
      </c>
      <c r="AU256" s="114" t="str">
        <f>IF(A256&lt;&gt;"",INDEX(Index!$B$1:$B$77,MATCH($A256,Index!$A$1:$A$77,0)),"")</f>
        <v>NYJ</v>
      </c>
      <c r="AV256" s="123" t="str">
        <f>IF(B256&lt;&gt;"",INDEX(Index!$C$1:$C$77,MATCH($A256,Index!$A$1:$A$77,0)),"")</f>
        <v>Fields</v>
      </c>
      <c r="AW256" s="123">
        <f t="shared" si="4"/>
        <v>4</v>
      </c>
      <c r="AX256" s="113">
        <v>8</v>
      </c>
    </row>
    <row r="257" spans="1:50" x14ac:dyDescent="0.25">
      <c r="A257" s="95" t="s">
        <v>577</v>
      </c>
      <c r="B257" s="96">
        <v>2025</v>
      </c>
      <c r="C257" s="96">
        <v>7</v>
      </c>
      <c r="D257" s="96">
        <v>-1.11859</v>
      </c>
      <c r="E257" s="96">
        <v>0.53500400000000004</v>
      </c>
      <c r="F257" s="115">
        <v>6.1303099999999999E-2</v>
      </c>
      <c r="G257" s="115">
        <v>-23.428999999999998</v>
      </c>
      <c r="H257" s="115">
        <v>-7.1599999999999997E-2</v>
      </c>
      <c r="I257" s="115">
        <v>174</v>
      </c>
      <c r="J257" s="115">
        <v>283</v>
      </c>
      <c r="K257" s="115">
        <v>0.61480000000000001</v>
      </c>
      <c r="L257" s="115">
        <v>-2.4108000000000001</v>
      </c>
      <c r="M257" s="115">
        <v>1599</v>
      </c>
      <c r="N257" s="115">
        <v>5.6501999999999999</v>
      </c>
      <c r="O257" s="115">
        <v>9</v>
      </c>
      <c r="P257" s="115">
        <v>6</v>
      </c>
      <c r="Q257" s="115">
        <v>13</v>
      </c>
      <c r="R257" s="115">
        <v>9</v>
      </c>
      <c r="S257" s="115">
        <v>42</v>
      </c>
      <c r="T257" s="115">
        <v>4.6666999999999996</v>
      </c>
      <c r="U257" s="115">
        <v>1</v>
      </c>
      <c r="V257" s="115">
        <v>3.1800000000000002E-2</v>
      </c>
      <c r="W257" s="115">
        <v>2.12E-2</v>
      </c>
      <c r="X257" s="115">
        <v>1.06E-2</v>
      </c>
      <c r="Y257" s="115">
        <v>0.42199999999999999</v>
      </c>
      <c r="Z257" s="115">
        <v>78.629300000000001</v>
      </c>
      <c r="AA257" s="115">
        <v>4.8277000000000001</v>
      </c>
      <c r="AB257" s="115">
        <v>131.20400000000001</v>
      </c>
      <c r="AC257" s="115">
        <v>42.7</v>
      </c>
      <c r="AD257" s="115">
        <v>-1.5900000000000001E-2</v>
      </c>
      <c r="AE257" s="115">
        <v>7.0000000000000001E-3</v>
      </c>
      <c r="AF257" s="115">
        <v>-3.7499999999999999E-2</v>
      </c>
      <c r="AG257" s="115">
        <v>-6.4000000000000003E-3</v>
      </c>
      <c r="AH257" s="115">
        <v>-8.6599999999999996E-2</v>
      </c>
      <c r="AI257" s="115">
        <v>-1.1299999999999999E-2</v>
      </c>
      <c r="AJ257" s="115">
        <v>-1.1599999999999999E-2</v>
      </c>
      <c r="AK257" s="115">
        <v>7.0317999999999996</v>
      </c>
      <c r="AL257" s="115">
        <v>-1.9504999999999999</v>
      </c>
      <c r="AM257" s="115">
        <v>2</v>
      </c>
      <c r="AN257" s="115">
        <v>5</v>
      </c>
      <c r="AO257" s="115">
        <v>0</v>
      </c>
      <c r="AP257" s="115">
        <v>2</v>
      </c>
      <c r="AQ257" s="115">
        <v>4</v>
      </c>
      <c r="AR257" s="115">
        <v>0.5</v>
      </c>
      <c r="AS257" s="115">
        <v>-2.5000000000000001E-3</v>
      </c>
      <c r="AT257" s="115">
        <v>-0.80559999999999998</v>
      </c>
      <c r="AU257" s="114" t="str">
        <f>IF(A257&lt;&gt;"",INDEX(Index!$B$1:$B$77,MATCH($A257,Index!$A$1:$A$77,0)),"")</f>
        <v>CIN</v>
      </c>
      <c r="AV257" s="123" t="str">
        <f>IF(B257&lt;&gt;"",INDEX(Index!$C$1:$C$77,MATCH($A257,Index!$A$1:$A$77,0)),"")</f>
        <v>Flacco</v>
      </c>
      <c r="AW257" s="123">
        <f t="shared" si="4"/>
        <v>19</v>
      </c>
      <c r="AX257" s="113">
        <v>8</v>
      </c>
    </row>
    <row r="258" spans="1:50" x14ac:dyDescent="0.25">
      <c r="A258" s="95" t="s">
        <v>571</v>
      </c>
      <c r="B258" s="96">
        <v>2025</v>
      </c>
      <c r="C258" s="96">
        <v>7</v>
      </c>
      <c r="D258" s="96">
        <v>-1.1343099999999999</v>
      </c>
      <c r="E258" s="96">
        <v>-0.49522500000000003</v>
      </c>
      <c r="F258" s="115">
        <v>-0.73785699999999999</v>
      </c>
      <c r="G258" s="115">
        <v>5.2163000000000004</v>
      </c>
      <c r="H258" s="115">
        <v>1.66E-2</v>
      </c>
      <c r="I258" s="115">
        <v>152</v>
      </c>
      <c r="J258" s="115">
        <v>257</v>
      </c>
      <c r="K258" s="115">
        <v>0.59140000000000004</v>
      </c>
      <c r="L258" s="115">
        <v>-5.6254999999999997</v>
      </c>
      <c r="M258" s="115">
        <v>1620</v>
      </c>
      <c r="N258" s="115">
        <v>6.3034999999999997</v>
      </c>
      <c r="O258" s="115">
        <v>9</v>
      </c>
      <c r="P258" s="115">
        <v>5</v>
      </c>
      <c r="Q258" s="115">
        <v>20</v>
      </c>
      <c r="R258" s="115">
        <v>22</v>
      </c>
      <c r="S258" s="115">
        <v>121</v>
      </c>
      <c r="T258" s="115">
        <v>5.5</v>
      </c>
      <c r="U258" s="115">
        <v>2</v>
      </c>
      <c r="V258" s="115">
        <v>3.5000000000000003E-2</v>
      </c>
      <c r="W258" s="115">
        <v>1.95E-2</v>
      </c>
      <c r="X258" s="115">
        <v>1.5599999999999999E-2</v>
      </c>
      <c r="Y258" s="115">
        <v>0.4395</v>
      </c>
      <c r="Z258" s="115">
        <v>81.201400000000007</v>
      </c>
      <c r="AA258" s="115">
        <v>5.2744</v>
      </c>
      <c r="AB258" s="115">
        <v>127.676</v>
      </c>
      <c r="AC258" s="115">
        <v>41.8</v>
      </c>
      <c r="AD258" s="115">
        <v>-9.4000000000000004E-3</v>
      </c>
      <c r="AE258" s="115">
        <v>2.4E-2</v>
      </c>
      <c r="AF258" s="115">
        <v>-6.2700000000000006E-2</v>
      </c>
      <c r="AG258" s="115">
        <v>1.2800000000000001E-2</v>
      </c>
      <c r="AH258" s="115">
        <v>-1.5299999999999999E-2</v>
      </c>
      <c r="AI258" s="115">
        <v>-2.76E-2</v>
      </c>
      <c r="AJ258" s="115">
        <v>4.1999999999999997E-3</v>
      </c>
      <c r="AK258" s="115">
        <v>8.1440000000000001</v>
      </c>
      <c r="AL258" s="115">
        <v>-1.0894999999999999</v>
      </c>
      <c r="AM258" s="115">
        <v>4</v>
      </c>
      <c r="AN258" s="115">
        <v>3</v>
      </c>
      <c r="AO258" s="115">
        <v>0</v>
      </c>
      <c r="AP258" s="115">
        <v>1</v>
      </c>
      <c r="AQ258" s="115">
        <v>3</v>
      </c>
      <c r="AR258" s="115">
        <v>0.33329999999999999</v>
      </c>
      <c r="AS258" s="115">
        <v>1.6999999999999999E-3</v>
      </c>
      <c r="AT258" s="115">
        <v>0.54849999999999999</v>
      </c>
      <c r="AU258" s="114" t="str">
        <f>IF(A258&lt;&gt;"",INDEX(Index!$B$1:$B$77,MATCH($A258,Index!$A$1:$A$77,0)),"")</f>
        <v>JAX</v>
      </c>
      <c r="AV258" s="123" t="str">
        <f>IF(B258&lt;&gt;"",INDEX(Index!$C$1:$C$77,MATCH($A258,Index!$A$1:$A$77,0)),"")</f>
        <v>Lawrence</v>
      </c>
      <c r="AW258" s="123">
        <f t="shared" ref="AW258:AW321" si="5">IF(AT258&lt;&gt;"",COUNTIFS($AX$2:$AX$994,AX258,$Q$2:$Q$994,"&gt;"&amp;$Q258)+1,"")</f>
        <v>6</v>
      </c>
      <c r="AX258" s="113">
        <v>8</v>
      </c>
    </row>
    <row r="259" spans="1:50" x14ac:dyDescent="0.25">
      <c r="A259" s="95" t="s">
        <v>583</v>
      </c>
      <c r="B259" s="96">
        <v>2025</v>
      </c>
      <c r="C259" s="96">
        <v>3</v>
      </c>
      <c r="D259" s="96">
        <v>-1.30037</v>
      </c>
      <c r="E259" s="96">
        <v>-0.15009500000000001</v>
      </c>
      <c r="F259" s="115">
        <v>0.14873500000000001</v>
      </c>
      <c r="G259" s="115">
        <v>-2.3445999999999998</v>
      </c>
      <c r="H259" s="115">
        <v>-1.9400000000000001E-2</v>
      </c>
      <c r="I259" s="115">
        <v>56</v>
      </c>
      <c r="J259" s="115">
        <v>86</v>
      </c>
      <c r="K259" s="115">
        <v>0.6512</v>
      </c>
      <c r="L259" s="115">
        <v>2.4832000000000001</v>
      </c>
      <c r="M259" s="115">
        <v>639</v>
      </c>
      <c r="N259" s="115">
        <v>7.4302000000000001</v>
      </c>
      <c r="O259" s="115">
        <v>4</v>
      </c>
      <c r="P259" s="115">
        <v>4</v>
      </c>
      <c r="Q259" s="115">
        <v>7</v>
      </c>
      <c r="R259" s="115">
        <v>18</v>
      </c>
      <c r="S259" s="115">
        <v>122</v>
      </c>
      <c r="T259" s="115">
        <v>6.7778</v>
      </c>
      <c r="U259" s="115">
        <v>1</v>
      </c>
      <c r="V259" s="115">
        <v>4.65E-2</v>
      </c>
      <c r="W259" s="115">
        <v>4.65E-2</v>
      </c>
      <c r="X259" s="115">
        <v>0</v>
      </c>
      <c r="Y259" s="115">
        <v>0.4793</v>
      </c>
      <c r="Z259" s="115">
        <v>83.430199999999999</v>
      </c>
      <c r="AA259" s="115">
        <v>5.3762999999999996</v>
      </c>
      <c r="AB259" s="115">
        <v>158.66300000000001</v>
      </c>
      <c r="AC259" s="115">
        <v>59.9</v>
      </c>
      <c r="AD259" s="115">
        <v>-4.1999999999999997E-3</v>
      </c>
      <c r="AE259" s="115">
        <v>1.6199999999999999E-2</v>
      </c>
      <c r="AF259" s="115">
        <v>-2.1999999999999999E-2</v>
      </c>
      <c r="AG259" s="115">
        <v>-0.1026</v>
      </c>
      <c r="AH259" s="115">
        <v>4.4299999999999999E-2</v>
      </c>
      <c r="AI259" s="115">
        <v>-4.7899999999999998E-2</v>
      </c>
      <c r="AJ259" s="115">
        <v>6.0000000000000001E-3</v>
      </c>
      <c r="AK259" s="115">
        <v>8.4419000000000004</v>
      </c>
      <c r="AL259" s="115">
        <v>-1.0581</v>
      </c>
      <c r="AM259" s="115">
        <v>1</v>
      </c>
      <c r="AN259" s="115">
        <v>3</v>
      </c>
      <c r="AO259" s="115">
        <v>0</v>
      </c>
      <c r="AP259" s="115">
        <v>0</v>
      </c>
      <c r="AQ259" s="115">
        <v>0</v>
      </c>
      <c r="AR259" s="115"/>
      <c r="AS259" s="115">
        <v>-5.0000000000000001E-4</v>
      </c>
      <c r="AT259" s="115">
        <v>-5.7599999999999998E-2</v>
      </c>
      <c r="AU259" s="114" t="str">
        <f>IF(A259&lt;&gt;"",INDEX(Index!$B$1:$B$77,MATCH($A259,Index!$A$1:$A$77,0)),"")</f>
        <v>WAS</v>
      </c>
      <c r="AV259" s="123" t="str">
        <f>IF(B259&lt;&gt;"",INDEX(Index!$C$1:$C$77,MATCH($A259,Index!$A$1:$A$77,0)),"")</f>
        <v>Mariota</v>
      </c>
      <c r="AW259" s="123">
        <f t="shared" si="5"/>
        <v>39</v>
      </c>
      <c r="AX259" s="113">
        <v>8</v>
      </c>
    </row>
    <row r="260" spans="1:50" x14ac:dyDescent="0.25">
      <c r="A260" s="95" t="s">
        <v>575</v>
      </c>
      <c r="B260" s="96">
        <v>2025</v>
      </c>
      <c r="C260" s="96">
        <v>6</v>
      </c>
      <c r="D260" s="96">
        <v>-1.3970499999999999</v>
      </c>
      <c r="E260" s="96">
        <v>0.165905</v>
      </c>
      <c r="F260" s="115">
        <v>0.40532800000000002</v>
      </c>
      <c r="G260" s="115">
        <v>20.236899999999999</v>
      </c>
      <c r="H260" s="115">
        <v>7.6700000000000004E-2</v>
      </c>
      <c r="I260" s="115">
        <v>149</v>
      </c>
      <c r="J260" s="115">
        <v>223</v>
      </c>
      <c r="K260" s="115">
        <v>0.66820000000000002</v>
      </c>
      <c r="L260" s="115">
        <v>0.74990000000000001</v>
      </c>
      <c r="M260" s="115">
        <v>1597</v>
      </c>
      <c r="N260" s="115">
        <v>7.1614000000000004</v>
      </c>
      <c r="O260" s="115">
        <v>8</v>
      </c>
      <c r="P260" s="115">
        <v>5</v>
      </c>
      <c r="Q260" s="115">
        <v>14</v>
      </c>
      <c r="R260" s="115">
        <v>17</v>
      </c>
      <c r="S260" s="115">
        <v>63</v>
      </c>
      <c r="T260" s="115">
        <v>3.7059000000000002</v>
      </c>
      <c r="U260" s="115">
        <v>0</v>
      </c>
      <c r="V260" s="115">
        <v>3.5900000000000001E-2</v>
      </c>
      <c r="W260" s="115">
        <v>2.24E-2</v>
      </c>
      <c r="X260" s="115">
        <v>1.35E-2</v>
      </c>
      <c r="Y260" s="115">
        <v>0.51139999999999997</v>
      </c>
      <c r="Z260" s="115">
        <v>90.218599999999995</v>
      </c>
      <c r="AA260" s="115">
        <v>6.0674999999999999</v>
      </c>
      <c r="AB260" s="115">
        <v>159.82</v>
      </c>
      <c r="AC260" s="115">
        <v>59</v>
      </c>
      <c r="AD260" s="115">
        <v>-0.01</v>
      </c>
      <c r="AE260" s="115">
        <v>-2.3E-3</v>
      </c>
      <c r="AF260" s="115">
        <v>-1.1999999999999999E-3</v>
      </c>
      <c r="AG260" s="115">
        <v>-7.1999999999999998E-3</v>
      </c>
      <c r="AH260" s="115">
        <v>3.5000000000000003E-2</v>
      </c>
      <c r="AI260" s="115">
        <v>-9.4000000000000004E-3</v>
      </c>
      <c r="AJ260" s="115">
        <v>-1.89E-2</v>
      </c>
      <c r="AK260" s="115">
        <v>7.5426000000000002</v>
      </c>
      <c r="AL260" s="115">
        <v>-1.6323000000000001</v>
      </c>
      <c r="AM260" s="115">
        <v>4</v>
      </c>
      <c r="AN260" s="115">
        <v>2</v>
      </c>
      <c r="AO260" s="115">
        <v>0</v>
      </c>
      <c r="AP260" s="115">
        <v>1</v>
      </c>
      <c r="AQ260" s="115">
        <v>2</v>
      </c>
      <c r="AR260" s="115">
        <v>0.5</v>
      </c>
      <c r="AS260" s="115">
        <v>2.0999999999999999E-3</v>
      </c>
      <c r="AT260" s="115">
        <v>0.55930000000000002</v>
      </c>
      <c r="AU260" s="114" t="str">
        <f>IF(A260&lt;&gt;"",INDEX(Index!$B$1:$B$77,MATCH($A260,Index!$A$1:$A$77,0)),"")</f>
        <v>SF</v>
      </c>
      <c r="AV260" s="123" t="str">
        <f>IF(B260&lt;&gt;"",INDEX(Index!$C$1:$C$77,MATCH($A260,Index!$A$1:$A$77,0)),"")</f>
        <v>Jones</v>
      </c>
      <c r="AW260" s="123">
        <f t="shared" si="5"/>
        <v>16</v>
      </c>
      <c r="AX260" s="113">
        <v>8</v>
      </c>
    </row>
    <row r="261" spans="1:50" x14ac:dyDescent="0.25">
      <c r="A261" s="95" t="s">
        <v>592</v>
      </c>
      <c r="B261" s="96">
        <v>2025</v>
      </c>
      <c r="C261" s="96">
        <v>1</v>
      </c>
      <c r="D261" s="96">
        <v>-1.47237</v>
      </c>
      <c r="E261" s="96">
        <v>0.366983</v>
      </c>
      <c r="F261" s="115">
        <v>0.366983</v>
      </c>
      <c r="G261" s="115">
        <v>7.5486000000000004</v>
      </c>
      <c r="H261" s="115">
        <v>0.13719999999999999</v>
      </c>
      <c r="I261" s="115">
        <v>27</v>
      </c>
      <c r="J261" s="115">
        <v>36</v>
      </c>
      <c r="K261" s="115">
        <v>0.75</v>
      </c>
      <c r="L261" s="115">
        <v>10.9704</v>
      </c>
      <c r="M261" s="115">
        <v>254</v>
      </c>
      <c r="N261" s="115">
        <v>7.0556000000000001</v>
      </c>
      <c r="O261" s="115">
        <v>1</v>
      </c>
      <c r="P261" s="115">
        <v>0</v>
      </c>
      <c r="Q261" s="115">
        <v>6</v>
      </c>
      <c r="R261" s="115">
        <v>11</v>
      </c>
      <c r="S261" s="115">
        <v>92</v>
      </c>
      <c r="T261" s="115">
        <v>8.3635999999999999</v>
      </c>
      <c r="U261" s="115">
        <v>0</v>
      </c>
      <c r="V261" s="115">
        <v>2.7799999999999998E-2</v>
      </c>
      <c r="W261" s="115">
        <v>0</v>
      </c>
      <c r="X261" s="115">
        <v>2.7799999999999998E-2</v>
      </c>
      <c r="Y261" s="115">
        <v>0.5091</v>
      </c>
      <c r="Z261" s="115">
        <v>103.241</v>
      </c>
      <c r="AA261" s="115">
        <v>5.7857000000000003</v>
      </c>
      <c r="AB261" s="115">
        <v>232.892</v>
      </c>
      <c r="AC261" s="115">
        <v>85.2</v>
      </c>
      <c r="AD261" s="115">
        <v>0.13089999999999999</v>
      </c>
      <c r="AE261" s="115">
        <v>-2.0799999999999999E-2</v>
      </c>
      <c r="AF261" s="115">
        <v>2.4899999999999999E-2</v>
      </c>
      <c r="AG261" s="115">
        <v>7.22E-2</v>
      </c>
      <c r="AH261" s="115">
        <v>-3.0000000000000001E-3</v>
      </c>
      <c r="AI261" s="115">
        <v>-0.13800000000000001</v>
      </c>
      <c r="AJ261" s="115">
        <v>-1.9699999999999999E-2</v>
      </c>
      <c r="AK261" s="115">
        <v>8.1943999999999999</v>
      </c>
      <c r="AL261" s="115">
        <v>-1.4443999999999999</v>
      </c>
      <c r="AM261" s="115">
        <v>1</v>
      </c>
      <c r="AN261" s="115">
        <v>1</v>
      </c>
      <c r="AO261" s="115">
        <v>0</v>
      </c>
      <c r="AP261" s="115">
        <v>0</v>
      </c>
      <c r="AQ261" s="115">
        <v>0</v>
      </c>
      <c r="AR261" s="115"/>
      <c r="AS261" s="115">
        <v>3.8E-3</v>
      </c>
      <c r="AT261" s="115">
        <v>0.21</v>
      </c>
      <c r="AU261" s="114" t="str">
        <f>IF(A261&lt;&gt;"",INDEX(Index!$B$1:$B$77,MATCH($A261,Index!$A$1:$A$77,0)),"")</f>
        <v>BAL</v>
      </c>
      <c r="AV261" s="123" t="str">
        <f>IF(B261&lt;&gt;"",INDEX(Index!$C$1:$C$77,MATCH($A261,Index!$A$1:$A$77,0)),"")</f>
        <v>Huntley</v>
      </c>
      <c r="AW261" s="123">
        <f t="shared" si="5"/>
        <v>40</v>
      </c>
      <c r="AX261" s="113">
        <v>8</v>
      </c>
    </row>
    <row r="262" spans="1:50" x14ac:dyDescent="0.25">
      <c r="A262" s="95" t="s">
        <v>587</v>
      </c>
      <c r="B262" s="96">
        <v>2025</v>
      </c>
      <c r="C262" s="96">
        <v>5</v>
      </c>
      <c r="D262" s="96">
        <v>-1.5878399999999999</v>
      </c>
      <c r="E262" s="96">
        <v>-0.111981</v>
      </c>
      <c r="F262" s="115">
        <v>0.95247999999999999</v>
      </c>
      <c r="G262" s="115">
        <v>30.998000000000001</v>
      </c>
      <c r="H262" s="115">
        <v>0.1462</v>
      </c>
      <c r="I262" s="115">
        <v>85</v>
      </c>
      <c r="J262" s="115">
        <v>141</v>
      </c>
      <c r="K262" s="115">
        <v>0.6028</v>
      </c>
      <c r="L262" s="115">
        <v>-3.5001000000000002</v>
      </c>
      <c r="M262" s="115">
        <v>984</v>
      </c>
      <c r="N262" s="115">
        <v>6.9786999999999999</v>
      </c>
      <c r="O262" s="115">
        <v>8</v>
      </c>
      <c r="P262" s="115">
        <v>3</v>
      </c>
      <c r="Q262" s="115">
        <v>17</v>
      </c>
      <c r="R262" s="115">
        <v>38</v>
      </c>
      <c r="S262" s="115">
        <v>198</v>
      </c>
      <c r="T262" s="115">
        <v>5.2104999999999997</v>
      </c>
      <c r="U262" s="115">
        <v>4</v>
      </c>
      <c r="V262" s="115">
        <v>5.67E-2</v>
      </c>
      <c r="W262" s="115">
        <v>2.1299999999999999E-2</v>
      </c>
      <c r="X262" s="115">
        <v>3.5499999999999997E-2</v>
      </c>
      <c r="Y262" s="115">
        <v>0.48110000000000003</v>
      </c>
      <c r="Z262" s="115">
        <v>91.444999999999993</v>
      </c>
      <c r="AA262" s="115">
        <v>6.0126999999999997</v>
      </c>
      <c r="AB262" s="115">
        <v>177.09</v>
      </c>
      <c r="AC262" s="115">
        <v>61.4</v>
      </c>
      <c r="AD262" s="115">
        <v>5.6599999999999998E-2</v>
      </c>
      <c r="AE262" s="115">
        <v>-1.7999999999999999E-2</v>
      </c>
      <c r="AF262" s="115">
        <v>4.0000000000000001E-3</v>
      </c>
      <c r="AG262" s="115">
        <v>2.7199999999999998E-2</v>
      </c>
      <c r="AH262" s="115">
        <v>-6.54E-2</v>
      </c>
      <c r="AI262" s="115">
        <v>9.4999999999999998E-3</v>
      </c>
      <c r="AJ262" s="115">
        <v>4.1599999999999998E-2</v>
      </c>
      <c r="AK262" s="115">
        <v>8.9433000000000007</v>
      </c>
      <c r="AL262" s="115">
        <v>-0.32619999999999999</v>
      </c>
      <c r="AM262" s="115">
        <v>2</v>
      </c>
      <c r="AN262" s="115">
        <v>5</v>
      </c>
      <c r="AO262" s="115">
        <v>0</v>
      </c>
      <c r="AP262" s="115">
        <v>0</v>
      </c>
      <c r="AQ262" s="115">
        <v>2</v>
      </c>
      <c r="AR262" s="115">
        <v>0</v>
      </c>
      <c r="AS262" s="115">
        <v>4.7999999999999996E-3</v>
      </c>
      <c r="AT262" s="115">
        <v>1.0135000000000001</v>
      </c>
      <c r="AU262" s="114" t="str">
        <f>IF(A262&lt;&gt;"",INDEX(Index!$B$1:$B$77,MATCH($A262,Index!$A$1:$A$77,0)),"")</f>
        <v>NYG</v>
      </c>
      <c r="AV262" s="123" t="str">
        <f>IF(B262&lt;&gt;"",INDEX(Index!$C$1:$C$77,MATCH($A262,Index!$A$1:$A$77,0)),"")</f>
        <v>Dart</v>
      </c>
      <c r="AW262" s="123">
        <f t="shared" si="5"/>
        <v>10</v>
      </c>
      <c r="AX262" s="113">
        <v>8</v>
      </c>
    </row>
    <row r="263" spans="1:50" x14ac:dyDescent="0.25">
      <c r="A263" s="95" t="s">
        <v>576</v>
      </c>
      <c r="B263" s="96">
        <v>2025</v>
      </c>
      <c r="C263" s="96">
        <v>7</v>
      </c>
      <c r="D263" s="96">
        <v>-1.6001300000000001</v>
      </c>
      <c r="E263" s="96">
        <v>1.47919E-2</v>
      </c>
      <c r="F263" s="115">
        <v>-0.26222699999999999</v>
      </c>
      <c r="G263" s="115">
        <v>-5.0309999999999997</v>
      </c>
      <c r="H263" s="115">
        <v>-1.8800000000000001E-2</v>
      </c>
      <c r="I263" s="115">
        <v>138</v>
      </c>
      <c r="J263" s="115">
        <v>223</v>
      </c>
      <c r="K263" s="115">
        <v>0.61880000000000002</v>
      </c>
      <c r="L263" s="115">
        <v>-0.67820000000000003</v>
      </c>
      <c r="M263" s="115">
        <v>1288</v>
      </c>
      <c r="N263" s="115">
        <v>5.7758000000000003</v>
      </c>
      <c r="O263" s="115">
        <v>11</v>
      </c>
      <c r="P263" s="115">
        <v>5</v>
      </c>
      <c r="Q263" s="115">
        <v>11</v>
      </c>
      <c r="R263" s="115">
        <v>12</v>
      </c>
      <c r="S263" s="115">
        <v>77</v>
      </c>
      <c r="T263" s="115">
        <v>6.4166999999999996</v>
      </c>
      <c r="U263" s="115">
        <v>1</v>
      </c>
      <c r="V263" s="115">
        <v>4.9299999999999997E-2</v>
      </c>
      <c r="W263" s="115">
        <v>2.24E-2</v>
      </c>
      <c r="X263" s="115">
        <v>2.69E-2</v>
      </c>
      <c r="Y263" s="115">
        <v>0.46439999999999998</v>
      </c>
      <c r="Z263" s="115">
        <v>84.818799999999996</v>
      </c>
      <c r="AA263" s="115">
        <v>5.0940000000000003</v>
      </c>
      <c r="AB263" s="115">
        <v>122.96299999999999</v>
      </c>
      <c r="AC263" s="115">
        <v>45.3</v>
      </c>
      <c r="AD263" s="115">
        <v>-1.7100000000000001E-2</v>
      </c>
      <c r="AE263" s="115">
        <v>-1.11E-2</v>
      </c>
      <c r="AF263" s="115">
        <v>-5.91E-2</v>
      </c>
      <c r="AG263" s="115">
        <v>-1.1599999999999999E-2</v>
      </c>
      <c r="AH263" s="115">
        <v>-2.3099999999999999E-2</v>
      </c>
      <c r="AI263" s="115">
        <v>-9.7999999999999997E-3</v>
      </c>
      <c r="AJ263" s="115">
        <v>2.24E-2</v>
      </c>
      <c r="AK263" s="115">
        <v>6.5247000000000002</v>
      </c>
      <c r="AL263" s="115">
        <v>-1.7891999999999999</v>
      </c>
      <c r="AM263" s="115">
        <v>4</v>
      </c>
      <c r="AN263" s="115">
        <v>3</v>
      </c>
      <c r="AO263" s="115">
        <v>0</v>
      </c>
      <c r="AP263" s="115">
        <v>2</v>
      </c>
      <c r="AQ263" s="115">
        <v>3</v>
      </c>
      <c r="AR263" s="115">
        <v>0.66669999999999996</v>
      </c>
      <c r="AS263" s="115">
        <v>-6.9999999999999999E-4</v>
      </c>
      <c r="AT263" s="115">
        <v>-0.18820000000000001</v>
      </c>
      <c r="AU263" s="114" t="str">
        <f>IF(A263&lt;&gt;"",INDEX(Index!$B$1:$B$77,MATCH($A263,Index!$A$1:$A$77,0)),"")</f>
        <v>CAR</v>
      </c>
      <c r="AV263" s="123" t="str">
        <f>IF(B263&lt;&gt;"",INDEX(Index!$C$1:$C$77,MATCH($A263,Index!$A$1:$A$77,0)),"")</f>
        <v>Young</v>
      </c>
      <c r="AW263" s="123">
        <f t="shared" si="5"/>
        <v>24</v>
      </c>
      <c r="AX263" s="113">
        <v>8</v>
      </c>
    </row>
    <row r="264" spans="1:50" x14ac:dyDescent="0.25">
      <c r="A264" s="95" t="s">
        <v>584</v>
      </c>
      <c r="B264" s="96">
        <v>2025</v>
      </c>
      <c r="C264" s="96">
        <v>1</v>
      </c>
      <c r="D264" s="96">
        <v>-1.6596500000000001</v>
      </c>
      <c r="E264" s="96">
        <v>5.3784800000000001E-2</v>
      </c>
      <c r="F264" s="115">
        <v>5.3784800000000001E-2</v>
      </c>
      <c r="G264" s="115">
        <v>-4.1516000000000002</v>
      </c>
      <c r="H264" s="115">
        <v>-4.3700000000000003E-2</v>
      </c>
      <c r="I264" s="115">
        <v>43</v>
      </c>
      <c r="J264" s="115">
        <v>68</v>
      </c>
      <c r="K264" s="115">
        <v>0.63239999999999996</v>
      </c>
      <c r="L264" s="115">
        <v>1.5486</v>
      </c>
      <c r="M264" s="115">
        <v>379</v>
      </c>
      <c r="N264" s="115">
        <v>5.5735000000000001</v>
      </c>
      <c r="O264" s="115">
        <v>3</v>
      </c>
      <c r="P264" s="115">
        <v>3</v>
      </c>
      <c r="Q264" s="115">
        <v>9</v>
      </c>
      <c r="R264" s="115">
        <v>13</v>
      </c>
      <c r="S264" s="115">
        <v>81</v>
      </c>
      <c r="T264" s="115">
        <v>6.2308000000000003</v>
      </c>
      <c r="U264" s="115">
        <v>0</v>
      </c>
      <c r="V264" s="115">
        <v>4.41E-2</v>
      </c>
      <c r="W264" s="115">
        <v>4.41E-2</v>
      </c>
      <c r="X264" s="115">
        <v>0</v>
      </c>
      <c r="Y264" s="115">
        <v>0.4526</v>
      </c>
      <c r="Z264" s="115">
        <v>74.325999999999993</v>
      </c>
      <c r="AA264" s="115">
        <v>3.2856999999999998</v>
      </c>
      <c r="AB264" s="115">
        <v>146.065</v>
      </c>
      <c r="AC264" s="115"/>
      <c r="AD264" s="115">
        <v>-3.0800000000000001E-2</v>
      </c>
      <c r="AE264" s="115">
        <v>-4.1200000000000001E-2</v>
      </c>
      <c r="AF264" s="115">
        <v>1.8499999999999999E-2</v>
      </c>
      <c r="AG264" s="115">
        <v>-6.8199999999999997E-2</v>
      </c>
      <c r="AH264" s="115">
        <v>5.9900000000000002E-2</v>
      </c>
      <c r="AI264" s="115">
        <v>-6.9800000000000001E-2</v>
      </c>
      <c r="AJ264" s="115">
        <v>-2.8E-3</v>
      </c>
      <c r="AK264" s="115">
        <v>7.6471</v>
      </c>
      <c r="AL264" s="115">
        <v>-0.95589999999999997</v>
      </c>
      <c r="AM264" s="115">
        <v>0</v>
      </c>
      <c r="AN264" s="115">
        <v>3</v>
      </c>
      <c r="AO264" s="115">
        <v>0</v>
      </c>
      <c r="AP264" s="115">
        <v>0</v>
      </c>
      <c r="AQ264" s="115">
        <v>1</v>
      </c>
      <c r="AR264" s="115">
        <v>0</v>
      </c>
      <c r="AS264" s="115">
        <v>-6.1999999999999998E-3</v>
      </c>
      <c r="AT264" s="115">
        <v>-0.5907</v>
      </c>
      <c r="AU264" s="114" t="str">
        <f>IF(A264&lt;&gt;"",INDEX(Index!$B$1:$B$77,MATCH($A264,Index!$A$1:$A$77,0)),"")</f>
        <v>NYJ</v>
      </c>
      <c r="AV264" s="123" t="str">
        <f>IF(B264&lt;&gt;"",INDEX(Index!$C$1:$C$77,MATCH($A264,Index!$A$1:$A$77,0)),"")</f>
        <v>Taylor</v>
      </c>
      <c r="AW264" s="123">
        <f t="shared" si="5"/>
        <v>29</v>
      </c>
      <c r="AX264" s="113">
        <v>8</v>
      </c>
    </row>
    <row r="265" spans="1:50" x14ac:dyDescent="0.25">
      <c r="A265" s="95" t="s">
        <v>590</v>
      </c>
      <c r="B265" s="96">
        <v>2025</v>
      </c>
      <c r="C265" s="96">
        <v>2</v>
      </c>
      <c r="D265" s="96">
        <v>-1.6770700000000001</v>
      </c>
      <c r="E265" s="96">
        <v>0.141342</v>
      </c>
      <c r="F265" s="115">
        <v>0.48464600000000002</v>
      </c>
      <c r="G265" s="115">
        <v>12.692600000000001</v>
      </c>
      <c r="H265" s="115">
        <v>0.1186</v>
      </c>
      <c r="I265" s="115">
        <v>52</v>
      </c>
      <c r="J265" s="115">
        <v>81</v>
      </c>
      <c r="K265" s="115">
        <v>0.64200000000000002</v>
      </c>
      <c r="L265" s="115">
        <v>3.7052999999999998</v>
      </c>
      <c r="M265" s="115">
        <v>599</v>
      </c>
      <c r="N265" s="115">
        <v>7.3951000000000002</v>
      </c>
      <c r="O265" s="115">
        <v>4</v>
      </c>
      <c r="P265" s="115">
        <v>1</v>
      </c>
      <c r="Q265" s="115">
        <v>8</v>
      </c>
      <c r="R265" s="115">
        <v>10</v>
      </c>
      <c r="S265" s="115">
        <v>47</v>
      </c>
      <c r="T265" s="115">
        <v>4.7</v>
      </c>
      <c r="U265" s="115">
        <v>0</v>
      </c>
      <c r="V265" s="115">
        <v>4.9399999999999999E-2</v>
      </c>
      <c r="W265" s="115">
        <v>1.23E-2</v>
      </c>
      <c r="X265" s="115">
        <v>3.6999999999999998E-2</v>
      </c>
      <c r="Y265" s="115">
        <v>0.47660000000000002</v>
      </c>
      <c r="Z265" s="115">
        <v>97.710899999999995</v>
      </c>
      <c r="AA265" s="115">
        <v>6.5506000000000002</v>
      </c>
      <c r="AB265" s="115">
        <v>192.98099999999999</v>
      </c>
      <c r="AC265" s="115">
        <v>50</v>
      </c>
      <c r="AD265" s="115">
        <v>-7.7999999999999996E-3</v>
      </c>
      <c r="AE265" s="115">
        <v>-3.9899999999999998E-2</v>
      </c>
      <c r="AF265" s="115">
        <v>5.8999999999999999E-3</v>
      </c>
      <c r="AG265" s="115">
        <v>2.1100000000000001E-2</v>
      </c>
      <c r="AH265" s="115">
        <v>2.0400000000000001E-2</v>
      </c>
      <c r="AI265" s="115">
        <v>2.23E-2</v>
      </c>
      <c r="AJ265" s="115">
        <v>6.0000000000000001E-3</v>
      </c>
      <c r="AK265" s="115">
        <v>8.7901000000000007</v>
      </c>
      <c r="AL265" s="115">
        <v>-0.70369999999999999</v>
      </c>
      <c r="AM265" s="115">
        <v>1</v>
      </c>
      <c r="AN265" s="115">
        <v>3</v>
      </c>
      <c r="AO265" s="115">
        <v>0</v>
      </c>
      <c r="AP265" s="115">
        <v>0</v>
      </c>
      <c r="AQ265" s="115">
        <v>2</v>
      </c>
      <c r="AR265" s="115">
        <v>0</v>
      </c>
      <c r="AS265" s="115">
        <v>-8.9999999999999998E-4</v>
      </c>
      <c r="AT265" s="115">
        <v>-9.4200000000000006E-2</v>
      </c>
      <c r="AU265" s="114" t="str">
        <f>IF(A265&lt;&gt;"",INDEX(Index!$B$1:$B$77,MATCH($A265,Index!$A$1:$A$77,0)),"")</f>
        <v>ARI</v>
      </c>
      <c r="AV265" s="123" t="str">
        <f>IF(B265&lt;&gt;"",INDEX(Index!$C$1:$C$77,MATCH($A265,Index!$A$1:$A$77,0)),"")</f>
        <v>Brissett</v>
      </c>
      <c r="AW265" s="123">
        <f t="shared" si="5"/>
        <v>35</v>
      </c>
      <c r="AX265" s="113">
        <v>8</v>
      </c>
    </row>
    <row r="266" spans="1:50" x14ac:dyDescent="0.25">
      <c r="A266" s="95" t="s">
        <v>578</v>
      </c>
      <c r="B266" s="96">
        <v>2025</v>
      </c>
      <c r="C266" s="96">
        <v>6</v>
      </c>
      <c r="D266" s="96">
        <v>-1.7065900000000001</v>
      </c>
      <c r="E266" s="96">
        <v>-2.1715700000000001E-2</v>
      </c>
      <c r="F266" s="115">
        <v>0.18310999999999999</v>
      </c>
      <c r="G266" s="115">
        <v>7.9268000000000001</v>
      </c>
      <c r="H266" s="115">
        <v>3.4599999999999999E-2</v>
      </c>
      <c r="I266" s="115">
        <v>119</v>
      </c>
      <c r="J266" s="115">
        <v>195</v>
      </c>
      <c r="K266" s="115">
        <v>0.61029999999999995</v>
      </c>
      <c r="L266" s="115">
        <v>-4.9539999999999997</v>
      </c>
      <c r="M266" s="115">
        <v>1409</v>
      </c>
      <c r="N266" s="115">
        <v>7.2256</v>
      </c>
      <c r="O266" s="115">
        <v>5</v>
      </c>
      <c r="P266" s="115">
        <v>3</v>
      </c>
      <c r="Q266" s="115">
        <v>9</v>
      </c>
      <c r="R266" s="115">
        <v>10</v>
      </c>
      <c r="S266" s="115">
        <v>49</v>
      </c>
      <c r="T266" s="115">
        <v>4.9000000000000004</v>
      </c>
      <c r="U266" s="115">
        <v>1</v>
      </c>
      <c r="V266" s="115">
        <v>2.5600000000000001E-2</v>
      </c>
      <c r="W266" s="115">
        <v>1.54E-2</v>
      </c>
      <c r="X266" s="115">
        <v>1.03E-2</v>
      </c>
      <c r="Y266" s="115">
        <v>0.47160000000000002</v>
      </c>
      <c r="Z266" s="115">
        <v>85.181600000000003</v>
      </c>
      <c r="AA266" s="115">
        <v>6.3921999999999999</v>
      </c>
      <c r="AB266" s="115">
        <v>136.87</v>
      </c>
      <c r="AC266" s="115">
        <v>49.1</v>
      </c>
      <c r="AD266" s="115">
        <v>5.3E-3</v>
      </c>
      <c r="AE266" s="115">
        <v>1.7299999999999999E-2</v>
      </c>
      <c r="AF266" s="115">
        <v>-6.3899999999999998E-2</v>
      </c>
      <c r="AG266" s="115">
        <v>-9.4999999999999998E-3</v>
      </c>
      <c r="AH266" s="115">
        <v>2.4400000000000002E-2</v>
      </c>
      <c r="AI266" s="115">
        <v>-3.2399999999999998E-2</v>
      </c>
      <c r="AJ266" s="115">
        <v>2.3E-3</v>
      </c>
      <c r="AK266" s="115">
        <v>8.0974000000000004</v>
      </c>
      <c r="AL266" s="115">
        <v>-0.85640000000000005</v>
      </c>
      <c r="AM266" s="115">
        <v>3</v>
      </c>
      <c r="AN266" s="115">
        <v>3</v>
      </c>
      <c r="AO266" s="115">
        <v>0</v>
      </c>
      <c r="AP266" s="115">
        <v>0</v>
      </c>
      <c r="AQ266" s="115">
        <v>2</v>
      </c>
      <c r="AR266" s="115">
        <v>0</v>
      </c>
      <c r="AS266" s="115">
        <v>3.5000000000000001E-3</v>
      </c>
      <c r="AT266" s="115">
        <v>0.80379999999999996</v>
      </c>
      <c r="AU266" s="114" t="str">
        <f>IF(A266&lt;&gt;"",INDEX(Index!$B$1:$B$77,MATCH($A266,Index!$A$1:$A$77,0)),"")</f>
        <v>ATL</v>
      </c>
      <c r="AV266" s="123" t="str">
        <f>IF(B266&lt;&gt;"",INDEX(Index!$C$1:$C$77,MATCH($A266,Index!$A$1:$A$77,0)),"")</f>
        <v>Penix</v>
      </c>
      <c r="AW266" s="123">
        <f t="shared" si="5"/>
        <v>29</v>
      </c>
      <c r="AX266" s="113">
        <v>8</v>
      </c>
    </row>
    <row r="267" spans="1:50" x14ac:dyDescent="0.25">
      <c r="A267" s="95" t="s">
        <v>585</v>
      </c>
      <c r="B267" s="96">
        <v>2025</v>
      </c>
      <c r="C267" s="96">
        <v>3</v>
      </c>
      <c r="D267" s="96">
        <v>-1.9486000000000001</v>
      </c>
      <c r="E267" s="96">
        <v>0.13401099999999999</v>
      </c>
      <c r="F267" s="115">
        <v>-0.76969699999999996</v>
      </c>
      <c r="G267" s="115">
        <v>-36.548900000000003</v>
      </c>
      <c r="H267" s="115">
        <v>-0.2389</v>
      </c>
      <c r="I267" s="115">
        <v>80</v>
      </c>
      <c r="J267" s="115">
        <v>124</v>
      </c>
      <c r="K267" s="115">
        <v>0.6452</v>
      </c>
      <c r="L267" s="115">
        <v>0.1186</v>
      </c>
      <c r="M267" s="115">
        <v>757</v>
      </c>
      <c r="N267" s="115">
        <v>6.1048</v>
      </c>
      <c r="O267" s="115">
        <v>6</v>
      </c>
      <c r="P267" s="115">
        <v>8</v>
      </c>
      <c r="Q267" s="115">
        <v>9</v>
      </c>
      <c r="R267" s="115">
        <v>8</v>
      </c>
      <c r="S267" s="115">
        <v>40</v>
      </c>
      <c r="T267" s="115">
        <v>5</v>
      </c>
      <c r="U267" s="115">
        <v>1</v>
      </c>
      <c r="V267" s="115">
        <v>4.8399999999999999E-2</v>
      </c>
      <c r="W267" s="115">
        <v>6.4500000000000002E-2</v>
      </c>
      <c r="X267" s="115">
        <v>-1.61E-2</v>
      </c>
      <c r="Y267" s="115">
        <v>0.43140000000000001</v>
      </c>
      <c r="Z267" s="115">
        <v>70.530900000000003</v>
      </c>
      <c r="AA267" s="115">
        <v>3.4361000000000002</v>
      </c>
      <c r="AB267" s="115">
        <v>58.973999999999997</v>
      </c>
      <c r="AC267" s="115">
        <v>33.5</v>
      </c>
      <c r="AD267" s="115">
        <v>1.12E-2</v>
      </c>
      <c r="AE267" s="115">
        <v>3.2000000000000002E-3</v>
      </c>
      <c r="AF267" s="115">
        <v>1.78E-2</v>
      </c>
      <c r="AG267" s="115">
        <v>-0.183</v>
      </c>
      <c r="AH267" s="115">
        <v>-8.6499999999999994E-2</v>
      </c>
      <c r="AI267" s="115">
        <v>-0.13370000000000001</v>
      </c>
      <c r="AJ267" s="115">
        <v>4.1500000000000002E-2</v>
      </c>
      <c r="AK267" s="115">
        <v>7.6612999999999998</v>
      </c>
      <c r="AL267" s="115">
        <v>-1.5323</v>
      </c>
      <c r="AM267" s="115">
        <v>1</v>
      </c>
      <c r="AN267" s="115">
        <v>3</v>
      </c>
      <c r="AO267" s="115">
        <v>0</v>
      </c>
      <c r="AP267" s="115">
        <v>1</v>
      </c>
      <c r="AQ267" s="115">
        <v>1</v>
      </c>
      <c r="AR267" s="115">
        <v>1</v>
      </c>
      <c r="AS267" s="115">
        <v>-5.9999999999999995E-4</v>
      </c>
      <c r="AT267" s="115">
        <v>-8.9099999999999999E-2</v>
      </c>
      <c r="AU267" s="114" t="str">
        <f>IF(A267&lt;&gt;"",INDEX(Index!$B$1:$B$77,MATCH($A267,Index!$A$1:$A$77,0)),"")</f>
        <v>CIN</v>
      </c>
      <c r="AV267" s="123" t="str">
        <f>IF(B267&lt;&gt;"",INDEX(Index!$C$1:$C$77,MATCH($A267,Index!$A$1:$A$77,0)),"")</f>
        <v>Browning</v>
      </c>
      <c r="AW267" s="123">
        <f t="shared" si="5"/>
        <v>29</v>
      </c>
      <c r="AX267" s="113">
        <v>8</v>
      </c>
    </row>
    <row r="268" spans="1:50" x14ac:dyDescent="0.25">
      <c r="A268" s="95" t="s">
        <v>572</v>
      </c>
      <c r="B268" s="96">
        <v>2025</v>
      </c>
      <c r="C268" s="96">
        <v>7</v>
      </c>
      <c r="D268" s="96">
        <v>-2.23244</v>
      </c>
      <c r="E268" s="96">
        <v>-0.36456899999999998</v>
      </c>
      <c r="F268" s="115">
        <v>-2.1579100000000002</v>
      </c>
      <c r="G268" s="115">
        <v>-18.030799999999999</v>
      </c>
      <c r="H268" s="115">
        <v>-7.1800000000000003E-2</v>
      </c>
      <c r="I268" s="115">
        <v>133</v>
      </c>
      <c r="J268" s="115">
        <v>200</v>
      </c>
      <c r="K268" s="115">
        <v>0.66500000000000004</v>
      </c>
      <c r="L268" s="115">
        <v>-0.8236</v>
      </c>
      <c r="M268" s="115">
        <v>1417</v>
      </c>
      <c r="N268" s="115">
        <v>7.085</v>
      </c>
      <c r="O268" s="115">
        <v>7</v>
      </c>
      <c r="P268" s="115">
        <v>10</v>
      </c>
      <c r="Q268" s="115">
        <v>19</v>
      </c>
      <c r="R268" s="115">
        <v>17</v>
      </c>
      <c r="S268" s="115">
        <v>76</v>
      </c>
      <c r="T268" s="115">
        <v>4.4706000000000001</v>
      </c>
      <c r="U268" s="115">
        <v>0</v>
      </c>
      <c r="V268" s="115">
        <v>3.5000000000000003E-2</v>
      </c>
      <c r="W268" s="115">
        <v>0.05</v>
      </c>
      <c r="X268" s="115">
        <v>-1.4999999999999999E-2</v>
      </c>
      <c r="Y268" s="115">
        <v>0.43819999999999998</v>
      </c>
      <c r="Z268" s="115">
        <v>77.854200000000006</v>
      </c>
      <c r="AA268" s="115">
        <v>4.3880999999999997</v>
      </c>
      <c r="AB268" s="115">
        <v>60.956400000000002</v>
      </c>
      <c r="AC268" s="115">
        <v>34.4</v>
      </c>
      <c r="AD268" s="115">
        <v>-2.3199999999999998E-2</v>
      </c>
      <c r="AE268" s="115">
        <v>-3.7100000000000001E-2</v>
      </c>
      <c r="AF268" s="115">
        <v>3.7999999999999999E-2</v>
      </c>
      <c r="AG268" s="115">
        <v>-0.1191</v>
      </c>
      <c r="AH268" s="115">
        <v>-6.83E-2</v>
      </c>
      <c r="AI268" s="115">
        <v>4.6800000000000001E-2</v>
      </c>
      <c r="AJ268" s="115">
        <v>5.0000000000000001E-4</v>
      </c>
      <c r="AK268" s="115">
        <v>6.98</v>
      </c>
      <c r="AL268" s="115">
        <v>-2.1150000000000002</v>
      </c>
      <c r="AM268" s="115">
        <v>2</v>
      </c>
      <c r="AN268" s="115">
        <v>5</v>
      </c>
      <c r="AO268" s="115">
        <v>0</v>
      </c>
      <c r="AP268" s="115">
        <v>0</v>
      </c>
      <c r="AQ268" s="115">
        <v>1</v>
      </c>
      <c r="AR268" s="115">
        <v>0</v>
      </c>
      <c r="AS268" s="115">
        <v>-2.0000000000000001E-4</v>
      </c>
      <c r="AT268" s="115">
        <v>-4.8399999999999999E-2</v>
      </c>
      <c r="AU268" s="114" t="str">
        <f>IF(A268&lt;&gt;"",INDEX(Index!$B$1:$B$77,MATCH($A268,Index!$A$1:$A$77,0)),"")</f>
        <v>LV</v>
      </c>
      <c r="AV268" s="123" t="str">
        <f>IF(B268&lt;&gt;"",INDEX(Index!$C$1:$C$77,MATCH($A268,Index!$A$1:$A$77,0)),"")</f>
        <v>Smith</v>
      </c>
      <c r="AW268" s="123">
        <f t="shared" si="5"/>
        <v>7</v>
      </c>
      <c r="AX268" s="113">
        <v>8</v>
      </c>
    </row>
    <row r="269" spans="1:50" x14ac:dyDescent="0.25">
      <c r="A269" s="95" t="s">
        <v>593</v>
      </c>
      <c r="B269" s="96">
        <v>2025</v>
      </c>
      <c r="C269" s="96">
        <v>1</v>
      </c>
      <c r="D269" s="96">
        <v>-2.2927200000000001</v>
      </c>
      <c r="E269" s="96">
        <v>-0.78385899999999997</v>
      </c>
      <c r="F269" s="115">
        <v>-0.78385899999999997</v>
      </c>
      <c r="G269" s="115">
        <v>-8.7080000000000002</v>
      </c>
      <c r="H269" s="115">
        <v>-0.18140000000000001</v>
      </c>
      <c r="I269" s="115">
        <v>25</v>
      </c>
      <c r="J269" s="115">
        <v>37</v>
      </c>
      <c r="K269" s="115">
        <v>0.67569999999999997</v>
      </c>
      <c r="L269" s="115">
        <v>6.5959000000000003</v>
      </c>
      <c r="M269" s="115">
        <v>293</v>
      </c>
      <c r="N269" s="115">
        <v>7.9188999999999998</v>
      </c>
      <c r="O269" s="115">
        <v>1</v>
      </c>
      <c r="P269" s="115">
        <v>1</v>
      </c>
      <c r="Q269" s="115">
        <v>8</v>
      </c>
      <c r="R269" s="115">
        <v>1</v>
      </c>
      <c r="S269" s="115">
        <v>1</v>
      </c>
      <c r="T269" s="115">
        <v>1</v>
      </c>
      <c r="U269" s="115">
        <v>0</v>
      </c>
      <c r="V269" s="115">
        <v>2.7E-2</v>
      </c>
      <c r="W269" s="115">
        <v>2.7E-2</v>
      </c>
      <c r="X269" s="115">
        <v>0</v>
      </c>
      <c r="Y269" s="115">
        <v>0.45829999999999999</v>
      </c>
      <c r="Z269" s="115">
        <v>89.132900000000006</v>
      </c>
      <c r="AA269" s="115">
        <v>4.7556000000000003</v>
      </c>
      <c r="AB269" s="115">
        <v>-93.4208</v>
      </c>
      <c r="AC269" s="115"/>
      <c r="AD269" s="115">
        <v>-0.1226</v>
      </c>
      <c r="AE269" s="115">
        <v>-0.27750000000000002</v>
      </c>
      <c r="AF269" s="115">
        <v>1.14E-2</v>
      </c>
      <c r="AG269" s="115">
        <v>-8.0299999999999996E-2</v>
      </c>
      <c r="AH269" s="115">
        <v>0.28699999999999998</v>
      </c>
      <c r="AI269" s="115">
        <v>-8.9599999999999999E-2</v>
      </c>
      <c r="AJ269" s="115">
        <v>-4.0000000000000002E-4</v>
      </c>
      <c r="AK269" s="115">
        <v>9.4054000000000002</v>
      </c>
      <c r="AL269" s="115">
        <v>1.5405</v>
      </c>
      <c r="AM269" s="115">
        <v>1</v>
      </c>
      <c r="AN269" s="115">
        <v>2</v>
      </c>
      <c r="AO269" s="115">
        <v>0</v>
      </c>
      <c r="AP269" s="115">
        <v>0</v>
      </c>
      <c r="AQ269" s="115">
        <v>0</v>
      </c>
      <c r="AR269" s="115"/>
      <c r="AS269" s="115">
        <v>-8.2000000000000007E-3</v>
      </c>
      <c r="AT269" s="115">
        <v>-0.39529999999999998</v>
      </c>
      <c r="AU269" s="114" t="str">
        <f>IF(A269&lt;&gt;"",INDEX(Index!$B$1:$B$77,MATCH($A269,Index!$A$1:$A$77,0)),"")</f>
        <v>CAR</v>
      </c>
      <c r="AV269" s="123" t="str">
        <f>IF(B269&lt;&gt;"",INDEX(Index!$C$1:$C$77,MATCH($A269,Index!$A$1:$A$77,0)),"")</f>
        <v>Dalton</v>
      </c>
      <c r="AW269" s="123">
        <f t="shared" si="5"/>
        <v>35</v>
      </c>
      <c r="AX269" s="113">
        <v>8</v>
      </c>
    </row>
    <row r="270" spans="1:50" x14ac:dyDescent="0.25">
      <c r="A270" s="95" t="s">
        <v>586</v>
      </c>
      <c r="B270" s="96">
        <v>2025</v>
      </c>
      <c r="C270" s="96">
        <v>5</v>
      </c>
      <c r="D270" s="96">
        <v>-2.4698899999999999</v>
      </c>
      <c r="E270" s="96">
        <v>-0.60543899999999995</v>
      </c>
      <c r="F270" s="115">
        <v>-0.248695</v>
      </c>
      <c r="G270" s="115">
        <v>12.968299999999999</v>
      </c>
      <c r="H270" s="115">
        <v>6.3E-2</v>
      </c>
      <c r="I270" s="115">
        <v>110</v>
      </c>
      <c r="J270" s="115">
        <v>168</v>
      </c>
      <c r="K270" s="115">
        <v>0.65480000000000005</v>
      </c>
      <c r="L270" s="115">
        <v>1.1112</v>
      </c>
      <c r="M270" s="115">
        <v>1216</v>
      </c>
      <c r="N270" s="115">
        <v>7.2381000000000002</v>
      </c>
      <c r="O270" s="115">
        <v>6</v>
      </c>
      <c r="P270" s="115">
        <v>5</v>
      </c>
      <c r="Q270" s="115">
        <v>19</v>
      </c>
      <c r="R270" s="115">
        <v>9</v>
      </c>
      <c r="S270" s="115">
        <v>57</v>
      </c>
      <c r="T270" s="115">
        <v>6.3333000000000004</v>
      </c>
      <c r="U270" s="115">
        <v>0</v>
      </c>
      <c r="V270" s="115">
        <v>3.5700000000000003E-2</v>
      </c>
      <c r="W270" s="115">
        <v>2.98E-2</v>
      </c>
      <c r="X270" s="115">
        <v>6.0000000000000001E-3</v>
      </c>
      <c r="Y270" s="115">
        <v>0.48060000000000003</v>
      </c>
      <c r="Z270" s="115">
        <v>86.3095</v>
      </c>
      <c r="AA270" s="115">
        <v>5.2727000000000004</v>
      </c>
      <c r="AB270" s="115">
        <v>107.76</v>
      </c>
      <c r="AC270" s="115">
        <v>39.4</v>
      </c>
      <c r="AD270" s="115">
        <v>-2.3300000000000001E-2</v>
      </c>
      <c r="AE270" s="115">
        <v>-3.56E-2</v>
      </c>
      <c r="AF270" s="115">
        <v>1.7299999999999999E-2</v>
      </c>
      <c r="AG270" s="115">
        <v>-3.4099999999999998E-2</v>
      </c>
      <c r="AH270" s="115">
        <v>9.4000000000000004E-3</v>
      </c>
      <c r="AI270" s="115">
        <v>3.7699999999999997E-2</v>
      </c>
      <c r="AJ270" s="115">
        <v>8.9999999999999998E-4</v>
      </c>
      <c r="AK270" s="115">
        <v>7.6666999999999996</v>
      </c>
      <c r="AL270" s="115">
        <v>-1.3571</v>
      </c>
      <c r="AM270" s="115">
        <v>2</v>
      </c>
      <c r="AN270" s="115">
        <v>3</v>
      </c>
      <c r="AO270" s="115">
        <v>0</v>
      </c>
      <c r="AP270" s="115">
        <v>1</v>
      </c>
      <c r="AQ270" s="115">
        <v>3</v>
      </c>
      <c r="AR270" s="115">
        <v>0.33329999999999999</v>
      </c>
      <c r="AS270" s="115">
        <v>1.1999999999999999E-3</v>
      </c>
      <c r="AT270" s="115">
        <v>0.23880000000000001</v>
      </c>
      <c r="AU270" s="114" t="str">
        <f>IF(A270&lt;&gt;"",INDEX(Index!$B$1:$B$77,MATCH($A270,Index!$A$1:$A$77,0)),"")</f>
        <v>MIN</v>
      </c>
      <c r="AV270" s="123" t="str">
        <f>IF(B270&lt;&gt;"",INDEX(Index!$C$1:$C$77,MATCH($A270,Index!$A$1:$A$77,0)),"")</f>
        <v>Wentz</v>
      </c>
      <c r="AW270" s="123">
        <f t="shared" si="5"/>
        <v>7</v>
      </c>
      <c r="AX270" s="113">
        <v>8</v>
      </c>
    </row>
    <row r="271" spans="1:50" x14ac:dyDescent="0.25">
      <c r="A271" s="95" t="s">
        <v>588</v>
      </c>
      <c r="B271" s="96">
        <v>2025</v>
      </c>
      <c r="C271" s="96">
        <v>2</v>
      </c>
      <c r="D271" s="96">
        <v>-2.5199199999999999</v>
      </c>
      <c r="E271" s="96">
        <v>-0.378133</v>
      </c>
      <c r="F271" s="115">
        <v>-0.79516200000000004</v>
      </c>
      <c r="G271" s="115">
        <v>-25.889299999999999</v>
      </c>
      <c r="H271" s="115">
        <v>-0.45419999999999999</v>
      </c>
      <c r="I271" s="115">
        <v>34</v>
      </c>
      <c r="J271" s="115">
        <v>52</v>
      </c>
      <c r="K271" s="115">
        <v>0.65380000000000005</v>
      </c>
      <c r="L271" s="115">
        <v>-1.9399</v>
      </c>
      <c r="M271" s="115">
        <v>303</v>
      </c>
      <c r="N271" s="115">
        <v>5.8269000000000002</v>
      </c>
      <c r="O271" s="115">
        <v>0</v>
      </c>
      <c r="P271" s="115">
        <v>4</v>
      </c>
      <c r="Q271" s="115">
        <v>1</v>
      </c>
      <c r="R271" s="115">
        <v>0</v>
      </c>
      <c r="S271" s="115">
        <v>0</v>
      </c>
      <c r="T271" s="115"/>
      <c r="U271" s="115">
        <v>0</v>
      </c>
      <c r="V271" s="115">
        <v>0</v>
      </c>
      <c r="W271" s="115">
        <v>7.6899999999999996E-2</v>
      </c>
      <c r="X271" s="115">
        <v>-7.6899999999999996E-2</v>
      </c>
      <c r="Y271" s="115">
        <v>0.42109999999999997</v>
      </c>
      <c r="Z271" s="115">
        <v>48.798099999999998</v>
      </c>
      <c r="AA271" s="115">
        <v>2.0188999999999999</v>
      </c>
      <c r="AB271" s="115">
        <v>12.234400000000001</v>
      </c>
      <c r="AC271" s="115"/>
      <c r="AD271" s="115">
        <v>-3.32E-2</v>
      </c>
      <c r="AE271" s="115">
        <v>5.67E-2</v>
      </c>
      <c r="AF271" s="115">
        <v>-6.1800000000000001E-2</v>
      </c>
      <c r="AG271" s="115">
        <v>-0.23089999999999999</v>
      </c>
      <c r="AH271" s="115">
        <v>-0.21809999999999999</v>
      </c>
      <c r="AI271" s="115">
        <v>-1.66E-2</v>
      </c>
      <c r="AJ271" s="115">
        <v>-4.1099999999999998E-2</v>
      </c>
      <c r="AK271" s="115">
        <v>6.4423000000000004</v>
      </c>
      <c r="AL271" s="115">
        <v>-2.0577000000000001</v>
      </c>
      <c r="AM271" s="115">
        <v>0</v>
      </c>
      <c r="AN271" s="115">
        <v>3</v>
      </c>
      <c r="AO271" s="115">
        <v>0</v>
      </c>
      <c r="AP271" s="115">
        <v>0</v>
      </c>
      <c r="AQ271" s="115">
        <v>0</v>
      </c>
      <c r="AR271" s="115"/>
      <c r="AS271" s="115">
        <v>-6.8999999999999999E-3</v>
      </c>
      <c r="AT271" s="115">
        <v>-0.39179999999999998</v>
      </c>
      <c r="AU271" s="114" t="str">
        <f>IF(A271&lt;&gt;"",INDEX(Index!$B$1:$B$77,MATCH($A271,Index!$A$1:$A$77,0)),"")</f>
        <v>BAL</v>
      </c>
      <c r="AV271" s="123" t="str">
        <f>IF(B271&lt;&gt;"",INDEX(Index!$C$1:$C$77,MATCH($A271,Index!$A$1:$A$77,0)),"")</f>
        <v>Rush</v>
      </c>
      <c r="AW271" s="123">
        <f t="shared" si="5"/>
        <v>43</v>
      </c>
      <c r="AX271" s="113">
        <v>8</v>
      </c>
    </row>
    <row r="272" spans="1:50" x14ac:dyDescent="0.25">
      <c r="A272" s="95" t="s">
        <v>580</v>
      </c>
      <c r="B272" s="96">
        <v>2025</v>
      </c>
      <c r="C272" s="96">
        <v>2</v>
      </c>
      <c r="D272" s="96">
        <v>-2.5275500000000002</v>
      </c>
      <c r="E272" s="96">
        <v>-0.98064799999999996</v>
      </c>
      <c r="F272" s="115">
        <v>-0.89308399999999999</v>
      </c>
      <c r="G272" s="115">
        <v>-17.266200000000001</v>
      </c>
      <c r="H272" s="115">
        <v>-0.29260000000000003</v>
      </c>
      <c r="I272" s="115">
        <v>24</v>
      </c>
      <c r="J272" s="115">
        <v>41</v>
      </c>
      <c r="K272" s="115">
        <v>0.58540000000000003</v>
      </c>
      <c r="L272" s="115">
        <v>-7.2812999999999999</v>
      </c>
      <c r="M272" s="115">
        <v>301</v>
      </c>
      <c r="N272" s="115">
        <v>7.3414999999999999</v>
      </c>
      <c r="O272" s="115">
        <v>2</v>
      </c>
      <c r="P272" s="115">
        <v>3</v>
      </c>
      <c r="Q272" s="115">
        <v>9</v>
      </c>
      <c r="R272" s="115">
        <v>6</v>
      </c>
      <c r="S272" s="115">
        <v>50</v>
      </c>
      <c r="T272" s="115">
        <v>8.3332999999999995</v>
      </c>
      <c r="U272" s="115">
        <v>1</v>
      </c>
      <c r="V272" s="115">
        <v>4.8800000000000003E-2</v>
      </c>
      <c r="W272" s="115">
        <v>7.3200000000000001E-2</v>
      </c>
      <c r="X272" s="115">
        <v>-2.4400000000000002E-2</v>
      </c>
      <c r="Y272" s="115">
        <v>0.42370000000000002</v>
      </c>
      <c r="Z272" s="115">
        <v>67.2256</v>
      </c>
      <c r="AA272" s="115">
        <v>3.18</v>
      </c>
      <c r="AB272" s="115">
        <v>-1.2115</v>
      </c>
      <c r="AC272" s="115"/>
      <c r="AD272" s="115">
        <v>5.8599999999999999E-2</v>
      </c>
      <c r="AE272" s="115">
        <v>-0.20830000000000001</v>
      </c>
      <c r="AF272" s="115">
        <v>-1.5E-3</v>
      </c>
      <c r="AG272" s="115">
        <v>-0.22650000000000001</v>
      </c>
      <c r="AH272" s="115">
        <v>3.7100000000000001E-2</v>
      </c>
      <c r="AI272" s="115">
        <v>-0.1045</v>
      </c>
      <c r="AJ272" s="115">
        <v>6.1899999999999997E-2</v>
      </c>
      <c r="AK272" s="115">
        <v>9</v>
      </c>
      <c r="AL272" s="115">
        <v>-0.31709999999999999</v>
      </c>
      <c r="AM272" s="115">
        <v>1</v>
      </c>
      <c r="AN272" s="115">
        <v>1</v>
      </c>
      <c r="AO272" s="115">
        <v>0</v>
      </c>
      <c r="AP272" s="115">
        <v>1</v>
      </c>
      <c r="AQ272" s="115">
        <v>2</v>
      </c>
      <c r="AR272" s="115">
        <v>0.5</v>
      </c>
      <c r="AS272" s="115">
        <v>-2.0999999999999999E-3</v>
      </c>
      <c r="AT272" s="115">
        <v>-0.1216</v>
      </c>
      <c r="AU272" s="114" t="str">
        <f>IF(A272&lt;&gt;"",INDEX(Index!$B$1:$B$77,MATCH($A272,Index!$A$1:$A$77,0)),"")</f>
        <v>MIN</v>
      </c>
      <c r="AV272" s="123" t="str">
        <f>IF(B272&lt;&gt;"",INDEX(Index!$C$1:$C$77,MATCH($A272,Index!$A$1:$A$77,0)),"")</f>
        <v>McCarthy</v>
      </c>
      <c r="AW272" s="123">
        <f t="shared" si="5"/>
        <v>29</v>
      </c>
      <c r="AX272" s="113">
        <v>8</v>
      </c>
    </row>
    <row r="273" spans="1:50" x14ac:dyDescent="0.25">
      <c r="A273" s="95" t="s">
        <v>581</v>
      </c>
      <c r="B273" s="96">
        <v>2025</v>
      </c>
      <c r="C273" s="96">
        <v>8</v>
      </c>
      <c r="D273" s="96">
        <v>-2.5891199999999999</v>
      </c>
      <c r="E273" s="96">
        <v>-0.47380100000000003</v>
      </c>
      <c r="F273" s="115">
        <v>0.738784</v>
      </c>
      <c r="G273" s="115">
        <v>-17.041699999999999</v>
      </c>
      <c r="H273" s="115">
        <v>-5.28E-2</v>
      </c>
      <c r="I273" s="115">
        <v>174</v>
      </c>
      <c r="J273" s="115">
        <v>253</v>
      </c>
      <c r="K273" s="115">
        <v>0.68769999999999998</v>
      </c>
      <c r="L273" s="115">
        <v>2.3567999999999998</v>
      </c>
      <c r="M273" s="115">
        <v>1586</v>
      </c>
      <c r="N273" s="115">
        <v>6.2687999999999997</v>
      </c>
      <c r="O273" s="115">
        <v>8</v>
      </c>
      <c r="P273" s="115">
        <v>5</v>
      </c>
      <c r="Q273" s="115">
        <v>18</v>
      </c>
      <c r="R273" s="115">
        <v>30</v>
      </c>
      <c r="S273" s="115">
        <v>168</v>
      </c>
      <c r="T273" s="115">
        <v>5.6</v>
      </c>
      <c r="U273" s="115">
        <v>0</v>
      </c>
      <c r="V273" s="115">
        <v>3.1600000000000003E-2</v>
      </c>
      <c r="W273" s="115">
        <v>1.9800000000000002E-2</v>
      </c>
      <c r="X273" s="115">
        <v>1.1900000000000001E-2</v>
      </c>
      <c r="Y273" s="115">
        <v>0.47989999999999999</v>
      </c>
      <c r="Z273" s="115">
        <v>87.821100000000001</v>
      </c>
      <c r="AA273" s="115">
        <v>5.2287999999999997</v>
      </c>
      <c r="AB273" s="115">
        <v>139.14599999999999</v>
      </c>
      <c r="AC273" s="115">
        <v>50.8</v>
      </c>
      <c r="AD273" s="115">
        <v>-3.3999999999999998E-3</v>
      </c>
      <c r="AE273" s="115">
        <v>7.1999999999999998E-3</v>
      </c>
      <c r="AF273" s="115">
        <v>1.7100000000000001E-2</v>
      </c>
      <c r="AG273" s="115">
        <v>8.9999999999999993E-3</v>
      </c>
      <c r="AH273" s="115">
        <v>-4.7899999999999998E-2</v>
      </c>
      <c r="AI273" s="115">
        <v>-0.12790000000000001</v>
      </c>
      <c r="AJ273" s="115">
        <v>2.5000000000000001E-3</v>
      </c>
      <c r="AK273" s="115">
        <v>8.0078999999999994</v>
      </c>
      <c r="AL273" s="115">
        <v>-1.1028</v>
      </c>
      <c r="AM273" s="115">
        <v>1</v>
      </c>
      <c r="AN273" s="115">
        <v>7</v>
      </c>
      <c r="AO273" s="115">
        <v>0</v>
      </c>
      <c r="AP273" s="115">
        <v>0</v>
      </c>
      <c r="AQ273" s="115">
        <v>4</v>
      </c>
      <c r="AR273" s="115">
        <v>0</v>
      </c>
      <c r="AS273" s="115">
        <v>-2.8E-3</v>
      </c>
      <c r="AT273" s="115">
        <v>-0.89029999999999998</v>
      </c>
      <c r="AU273" s="114" t="str">
        <f>IF(A273&lt;&gt;"",INDEX(Index!$B$1:$B$77,MATCH($A273,Index!$A$1:$A$77,0)),"")</f>
        <v>NO</v>
      </c>
      <c r="AV273" s="123" t="str">
        <f>IF(B273&lt;&gt;"",INDEX(Index!$C$1:$C$77,MATCH($A273,Index!$A$1:$A$77,0)),"")</f>
        <v>Rattler</v>
      </c>
      <c r="AW273" s="123">
        <f t="shared" si="5"/>
        <v>9</v>
      </c>
      <c r="AX273" s="113">
        <v>8</v>
      </c>
    </row>
    <row r="274" spans="1:50" x14ac:dyDescent="0.25">
      <c r="A274" s="95" t="s">
        <v>589</v>
      </c>
      <c r="B274" s="96">
        <v>2025</v>
      </c>
      <c r="C274" s="96">
        <v>4</v>
      </c>
      <c r="D274" s="96">
        <v>-3.9140600000000001</v>
      </c>
      <c r="E274" s="96">
        <v>2.8353300000000001E-2</v>
      </c>
      <c r="F274" s="115">
        <v>-0.13846600000000001</v>
      </c>
      <c r="G274" s="115">
        <v>-21.621300000000002</v>
      </c>
      <c r="H274" s="115">
        <v>-0.12790000000000001</v>
      </c>
      <c r="I274" s="115">
        <v>85</v>
      </c>
      <c r="J274" s="115">
        <v>141</v>
      </c>
      <c r="K274" s="115">
        <v>0.6028</v>
      </c>
      <c r="L274" s="115">
        <v>-6.2244000000000002</v>
      </c>
      <c r="M274" s="115">
        <v>702</v>
      </c>
      <c r="N274" s="115">
        <v>4.9786999999999999</v>
      </c>
      <c r="O274" s="115">
        <v>5</v>
      </c>
      <c r="P274" s="115">
        <v>2</v>
      </c>
      <c r="Q274" s="115">
        <v>11</v>
      </c>
      <c r="R274" s="115">
        <v>6</v>
      </c>
      <c r="S274" s="115">
        <v>31</v>
      </c>
      <c r="T274" s="115">
        <v>5.1666999999999996</v>
      </c>
      <c r="U274" s="115">
        <v>0</v>
      </c>
      <c r="V274" s="115">
        <v>3.5499999999999997E-2</v>
      </c>
      <c r="W274" s="115">
        <v>1.4200000000000001E-2</v>
      </c>
      <c r="X274" s="115">
        <v>2.1299999999999999E-2</v>
      </c>
      <c r="Y274" s="115">
        <v>0.3669</v>
      </c>
      <c r="Z274" s="115">
        <v>78.974599999999995</v>
      </c>
      <c r="AA274" s="115">
        <v>4.2171000000000003</v>
      </c>
      <c r="AB274" s="115">
        <v>69.864599999999996</v>
      </c>
      <c r="AC274" s="115">
        <v>25.8</v>
      </c>
      <c r="AD274" s="115">
        <v>-3.78E-2</v>
      </c>
      <c r="AE274" s="115">
        <v>-2.0000000000000001E-4</v>
      </c>
      <c r="AF274" s="115">
        <v>-6.7500000000000004E-2</v>
      </c>
      <c r="AG274" s="115">
        <v>2.69E-2</v>
      </c>
      <c r="AH274" s="115">
        <v>-0.17849999999999999</v>
      </c>
      <c r="AI274" s="115">
        <v>-6.9999999999999999E-4</v>
      </c>
      <c r="AJ274" s="115">
        <v>3.95E-2</v>
      </c>
      <c r="AK274" s="115">
        <v>5.8297999999999996</v>
      </c>
      <c r="AL274" s="115">
        <v>-3.7871999999999999</v>
      </c>
      <c r="AM274" s="115">
        <v>1</v>
      </c>
      <c r="AN274" s="115">
        <v>5</v>
      </c>
      <c r="AO274" s="115">
        <v>0</v>
      </c>
      <c r="AP274" s="115">
        <v>0</v>
      </c>
      <c r="AQ274" s="115">
        <v>1</v>
      </c>
      <c r="AR274" s="115">
        <v>0</v>
      </c>
      <c r="AS274" s="115">
        <v>-1.9E-3</v>
      </c>
      <c r="AT274" s="115">
        <v>-0.3251</v>
      </c>
      <c r="AU274" s="114" t="str">
        <f>IF(A274&lt;&gt;"",INDEX(Index!$B$1:$B$77,MATCH($A274,Index!$A$1:$A$77,0)),"")</f>
        <v>CLE</v>
      </c>
      <c r="AV274" s="123" t="str">
        <f>IF(B274&lt;&gt;"",INDEX(Index!$C$1:$C$77,MATCH($A274,Index!$A$1:$A$77,0)),"")</f>
        <v>Gabriel</v>
      </c>
      <c r="AW274" s="123">
        <f t="shared" si="5"/>
        <v>24</v>
      </c>
      <c r="AX274" s="113">
        <v>8</v>
      </c>
    </row>
    <row r="275" spans="1:50" ht="15.75" thickBot="1" x14ac:dyDescent="0.3">
      <c r="A275" s="95" t="s">
        <v>582</v>
      </c>
      <c r="B275" s="96">
        <v>2025</v>
      </c>
      <c r="C275" s="96">
        <v>8</v>
      </c>
      <c r="D275" s="96">
        <v>-4.0146600000000001</v>
      </c>
      <c r="E275" s="96">
        <v>-0.14544299999999999</v>
      </c>
      <c r="F275" s="115">
        <v>-2.5099900000000002</v>
      </c>
      <c r="G275" s="115">
        <v>-71.915599999999998</v>
      </c>
      <c r="H275" s="115">
        <v>-0.21210000000000001</v>
      </c>
      <c r="I275" s="115">
        <v>158</v>
      </c>
      <c r="J275" s="115">
        <v>271</v>
      </c>
      <c r="K275" s="115">
        <v>0.58299999999999996</v>
      </c>
      <c r="L275" s="115">
        <v>-5.1097999999999999</v>
      </c>
      <c r="M275" s="115">
        <v>1615</v>
      </c>
      <c r="N275" s="115">
        <v>5.9593999999999996</v>
      </c>
      <c r="O275" s="115">
        <v>5</v>
      </c>
      <c r="P275" s="115">
        <v>6</v>
      </c>
      <c r="Q275" s="115">
        <v>34</v>
      </c>
      <c r="R275" s="115">
        <v>12</v>
      </c>
      <c r="S275" s="115">
        <v>48</v>
      </c>
      <c r="T275" s="115">
        <v>4</v>
      </c>
      <c r="U275" s="115">
        <v>0</v>
      </c>
      <c r="V275" s="115">
        <v>1.8499999999999999E-2</v>
      </c>
      <c r="W275" s="115">
        <v>2.2100000000000002E-2</v>
      </c>
      <c r="X275" s="115">
        <v>-3.7000000000000002E-3</v>
      </c>
      <c r="Y275" s="115">
        <v>0.40410000000000001</v>
      </c>
      <c r="Z275" s="115">
        <v>72.424700000000001</v>
      </c>
      <c r="AA275" s="115">
        <v>3.859</v>
      </c>
      <c r="AB275" s="115">
        <v>5.9271000000000003</v>
      </c>
      <c r="AC275" s="115">
        <v>25.7</v>
      </c>
      <c r="AD275" s="115">
        <v>-2.6100000000000002E-2</v>
      </c>
      <c r="AE275" s="115">
        <v>-0.1239</v>
      </c>
      <c r="AF275" s="115">
        <v>-4.3499999999999997E-2</v>
      </c>
      <c r="AG275" s="115">
        <v>7.7999999999999996E-3</v>
      </c>
      <c r="AH275" s="115">
        <v>-5.1299999999999998E-2</v>
      </c>
      <c r="AI275" s="115">
        <v>-6.2799999999999995E-2</v>
      </c>
      <c r="AJ275" s="115">
        <v>-3.0000000000000001E-3</v>
      </c>
      <c r="AK275" s="115">
        <v>7.8007</v>
      </c>
      <c r="AL275" s="115">
        <v>-1.4539</v>
      </c>
      <c r="AM275" s="115">
        <v>1</v>
      </c>
      <c r="AN275" s="115">
        <v>7</v>
      </c>
      <c r="AO275" s="115">
        <v>0</v>
      </c>
      <c r="AP275" s="115">
        <v>1</v>
      </c>
      <c r="AQ275" s="115">
        <v>3</v>
      </c>
      <c r="AR275" s="115">
        <v>0.33329999999999999</v>
      </c>
      <c r="AS275" s="115">
        <v>-4.1000000000000003E-3</v>
      </c>
      <c r="AT275" s="115">
        <v>-1.3883000000000001</v>
      </c>
      <c r="AU275" s="114" t="str">
        <f>IF(A275&lt;&gt;"",INDEX(Index!$B$1:$B$77,MATCH($A275,Index!$A$1:$A$77,0)),"")</f>
        <v>TEN</v>
      </c>
      <c r="AV275" s="123" t="str">
        <f>IF(B275&lt;&gt;"",INDEX(Index!$C$1:$C$77,MATCH($A275,Index!$A$1:$A$77,0)),"")</f>
        <v>Ward</v>
      </c>
      <c r="AW275" s="123">
        <f t="shared" si="5"/>
        <v>1</v>
      </c>
      <c r="AX275" s="113">
        <v>8</v>
      </c>
    </row>
    <row r="276" spans="1:50" x14ac:dyDescent="0.25">
      <c r="A276" s="117" t="s">
        <v>551</v>
      </c>
      <c r="B276" s="118">
        <v>2025</v>
      </c>
      <c r="C276" s="118">
        <v>8</v>
      </c>
      <c r="D276" s="118">
        <v>3.3058800000000002</v>
      </c>
      <c r="E276" s="118">
        <v>0.38895200000000002</v>
      </c>
      <c r="F276" s="119">
        <v>-0.131772</v>
      </c>
      <c r="G276" s="119">
        <v>87.255899999999997</v>
      </c>
      <c r="H276" s="119">
        <v>0.28989999999999999</v>
      </c>
      <c r="I276" s="119">
        <v>157</v>
      </c>
      <c r="J276" s="119">
        <v>222</v>
      </c>
      <c r="K276" s="119">
        <v>0.70720000000000005</v>
      </c>
      <c r="L276" s="119">
        <v>4.0549999999999997</v>
      </c>
      <c r="M276" s="119">
        <v>1833</v>
      </c>
      <c r="N276" s="119">
        <v>8.2568000000000001</v>
      </c>
      <c r="O276" s="119">
        <v>13</v>
      </c>
      <c r="P276" s="119">
        <v>4</v>
      </c>
      <c r="Q276" s="119">
        <v>17</v>
      </c>
      <c r="R276" s="119">
        <v>44</v>
      </c>
      <c r="S276" s="119">
        <v>290</v>
      </c>
      <c r="T276" s="119">
        <v>6.5909000000000004</v>
      </c>
      <c r="U276" s="119">
        <v>7</v>
      </c>
      <c r="V276" s="119">
        <v>5.8599999999999999E-2</v>
      </c>
      <c r="W276" s="119">
        <v>1.7999999999999999E-2</v>
      </c>
      <c r="X276" s="119">
        <v>4.0500000000000001E-2</v>
      </c>
      <c r="Y276" s="119">
        <v>0.53159999999999996</v>
      </c>
      <c r="Z276" s="119">
        <v>107.432</v>
      </c>
      <c r="AA276" s="119">
        <v>7.6067</v>
      </c>
      <c r="AB276" s="119">
        <v>260.78899999999999</v>
      </c>
      <c r="AC276" s="119">
        <v>64.900000000000006</v>
      </c>
      <c r="AD276" s="119">
        <v>6.59E-2</v>
      </c>
      <c r="AE276" s="119">
        <v>2.87E-2</v>
      </c>
      <c r="AF276" s="119">
        <v>3.9600000000000003E-2</v>
      </c>
      <c r="AG276" s="119">
        <v>3.6200000000000003E-2</v>
      </c>
      <c r="AH276" s="119">
        <v>-8.0199999999999994E-2</v>
      </c>
      <c r="AI276" s="119">
        <v>9.6500000000000002E-2</v>
      </c>
      <c r="AJ276" s="119">
        <v>1.0699999999999999E-2</v>
      </c>
      <c r="AK276" s="119">
        <v>7.3784000000000001</v>
      </c>
      <c r="AL276" s="119">
        <v>-1.1081000000000001</v>
      </c>
      <c r="AM276" s="119">
        <v>6</v>
      </c>
      <c r="AN276" s="119">
        <v>2</v>
      </c>
      <c r="AO276" s="119">
        <v>0</v>
      </c>
      <c r="AP276" s="119">
        <v>1</v>
      </c>
      <c r="AQ276" s="119">
        <v>3</v>
      </c>
      <c r="AR276" s="119">
        <v>0.33329999999999999</v>
      </c>
      <c r="AS276" s="119">
        <v>6.6E-3</v>
      </c>
      <c r="AT276" s="119">
        <v>1.9892000000000001</v>
      </c>
      <c r="AU276" s="121" t="str">
        <f>IF(A276&lt;&gt;"",INDEX(Index!$B$1:$B$77,MATCH($A276,Index!$A$1:$A$77,0)),"")</f>
        <v>BUF</v>
      </c>
      <c r="AV276" s="124" t="str">
        <f>IF(B276&lt;&gt;"",INDEX(Index!$C$1:$C$77,MATCH($A276,Index!$A$1:$A$77,0)),"")</f>
        <v>Allen</v>
      </c>
      <c r="AW276" s="124">
        <f t="shared" si="5"/>
        <v>13</v>
      </c>
      <c r="AX276" s="120">
        <v>9</v>
      </c>
    </row>
    <row r="277" spans="1:50" x14ac:dyDescent="0.25">
      <c r="A277" s="95" t="s">
        <v>550</v>
      </c>
      <c r="B277" s="96">
        <v>2025</v>
      </c>
      <c r="C277" s="96">
        <v>5</v>
      </c>
      <c r="D277" s="96">
        <v>3.2552400000000001</v>
      </c>
      <c r="E277" s="96">
        <v>7.0405899999999993E-2</v>
      </c>
      <c r="F277" s="115">
        <v>-0.302037</v>
      </c>
      <c r="G277" s="115">
        <v>49.303899999999999</v>
      </c>
      <c r="H277" s="115">
        <v>0.29880000000000001</v>
      </c>
      <c r="I277" s="115">
        <v>86</v>
      </c>
      <c r="J277" s="115">
        <v>118</v>
      </c>
      <c r="K277" s="115">
        <v>0.7288</v>
      </c>
      <c r="L277" s="115">
        <v>10.8872</v>
      </c>
      <c r="M277" s="115">
        <v>1073</v>
      </c>
      <c r="N277" s="115">
        <v>9.0931999999999995</v>
      </c>
      <c r="O277" s="115">
        <v>14</v>
      </c>
      <c r="P277" s="115">
        <v>1</v>
      </c>
      <c r="Q277" s="115">
        <v>17</v>
      </c>
      <c r="R277" s="115">
        <v>24</v>
      </c>
      <c r="S277" s="115">
        <v>182</v>
      </c>
      <c r="T277" s="115">
        <v>7.5833000000000004</v>
      </c>
      <c r="U277" s="115">
        <v>1</v>
      </c>
      <c r="V277" s="115">
        <v>0.1186</v>
      </c>
      <c r="W277" s="115">
        <v>8.5000000000000006E-3</v>
      </c>
      <c r="X277" s="115">
        <v>0.11020000000000001</v>
      </c>
      <c r="Y277" s="115">
        <v>0.5212</v>
      </c>
      <c r="Z277" s="115">
        <v>136.72300000000001</v>
      </c>
      <c r="AA277" s="115">
        <v>8.8073999999999995</v>
      </c>
      <c r="AB277" s="115">
        <v>247.71</v>
      </c>
      <c r="AC277" s="115">
        <v>78.900000000000006</v>
      </c>
      <c r="AD277" s="115">
        <v>4.6399999999999997E-2</v>
      </c>
      <c r="AE277" s="115">
        <v>-7.5600000000000001E-2</v>
      </c>
      <c r="AF277" s="115">
        <v>3.9300000000000002E-2</v>
      </c>
      <c r="AG277" s="115">
        <v>4.4299999999999999E-2</v>
      </c>
      <c r="AH277" s="115">
        <v>0.16439999999999999</v>
      </c>
      <c r="AI277" s="115">
        <v>6.3E-3</v>
      </c>
      <c r="AJ277" s="115">
        <v>-1.8700000000000001E-2</v>
      </c>
      <c r="AK277" s="115">
        <v>8.8559000000000001</v>
      </c>
      <c r="AL277" s="115">
        <v>-0.1356</v>
      </c>
      <c r="AM277" s="115">
        <v>2</v>
      </c>
      <c r="AN277" s="115">
        <v>3</v>
      </c>
      <c r="AO277" s="115">
        <v>0</v>
      </c>
      <c r="AP277" s="115">
        <v>0</v>
      </c>
      <c r="AQ277" s="115">
        <v>1</v>
      </c>
      <c r="AR277" s="115">
        <v>0</v>
      </c>
      <c r="AS277" s="115">
        <v>5.7000000000000002E-3</v>
      </c>
      <c r="AT277" s="115">
        <v>0.93840000000000001</v>
      </c>
      <c r="AU277" s="114" t="str">
        <f>IF(A277&lt;&gt;"",INDEX(Index!$B$1:$B$77,MATCH($A277,Index!$A$1:$A$77,0)),"")</f>
        <v>BAL</v>
      </c>
      <c r="AV277" s="123" t="str">
        <f>IF(B277&lt;&gt;"",INDEX(Index!$C$1:$C$77,MATCH($A277,Index!$A$1:$A$77,0)),"")</f>
        <v>Jackson</v>
      </c>
      <c r="AW277" s="123">
        <f t="shared" si="5"/>
        <v>13</v>
      </c>
      <c r="AX277" s="113">
        <v>9</v>
      </c>
    </row>
    <row r="278" spans="1:50" x14ac:dyDescent="0.25">
      <c r="A278" s="95" t="s">
        <v>552</v>
      </c>
      <c r="B278" s="96">
        <v>2025</v>
      </c>
      <c r="C278" s="96">
        <v>9</v>
      </c>
      <c r="D278" s="96">
        <v>2.6989000000000001</v>
      </c>
      <c r="E278" s="96">
        <v>-0.91523600000000005</v>
      </c>
      <c r="F278" s="115">
        <v>0.51700400000000002</v>
      </c>
      <c r="G278" s="115">
        <v>99.029600000000002</v>
      </c>
      <c r="H278" s="115">
        <v>0.25330000000000003</v>
      </c>
      <c r="I278" s="115">
        <v>204</v>
      </c>
      <c r="J278" s="115">
        <v>315</v>
      </c>
      <c r="K278" s="115">
        <v>0.64759999999999995</v>
      </c>
      <c r="L278" s="115">
        <v>2.1545999999999998</v>
      </c>
      <c r="M278" s="115">
        <v>2349</v>
      </c>
      <c r="N278" s="115">
        <v>7.4570999999999996</v>
      </c>
      <c r="O278" s="115">
        <v>17</v>
      </c>
      <c r="P278" s="115">
        <v>5</v>
      </c>
      <c r="Q278" s="115">
        <v>17</v>
      </c>
      <c r="R278" s="115">
        <v>39</v>
      </c>
      <c r="S278" s="115">
        <v>292</v>
      </c>
      <c r="T278" s="115">
        <v>7.4871999999999996</v>
      </c>
      <c r="U278" s="115">
        <v>4</v>
      </c>
      <c r="V278" s="115">
        <v>5.3999999999999999E-2</v>
      </c>
      <c r="W278" s="115">
        <v>1.5900000000000001E-2</v>
      </c>
      <c r="X278" s="115">
        <v>3.8100000000000002E-2</v>
      </c>
      <c r="Y278" s="115">
        <v>0.53449999999999998</v>
      </c>
      <c r="Z278" s="115">
        <v>98.498699999999999</v>
      </c>
      <c r="AA278" s="115">
        <v>7.0933999999999999</v>
      </c>
      <c r="AB278" s="115">
        <v>259.38</v>
      </c>
      <c r="AC278" s="115">
        <v>74.400000000000006</v>
      </c>
      <c r="AD278" s="115">
        <v>1.5100000000000001E-2</v>
      </c>
      <c r="AE278" s="115">
        <v>5.16E-2</v>
      </c>
      <c r="AF278" s="115">
        <v>2.7000000000000001E-3</v>
      </c>
      <c r="AG278" s="115">
        <v>5.0000000000000001E-4</v>
      </c>
      <c r="AH278" s="115">
        <v>1.95E-2</v>
      </c>
      <c r="AI278" s="115">
        <v>7.0599999999999996E-2</v>
      </c>
      <c r="AJ278" s="115">
        <v>1.1000000000000001E-3</v>
      </c>
      <c r="AK278" s="115">
        <v>8.3556000000000008</v>
      </c>
      <c r="AL278" s="115">
        <v>-4.1300000000000003E-2</v>
      </c>
      <c r="AM278" s="115">
        <v>5</v>
      </c>
      <c r="AN278" s="115">
        <v>4</v>
      </c>
      <c r="AO278" s="115">
        <v>0</v>
      </c>
      <c r="AP278" s="115">
        <v>0</v>
      </c>
      <c r="AQ278" s="115">
        <v>4</v>
      </c>
      <c r="AR278" s="115">
        <v>0</v>
      </c>
      <c r="AS278" s="115">
        <v>4.7999999999999996E-3</v>
      </c>
      <c r="AT278" s="115">
        <v>1.8928</v>
      </c>
      <c r="AU278" s="114" t="str">
        <f>IF(A278&lt;&gt;"",INDEX(Index!$B$1:$B$77,MATCH($A278,Index!$A$1:$A$77,0)),"")</f>
        <v>KC</v>
      </c>
      <c r="AV278" s="123" t="str">
        <f>IF(B278&lt;&gt;"",INDEX(Index!$C$1:$C$77,MATCH($A278,Index!$A$1:$A$77,0)),"")</f>
        <v>Mahomes</v>
      </c>
      <c r="AW278" s="123">
        <f t="shared" si="5"/>
        <v>13</v>
      </c>
      <c r="AX278" s="113">
        <v>9</v>
      </c>
    </row>
    <row r="279" spans="1:50" x14ac:dyDescent="0.25">
      <c r="A279" s="95" t="s">
        <v>567</v>
      </c>
      <c r="B279" s="96">
        <v>2025</v>
      </c>
      <c r="C279" s="96">
        <v>8</v>
      </c>
      <c r="D279" s="96">
        <v>1.6773</v>
      </c>
      <c r="E279" s="96">
        <v>0.40432299999999999</v>
      </c>
      <c r="F279" s="115">
        <v>1.65771</v>
      </c>
      <c r="G279" s="115">
        <v>71.220799999999997</v>
      </c>
      <c r="H279" s="115">
        <v>0.22750000000000001</v>
      </c>
      <c r="I279" s="115">
        <v>184</v>
      </c>
      <c r="J279" s="115">
        <v>272</v>
      </c>
      <c r="K279" s="115">
        <v>0.67649999999999999</v>
      </c>
      <c r="L279" s="115">
        <v>3.5958999999999999</v>
      </c>
      <c r="M279" s="115">
        <v>2147</v>
      </c>
      <c r="N279" s="115">
        <v>7.8933999999999997</v>
      </c>
      <c r="O279" s="115">
        <v>21</v>
      </c>
      <c r="P279" s="115">
        <v>2</v>
      </c>
      <c r="Q279" s="115">
        <v>13</v>
      </c>
      <c r="R279" s="115">
        <v>5</v>
      </c>
      <c r="S279" s="115">
        <v>11</v>
      </c>
      <c r="T279" s="115">
        <v>2.2000000000000002</v>
      </c>
      <c r="U279" s="115">
        <v>0</v>
      </c>
      <c r="V279" s="115">
        <v>7.7200000000000005E-2</v>
      </c>
      <c r="W279" s="115">
        <v>7.4000000000000003E-3</v>
      </c>
      <c r="X279" s="115">
        <v>6.9900000000000004E-2</v>
      </c>
      <c r="Y279" s="115">
        <v>0.53039999999999998</v>
      </c>
      <c r="Z279" s="115">
        <v>114.017</v>
      </c>
      <c r="AA279" s="115">
        <v>8.4</v>
      </c>
      <c r="AB279" s="115">
        <v>246.64099999999999</v>
      </c>
      <c r="AC279" s="115">
        <v>66.5</v>
      </c>
      <c r="AD279" s="115">
        <v>-5.04E-2</v>
      </c>
      <c r="AE279" s="115">
        <v>9.4000000000000004E-3</v>
      </c>
      <c r="AF279" s="115">
        <v>-1.5599999999999999E-2</v>
      </c>
      <c r="AG279" s="115">
        <v>4.87E-2</v>
      </c>
      <c r="AH279" s="115">
        <v>0.15260000000000001</v>
      </c>
      <c r="AI279" s="115">
        <v>-3.6200000000000003E-2</v>
      </c>
      <c r="AJ279" s="115">
        <v>2.6800000000000001E-2</v>
      </c>
      <c r="AK279" s="115">
        <v>8.9596</v>
      </c>
      <c r="AL279" s="115">
        <v>0.94489999999999996</v>
      </c>
      <c r="AM279" s="115">
        <v>6</v>
      </c>
      <c r="AN279" s="115">
        <v>2</v>
      </c>
      <c r="AO279" s="115">
        <v>0</v>
      </c>
      <c r="AP279" s="115">
        <v>1</v>
      </c>
      <c r="AQ279" s="115">
        <v>3</v>
      </c>
      <c r="AR279" s="115">
        <v>0.33329999999999999</v>
      </c>
      <c r="AS279" s="115">
        <v>8.3000000000000001E-3</v>
      </c>
      <c r="AT279" s="115">
        <v>2.6017000000000001</v>
      </c>
      <c r="AU279" s="114" t="str">
        <f>IF(A279&lt;&gt;"",INDEX(Index!$B$1:$B$77,MATCH($A279,Index!$A$1:$A$77,0)),"")</f>
        <v>LAR</v>
      </c>
      <c r="AV279" s="123" t="str">
        <f>IF(B279&lt;&gt;"",INDEX(Index!$C$1:$C$77,MATCH($A279,Index!$A$1:$A$77,0)),"")</f>
        <v>Stafford</v>
      </c>
      <c r="AW279" s="123">
        <f t="shared" si="5"/>
        <v>27</v>
      </c>
      <c r="AX279" s="113">
        <v>9</v>
      </c>
    </row>
    <row r="280" spans="1:50" x14ac:dyDescent="0.25">
      <c r="A280" s="95" t="s">
        <v>555</v>
      </c>
      <c r="B280" s="96">
        <v>2025</v>
      </c>
      <c r="C280" s="96">
        <v>9</v>
      </c>
      <c r="D280" s="96">
        <v>1.6611199999999999</v>
      </c>
      <c r="E280" s="96">
        <v>-0.54737100000000005</v>
      </c>
      <c r="F280" s="115">
        <v>0.43764999999999998</v>
      </c>
      <c r="G280" s="115">
        <v>79.374399999999994</v>
      </c>
      <c r="H280" s="115">
        <v>0.2046</v>
      </c>
      <c r="I280" s="115">
        <v>228</v>
      </c>
      <c r="J280" s="115">
        <v>327</v>
      </c>
      <c r="K280" s="115">
        <v>0.69720000000000004</v>
      </c>
      <c r="L280" s="115">
        <v>3.6204000000000001</v>
      </c>
      <c r="M280" s="115">
        <v>2319</v>
      </c>
      <c r="N280" s="115">
        <v>7.0917000000000003</v>
      </c>
      <c r="O280" s="115">
        <v>17</v>
      </c>
      <c r="P280" s="115">
        <v>6</v>
      </c>
      <c r="Q280" s="115">
        <v>15</v>
      </c>
      <c r="R280" s="115">
        <v>20</v>
      </c>
      <c r="S280" s="115">
        <v>124</v>
      </c>
      <c r="T280" s="115">
        <v>6.2</v>
      </c>
      <c r="U280" s="115">
        <v>1</v>
      </c>
      <c r="V280" s="115">
        <v>5.1999999999999998E-2</v>
      </c>
      <c r="W280" s="115">
        <v>1.83E-2</v>
      </c>
      <c r="X280" s="115">
        <v>3.3599999999999998E-2</v>
      </c>
      <c r="Y280" s="115">
        <v>0.48449999999999999</v>
      </c>
      <c r="Z280" s="115">
        <v>99.420199999999994</v>
      </c>
      <c r="AA280" s="115">
        <v>6.6988000000000003</v>
      </c>
      <c r="AB280" s="115">
        <v>234.57599999999999</v>
      </c>
      <c r="AC280" s="115">
        <v>75.2</v>
      </c>
      <c r="AD280" s="115">
        <v>-1.1900000000000001E-2</v>
      </c>
      <c r="AE280" s="115">
        <v>4.2700000000000002E-2</v>
      </c>
      <c r="AF280" s="115">
        <v>1.41E-2</v>
      </c>
      <c r="AG280" s="115">
        <v>1.54E-2</v>
      </c>
      <c r="AH280" s="115">
        <v>4.1300000000000003E-2</v>
      </c>
      <c r="AI280" s="115">
        <v>-1.29E-2</v>
      </c>
      <c r="AJ280" s="115">
        <v>2.3400000000000001E-2</v>
      </c>
      <c r="AK280" s="115">
        <v>7.5106999999999999</v>
      </c>
      <c r="AL280" s="115">
        <v>-1.0183</v>
      </c>
      <c r="AM280" s="115">
        <v>3</v>
      </c>
      <c r="AN280" s="115">
        <v>5</v>
      </c>
      <c r="AO280" s="115">
        <v>1</v>
      </c>
      <c r="AP280" s="115">
        <v>1</v>
      </c>
      <c r="AQ280" s="115">
        <v>4</v>
      </c>
      <c r="AR280" s="115">
        <v>0.25</v>
      </c>
      <c r="AS280" s="115">
        <v>9.5999999999999992E-3</v>
      </c>
      <c r="AT280" s="115">
        <v>3.7381000000000002</v>
      </c>
      <c r="AU280" s="114" t="str">
        <f>IF(A280&lt;&gt;"",INDEX(Index!$B$1:$B$77,MATCH($A280,Index!$A$1:$A$77,0)),"")</f>
        <v>DAL</v>
      </c>
      <c r="AV280" s="123" t="str">
        <f>IF(B280&lt;&gt;"",INDEX(Index!$C$1:$C$77,MATCH($A280,Index!$A$1:$A$77,0)),"")</f>
        <v>Prescott</v>
      </c>
      <c r="AW280" s="123">
        <f t="shared" si="5"/>
        <v>22</v>
      </c>
      <c r="AX280" s="113">
        <v>9</v>
      </c>
    </row>
    <row r="281" spans="1:50" x14ac:dyDescent="0.25">
      <c r="A281" s="95" t="s">
        <v>561</v>
      </c>
      <c r="B281" s="96">
        <v>2025</v>
      </c>
      <c r="C281" s="96">
        <v>9</v>
      </c>
      <c r="D281" s="96">
        <v>1.4936</v>
      </c>
      <c r="E281" s="96">
        <v>-0.16918800000000001</v>
      </c>
      <c r="F281" s="115">
        <v>0.485373</v>
      </c>
      <c r="G281" s="115">
        <v>35.713500000000003</v>
      </c>
      <c r="H281" s="115">
        <v>9.1999999999999998E-2</v>
      </c>
      <c r="I281" s="115">
        <v>197</v>
      </c>
      <c r="J281" s="115">
        <v>321</v>
      </c>
      <c r="K281" s="115">
        <v>0.61370000000000002</v>
      </c>
      <c r="L281" s="115">
        <v>-2.7161</v>
      </c>
      <c r="M281" s="115">
        <v>1976</v>
      </c>
      <c r="N281" s="115">
        <v>6.1558000000000002</v>
      </c>
      <c r="O281" s="115">
        <v>17</v>
      </c>
      <c r="P281" s="115">
        <v>6</v>
      </c>
      <c r="Q281" s="115">
        <v>9</v>
      </c>
      <c r="R281" s="115">
        <v>33</v>
      </c>
      <c r="S281" s="115">
        <v>216</v>
      </c>
      <c r="T281" s="115">
        <v>6.5454999999999997</v>
      </c>
      <c r="U281" s="115">
        <v>3</v>
      </c>
      <c r="V281" s="115">
        <v>5.2999999999999999E-2</v>
      </c>
      <c r="W281" s="115">
        <v>1.8700000000000001E-2</v>
      </c>
      <c r="X281" s="115">
        <v>3.4299999999999997E-2</v>
      </c>
      <c r="Y281" s="115">
        <v>0.42270000000000002</v>
      </c>
      <c r="Z281" s="115">
        <v>88.739599999999996</v>
      </c>
      <c r="AA281" s="115">
        <v>6.0423999999999998</v>
      </c>
      <c r="AB281" s="115">
        <v>214.66</v>
      </c>
      <c r="AC281" s="115">
        <v>58.1</v>
      </c>
      <c r="AD281" s="115">
        <v>-2.5000000000000001E-3</v>
      </c>
      <c r="AE281" s="115">
        <v>6.59E-2</v>
      </c>
      <c r="AF281" s="115">
        <v>-2.8000000000000001E-2</v>
      </c>
      <c r="AG281" s="115">
        <v>7.1999999999999998E-3</v>
      </c>
      <c r="AH281" s="115">
        <v>-7.8799999999999995E-2</v>
      </c>
      <c r="AI281" s="115">
        <v>5.6099999999999997E-2</v>
      </c>
      <c r="AJ281" s="115">
        <v>-2.0199999999999999E-2</v>
      </c>
      <c r="AK281" s="115">
        <v>7.8318000000000003</v>
      </c>
      <c r="AL281" s="115">
        <v>-1.3022</v>
      </c>
      <c r="AM281" s="115">
        <v>7</v>
      </c>
      <c r="AN281" s="115">
        <v>2</v>
      </c>
      <c r="AO281" s="115">
        <v>0</v>
      </c>
      <c r="AP281" s="115">
        <v>4</v>
      </c>
      <c r="AQ281" s="115">
        <v>4</v>
      </c>
      <c r="AR281" s="115">
        <v>1</v>
      </c>
      <c r="AS281" s="115">
        <v>3.0999999999999999E-3</v>
      </c>
      <c r="AT281" s="115">
        <v>1.1853</v>
      </c>
      <c r="AU281" s="114" t="str">
        <f>IF(A281&lt;&gt;"",INDEX(Index!$B$1:$B$77,MATCH($A281,Index!$A$1:$A$77,0)),"")</f>
        <v>DEN</v>
      </c>
      <c r="AV281" s="123" t="str">
        <f>IF(B281&lt;&gt;"",INDEX(Index!$C$1:$C$77,MATCH($A281,Index!$A$1:$A$77,0)),"")</f>
        <v>Nix</v>
      </c>
      <c r="AW281" s="123">
        <f t="shared" si="5"/>
        <v>33</v>
      </c>
      <c r="AX281" s="113">
        <v>9</v>
      </c>
    </row>
    <row r="282" spans="1:50" x14ac:dyDescent="0.25">
      <c r="A282" s="95" t="s">
        <v>554</v>
      </c>
      <c r="B282" s="96">
        <v>2025</v>
      </c>
      <c r="C282" s="96">
        <v>8</v>
      </c>
      <c r="D282" s="96">
        <v>1.4752700000000001</v>
      </c>
      <c r="E282" s="96">
        <v>1.0467499999999999E-2</v>
      </c>
      <c r="F282" s="115">
        <v>7.1987300000000004E-2</v>
      </c>
      <c r="G282" s="115">
        <v>52.079799999999999</v>
      </c>
      <c r="H282" s="115">
        <v>0.1736</v>
      </c>
      <c r="I282" s="115">
        <v>151</v>
      </c>
      <c r="J282" s="115">
        <v>215</v>
      </c>
      <c r="K282" s="115">
        <v>0.70230000000000004</v>
      </c>
      <c r="L282" s="115">
        <v>6.7972000000000001</v>
      </c>
      <c r="M282" s="115">
        <v>1677</v>
      </c>
      <c r="N282" s="115">
        <v>7.8</v>
      </c>
      <c r="O282" s="115">
        <v>15</v>
      </c>
      <c r="P282" s="115">
        <v>1</v>
      </c>
      <c r="Q282" s="115">
        <v>25</v>
      </c>
      <c r="R282" s="115">
        <v>49</v>
      </c>
      <c r="S282" s="115">
        <v>219</v>
      </c>
      <c r="T282" s="115">
        <v>4.4694000000000003</v>
      </c>
      <c r="U282" s="115">
        <v>5</v>
      </c>
      <c r="V282" s="115">
        <v>6.9800000000000001E-2</v>
      </c>
      <c r="W282" s="115">
        <v>4.7000000000000002E-3</v>
      </c>
      <c r="X282" s="115">
        <v>6.5100000000000005E-2</v>
      </c>
      <c r="Y282" s="115">
        <v>0.47670000000000001</v>
      </c>
      <c r="Z282" s="115">
        <v>114.428</v>
      </c>
      <c r="AA282" s="115">
        <v>7.4874999999999998</v>
      </c>
      <c r="AB282" s="115">
        <v>212.58199999999999</v>
      </c>
      <c r="AC282" s="115">
        <v>66.599999999999994</v>
      </c>
      <c r="AD282" s="115">
        <v>5.4100000000000002E-2</v>
      </c>
      <c r="AE282" s="115">
        <v>-2.81E-2</v>
      </c>
      <c r="AF282" s="115">
        <v>5.8099999999999999E-2</v>
      </c>
      <c r="AG282" s="115">
        <v>4.19E-2</v>
      </c>
      <c r="AH282" s="115">
        <v>3.2300000000000002E-2</v>
      </c>
      <c r="AI282" s="115">
        <v>-7.0499999999999993E-2</v>
      </c>
      <c r="AJ282" s="115">
        <v>-6.4999999999999997E-3</v>
      </c>
      <c r="AK282" s="115">
        <v>8.7581000000000007</v>
      </c>
      <c r="AL282" s="115">
        <v>0.107</v>
      </c>
      <c r="AM282" s="115">
        <v>6</v>
      </c>
      <c r="AN282" s="115">
        <v>2</v>
      </c>
      <c r="AO282" s="115">
        <v>0</v>
      </c>
      <c r="AP282" s="115">
        <v>1</v>
      </c>
      <c r="AQ282" s="115">
        <v>2</v>
      </c>
      <c r="AR282" s="115">
        <v>0.5</v>
      </c>
      <c r="AS282" s="115">
        <v>4.8999999999999998E-3</v>
      </c>
      <c r="AT282" s="115">
        <v>1.4613</v>
      </c>
      <c r="AU282" s="114" t="str">
        <f>IF(A282&lt;&gt;"",INDEX(Index!$B$1:$B$77,MATCH($A282,Index!$A$1:$A$77,0)),"")</f>
        <v>PHI</v>
      </c>
      <c r="AV282" s="123" t="str">
        <f>IF(B282&lt;&gt;"",INDEX(Index!$C$1:$C$77,MATCH($A282,Index!$A$1:$A$77,0)),"")</f>
        <v>Hurts</v>
      </c>
      <c r="AW282" s="123">
        <f t="shared" si="5"/>
        <v>4</v>
      </c>
      <c r="AX282" s="113">
        <v>9</v>
      </c>
    </row>
    <row r="283" spans="1:50" x14ac:dyDescent="0.25">
      <c r="A283" s="95" t="s">
        <v>566</v>
      </c>
      <c r="B283" s="96">
        <v>2025</v>
      </c>
      <c r="C283" s="96">
        <v>8</v>
      </c>
      <c r="D283" s="96">
        <v>1.23539</v>
      </c>
      <c r="E283" s="96">
        <v>-0.15187300000000001</v>
      </c>
      <c r="F283" s="115">
        <v>1.4306300000000001</v>
      </c>
      <c r="G283" s="115">
        <v>99.594899999999996</v>
      </c>
      <c r="H283" s="115">
        <v>0.33760000000000001</v>
      </c>
      <c r="I283" s="115">
        <v>177</v>
      </c>
      <c r="J283" s="115">
        <v>250</v>
      </c>
      <c r="K283" s="115">
        <v>0.70799999999999996</v>
      </c>
      <c r="L283" s="115">
        <v>8.2103999999999999</v>
      </c>
      <c r="M283" s="115">
        <v>2071</v>
      </c>
      <c r="N283" s="115">
        <v>8.2840000000000007</v>
      </c>
      <c r="O283" s="115">
        <v>13</v>
      </c>
      <c r="P283" s="115">
        <v>3</v>
      </c>
      <c r="Q283" s="115">
        <v>11</v>
      </c>
      <c r="R283" s="115">
        <v>18</v>
      </c>
      <c r="S283" s="115">
        <v>117</v>
      </c>
      <c r="T283" s="115">
        <v>6.5</v>
      </c>
      <c r="U283" s="115">
        <v>0</v>
      </c>
      <c r="V283" s="115">
        <v>5.1999999999999998E-2</v>
      </c>
      <c r="W283" s="115">
        <v>1.2E-2</v>
      </c>
      <c r="X283" s="115">
        <v>0.04</v>
      </c>
      <c r="Y283" s="115">
        <v>0.53559999999999997</v>
      </c>
      <c r="Z283" s="115">
        <v>107.93300000000001</v>
      </c>
      <c r="AA283" s="115">
        <v>8.0650999999999993</v>
      </c>
      <c r="AB283" s="115">
        <v>235.738</v>
      </c>
      <c r="AC283" s="115">
        <v>73</v>
      </c>
      <c r="AD283" s="115">
        <v>1.24E-2</v>
      </c>
      <c r="AE283" s="115">
        <v>3.4500000000000003E-2</v>
      </c>
      <c r="AF283" s="115">
        <v>9.9000000000000008E-3</v>
      </c>
      <c r="AG283" s="115">
        <v>1.7299999999999999E-2</v>
      </c>
      <c r="AH283" s="115">
        <v>2.3099999999999999E-2</v>
      </c>
      <c r="AI283" s="115">
        <v>0.14399999999999999</v>
      </c>
      <c r="AJ283" s="115">
        <v>4.1000000000000003E-3</v>
      </c>
      <c r="AK283" s="115">
        <v>7.6760000000000002</v>
      </c>
      <c r="AL283" s="115">
        <v>-0.95599999999999996</v>
      </c>
      <c r="AM283" s="115">
        <v>5</v>
      </c>
      <c r="AN283" s="115">
        <v>2</v>
      </c>
      <c r="AO283" s="115">
        <v>1</v>
      </c>
      <c r="AP283" s="115">
        <v>1</v>
      </c>
      <c r="AQ283" s="115">
        <v>3</v>
      </c>
      <c r="AR283" s="115">
        <v>0.33329999999999999</v>
      </c>
      <c r="AS283" s="115">
        <v>1.3599999999999999E-2</v>
      </c>
      <c r="AT283" s="115">
        <v>4.0076999999999998</v>
      </c>
      <c r="AU283" s="114" t="str">
        <f>IF(A283&lt;&gt;"",INDEX(Index!$B$1:$B$77,MATCH($A283,Index!$A$1:$A$77,0)),"")</f>
        <v>GB</v>
      </c>
      <c r="AV283" s="123" t="str">
        <f>IF(B283&lt;&gt;"",INDEX(Index!$C$1:$C$77,MATCH($A283,Index!$A$1:$A$77,0)),"")</f>
        <v>Love</v>
      </c>
      <c r="AW283" s="123">
        <f t="shared" si="5"/>
        <v>30</v>
      </c>
      <c r="AX283" s="113">
        <v>9</v>
      </c>
    </row>
    <row r="284" spans="1:50" x14ac:dyDescent="0.25">
      <c r="A284" s="95" t="s">
        <v>553</v>
      </c>
      <c r="B284" s="96">
        <v>2025</v>
      </c>
      <c r="C284" s="96">
        <v>8</v>
      </c>
      <c r="D284" s="96">
        <v>1.1419299999999999</v>
      </c>
      <c r="E284" s="96">
        <v>-0.13625599999999999</v>
      </c>
      <c r="F284" s="115">
        <v>7.57935E-2</v>
      </c>
      <c r="G284" s="115">
        <v>55.959200000000003</v>
      </c>
      <c r="H284" s="115">
        <v>0.20419999999999999</v>
      </c>
      <c r="I284" s="115">
        <v>177</v>
      </c>
      <c r="J284" s="115">
        <v>240</v>
      </c>
      <c r="K284" s="115">
        <v>0.73750000000000004</v>
      </c>
      <c r="L284" s="115">
        <v>7.7439</v>
      </c>
      <c r="M284" s="115">
        <v>1915</v>
      </c>
      <c r="N284" s="115">
        <v>7.9791999999999996</v>
      </c>
      <c r="O284" s="115">
        <v>17</v>
      </c>
      <c r="P284" s="115">
        <v>3</v>
      </c>
      <c r="Q284" s="115">
        <v>18</v>
      </c>
      <c r="R284" s="115">
        <v>6</v>
      </c>
      <c r="S284" s="115">
        <v>27</v>
      </c>
      <c r="T284" s="115">
        <v>4.5</v>
      </c>
      <c r="U284" s="115">
        <v>0</v>
      </c>
      <c r="V284" s="115">
        <v>7.0800000000000002E-2</v>
      </c>
      <c r="W284" s="115">
        <v>1.2500000000000001E-2</v>
      </c>
      <c r="X284" s="115">
        <v>5.8299999999999998E-2</v>
      </c>
      <c r="Y284" s="115">
        <v>0.51819999999999999</v>
      </c>
      <c r="Z284" s="115">
        <v>115.191</v>
      </c>
      <c r="AA284" s="115">
        <v>7.7790999999999997</v>
      </c>
      <c r="AB284" s="115">
        <v>214.55</v>
      </c>
      <c r="AC284" s="115">
        <v>62.9</v>
      </c>
      <c r="AD284" s="115">
        <v>-2.7199999999999998E-2</v>
      </c>
      <c r="AE284" s="115">
        <v>-3.7699999999999997E-2</v>
      </c>
      <c r="AF284" s="115">
        <v>1.2E-2</v>
      </c>
      <c r="AG284" s="115">
        <v>3.5099999999999999E-2</v>
      </c>
      <c r="AH284" s="115">
        <v>-8.8999999999999999E-3</v>
      </c>
      <c r="AI284" s="115">
        <v>0.15629999999999999</v>
      </c>
      <c r="AJ284" s="115">
        <v>-1.7600000000000001E-2</v>
      </c>
      <c r="AK284" s="115">
        <v>6.5792000000000002</v>
      </c>
      <c r="AL284" s="115">
        <v>-1.7749999999999999</v>
      </c>
      <c r="AM284" s="115">
        <v>5</v>
      </c>
      <c r="AN284" s="115">
        <v>3</v>
      </c>
      <c r="AO284" s="115">
        <v>0</v>
      </c>
      <c r="AP284" s="115">
        <v>0</v>
      </c>
      <c r="AQ284" s="115">
        <v>1</v>
      </c>
      <c r="AR284" s="115">
        <v>0</v>
      </c>
      <c r="AS284" s="115">
        <v>3.7000000000000002E-3</v>
      </c>
      <c r="AT284" s="115">
        <v>1.0178</v>
      </c>
      <c r="AU284" s="114" t="str">
        <f>IF(A284&lt;&gt;"",INDEX(Index!$B$1:$B$77,MATCH($A284,Index!$A$1:$A$77,0)),"")</f>
        <v>DET</v>
      </c>
      <c r="AV284" s="123" t="str">
        <f>IF(B284&lt;&gt;"",INDEX(Index!$C$1:$C$77,MATCH($A284,Index!$A$1:$A$77,0)),"")</f>
        <v>Goff</v>
      </c>
      <c r="AW284" s="123">
        <f t="shared" si="5"/>
        <v>10</v>
      </c>
      <c r="AX284" s="113">
        <v>9</v>
      </c>
    </row>
    <row r="285" spans="1:50" x14ac:dyDescent="0.25">
      <c r="A285" s="95" t="s">
        <v>557</v>
      </c>
      <c r="B285" s="96">
        <v>2025</v>
      </c>
      <c r="C285" s="96">
        <v>2</v>
      </c>
      <c r="D285" s="96">
        <v>1.0006999999999999</v>
      </c>
      <c r="E285" s="96">
        <v>-0.72667099999999996</v>
      </c>
      <c r="F285" s="115">
        <v>-1.3634200000000001</v>
      </c>
      <c r="G285" s="115">
        <v>-0.90390000000000004</v>
      </c>
      <c r="H285" s="115">
        <v>-1.9599999999999999E-2</v>
      </c>
      <c r="I285" s="115">
        <v>21</v>
      </c>
      <c r="J285" s="115">
        <v>36</v>
      </c>
      <c r="K285" s="115">
        <v>0.58330000000000004</v>
      </c>
      <c r="L285" s="115">
        <v>-1.5459000000000001</v>
      </c>
      <c r="M285" s="115">
        <v>189</v>
      </c>
      <c r="N285" s="115">
        <v>5.25</v>
      </c>
      <c r="O285" s="115">
        <v>2</v>
      </c>
      <c r="P285" s="115">
        <v>0</v>
      </c>
      <c r="Q285" s="115">
        <v>5</v>
      </c>
      <c r="R285" s="115">
        <v>2</v>
      </c>
      <c r="S285" s="115">
        <v>3</v>
      </c>
      <c r="T285" s="115">
        <v>1.5</v>
      </c>
      <c r="U285" s="115">
        <v>0</v>
      </c>
      <c r="V285" s="115">
        <v>5.5599999999999997E-2</v>
      </c>
      <c r="W285" s="115">
        <v>0</v>
      </c>
      <c r="X285" s="115">
        <v>5.5599999999999997E-2</v>
      </c>
      <c r="Y285" s="115">
        <v>0.43480000000000002</v>
      </c>
      <c r="Z285" s="115">
        <v>91.087999999999994</v>
      </c>
      <c r="AA285" s="115">
        <v>4.9512</v>
      </c>
      <c r="AB285" s="115">
        <v>25.4618</v>
      </c>
      <c r="AC285" s="115">
        <v>57.5</v>
      </c>
      <c r="AD285" s="115">
        <v>-6.8900000000000003E-2</v>
      </c>
      <c r="AE285" s="115">
        <v>-4.48E-2</v>
      </c>
      <c r="AF285" s="115">
        <v>-5.7000000000000002E-2</v>
      </c>
      <c r="AG285" s="115">
        <v>7.1400000000000005E-2</v>
      </c>
      <c r="AH285" s="115">
        <v>0.1948</v>
      </c>
      <c r="AI285" s="115">
        <v>-0.20250000000000001</v>
      </c>
      <c r="AJ285" s="115">
        <v>-5.0000000000000001E-3</v>
      </c>
      <c r="AK285" s="115">
        <v>6.8611000000000004</v>
      </c>
      <c r="AL285" s="115">
        <v>-1.0832999999999999</v>
      </c>
      <c r="AM285" s="115">
        <v>2</v>
      </c>
      <c r="AN285" s="115">
        <v>0</v>
      </c>
      <c r="AO285" s="115">
        <v>0</v>
      </c>
      <c r="AP285" s="115">
        <v>0</v>
      </c>
      <c r="AQ285" s="115">
        <v>0</v>
      </c>
      <c r="AR285" s="115"/>
      <c r="AS285" s="115">
        <v>1.6000000000000001E-3</v>
      </c>
      <c r="AT285" s="115">
        <v>7.4800000000000005E-2</v>
      </c>
      <c r="AU285" s="114" t="str">
        <f>IF(A285&lt;&gt;"",INDEX(Index!$B$1:$B$77,MATCH($A285,Index!$A$1:$A$77,0)),"")</f>
        <v>CIN</v>
      </c>
      <c r="AV285" s="123" t="str">
        <f>IF(B285&lt;&gt;"",INDEX(Index!$C$1:$C$77,MATCH($A285,Index!$A$1:$A$77,0)),"")</f>
        <v>Burrow</v>
      </c>
      <c r="AW285" s="123">
        <f t="shared" si="5"/>
        <v>41</v>
      </c>
      <c r="AX285" s="113">
        <v>9</v>
      </c>
    </row>
    <row r="286" spans="1:50" x14ac:dyDescent="0.25">
      <c r="A286" s="95" t="s">
        <v>563</v>
      </c>
      <c r="B286" s="96">
        <v>2025</v>
      </c>
      <c r="C286" s="96">
        <v>9</v>
      </c>
      <c r="D286" s="96">
        <v>0.88367300000000004</v>
      </c>
      <c r="E286" s="96">
        <v>-9.1206099999999998E-2</v>
      </c>
      <c r="F286" s="115">
        <v>0.92119700000000004</v>
      </c>
      <c r="G286" s="115">
        <v>54.624000000000002</v>
      </c>
      <c r="H286" s="115">
        <v>0.13420000000000001</v>
      </c>
      <c r="I286" s="115">
        <v>220</v>
      </c>
      <c r="J286" s="115">
        <v>325</v>
      </c>
      <c r="K286" s="115">
        <v>0.67689999999999995</v>
      </c>
      <c r="L286" s="115">
        <v>2.5318000000000001</v>
      </c>
      <c r="M286" s="115">
        <v>2390</v>
      </c>
      <c r="N286" s="115">
        <v>7.3537999999999997</v>
      </c>
      <c r="O286" s="115">
        <v>18</v>
      </c>
      <c r="P286" s="115">
        <v>8</v>
      </c>
      <c r="Q286" s="115">
        <v>28</v>
      </c>
      <c r="R286" s="115">
        <v>37</v>
      </c>
      <c r="S286" s="115">
        <v>313</v>
      </c>
      <c r="T286" s="115">
        <v>8.4595000000000002</v>
      </c>
      <c r="U286" s="115">
        <v>1</v>
      </c>
      <c r="V286" s="115">
        <v>5.5399999999999998E-2</v>
      </c>
      <c r="W286" s="115">
        <v>2.46E-2</v>
      </c>
      <c r="X286" s="115">
        <v>3.0800000000000001E-2</v>
      </c>
      <c r="Y286" s="115">
        <v>0.51349999999999996</v>
      </c>
      <c r="Z286" s="115">
        <v>97.339699999999993</v>
      </c>
      <c r="AA286" s="115">
        <v>6.2775999999999996</v>
      </c>
      <c r="AB286" s="115">
        <v>210.69499999999999</v>
      </c>
      <c r="AC286" s="115">
        <v>66.900000000000006</v>
      </c>
      <c r="AD286" s="115">
        <v>3.7900000000000003E-2</v>
      </c>
      <c r="AE286" s="115">
        <v>-4.4000000000000003E-3</v>
      </c>
      <c r="AF286" s="115">
        <v>1.8499999999999999E-2</v>
      </c>
      <c r="AG286" s="115">
        <v>-3.8199999999999998E-2</v>
      </c>
      <c r="AH286" s="115">
        <v>4.87E-2</v>
      </c>
      <c r="AI286" s="115">
        <v>-1.4500000000000001E-2</v>
      </c>
      <c r="AJ286" s="115">
        <v>-6.1000000000000004E-3</v>
      </c>
      <c r="AK286" s="115">
        <v>7.9322999999999997</v>
      </c>
      <c r="AL286" s="115">
        <v>-0.98460000000000003</v>
      </c>
      <c r="AM286" s="115">
        <v>6</v>
      </c>
      <c r="AN286" s="115">
        <v>3</v>
      </c>
      <c r="AO286" s="115">
        <v>0</v>
      </c>
      <c r="AP286" s="115">
        <v>2</v>
      </c>
      <c r="AQ286" s="115">
        <v>3</v>
      </c>
      <c r="AR286" s="115">
        <v>0.66669999999999996</v>
      </c>
      <c r="AS286" s="115">
        <v>3.8999999999999998E-3</v>
      </c>
      <c r="AT286" s="115">
        <v>1.5928</v>
      </c>
      <c r="AU286" s="114" t="str">
        <f>IF(A286&lt;&gt;"",INDEX(Index!$B$1:$B$77,MATCH($A286,Index!$A$1:$A$77,0)),"")</f>
        <v>LAC</v>
      </c>
      <c r="AV286" s="123" t="str">
        <f>IF(B286&lt;&gt;"",INDEX(Index!$C$1:$C$77,MATCH($A286,Index!$A$1:$A$77,0)),"")</f>
        <v>Herbert</v>
      </c>
      <c r="AW286" s="123">
        <f t="shared" si="5"/>
        <v>3</v>
      </c>
      <c r="AX286" s="113">
        <v>9</v>
      </c>
    </row>
    <row r="287" spans="1:50" x14ac:dyDescent="0.25">
      <c r="A287" s="95" t="s">
        <v>573</v>
      </c>
      <c r="B287" s="96">
        <v>2025</v>
      </c>
      <c r="C287" s="96">
        <v>8</v>
      </c>
      <c r="D287" s="96">
        <v>0.81148600000000004</v>
      </c>
      <c r="E287" s="96">
        <v>0.76190899999999995</v>
      </c>
      <c r="F287" s="115">
        <v>1.7886599999999999</v>
      </c>
      <c r="G287" s="115">
        <v>79.493399999999994</v>
      </c>
      <c r="H287" s="115">
        <v>0.32450000000000001</v>
      </c>
      <c r="I287" s="115">
        <v>152</v>
      </c>
      <c r="J287" s="115">
        <v>215</v>
      </c>
      <c r="K287" s="115">
        <v>0.70699999999999996</v>
      </c>
      <c r="L287" s="115">
        <v>10.824299999999999</v>
      </c>
      <c r="M287" s="115">
        <v>2084</v>
      </c>
      <c r="N287" s="115">
        <v>9.6929999999999996</v>
      </c>
      <c r="O287" s="115">
        <v>16</v>
      </c>
      <c r="P287" s="115">
        <v>5</v>
      </c>
      <c r="Q287" s="115">
        <v>9</v>
      </c>
      <c r="R287" s="115">
        <v>5</v>
      </c>
      <c r="S287" s="115">
        <v>47</v>
      </c>
      <c r="T287" s="115">
        <v>9.4</v>
      </c>
      <c r="U287" s="115">
        <v>0</v>
      </c>
      <c r="V287" s="115">
        <v>7.4399999999999994E-2</v>
      </c>
      <c r="W287" s="115">
        <v>2.3300000000000001E-2</v>
      </c>
      <c r="X287" s="115">
        <v>5.1200000000000002E-2</v>
      </c>
      <c r="Y287" s="115">
        <v>0.55510000000000004</v>
      </c>
      <c r="Z287" s="115">
        <v>116.502</v>
      </c>
      <c r="AA287" s="115">
        <v>9.4687999999999999</v>
      </c>
      <c r="AB287" s="115">
        <v>227.92</v>
      </c>
      <c r="AC287" s="115">
        <v>77.900000000000006</v>
      </c>
      <c r="AD287" s="115">
        <v>-1.2699999999999999E-2</v>
      </c>
      <c r="AE287" s="115">
        <v>1.54E-2</v>
      </c>
      <c r="AF287" s="115">
        <v>5.4600000000000003E-2</v>
      </c>
      <c r="AG287" s="115">
        <v>-2.0899999999999998E-2</v>
      </c>
      <c r="AH287" s="115">
        <v>0.1968</v>
      </c>
      <c r="AI287" s="115">
        <v>-9.4000000000000004E-3</v>
      </c>
      <c r="AJ287" s="115">
        <v>8.3999999999999995E-3</v>
      </c>
      <c r="AK287" s="115">
        <v>9.1674000000000007</v>
      </c>
      <c r="AL287" s="115">
        <v>8.3699999999999997E-2</v>
      </c>
      <c r="AM287" s="115">
        <v>6</v>
      </c>
      <c r="AN287" s="115">
        <v>2</v>
      </c>
      <c r="AO287" s="115">
        <v>0</v>
      </c>
      <c r="AP287" s="115">
        <v>0</v>
      </c>
      <c r="AQ287" s="115">
        <v>2</v>
      </c>
      <c r="AR287" s="115">
        <v>0</v>
      </c>
      <c r="AS287" s="115">
        <v>6.4999999999999997E-3</v>
      </c>
      <c r="AT287" s="115">
        <v>1.5871</v>
      </c>
      <c r="AU287" s="114" t="str">
        <f>IF(A287&lt;&gt;"",INDEX(Index!$B$1:$B$77,MATCH($A287,Index!$A$1:$A$77,0)),"")</f>
        <v>SEA</v>
      </c>
      <c r="AV287" s="123" t="str">
        <f>IF(B287&lt;&gt;"",INDEX(Index!$C$1:$C$77,MATCH($A287,Index!$A$1:$A$77,0)),"")</f>
        <v>Darnold</v>
      </c>
      <c r="AW287" s="123">
        <f t="shared" si="5"/>
        <v>33</v>
      </c>
      <c r="AX287" s="113">
        <v>9</v>
      </c>
    </row>
    <row r="288" spans="1:50" x14ac:dyDescent="0.25">
      <c r="A288" s="95" t="s">
        <v>558</v>
      </c>
      <c r="B288" s="96">
        <v>2025</v>
      </c>
      <c r="C288" s="96">
        <v>8</v>
      </c>
      <c r="D288" s="96">
        <v>0.76284799999999997</v>
      </c>
      <c r="E288" s="96">
        <v>-0.26499</v>
      </c>
      <c r="F288" s="115">
        <v>-0.65376299999999998</v>
      </c>
      <c r="G288" s="115">
        <v>28.749199999999998</v>
      </c>
      <c r="H288" s="115">
        <v>0.10340000000000001</v>
      </c>
      <c r="I288" s="115">
        <v>167</v>
      </c>
      <c r="J288" s="115">
        <v>243</v>
      </c>
      <c r="K288" s="115">
        <v>0.68720000000000003</v>
      </c>
      <c r="L288" s="115">
        <v>3.3458000000000001</v>
      </c>
      <c r="M288" s="115">
        <v>1692</v>
      </c>
      <c r="N288" s="115">
        <v>6.9630000000000001</v>
      </c>
      <c r="O288" s="115">
        <v>17</v>
      </c>
      <c r="P288" s="115">
        <v>5</v>
      </c>
      <c r="Q288" s="115">
        <v>15</v>
      </c>
      <c r="R288" s="115">
        <v>6</v>
      </c>
      <c r="S288" s="115">
        <v>24</v>
      </c>
      <c r="T288" s="115">
        <v>4</v>
      </c>
      <c r="U288" s="115">
        <v>0</v>
      </c>
      <c r="V288" s="115">
        <v>7.0000000000000007E-2</v>
      </c>
      <c r="W288" s="115">
        <v>2.06E-2</v>
      </c>
      <c r="X288" s="115">
        <v>4.9399999999999999E-2</v>
      </c>
      <c r="Y288" s="115">
        <v>0.4496</v>
      </c>
      <c r="Z288" s="115">
        <v>103.11199999999999</v>
      </c>
      <c r="AA288" s="115">
        <v>6.6279000000000003</v>
      </c>
      <c r="AB288" s="115">
        <v>175.75200000000001</v>
      </c>
      <c r="AC288" s="115">
        <v>52.7</v>
      </c>
      <c r="AD288" s="115">
        <v>-3.15E-2</v>
      </c>
      <c r="AE288" s="115">
        <v>2.7099999999999999E-2</v>
      </c>
      <c r="AF288" s="115">
        <v>6.4999999999999997E-3</v>
      </c>
      <c r="AG288" s="115">
        <v>1.0699999999999999E-2</v>
      </c>
      <c r="AH288" s="115">
        <v>-0.14419999999999999</v>
      </c>
      <c r="AI288" s="115">
        <v>0.12820000000000001</v>
      </c>
      <c r="AJ288" s="115">
        <v>1.44E-2</v>
      </c>
      <c r="AK288" s="115">
        <v>5.7202000000000002</v>
      </c>
      <c r="AL288" s="115">
        <v>-3.4979</v>
      </c>
      <c r="AM288" s="115">
        <v>5</v>
      </c>
      <c r="AN288" s="115">
        <v>3</v>
      </c>
      <c r="AO288" s="115">
        <v>0</v>
      </c>
      <c r="AP288" s="115">
        <v>1</v>
      </c>
      <c r="AQ288" s="115">
        <v>3</v>
      </c>
      <c r="AR288" s="115">
        <v>0.33329999999999999</v>
      </c>
      <c r="AS288" s="115">
        <v>2.8999999999999998E-3</v>
      </c>
      <c r="AT288" s="115">
        <v>0.80579999999999996</v>
      </c>
      <c r="AU288" s="114" t="str">
        <f>IF(A288&lt;&gt;"",INDEX(Index!$B$1:$B$77,MATCH($A288,Index!$A$1:$A$77,0)),"")</f>
        <v>GB</v>
      </c>
      <c r="AV288" s="123" t="str">
        <f>IF(B288&lt;&gt;"",INDEX(Index!$C$1:$C$77,MATCH($A288,Index!$A$1:$A$77,0)),"")</f>
        <v>Rodgers</v>
      </c>
      <c r="AW288" s="123">
        <f t="shared" si="5"/>
        <v>22</v>
      </c>
      <c r="AX288" s="113">
        <v>9</v>
      </c>
    </row>
    <row r="289" spans="1:50" x14ac:dyDescent="0.25">
      <c r="A289" s="95" t="s">
        <v>559</v>
      </c>
      <c r="B289" s="96">
        <v>2025</v>
      </c>
      <c r="C289" s="96">
        <v>8</v>
      </c>
      <c r="D289" s="96">
        <v>0.69211500000000004</v>
      </c>
      <c r="E289" s="96">
        <v>-0.62466500000000003</v>
      </c>
      <c r="F289" s="115">
        <v>2.2335199999999999E-2</v>
      </c>
      <c r="G289" s="115">
        <v>44.329300000000003</v>
      </c>
      <c r="H289" s="115">
        <v>0.13769999999999999</v>
      </c>
      <c r="I289" s="115">
        <v>172</v>
      </c>
      <c r="J289" s="115">
        <v>268</v>
      </c>
      <c r="K289" s="115">
        <v>0.64180000000000004</v>
      </c>
      <c r="L289" s="115">
        <v>-1.8402000000000001</v>
      </c>
      <c r="M289" s="115">
        <v>1919</v>
      </c>
      <c r="N289" s="115">
        <v>7.1604000000000001</v>
      </c>
      <c r="O289" s="115">
        <v>13</v>
      </c>
      <c r="P289" s="115">
        <v>2</v>
      </c>
      <c r="Q289" s="115">
        <v>17</v>
      </c>
      <c r="R289" s="115">
        <v>17</v>
      </c>
      <c r="S289" s="115">
        <v>162</v>
      </c>
      <c r="T289" s="115">
        <v>9.5294000000000008</v>
      </c>
      <c r="U289" s="115">
        <v>0</v>
      </c>
      <c r="V289" s="115">
        <v>4.8500000000000001E-2</v>
      </c>
      <c r="W289" s="115">
        <v>7.4999999999999997E-3</v>
      </c>
      <c r="X289" s="115">
        <v>4.1000000000000002E-2</v>
      </c>
      <c r="Y289" s="115">
        <v>0.45029999999999998</v>
      </c>
      <c r="Z289" s="115">
        <v>98.460800000000006</v>
      </c>
      <c r="AA289" s="115">
        <v>6.9088000000000003</v>
      </c>
      <c r="AB289" s="115">
        <v>204.422</v>
      </c>
      <c r="AC289" s="115">
        <v>61.3</v>
      </c>
      <c r="AD289" s="115">
        <v>2.6599999999999999E-2</v>
      </c>
      <c r="AE289" s="115">
        <v>1.5100000000000001E-2</v>
      </c>
      <c r="AF289" s="115">
        <v>-2.76E-2</v>
      </c>
      <c r="AG289" s="115">
        <v>3.9300000000000002E-2</v>
      </c>
      <c r="AH289" s="115">
        <v>-6.4799999999999996E-2</v>
      </c>
      <c r="AI289" s="115">
        <v>5.2499999999999998E-2</v>
      </c>
      <c r="AJ289" s="115">
        <v>4.1999999999999997E-3</v>
      </c>
      <c r="AK289" s="115">
        <v>8.6753999999999998</v>
      </c>
      <c r="AL289" s="115">
        <v>-0.27989999999999998</v>
      </c>
      <c r="AM289" s="115">
        <v>6</v>
      </c>
      <c r="AN289" s="115">
        <v>2</v>
      </c>
      <c r="AO289" s="115">
        <v>0</v>
      </c>
      <c r="AP289" s="115">
        <v>4</v>
      </c>
      <c r="AQ289" s="115">
        <v>5</v>
      </c>
      <c r="AR289" s="115">
        <v>0.8</v>
      </c>
      <c r="AS289" s="115">
        <v>6.3E-3</v>
      </c>
      <c r="AT289" s="115">
        <v>2.0356000000000001</v>
      </c>
      <c r="AU289" s="114" t="str">
        <f>IF(A289&lt;&gt;"",INDEX(Index!$B$1:$B$77,MATCH($A289,Index!$A$1:$A$77,0)),"")</f>
        <v>TB</v>
      </c>
      <c r="AV289" s="123" t="str">
        <f>IF(B289&lt;&gt;"",INDEX(Index!$C$1:$C$77,MATCH($A289,Index!$A$1:$A$77,0)),"")</f>
        <v>Mayfield</v>
      </c>
      <c r="AW289" s="123">
        <f t="shared" si="5"/>
        <v>13</v>
      </c>
      <c r="AX289" s="113">
        <v>9</v>
      </c>
    </row>
    <row r="290" spans="1:50" x14ac:dyDescent="0.25">
      <c r="A290" s="95" t="s">
        <v>560</v>
      </c>
      <c r="B290" s="96">
        <v>2025</v>
      </c>
      <c r="C290" s="96">
        <v>2</v>
      </c>
      <c r="D290" s="96">
        <v>0.67374000000000001</v>
      </c>
      <c r="E290" s="96">
        <v>-0.12831300000000001</v>
      </c>
      <c r="F290" s="115">
        <v>-1.32458E-2</v>
      </c>
      <c r="G290" s="115">
        <v>16.7165</v>
      </c>
      <c r="H290" s="115">
        <v>0.19670000000000001</v>
      </c>
      <c r="I290" s="115">
        <v>48</v>
      </c>
      <c r="J290" s="115">
        <v>73</v>
      </c>
      <c r="K290" s="115">
        <v>0.65749999999999997</v>
      </c>
      <c r="L290" s="115">
        <v>3.0061</v>
      </c>
      <c r="M290" s="115">
        <v>586</v>
      </c>
      <c r="N290" s="115">
        <v>8.0274000000000001</v>
      </c>
      <c r="O290" s="115">
        <v>4</v>
      </c>
      <c r="P290" s="115">
        <v>4</v>
      </c>
      <c r="Q290" s="115">
        <v>2</v>
      </c>
      <c r="R290" s="115">
        <v>5</v>
      </c>
      <c r="S290" s="115">
        <v>32</v>
      </c>
      <c r="T290" s="115">
        <v>6.4</v>
      </c>
      <c r="U290" s="115">
        <v>0</v>
      </c>
      <c r="V290" s="115">
        <v>5.4800000000000001E-2</v>
      </c>
      <c r="W290" s="115">
        <v>5.4800000000000001E-2</v>
      </c>
      <c r="X290" s="115">
        <v>0</v>
      </c>
      <c r="Y290" s="115">
        <v>0.57650000000000001</v>
      </c>
      <c r="Z290" s="115">
        <v>85.759100000000004</v>
      </c>
      <c r="AA290" s="115">
        <v>6.28</v>
      </c>
      <c r="AB290" s="115">
        <v>190.423</v>
      </c>
      <c r="AC290" s="115">
        <v>67.2</v>
      </c>
      <c r="AD290" s="115">
        <v>-4.0000000000000001E-3</v>
      </c>
      <c r="AE290" s="115">
        <v>2.8000000000000001E-2</v>
      </c>
      <c r="AF290" s="115">
        <v>-4.4000000000000003E-3</v>
      </c>
      <c r="AG290" s="115">
        <v>-0.1217</v>
      </c>
      <c r="AH290" s="115">
        <v>0.16320000000000001</v>
      </c>
      <c r="AI290" s="115">
        <v>2.3E-2</v>
      </c>
      <c r="AJ290" s="115">
        <v>2.0299999999999999E-2</v>
      </c>
      <c r="AK290" s="115">
        <v>7.7534000000000001</v>
      </c>
      <c r="AL290" s="115">
        <v>-0.39729999999999999</v>
      </c>
      <c r="AM290" s="115">
        <v>1</v>
      </c>
      <c r="AN290" s="115">
        <v>1</v>
      </c>
      <c r="AO290" s="115">
        <v>0</v>
      </c>
      <c r="AP290" s="115">
        <v>1</v>
      </c>
      <c r="AQ290" s="115">
        <v>2</v>
      </c>
      <c r="AR290" s="115">
        <v>0.5</v>
      </c>
      <c r="AS290" s="115">
        <v>8.0999999999999996E-3</v>
      </c>
      <c r="AT290" s="115">
        <v>0.68879999999999997</v>
      </c>
      <c r="AU290" s="114" t="str">
        <f>IF(A290&lt;&gt;"",INDEX(Index!$B$1:$B$77,MATCH($A290,Index!$A$1:$A$77,0)),"")</f>
        <v>SF</v>
      </c>
      <c r="AV290" s="123" t="str">
        <f>IF(B290&lt;&gt;"",INDEX(Index!$C$1:$C$77,MATCH($A290,Index!$A$1:$A$77,0)),"")</f>
        <v>Purdy</v>
      </c>
      <c r="AW290" s="123">
        <f t="shared" si="5"/>
        <v>43</v>
      </c>
      <c r="AX290" s="113">
        <v>9</v>
      </c>
    </row>
    <row r="291" spans="1:50" x14ac:dyDescent="0.25">
      <c r="A291" s="95" t="s">
        <v>570</v>
      </c>
      <c r="B291" s="96">
        <v>2025</v>
      </c>
      <c r="C291" s="96">
        <v>9</v>
      </c>
      <c r="D291" s="96">
        <v>0.61238000000000004</v>
      </c>
      <c r="E291" s="96">
        <v>-0.46233200000000002</v>
      </c>
      <c r="F291" s="115">
        <v>1.31274</v>
      </c>
      <c r="G291" s="115">
        <v>98.367599999999996</v>
      </c>
      <c r="H291" s="115">
        <v>0.27950000000000003</v>
      </c>
      <c r="I291" s="115">
        <v>189</v>
      </c>
      <c r="J291" s="115">
        <v>255</v>
      </c>
      <c r="K291" s="115">
        <v>0.74119999999999997</v>
      </c>
      <c r="L291" s="115">
        <v>11.519299999999999</v>
      </c>
      <c r="M291" s="115">
        <v>2285</v>
      </c>
      <c r="N291" s="115">
        <v>8.9608000000000008</v>
      </c>
      <c r="O291" s="115">
        <v>17</v>
      </c>
      <c r="P291" s="115">
        <v>4</v>
      </c>
      <c r="Q291" s="115">
        <v>34</v>
      </c>
      <c r="R291" s="115">
        <v>45</v>
      </c>
      <c r="S291" s="115">
        <v>283</v>
      </c>
      <c r="T291" s="115">
        <v>6.2888999999999999</v>
      </c>
      <c r="U291" s="115">
        <v>2</v>
      </c>
      <c r="V291" s="115">
        <v>6.6699999999999995E-2</v>
      </c>
      <c r="W291" s="115">
        <v>1.5699999999999999E-2</v>
      </c>
      <c r="X291" s="115">
        <v>5.0999999999999997E-2</v>
      </c>
      <c r="Y291" s="115">
        <v>0.52839999999999998</v>
      </c>
      <c r="Z291" s="115">
        <v>116.871</v>
      </c>
      <c r="AA291" s="115">
        <v>7.9343000000000004</v>
      </c>
      <c r="AB291" s="115">
        <v>216.809</v>
      </c>
      <c r="AC291" s="115">
        <v>74</v>
      </c>
      <c r="AD291" s="115">
        <v>1.4999999999999999E-2</v>
      </c>
      <c r="AE291" s="115">
        <v>-4.3999999999999997E-2</v>
      </c>
      <c r="AF291" s="115">
        <v>7.3700000000000002E-2</v>
      </c>
      <c r="AG291" s="115">
        <v>2.2200000000000001E-2</v>
      </c>
      <c r="AH291" s="115">
        <v>0.15459999999999999</v>
      </c>
      <c r="AI291" s="115">
        <v>-3.2099999999999997E-2</v>
      </c>
      <c r="AJ291" s="115">
        <v>-2.2000000000000001E-3</v>
      </c>
      <c r="AK291" s="115">
        <v>8.2195999999999998</v>
      </c>
      <c r="AL291" s="115">
        <v>-0.82750000000000001</v>
      </c>
      <c r="AM291" s="115">
        <v>7</v>
      </c>
      <c r="AN291" s="115">
        <v>2</v>
      </c>
      <c r="AO291" s="115">
        <v>0</v>
      </c>
      <c r="AP291" s="115">
        <v>0</v>
      </c>
      <c r="AQ291" s="115">
        <v>2</v>
      </c>
      <c r="AR291" s="115">
        <v>0</v>
      </c>
      <c r="AS291" s="115">
        <v>7.7000000000000002E-3</v>
      </c>
      <c r="AT291" s="115">
        <v>2.7075</v>
      </c>
      <c r="AU291" s="114" t="str">
        <f>IF(A291&lt;&gt;"",INDEX(Index!$B$1:$B$77,MATCH($A291,Index!$A$1:$A$77,0)),"")</f>
        <v>NE</v>
      </c>
      <c r="AV291" s="123" t="str">
        <f>IF(B291&lt;&gt;"",INDEX(Index!$C$1:$C$77,MATCH($A291,Index!$A$1:$A$77,0)),"")</f>
        <v>Maye</v>
      </c>
      <c r="AW291" s="123">
        <f t="shared" si="5"/>
        <v>2</v>
      </c>
      <c r="AX291" s="113">
        <v>9</v>
      </c>
    </row>
    <row r="292" spans="1:50" x14ac:dyDescent="0.25">
      <c r="A292" s="95" t="s">
        <v>562</v>
      </c>
      <c r="B292" s="96">
        <v>2025</v>
      </c>
      <c r="C292" s="96">
        <v>6</v>
      </c>
      <c r="D292" s="96">
        <v>0.55245100000000003</v>
      </c>
      <c r="E292" s="96">
        <v>-0.27734900000000001</v>
      </c>
      <c r="F292" s="115">
        <v>-0.58660000000000001</v>
      </c>
      <c r="G292" s="115">
        <v>21.349</v>
      </c>
      <c r="H292" s="115">
        <v>8.5400000000000004E-2</v>
      </c>
      <c r="I292" s="115">
        <v>105</v>
      </c>
      <c r="J292" s="115">
        <v>166</v>
      </c>
      <c r="K292" s="115">
        <v>0.63249999999999995</v>
      </c>
      <c r="L292" s="115">
        <v>-1.2165999999999999</v>
      </c>
      <c r="M292" s="115">
        <v>1184</v>
      </c>
      <c r="N292" s="115">
        <v>7.1325000000000003</v>
      </c>
      <c r="O292" s="115">
        <v>8</v>
      </c>
      <c r="P292" s="115">
        <v>2</v>
      </c>
      <c r="Q292" s="115">
        <v>17</v>
      </c>
      <c r="R292" s="115">
        <v>48</v>
      </c>
      <c r="S292" s="115">
        <v>267</v>
      </c>
      <c r="T292" s="115">
        <v>5.5625</v>
      </c>
      <c r="U292" s="115">
        <v>2</v>
      </c>
      <c r="V292" s="115">
        <v>4.82E-2</v>
      </c>
      <c r="W292" s="115">
        <v>1.2E-2</v>
      </c>
      <c r="X292" s="115">
        <v>3.61E-2</v>
      </c>
      <c r="Y292" s="115">
        <v>0.48399999999999999</v>
      </c>
      <c r="Z292" s="115">
        <v>95.557199999999995</v>
      </c>
      <c r="AA292" s="115">
        <v>6.4261999999999997</v>
      </c>
      <c r="AB292" s="115">
        <v>169.989</v>
      </c>
      <c r="AC292" s="115">
        <v>51.8</v>
      </c>
      <c r="AD292" s="115">
        <v>6.7000000000000002E-3</v>
      </c>
      <c r="AE292" s="115">
        <v>-4.8999999999999998E-3</v>
      </c>
      <c r="AF292" s="115">
        <v>-2.7400000000000001E-2</v>
      </c>
      <c r="AG292" s="115">
        <v>3.7600000000000001E-2</v>
      </c>
      <c r="AH292" s="115">
        <v>1.21E-2</v>
      </c>
      <c r="AI292" s="115">
        <v>-3.1E-2</v>
      </c>
      <c r="AJ292" s="115">
        <v>0</v>
      </c>
      <c r="AK292" s="115">
        <v>8.0060000000000002</v>
      </c>
      <c r="AL292" s="115">
        <v>-0.87949999999999995</v>
      </c>
      <c r="AM292" s="115">
        <v>2</v>
      </c>
      <c r="AN292" s="115">
        <v>4</v>
      </c>
      <c r="AO292" s="115">
        <v>0</v>
      </c>
      <c r="AP292" s="115">
        <v>0</v>
      </c>
      <c r="AQ292" s="115">
        <v>0</v>
      </c>
      <c r="AR292" s="115"/>
      <c r="AS292" s="115">
        <v>2.8999999999999998E-3</v>
      </c>
      <c r="AT292" s="115">
        <v>0.72760000000000002</v>
      </c>
      <c r="AU292" s="114" t="str">
        <f>IF(A292&lt;&gt;"",INDEX(Index!$B$1:$B$77,MATCH($A292,Index!$A$1:$A$77,0)),"")</f>
        <v>WAS</v>
      </c>
      <c r="AV292" s="123" t="str">
        <f>IF(B292&lt;&gt;"",INDEX(Index!$C$1:$C$77,MATCH($A292,Index!$A$1:$A$77,0)),"")</f>
        <v>Daniels</v>
      </c>
      <c r="AW292" s="123">
        <f t="shared" si="5"/>
        <v>13</v>
      </c>
      <c r="AX292" s="113">
        <v>9</v>
      </c>
    </row>
    <row r="293" spans="1:50" x14ac:dyDescent="0.25">
      <c r="A293" s="95" t="s">
        <v>556</v>
      </c>
      <c r="B293" s="96">
        <v>2025</v>
      </c>
      <c r="C293" s="96">
        <v>5</v>
      </c>
      <c r="D293" s="96">
        <v>0.54442400000000002</v>
      </c>
      <c r="E293" s="96">
        <v>3.6627199999999999E-2</v>
      </c>
      <c r="F293" s="115">
        <v>-0.83574700000000002</v>
      </c>
      <c r="G293" s="115">
        <v>23.545000000000002</v>
      </c>
      <c r="H293" s="115">
        <v>0.107</v>
      </c>
      <c r="I293" s="115">
        <v>110</v>
      </c>
      <c r="J293" s="115">
        <v>161</v>
      </c>
      <c r="K293" s="115">
        <v>0.68320000000000003</v>
      </c>
      <c r="L293" s="115">
        <v>-0.52880000000000005</v>
      </c>
      <c r="M293" s="115">
        <v>962</v>
      </c>
      <c r="N293" s="115">
        <v>5.9752000000000001</v>
      </c>
      <c r="O293" s="115">
        <v>6</v>
      </c>
      <c r="P293" s="115">
        <v>3</v>
      </c>
      <c r="Q293" s="115">
        <v>16</v>
      </c>
      <c r="R293" s="115">
        <v>27</v>
      </c>
      <c r="S293" s="115">
        <v>175</v>
      </c>
      <c r="T293" s="115">
        <v>6.4814999999999996</v>
      </c>
      <c r="U293" s="115">
        <v>1</v>
      </c>
      <c r="V293" s="115">
        <v>3.73E-2</v>
      </c>
      <c r="W293" s="115">
        <v>1.8599999999999998E-2</v>
      </c>
      <c r="X293" s="115">
        <v>1.8599999999999998E-2</v>
      </c>
      <c r="Y293" s="115">
        <v>0.45</v>
      </c>
      <c r="Z293" s="115">
        <v>88.573999999999998</v>
      </c>
      <c r="AA293" s="115">
        <v>4.7232000000000003</v>
      </c>
      <c r="AB293" s="115">
        <v>151.27199999999999</v>
      </c>
      <c r="AC293" s="115">
        <v>44.4</v>
      </c>
      <c r="AD293" s="115">
        <v>5.7999999999999996E-3</v>
      </c>
      <c r="AE293" s="115">
        <v>-5.0000000000000001E-4</v>
      </c>
      <c r="AF293" s="115">
        <v>3.8600000000000002E-2</v>
      </c>
      <c r="AG293" s="115">
        <v>2.9700000000000001E-2</v>
      </c>
      <c r="AH293" s="115">
        <v>-9.7299999999999998E-2</v>
      </c>
      <c r="AI293" s="115">
        <v>2.0400000000000001E-2</v>
      </c>
      <c r="AJ293" s="115">
        <v>1.83E-2</v>
      </c>
      <c r="AK293" s="115">
        <v>5.8446999999999996</v>
      </c>
      <c r="AL293" s="115">
        <v>-3.0682999999999998</v>
      </c>
      <c r="AM293" s="115">
        <v>2</v>
      </c>
      <c r="AN293" s="115">
        <v>3</v>
      </c>
      <c r="AO293" s="115">
        <v>0</v>
      </c>
      <c r="AP293" s="115">
        <v>0</v>
      </c>
      <c r="AQ293" s="115">
        <v>2</v>
      </c>
      <c r="AR293" s="115">
        <v>0</v>
      </c>
      <c r="AS293" s="115">
        <v>4.1999999999999997E-3</v>
      </c>
      <c r="AT293" s="115">
        <v>0.92720000000000002</v>
      </c>
      <c r="AU293" s="114" t="str">
        <f>IF(A293&lt;&gt;"",INDEX(Index!$B$1:$B$77,MATCH($A293,Index!$A$1:$A$77,0)),"")</f>
        <v>ARI</v>
      </c>
      <c r="AV293" s="123" t="str">
        <f>IF(B293&lt;&gt;"",INDEX(Index!$C$1:$C$77,MATCH($A293,Index!$A$1:$A$77,0)),"")</f>
        <v>Murray</v>
      </c>
      <c r="AW293" s="123">
        <f t="shared" si="5"/>
        <v>19</v>
      </c>
      <c r="AX293" s="113">
        <v>9</v>
      </c>
    </row>
    <row r="294" spans="1:50" x14ac:dyDescent="0.25">
      <c r="A294" s="95" t="s">
        <v>568</v>
      </c>
      <c r="B294" s="96">
        <v>2025</v>
      </c>
      <c r="C294" s="96">
        <v>9</v>
      </c>
      <c r="D294" s="96">
        <v>0.37099399999999999</v>
      </c>
      <c r="E294" s="96">
        <v>-0.51385700000000001</v>
      </c>
      <c r="F294" s="115">
        <v>2.0174500000000002</v>
      </c>
      <c r="G294" s="115">
        <v>80.724299999999999</v>
      </c>
      <c r="H294" s="115">
        <v>0.2326</v>
      </c>
      <c r="I294" s="115">
        <v>204</v>
      </c>
      <c r="J294" s="115">
        <v>291</v>
      </c>
      <c r="K294" s="115">
        <v>0.70099999999999996</v>
      </c>
      <c r="L294" s="115">
        <v>3.9367000000000001</v>
      </c>
      <c r="M294" s="115">
        <v>2404</v>
      </c>
      <c r="N294" s="115">
        <v>8.2612000000000005</v>
      </c>
      <c r="O294" s="115">
        <v>14</v>
      </c>
      <c r="P294" s="115">
        <v>6</v>
      </c>
      <c r="Q294" s="115">
        <v>14</v>
      </c>
      <c r="R294" s="115">
        <v>26</v>
      </c>
      <c r="S294" s="115">
        <v>93</v>
      </c>
      <c r="T294" s="115">
        <v>3.5769000000000002</v>
      </c>
      <c r="U294" s="115">
        <v>5</v>
      </c>
      <c r="V294" s="115">
        <v>4.8099999999999997E-2</v>
      </c>
      <c r="W294" s="115">
        <v>2.06E-2</v>
      </c>
      <c r="X294" s="115">
        <v>2.75E-2</v>
      </c>
      <c r="Y294" s="115">
        <v>0.53890000000000005</v>
      </c>
      <c r="Z294" s="115">
        <v>102.37</v>
      </c>
      <c r="AA294" s="115">
        <v>7.6097999999999999</v>
      </c>
      <c r="AB294" s="115">
        <v>236.215</v>
      </c>
      <c r="AC294" s="115">
        <v>70.599999999999994</v>
      </c>
      <c r="AD294" s="115">
        <v>1.3599999999999999E-2</v>
      </c>
      <c r="AE294" s="115">
        <v>2.1000000000000001E-2</v>
      </c>
      <c r="AF294" s="115">
        <v>4.7100000000000003E-2</v>
      </c>
      <c r="AG294" s="115">
        <v>-8.5000000000000006E-3</v>
      </c>
      <c r="AH294" s="115">
        <v>4.6800000000000001E-2</v>
      </c>
      <c r="AI294" s="115">
        <v>3.15E-2</v>
      </c>
      <c r="AJ294" s="115">
        <v>-1.12E-2</v>
      </c>
      <c r="AK294" s="115">
        <v>8.4777000000000005</v>
      </c>
      <c r="AL294" s="115">
        <v>-0.32990000000000003</v>
      </c>
      <c r="AM294" s="115">
        <v>7</v>
      </c>
      <c r="AN294" s="115">
        <v>2</v>
      </c>
      <c r="AO294" s="115">
        <v>0</v>
      </c>
      <c r="AP294" s="115">
        <v>2</v>
      </c>
      <c r="AQ294" s="115">
        <v>3</v>
      </c>
      <c r="AR294" s="115">
        <v>0.66669999999999996</v>
      </c>
      <c r="AS294" s="115">
        <v>4.8999999999999998E-3</v>
      </c>
      <c r="AT294" s="115">
        <v>1.6869000000000001</v>
      </c>
      <c r="AU294" s="114" t="str">
        <f>IF(A294&lt;&gt;"",INDEX(Index!$B$1:$B$77,MATCH($A294,Index!$A$1:$A$77,0)),"")</f>
        <v>IND</v>
      </c>
      <c r="AV294" s="123" t="str">
        <f>IF(B294&lt;&gt;"",INDEX(Index!$C$1:$C$77,MATCH($A294,Index!$A$1:$A$77,0)),"")</f>
        <v>Jones</v>
      </c>
      <c r="AW294" s="123">
        <f t="shared" si="5"/>
        <v>24</v>
      </c>
      <c r="AX294" s="113">
        <v>9</v>
      </c>
    </row>
    <row r="295" spans="1:50" x14ac:dyDescent="0.25">
      <c r="A295" s="95" t="s">
        <v>591</v>
      </c>
      <c r="B295" s="96">
        <v>2025</v>
      </c>
      <c r="C295" s="96">
        <v>1</v>
      </c>
      <c r="D295" s="96">
        <v>0.20449000000000001</v>
      </c>
      <c r="E295" s="96">
        <v>-0.32927400000000001</v>
      </c>
      <c r="F295" s="115">
        <v>-0.32927400000000001</v>
      </c>
      <c r="G295" s="115">
        <v>-6.4212999999999996</v>
      </c>
      <c r="H295" s="115">
        <v>-0.15659999999999999</v>
      </c>
      <c r="I295" s="115">
        <v>26</v>
      </c>
      <c r="J295" s="115">
        <v>38</v>
      </c>
      <c r="K295" s="115">
        <v>0.68420000000000003</v>
      </c>
      <c r="L295" s="115">
        <v>0.43859999999999999</v>
      </c>
      <c r="M295" s="115">
        <v>202</v>
      </c>
      <c r="N295" s="115">
        <v>5.3158000000000003</v>
      </c>
      <c r="O295" s="115">
        <v>0</v>
      </c>
      <c r="P295" s="115">
        <v>0</v>
      </c>
      <c r="Q295" s="115">
        <v>1</v>
      </c>
      <c r="R295" s="115">
        <v>1</v>
      </c>
      <c r="S295" s="115">
        <v>3</v>
      </c>
      <c r="T295" s="115">
        <v>3</v>
      </c>
      <c r="U295" s="115">
        <v>0</v>
      </c>
      <c r="V295" s="115">
        <v>0</v>
      </c>
      <c r="W295" s="115">
        <v>0</v>
      </c>
      <c r="X295" s="115">
        <v>0</v>
      </c>
      <c r="Y295" s="115">
        <v>0.41460000000000002</v>
      </c>
      <c r="Z295" s="115">
        <v>81.25</v>
      </c>
      <c r="AA295" s="115">
        <v>5.0513000000000003</v>
      </c>
      <c r="AB295" s="115">
        <v>92.161000000000001</v>
      </c>
      <c r="AC295" s="115"/>
      <c r="AD295" s="115">
        <v>-3.1E-2</v>
      </c>
      <c r="AE295" s="115">
        <v>6.5299999999999997E-2</v>
      </c>
      <c r="AF295" s="115">
        <v>-0.16420000000000001</v>
      </c>
      <c r="AG295" s="115">
        <v>7.1400000000000005E-2</v>
      </c>
      <c r="AH295" s="115">
        <v>-0.13469999999999999</v>
      </c>
      <c r="AI295" s="115">
        <v>-9.0200000000000002E-2</v>
      </c>
      <c r="AJ295" s="115">
        <v>3.4500000000000003E-2</v>
      </c>
      <c r="AK295" s="115">
        <v>7.7632000000000003</v>
      </c>
      <c r="AL295" s="115">
        <v>-0.52629999999999999</v>
      </c>
      <c r="AM295" s="115">
        <v>0</v>
      </c>
      <c r="AN295" s="115">
        <v>2</v>
      </c>
      <c r="AO295" s="115">
        <v>0</v>
      </c>
      <c r="AP295" s="115">
        <v>0</v>
      </c>
      <c r="AQ295" s="115">
        <v>0</v>
      </c>
      <c r="AR295" s="115"/>
      <c r="AS295" s="115">
        <v>-2.9999999999999997E-4</v>
      </c>
      <c r="AT295" s="115">
        <v>-1.21E-2</v>
      </c>
      <c r="AU295" s="114" t="str">
        <f>IF(A295&lt;&gt;"",INDEX(Index!$B$1:$B$77,MATCH($A295,Index!$A$1:$A$77,0)),"")</f>
        <v>ATL</v>
      </c>
      <c r="AV295" s="123" t="str">
        <f>IF(B295&lt;&gt;"",INDEX(Index!$C$1:$C$77,MATCH($A295,Index!$A$1:$A$77,0)),"")</f>
        <v>Cousins</v>
      </c>
      <c r="AW295" s="123">
        <f t="shared" si="5"/>
        <v>44</v>
      </c>
      <c r="AX295" s="113">
        <v>9</v>
      </c>
    </row>
    <row r="296" spans="1:50" x14ac:dyDescent="0.25">
      <c r="A296" s="95" t="s">
        <v>564</v>
      </c>
      <c r="B296" s="96">
        <v>2025</v>
      </c>
      <c r="C296" s="96">
        <v>3</v>
      </c>
      <c r="D296" s="96">
        <v>-9.6563700000000002E-2</v>
      </c>
      <c r="E296" s="96">
        <v>-0.72087800000000002</v>
      </c>
      <c r="F296" s="115">
        <v>-0.42435</v>
      </c>
      <c r="G296" s="115">
        <v>-0.13880000000000001</v>
      </c>
      <c r="H296" s="115">
        <v>-8.9999999999999998E-4</v>
      </c>
      <c r="I296" s="115">
        <v>66</v>
      </c>
      <c r="J296" s="115">
        <v>112</v>
      </c>
      <c r="K296" s="115">
        <v>0.58930000000000005</v>
      </c>
      <c r="L296" s="115">
        <v>-0.86109999999999998</v>
      </c>
      <c r="M296" s="115">
        <v>786</v>
      </c>
      <c r="N296" s="115">
        <v>7.0179</v>
      </c>
      <c r="O296" s="115">
        <v>3</v>
      </c>
      <c r="P296" s="115">
        <v>3</v>
      </c>
      <c r="Q296" s="115">
        <v>8</v>
      </c>
      <c r="R296" s="115">
        <v>16</v>
      </c>
      <c r="S296" s="115">
        <v>94</v>
      </c>
      <c r="T296" s="115">
        <v>5.875</v>
      </c>
      <c r="U296" s="115">
        <v>0</v>
      </c>
      <c r="V296" s="115">
        <v>2.6800000000000001E-2</v>
      </c>
      <c r="W296" s="115">
        <v>2.6800000000000001E-2</v>
      </c>
      <c r="X296" s="115">
        <v>0</v>
      </c>
      <c r="Y296" s="115">
        <v>0.41499999999999998</v>
      </c>
      <c r="Z296" s="115">
        <v>78.199399999999997</v>
      </c>
      <c r="AA296" s="115">
        <v>5.4832999999999998</v>
      </c>
      <c r="AB296" s="115">
        <v>140.05699999999999</v>
      </c>
      <c r="AC296" s="115"/>
      <c r="AD296" s="115">
        <v>-3.3300000000000003E-2</v>
      </c>
      <c r="AE296" s="115">
        <v>1.9699999999999999E-2</v>
      </c>
      <c r="AF296" s="115">
        <v>-0.10630000000000001</v>
      </c>
      <c r="AG296" s="115">
        <v>1.14E-2</v>
      </c>
      <c r="AH296" s="115">
        <v>3.56E-2</v>
      </c>
      <c r="AI296" s="115">
        <v>-8.4500000000000006E-2</v>
      </c>
      <c r="AJ296" s="115">
        <v>6.4100000000000004E-2</v>
      </c>
      <c r="AK296" s="115">
        <v>9.2589000000000006</v>
      </c>
      <c r="AL296" s="115">
        <v>0.19639999999999999</v>
      </c>
      <c r="AM296" s="115">
        <v>2</v>
      </c>
      <c r="AN296" s="115">
        <v>3</v>
      </c>
      <c r="AO296" s="115">
        <v>0</v>
      </c>
      <c r="AP296" s="115">
        <v>0</v>
      </c>
      <c r="AQ296" s="115">
        <v>2</v>
      </c>
      <c r="AR296" s="115">
        <v>0</v>
      </c>
      <c r="AS296" s="115">
        <v>7.4999999999999997E-3</v>
      </c>
      <c r="AT296" s="115">
        <v>1.0956999999999999</v>
      </c>
      <c r="AU296" s="114" t="str">
        <f>IF(A296&lt;&gt;"",INDEX(Index!$B$1:$B$77,MATCH($A296,Index!$A$1:$A$77,0)),"")</f>
        <v>NYG</v>
      </c>
      <c r="AV296" s="123" t="str">
        <f>IF(B296&lt;&gt;"",INDEX(Index!$C$1:$C$77,MATCH($A296,Index!$A$1:$A$77,0)),"")</f>
        <v>Wilson</v>
      </c>
      <c r="AW296" s="123">
        <f t="shared" si="5"/>
        <v>37</v>
      </c>
      <c r="AX296" s="113">
        <v>9</v>
      </c>
    </row>
    <row r="297" spans="1:50" x14ac:dyDescent="0.25">
      <c r="A297" s="95" t="s">
        <v>565</v>
      </c>
      <c r="B297" s="96">
        <v>2025</v>
      </c>
      <c r="C297" s="96">
        <v>9</v>
      </c>
      <c r="D297" s="96">
        <v>-0.47555399999999998</v>
      </c>
      <c r="E297" s="96">
        <v>-0.29983300000000002</v>
      </c>
      <c r="F297" s="115">
        <v>-1.7813300000000001</v>
      </c>
      <c r="G297" s="115">
        <v>-3.6181999999999999</v>
      </c>
      <c r="H297" s="115">
        <v>-1.14E-2</v>
      </c>
      <c r="I297" s="115">
        <v>184</v>
      </c>
      <c r="J297" s="115">
        <v>270</v>
      </c>
      <c r="K297" s="115">
        <v>0.68149999999999999</v>
      </c>
      <c r="L297" s="115">
        <v>1.5152000000000001</v>
      </c>
      <c r="M297" s="115">
        <v>1779</v>
      </c>
      <c r="N297" s="115">
        <v>6.5888999999999998</v>
      </c>
      <c r="O297" s="115">
        <v>15</v>
      </c>
      <c r="P297" s="115">
        <v>11</v>
      </c>
      <c r="Q297" s="115">
        <v>18</v>
      </c>
      <c r="R297" s="115">
        <v>8</v>
      </c>
      <c r="S297" s="115">
        <v>37</v>
      </c>
      <c r="T297" s="115">
        <v>4.625</v>
      </c>
      <c r="U297" s="115">
        <v>0</v>
      </c>
      <c r="V297" s="115">
        <v>5.5599999999999997E-2</v>
      </c>
      <c r="W297" s="115">
        <v>4.07E-2</v>
      </c>
      <c r="X297" s="115">
        <v>1.4800000000000001E-2</v>
      </c>
      <c r="Y297" s="115">
        <v>0.4335</v>
      </c>
      <c r="Z297" s="115">
        <v>87.870400000000004</v>
      </c>
      <c r="AA297" s="115">
        <v>5.1388999999999996</v>
      </c>
      <c r="AB297" s="115">
        <v>124.545</v>
      </c>
      <c r="AC297" s="115">
        <v>43.3</v>
      </c>
      <c r="AD297" s="115">
        <v>-2.81E-2</v>
      </c>
      <c r="AE297" s="115">
        <v>1.06E-2</v>
      </c>
      <c r="AF297" s="115">
        <v>8.8000000000000005E-3</v>
      </c>
      <c r="AG297" s="115">
        <v>-5.7799999999999997E-2</v>
      </c>
      <c r="AH297" s="115">
        <v>-1.49E-2</v>
      </c>
      <c r="AI297" s="115">
        <v>1.8200000000000001E-2</v>
      </c>
      <c r="AJ297" s="115">
        <v>-4.0599999999999997E-2</v>
      </c>
      <c r="AK297" s="115">
        <v>6.6369999999999996</v>
      </c>
      <c r="AL297" s="115">
        <v>-2.2222</v>
      </c>
      <c r="AM297" s="115">
        <v>2</v>
      </c>
      <c r="AN297" s="115">
        <v>7</v>
      </c>
      <c r="AO297" s="115">
        <v>0</v>
      </c>
      <c r="AP297" s="115">
        <v>0</v>
      </c>
      <c r="AQ297" s="115">
        <v>4</v>
      </c>
      <c r="AR297" s="115">
        <v>0</v>
      </c>
      <c r="AS297" s="115">
        <v>1E-4</v>
      </c>
      <c r="AT297" s="115">
        <v>4.5900000000000003E-2</v>
      </c>
      <c r="AU297" s="114" t="str">
        <f>IF(A297&lt;&gt;"",INDEX(Index!$B$1:$B$77,MATCH($A297,Index!$A$1:$A$77,0)),"")</f>
        <v>MIA</v>
      </c>
      <c r="AV297" s="123" t="str">
        <f>IF(B297&lt;&gt;"",INDEX(Index!$C$1:$C$77,MATCH($A297,Index!$A$1:$A$77,0)),"")</f>
        <v>Tagovailoa</v>
      </c>
      <c r="AW297" s="123">
        <f t="shared" si="5"/>
        <v>10</v>
      </c>
      <c r="AX297" s="113">
        <v>9</v>
      </c>
    </row>
    <row r="298" spans="1:50" x14ac:dyDescent="0.25">
      <c r="A298" s="95" t="s">
        <v>574</v>
      </c>
      <c r="B298" s="96">
        <v>2025</v>
      </c>
      <c r="C298" s="96">
        <v>8</v>
      </c>
      <c r="D298" s="96">
        <v>-0.49603399999999997</v>
      </c>
      <c r="E298" s="96">
        <v>0.56745900000000005</v>
      </c>
      <c r="F298" s="115">
        <v>1.00979</v>
      </c>
      <c r="G298" s="115">
        <v>32.450600000000001</v>
      </c>
      <c r="H298" s="115">
        <v>0.1011</v>
      </c>
      <c r="I298" s="115">
        <v>158</v>
      </c>
      <c r="J298" s="115">
        <v>257</v>
      </c>
      <c r="K298" s="115">
        <v>0.61480000000000001</v>
      </c>
      <c r="L298" s="115">
        <v>-3.1192000000000002</v>
      </c>
      <c r="M298" s="115">
        <v>1916</v>
      </c>
      <c r="N298" s="115">
        <v>7.4553000000000003</v>
      </c>
      <c r="O298" s="115">
        <v>12</v>
      </c>
      <c r="P298" s="115">
        <v>4</v>
      </c>
      <c r="Q298" s="115">
        <v>14</v>
      </c>
      <c r="R298" s="115">
        <v>31</v>
      </c>
      <c r="S298" s="115">
        <v>190</v>
      </c>
      <c r="T298" s="115">
        <v>6.1289999999999996</v>
      </c>
      <c r="U298" s="115">
        <v>2</v>
      </c>
      <c r="V298" s="115">
        <v>4.6699999999999998E-2</v>
      </c>
      <c r="W298" s="115">
        <v>1.5599999999999999E-2</v>
      </c>
      <c r="X298" s="115">
        <v>3.1099999999999999E-2</v>
      </c>
      <c r="Y298" s="115">
        <v>0.44550000000000001</v>
      </c>
      <c r="Z298" s="115">
        <v>93.458200000000005</v>
      </c>
      <c r="AA298" s="115">
        <v>6.9482999999999997</v>
      </c>
      <c r="AB298" s="115">
        <v>186.22200000000001</v>
      </c>
      <c r="AC298" s="115">
        <v>55.2</v>
      </c>
      <c r="AD298" s="115">
        <v>-2.7699999999999999E-2</v>
      </c>
      <c r="AE298" s="115">
        <v>3.6400000000000002E-2</v>
      </c>
      <c r="AF298" s="115">
        <v>-2.6200000000000001E-2</v>
      </c>
      <c r="AG298" s="115">
        <v>2.23E-2</v>
      </c>
      <c r="AH298" s="115">
        <v>-8.0000000000000002E-3</v>
      </c>
      <c r="AI298" s="115">
        <v>4.1000000000000002E-2</v>
      </c>
      <c r="AJ298" s="115">
        <v>-2.9000000000000001E-2</v>
      </c>
      <c r="AK298" s="115">
        <v>8.2568000000000001</v>
      </c>
      <c r="AL298" s="115">
        <v>-1.2685</v>
      </c>
      <c r="AM298" s="115">
        <v>5</v>
      </c>
      <c r="AN298" s="115">
        <v>3</v>
      </c>
      <c r="AO298" s="115">
        <v>0</v>
      </c>
      <c r="AP298" s="115">
        <v>3</v>
      </c>
      <c r="AQ298" s="115">
        <v>5</v>
      </c>
      <c r="AR298" s="115">
        <v>0.6</v>
      </c>
      <c r="AS298" s="115">
        <v>3.8999999999999998E-3</v>
      </c>
      <c r="AT298" s="115">
        <v>1.2638</v>
      </c>
      <c r="AU298" s="114" t="str">
        <f>IF(A298&lt;&gt;"",INDEX(Index!$B$1:$B$77,MATCH($A298,Index!$A$1:$A$77,0)),"")</f>
        <v>CHI</v>
      </c>
      <c r="AV298" s="123" t="str">
        <f>IF(B298&lt;&gt;"",INDEX(Index!$C$1:$C$77,MATCH($A298,Index!$A$1:$A$77,0)),"")</f>
        <v>Williams</v>
      </c>
      <c r="AW298" s="123">
        <f t="shared" si="5"/>
        <v>24</v>
      </c>
      <c r="AX298" s="113">
        <v>9</v>
      </c>
    </row>
    <row r="299" spans="1:50" x14ac:dyDescent="0.25">
      <c r="A299" s="95" t="s">
        <v>577</v>
      </c>
      <c r="B299" s="96">
        <v>2025</v>
      </c>
      <c r="C299" s="96">
        <v>8</v>
      </c>
      <c r="D299" s="96">
        <v>-0.52721799999999996</v>
      </c>
      <c r="E299" s="96">
        <v>0.591368</v>
      </c>
      <c r="F299" s="115">
        <v>0.652671</v>
      </c>
      <c r="G299" s="115">
        <v>-7.8882000000000003</v>
      </c>
      <c r="H299" s="115">
        <v>-2.0799999999999999E-2</v>
      </c>
      <c r="I299" s="115">
        <v>205</v>
      </c>
      <c r="J299" s="115">
        <v>330</v>
      </c>
      <c r="K299" s="115">
        <v>0.62119999999999997</v>
      </c>
      <c r="L299" s="115">
        <v>-1.6496999999999999</v>
      </c>
      <c r="M299" s="115">
        <v>2069</v>
      </c>
      <c r="N299" s="115">
        <v>6.2697000000000003</v>
      </c>
      <c r="O299" s="115">
        <v>13</v>
      </c>
      <c r="P299" s="115">
        <v>8</v>
      </c>
      <c r="Q299" s="115">
        <v>16</v>
      </c>
      <c r="R299" s="115">
        <v>9</v>
      </c>
      <c r="S299" s="115">
        <v>42</v>
      </c>
      <c r="T299" s="115">
        <v>4.6666999999999996</v>
      </c>
      <c r="U299" s="115">
        <v>1</v>
      </c>
      <c r="V299" s="115">
        <v>3.9399999999999998E-2</v>
      </c>
      <c r="W299" s="115">
        <v>2.4199999999999999E-2</v>
      </c>
      <c r="X299" s="115">
        <v>1.52E-2</v>
      </c>
      <c r="Y299" s="115">
        <v>0.438</v>
      </c>
      <c r="Z299" s="115">
        <v>83.005099999999999</v>
      </c>
      <c r="AA299" s="115">
        <v>5.3987999999999996</v>
      </c>
      <c r="AB299" s="115">
        <v>154.446</v>
      </c>
      <c r="AC299" s="115">
        <v>48.2</v>
      </c>
      <c r="AD299" s="115">
        <v>-1.8200000000000001E-2</v>
      </c>
      <c r="AE299" s="115">
        <v>-1.4E-3</v>
      </c>
      <c r="AF299" s="115">
        <v>-3.5799999999999998E-2</v>
      </c>
      <c r="AG299" s="115">
        <v>-1.06E-2</v>
      </c>
      <c r="AH299" s="115">
        <v>-5.2299999999999999E-2</v>
      </c>
      <c r="AI299" s="115">
        <v>1.6899999999999998E-2</v>
      </c>
      <c r="AJ299" s="115">
        <v>-1.17E-2</v>
      </c>
      <c r="AK299" s="115">
        <v>7.3242000000000003</v>
      </c>
      <c r="AL299" s="115">
        <v>-1.6727000000000001</v>
      </c>
      <c r="AM299" s="115">
        <v>2</v>
      </c>
      <c r="AN299" s="115">
        <v>6</v>
      </c>
      <c r="AO299" s="115">
        <v>0</v>
      </c>
      <c r="AP299" s="115">
        <v>2</v>
      </c>
      <c r="AQ299" s="115">
        <v>5</v>
      </c>
      <c r="AR299" s="115">
        <v>0.4</v>
      </c>
      <c r="AS299" s="115">
        <v>-6.9999999999999999E-4</v>
      </c>
      <c r="AT299" s="115">
        <v>-0.24779999999999999</v>
      </c>
      <c r="AU299" s="114" t="str">
        <f>IF(A299&lt;&gt;"",INDEX(Index!$B$1:$B$77,MATCH($A299,Index!$A$1:$A$77,0)),"")</f>
        <v>CIN</v>
      </c>
      <c r="AV299" s="123" t="str">
        <f>IF(B299&lt;&gt;"",INDEX(Index!$C$1:$C$77,MATCH($A299,Index!$A$1:$A$77,0)),"")</f>
        <v>Flacco</v>
      </c>
      <c r="AW299" s="123">
        <f t="shared" si="5"/>
        <v>19</v>
      </c>
      <c r="AX299" s="113">
        <v>9</v>
      </c>
    </row>
    <row r="300" spans="1:50" x14ac:dyDescent="0.25">
      <c r="A300" s="95" t="s">
        <v>579</v>
      </c>
      <c r="B300" s="96">
        <v>2025</v>
      </c>
      <c r="C300" s="96">
        <v>8</v>
      </c>
      <c r="D300" s="96">
        <v>-0.89897499999999997</v>
      </c>
      <c r="E300" s="96">
        <v>-0.36142000000000002</v>
      </c>
      <c r="F300" s="115">
        <v>0.85229100000000002</v>
      </c>
      <c r="G300" s="115">
        <v>38.322099999999999</v>
      </c>
      <c r="H300" s="115">
        <v>0.12520000000000001</v>
      </c>
      <c r="I300" s="115">
        <v>161</v>
      </c>
      <c r="J300" s="115">
        <v>241</v>
      </c>
      <c r="K300" s="115">
        <v>0.66800000000000004</v>
      </c>
      <c r="L300" s="115">
        <v>0.62119999999999997</v>
      </c>
      <c r="M300" s="115">
        <v>1702</v>
      </c>
      <c r="N300" s="115">
        <v>7.0621999999999998</v>
      </c>
      <c r="O300" s="115">
        <v>11</v>
      </c>
      <c r="P300" s="115">
        <v>5</v>
      </c>
      <c r="Q300" s="115">
        <v>17</v>
      </c>
      <c r="R300" s="115">
        <v>26</v>
      </c>
      <c r="S300" s="115">
        <v>190</v>
      </c>
      <c r="T300" s="115">
        <v>7.3076999999999996</v>
      </c>
      <c r="U300" s="115">
        <v>0</v>
      </c>
      <c r="V300" s="115">
        <v>4.5600000000000002E-2</v>
      </c>
      <c r="W300" s="115">
        <v>2.07E-2</v>
      </c>
      <c r="X300" s="115">
        <v>2.4899999999999999E-2</v>
      </c>
      <c r="Y300" s="115">
        <v>0.49020000000000002</v>
      </c>
      <c r="Z300" s="115">
        <v>93.75</v>
      </c>
      <c r="AA300" s="115">
        <v>6.0038999999999998</v>
      </c>
      <c r="AB300" s="115">
        <v>167.54400000000001</v>
      </c>
      <c r="AC300" s="115">
        <v>64.8</v>
      </c>
      <c r="AD300" s="115">
        <v>4.1200000000000001E-2</v>
      </c>
      <c r="AE300" s="115">
        <v>0</v>
      </c>
      <c r="AF300" s="115">
        <v>1.72E-2</v>
      </c>
      <c r="AG300" s="115">
        <v>2.07E-2</v>
      </c>
      <c r="AH300" s="115">
        <v>2.9999999999999997E-4</v>
      </c>
      <c r="AI300" s="115">
        <v>-1.9199999999999998E-2</v>
      </c>
      <c r="AJ300" s="115">
        <v>-2.7300000000000001E-2</v>
      </c>
      <c r="AK300" s="115">
        <v>7.8464999999999998</v>
      </c>
      <c r="AL300" s="115">
        <v>-1.1036999999999999</v>
      </c>
      <c r="AM300" s="115">
        <v>3</v>
      </c>
      <c r="AN300" s="115">
        <v>5</v>
      </c>
      <c r="AO300" s="115">
        <v>0</v>
      </c>
      <c r="AP300" s="115">
        <v>0</v>
      </c>
      <c r="AQ300" s="115">
        <v>3</v>
      </c>
      <c r="AR300" s="115">
        <v>0</v>
      </c>
      <c r="AS300" s="115">
        <v>1.1000000000000001E-3</v>
      </c>
      <c r="AT300" s="115">
        <v>0.35149999999999998</v>
      </c>
      <c r="AU300" s="114" t="str">
        <f>IF(A300&lt;&gt;"",INDEX(Index!$B$1:$B$77,MATCH($A300,Index!$A$1:$A$77,0)),"")</f>
        <v>HOU</v>
      </c>
      <c r="AV300" s="123" t="str">
        <f>IF(B300&lt;&gt;"",INDEX(Index!$C$1:$C$77,MATCH($A300,Index!$A$1:$A$77,0)),"")</f>
        <v>Stroud</v>
      </c>
      <c r="AW300" s="123">
        <f t="shared" si="5"/>
        <v>13</v>
      </c>
      <c r="AX300" s="113">
        <v>9</v>
      </c>
    </row>
    <row r="301" spans="1:50" x14ac:dyDescent="0.25">
      <c r="A301" s="95" t="s">
        <v>571</v>
      </c>
      <c r="B301" s="96">
        <v>2025</v>
      </c>
      <c r="C301" s="96">
        <v>8</v>
      </c>
      <c r="D301" s="96">
        <v>-0.90735500000000002</v>
      </c>
      <c r="E301" s="96">
        <v>0.22695599999999999</v>
      </c>
      <c r="F301" s="115">
        <v>-0.51090199999999997</v>
      </c>
      <c r="G301" s="115">
        <v>4.9372999999999996</v>
      </c>
      <c r="H301" s="115">
        <v>1.37E-2</v>
      </c>
      <c r="I301" s="115">
        <v>175</v>
      </c>
      <c r="J301" s="115">
        <v>290</v>
      </c>
      <c r="K301" s="115">
        <v>0.60340000000000005</v>
      </c>
      <c r="L301" s="115">
        <v>-4.9747000000000003</v>
      </c>
      <c r="M301" s="115">
        <v>1840</v>
      </c>
      <c r="N301" s="115">
        <v>6.3448000000000002</v>
      </c>
      <c r="O301" s="115">
        <v>9</v>
      </c>
      <c r="P301" s="115">
        <v>6</v>
      </c>
      <c r="Q301" s="115">
        <v>21</v>
      </c>
      <c r="R301" s="115">
        <v>31</v>
      </c>
      <c r="S301" s="115">
        <v>145</v>
      </c>
      <c r="T301" s="115">
        <v>4.6773999999999996</v>
      </c>
      <c r="U301" s="115">
        <v>4</v>
      </c>
      <c r="V301" s="115">
        <v>3.1E-2</v>
      </c>
      <c r="W301" s="115">
        <v>2.07E-2</v>
      </c>
      <c r="X301" s="115">
        <v>1.03E-2</v>
      </c>
      <c r="Y301" s="115">
        <v>0.43890000000000001</v>
      </c>
      <c r="Z301" s="115">
        <v>80.531599999999997</v>
      </c>
      <c r="AA301" s="115">
        <v>5.2476000000000003</v>
      </c>
      <c r="AB301" s="115">
        <v>137.92400000000001</v>
      </c>
      <c r="AC301" s="115">
        <v>43.9</v>
      </c>
      <c r="AD301" s="115">
        <v>-4.7999999999999996E-3</v>
      </c>
      <c r="AE301" s="115">
        <v>3.2300000000000002E-2</v>
      </c>
      <c r="AF301" s="115">
        <v>-4.6100000000000002E-2</v>
      </c>
      <c r="AG301" s="115">
        <v>-8.0000000000000004E-4</v>
      </c>
      <c r="AH301" s="115">
        <v>-1.46E-2</v>
      </c>
      <c r="AI301" s="115">
        <v>-4.1200000000000001E-2</v>
      </c>
      <c r="AJ301" s="115">
        <v>-3.3E-3</v>
      </c>
      <c r="AK301" s="115">
        <v>8.2138000000000009</v>
      </c>
      <c r="AL301" s="115">
        <v>-1.0792999999999999</v>
      </c>
      <c r="AM301" s="115">
        <v>5</v>
      </c>
      <c r="AN301" s="115">
        <v>3</v>
      </c>
      <c r="AO301" s="115">
        <v>0</v>
      </c>
      <c r="AP301" s="115">
        <v>2</v>
      </c>
      <c r="AQ301" s="115">
        <v>4</v>
      </c>
      <c r="AR301" s="115">
        <v>0.5</v>
      </c>
      <c r="AS301" s="115">
        <v>1.8E-3</v>
      </c>
      <c r="AT301" s="115">
        <v>0.64939999999999998</v>
      </c>
      <c r="AU301" s="114" t="str">
        <f>IF(A301&lt;&gt;"",INDEX(Index!$B$1:$B$77,MATCH($A301,Index!$A$1:$A$77,0)),"")</f>
        <v>JAX</v>
      </c>
      <c r="AV301" s="123" t="str">
        <f>IF(B301&lt;&gt;"",INDEX(Index!$C$1:$C$77,MATCH($A301,Index!$A$1:$A$77,0)),"")</f>
        <v>Lawrence</v>
      </c>
      <c r="AW301" s="123">
        <f t="shared" si="5"/>
        <v>6</v>
      </c>
      <c r="AX301" s="113">
        <v>9</v>
      </c>
    </row>
    <row r="302" spans="1:50" x14ac:dyDescent="0.25">
      <c r="A302" s="95" t="s">
        <v>587</v>
      </c>
      <c r="B302" s="96">
        <v>2025</v>
      </c>
      <c r="C302" s="96">
        <v>6</v>
      </c>
      <c r="D302" s="96">
        <v>-0.92977600000000005</v>
      </c>
      <c r="E302" s="96">
        <v>0.65806500000000001</v>
      </c>
      <c r="F302" s="115">
        <v>1.6105499999999999</v>
      </c>
      <c r="G302" s="115">
        <v>39.663400000000003</v>
      </c>
      <c r="H302" s="115">
        <v>0.1555</v>
      </c>
      <c r="I302" s="115">
        <v>109</v>
      </c>
      <c r="J302" s="115">
        <v>174</v>
      </c>
      <c r="K302" s="115">
        <v>0.62639999999999996</v>
      </c>
      <c r="L302" s="115">
        <v>-2.0186999999999999</v>
      </c>
      <c r="M302" s="115">
        <v>1175</v>
      </c>
      <c r="N302" s="115">
        <v>6.7529000000000003</v>
      </c>
      <c r="O302" s="115">
        <v>10</v>
      </c>
      <c r="P302" s="115">
        <v>3</v>
      </c>
      <c r="Q302" s="115">
        <v>19</v>
      </c>
      <c r="R302" s="115">
        <v>46</v>
      </c>
      <c r="S302" s="115">
        <v>254</v>
      </c>
      <c r="T302" s="115">
        <v>5.5217000000000001</v>
      </c>
      <c r="U302" s="115">
        <v>5</v>
      </c>
      <c r="V302" s="115">
        <v>5.7500000000000002E-2</v>
      </c>
      <c r="W302" s="115">
        <v>1.72E-2</v>
      </c>
      <c r="X302" s="115">
        <v>4.02E-2</v>
      </c>
      <c r="Y302" s="115">
        <v>0.48630000000000001</v>
      </c>
      <c r="Z302" s="115">
        <v>94.396600000000007</v>
      </c>
      <c r="AA302" s="115">
        <v>6.0570000000000004</v>
      </c>
      <c r="AB302" s="115">
        <v>201.71899999999999</v>
      </c>
      <c r="AC302" s="115">
        <v>60.8</v>
      </c>
      <c r="AD302" s="115">
        <v>6.8699999999999997E-2</v>
      </c>
      <c r="AE302" s="115">
        <v>-5.1999999999999998E-3</v>
      </c>
      <c r="AF302" s="115">
        <v>2.5399999999999999E-2</v>
      </c>
      <c r="AG302" s="115">
        <v>3.4000000000000002E-2</v>
      </c>
      <c r="AH302" s="115">
        <v>-0.1021</v>
      </c>
      <c r="AI302" s="115">
        <v>9.9000000000000008E-3</v>
      </c>
      <c r="AJ302" s="115">
        <v>3.2500000000000001E-2</v>
      </c>
      <c r="AK302" s="115">
        <v>8.4655000000000005</v>
      </c>
      <c r="AL302" s="115">
        <v>-0.77010000000000001</v>
      </c>
      <c r="AM302" s="115">
        <v>2</v>
      </c>
      <c r="AN302" s="115">
        <v>6</v>
      </c>
      <c r="AO302" s="115">
        <v>0</v>
      </c>
      <c r="AP302" s="115">
        <v>0</v>
      </c>
      <c r="AQ302" s="115">
        <v>2</v>
      </c>
      <c r="AR302" s="115">
        <v>0</v>
      </c>
      <c r="AS302" s="115">
        <v>3.5999999999999999E-3</v>
      </c>
      <c r="AT302" s="115">
        <v>0.91969999999999996</v>
      </c>
      <c r="AU302" s="114" t="str">
        <f>IF(A302&lt;&gt;"",INDEX(Index!$B$1:$B$77,MATCH($A302,Index!$A$1:$A$77,0)),"")</f>
        <v>NYG</v>
      </c>
      <c r="AV302" s="123" t="str">
        <f>IF(B302&lt;&gt;"",INDEX(Index!$C$1:$C$77,MATCH($A302,Index!$A$1:$A$77,0)),"")</f>
        <v>Dart</v>
      </c>
      <c r="AW302" s="123">
        <f t="shared" si="5"/>
        <v>8</v>
      </c>
      <c r="AX302" s="113">
        <v>9</v>
      </c>
    </row>
    <row r="303" spans="1:50" x14ac:dyDescent="0.25">
      <c r="A303" s="95" t="s">
        <v>569</v>
      </c>
      <c r="B303" s="96">
        <v>2025</v>
      </c>
      <c r="C303" s="96">
        <v>7</v>
      </c>
      <c r="D303" s="96">
        <v>-1.0785199999999999</v>
      </c>
      <c r="E303" s="96">
        <v>0.324021</v>
      </c>
      <c r="F303" s="115">
        <v>-0.73615399999999998</v>
      </c>
      <c r="G303" s="115">
        <v>-3.1589</v>
      </c>
      <c r="H303" s="115">
        <v>-1.2800000000000001E-2</v>
      </c>
      <c r="I303" s="115">
        <v>107</v>
      </c>
      <c r="J303" s="115">
        <v>165</v>
      </c>
      <c r="K303" s="115">
        <v>0.64849999999999997</v>
      </c>
      <c r="L303" s="115">
        <v>-0.57320000000000004</v>
      </c>
      <c r="M303" s="115">
        <v>1072</v>
      </c>
      <c r="N303" s="115">
        <v>6.4969999999999999</v>
      </c>
      <c r="O303" s="115">
        <v>5</v>
      </c>
      <c r="P303" s="115">
        <v>0</v>
      </c>
      <c r="Q303" s="115">
        <v>22</v>
      </c>
      <c r="R303" s="115">
        <v>50</v>
      </c>
      <c r="S303" s="115">
        <v>290</v>
      </c>
      <c r="T303" s="115">
        <v>5.8</v>
      </c>
      <c r="U303" s="115">
        <v>3</v>
      </c>
      <c r="V303" s="115">
        <v>3.0300000000000001E-2</v>
      </c>
      <c r="W303" s="115">
        <v>0</v>
      </c>
      <c r="X303" s="115">
        <v>3.0300000000000001E-2</v>
      </c>
      <c r="Y303" s="115">
        <v>0.46560000000000001</v>
      </c>
      <c r="Z303" s="115">
        <v>93.295500000000004</v>
      </c>
      <c r="AA303" s="115">
        <v>5.3635999999999999</v>
      </c>
      <c r="AB303" s="115">
        <v>136.01599999999999</v>
      </c>
      <c r="AC303" s="115">
        <v>37.9</v>
      </c>
      <c r="AD303" s="115">
        <v>-6.3E-3</v>
      </c>
      <c r="AE303" s="115">
        <v>-4.1399999999999999E-2</v>
      </c>
      <c r="AF303" s="115">
        <v>3.1399999999999997E-2</v>
      </c>
      <c r="AG303" s="115">
        <v>7.1400000000000005E-2</v>
      </c>
      <c r="AH303" s="115">
        <v>-1.23E-2</v>
      </c>
      <c r="AI303" s="115">
        <v>-0.1099</v>
      </c>
      <c r="AJ303" s="115">
        <v>-3.7999999999999999E-2</v>
      </c>
      <c r="AK303" s="115">
        <v>6.8848000000000003</v>
      </c>
      <c r="AL303" s="115">
        <v>-2.0485000000000002</v>
      </c>
      <c r="AM303" s="115">
        <v>1</v>
      </c>
      <c r="AN303" s="115">
        <v>6</v>
      </c>
      <c r="AO303" s="115">
        <v>0</v>
      </c>
      <c r="AP303" s="115">
        <v>1</v>
      </c>
      <c r="AQ303" s="115">
        <v>4</v>
      </c>
      <c r="AR303" s="115">
        <v>0.25</v>
      </c>
      <c r="AS303" s="115">
        <v>-4.4999999999999997E-3</v>
      </c>
      <c r="AT303" s="115">
        <v>-1.1145</v>
      </c>
      <c r="AU303" s="114" t="str">
        <f>IF(A303&lt;&gt;"",INDEX(Index!$B$1:$B$77,MATCH($A303,Index!$A$1:$A$77,0)),"")</f>
        <v>NYJ</v>
      </c>
      <c r="AV303" s="123" t="str">
        <f>IF(B303&lt;&gt;"",INDEX(Index!$C$1:$C$77,MATCH($A303,Index!$A$1:$A$77,0)),"")</f>
        <v>Fields</v>
      </c>
      <c r="AW303" s="123">
        <f t="shared" si="5"/>
        <v>5</v>
      </c>
      <c r="AX303" s="113">
        <v>9</v>
      </c>
    </row>
    <row r="304" spans="1:50" x14ac:dyDescent="0.25">
      <c r="A304" s="95" t="s">
        <v>575</v>
      </c>
      <c r="B304" s="96">
        <v>2025</v>
      </c>
      <c r="C304" s="96">
        <v>7</v>
      </c>
      <c r="D304" s="96">
        <v>-1.1371100000000001</v>
      </c>
      <c r="E304" s="96">
        <v>0.25994</v>
      </c>
      <c r="F304" s="115">
        <v>0.66526799999999997</v>
      </c>
      <c r="G304" s="115">
        <v>34.645600000000002</v>
      </c>
      <c r="H304" s="115">
        <v>0.1182</v>
      </c>
      <c r="I304" s="115">
        <v>168</v>
      </c>
      <c r="J304" s="115">
        <v>247</v>
      </c>
      <c r="K304" s="115">
        <v>0.68020000000000003</v>
      </c>
      <c r="L304" s="115">
        <v>1.8351999999999999</v>
      </c>
      <c r="M304" s="115">
        <v>1832</v>
      </c>
      <c r="N304" s="115">
        <v>7.4169999999999998</v>
      </c>
      <c r="O304" s="115">
        <v>10</v>
      </c>
      <c r="P304" s="115">
        <v>5</v>
      </c>
      <c r="Q304" s="115">
        <v>16</v>
      </c>
      <c r="R304" s="115">
        <v>20</v>
      </c>
      <c r="S304" s="115">
        <v>68</v>
      </c>
      <c r="T304" s="115">
        <v>3.4</v>
      </c>
      <c r="U304" s="115">
        <v>0</v>
      </c>
      <c r="V304" s="115">
        <v>4.0500000000000001E-2</v>
      </c>
      <c r="W304" s="115">
        <v>2.0199999999999999E-2</v>
      </c>
      <c r="X304" s="115">
        <v>2.0199999999999999E-2</v>
      </c>
      <c r="Y304" s="115">
        <v>0.51190000000000002</v>
      </c>
      <c r="Z304" s="115">
        <v>94.728399999999993</v>
      </c>
      <c r="AA304" s="115">
        <v>6.4600999999999997</v>
      </c>
      <c r="AB304" s="115">
        <v>167.35300000000001</v>
      </c>
      <c r="AC304" s="115">
        <v>61.4</v>
      </c>
      <c r="AD304" s="115">
        <v>-9.1999999999999998E-3</v>
      </c>
      <c r="AE304" s="115">
        <v>-2.2000000000000001E-3</v>
      </c>
      <c r="AF304" s="115">
        <v>7.0000000000000001E-3</v>
      </c>
      <c r="AG304" s="115">
        <v>-1E-4</v>
      </c>
      <c r="AH304" s="115">
        <v>3.3500000000000002E-2</v>
      </c>
      <c r="AI304" s="115">
        <v>1.43E-2</v>
      </c>
      <c r="AJ304" s="115">
        <v>-1.7399999999999999E-2</v>
      </c>
      <c r="AK304" s="115">
        <v>7.4574999999999996</v>
      </c>
      <c r="AL304" s="115">
        <v>-1.7286999999999999</v>
      </c>
      <c r="AM304" s="115">
        <v>5</v>
      </c>
      <c r="AN304" s="115">
        <v>2</v>
      </c>
      <c r="AO304" s="115">
        <v>0</v>
      </c>
      <c r="AP304" s="115">
        <v>1</v>
      </c>
      <c r="AQ304" s="115">
        <v>2</v>
      </c>
      <c r="AR304" s="115">
        <v>0.5</v>
      </c>
      <c r="AS304" s="115">
        <v>4.5999999999999999E-3</v>
      </c>
      <c r="AT304" s="115">
        <v>1.3398000000000001</v>
      </c>
      <c r="AU304" s="114" t="str">
        <f>IF(A304&lt;&gt;"",INDEX(Index!$B$1:$B$77,MATCH($A304,Index!$A$1:$A$77,0)),"")</f>
        <v>SF</v>
      </c>
      <c r="AV304" s="123" t="str">
        <f>IF(B304&lt;&gt;"",INDEX(Index!$C$1:$C$77,MATCH($A304,Index!$A$1:$A$77,0)),"")</f>
        <v>Jones</v>
      </c>
      <c r="AW304" s="123">
        <f t="shared" si="5"/>
        <v>19</v>
      </c>
      <c r="AX304" s="113">
        <v>9</v>
      </c>
    </row>
    <row r="305" spans="1:50" x14ac:dyDescent="0.25">
      <c r="A305" s="95" t="s">
        <v>578</v>
      </c>
      <c r="B305" s="96">
        <v>2025</v>
      </c>
      <c r="C305" s="96">
        <v>7</v>
      </c>
      <c r="D305" s="96">
        <v>-1.25126</v>
      </c>
      <c r="E305" s="96">
        <v>0.45533099999999999</v>
      </c>
      <c r="F305" s="115">
        <v>0.63844199999999995</v>
      </c>
      <c r="G305" s="115">
        <v>12.894399999999999</v>
      </c>
      <c r="H305" s="115">
        <v>4.7600000000000003E-2</v>
      </c>
      <c r="I305" s="115">
        <v>141</v>
      </c>
      <c r="J305" s="115">
        <v>232</v>
      </c>
      <c r="K305" s="115">
        <v>0.60780000000000001</v>
      </c>
      <c r="L305" s="115">
        <v>-3.4853000000000001</v>
      </c>
      <c r="M305" s="115">
        <v>1630</v>
      </c>
      <c r="N305" s="115">
        <v>7.0259</v>
      </c>
      <c r="O305" s="115">
        <v>8</v>
      </c>
      <c r="P305" s="115">
        <v>3</v>
      </c>
      <c r="Q305" s="115">
        <v>10</v>
      </c>
      <c r="R305" s="115">
        <v>12</v>
      </c>
      <c r="S305" s="115">
        <v>68</v>
      </c>
      <c r="T305" s="115">
        <v>5.6666999999999996</v>
      </c>
      <c r="U305" s="115">
        <v>1</v>
      </c>
      <c r="V305" s="115">
        <v>3.4500000000000003E-2</v>
      </c>
      <c r="W305" s="115">
        <v>1.29E-2</v>
      </c>
      <c r="X305" s="115">
        <v>2.1600000000000001E-2</v>
      </c>
      <c r="Y305" s="115">
        <v>0.46489999999999998</v>
      </c>
      <c r="Z305" s="115">
        <v>88.110600000000005</v>
      </c>
      <c r="AA305" s="115">
        <v>6.5331000000000001</v>
      </c>
      <c r="AB305" s="115">
        <v>154.75800000000001</v>
      </c>
      <c r="AC305" s="115">
        <v>58</v>
      </c>
      <c r="AD305" s="115">
        <v>5.8999999999999999E-3</v>
      </c>
      <c r="AE305" s="115">
        <v>2.7E-2</v>
      </c>
      <c r="AF305" s="115">
        <v>-7.51E-2</v>
      </c>
      <c r="AG305" s="115">
        <v>2.3E-3</v>
      </c>
      <c r="AH305" s="115">
        <v>5.3600000000000002E-2</v>
      </c>
      <c r="AI305" s="115">
        <v>-5.7000000000000002E-2</v>
      </c>
      <c r="AJ305" s="115">
        <v>-1.8E-3</v>
      </c>
      <c r="AK305" s="115">
        <v>8.1164000000000005</v>
      </c>
      <c r="AL305" s="115">
        <v>-0.7802</v>
      </c>
      <c r="AM305" s="115">
        <v>3</v>
      </c>
      <c r="AN305" s="115">
        <v>4</v>
      </c>
      <c r="AO305" s="115">
        <v>0</v>
      </c>
      <c r="AP305" s="115">
        <v>0</v>
      </c>
      <c r="AQ305" s="115">
        <v>3</v>
      </c>
      <c r="AR305" s="115">
        <v>0</v>
      </c>
      <c r="AS305" s="115">
        <v>3.5000000000000001E-3</v>
      </c>
      <c r="AT305" s="115">
        <v>0.95989999999999998</v>
      </c>
      <c r="AU305" s="114" t="str">
        <f>IF(A305&lt;&gt;"",INDEX(Index!$B$1:$B$77,MATCH($A305,Index!$A$1:$A$77,0)),"")</f>
        <v>ATL</v>
      </c>
      <c r="AV305" s="123" t="str">
        <f>IF(B305&lt;&gt;"",INDEX(Index!$C$1:$C$77,MATCH($A305,Index!$A$1:$A$77,0)),"")</f>
        <v>Penix</v>
      </c>
      <c r="AW305" s="123">
        <f t="shared" si="5"/>
        <v>32</v>
      </c>
      <c r="AX305" s="113">
        <v>9</v>
      </c>
    </row>
    <row r="306" spans="1:50" x14ac:dyDescent="0.25">
      <c r="A306" s="95" t="s">
        <v>583</v>
      </c>
      <c r="B306" s="96">
        <v>2025</v>
      </c>
      <c r="C306" s="96">
        <v>3</v>
      </c>
      <c r="D306" s="96">
        <v>-1.29495</v>
      </c>
      <c r="E306" s="96">
        <v>-0.144676</v>
      </c>
      <c r="F306" s="115">
        <v>0.15415400000000001</v>
      </c>
      <c r="G306" s="115">
        <v>-2.3445999999999998</v>
      </c>
      <c r="H306" s="115">
        <v>-1.9400000000000001E-2</v>
      </c>
      <c r="I306" s="115">
        <v>56</v>
      </c>
      <c r="J306" s="115">
        <v>86</v>
      </c>
      <c r="K306" s="115">
        <v>0.6512</v>
      </c>
      <c r="L306" s="115">
        <v>2.4832000000000001</v>
      </c>
      <c r="M306" s="115">
        <v>639</v>
      </c>
      <c r="N306" s="115">
        <v>7.4302000000000001</v>
      </c>
      <c r="O306" s="115">
        <v>4</v>
      </c>
      <c r="P306" s="115">
        <v>4</v>
      </c>
      <c r="Q306" s="115">
        <v>7</v>
      </c>
      <c r="R306" s="115">
        <v>18</v>
      </c>
      <c r="S306" s="115">
        <v>122</v>
      </c>
      <c r="T306" s="115">
        <v>6.7778</v>
      </c>
      <c r="U306" s="115">
        <v>1</v>
      </c>
      <c r="V306" s="115">
        <v>4.65E-2</v>
      </c>
      <c r="W306" s="115">
        <v>4.65E-2</v>
      </c>
      <c r="X306" s="115">
        <v>0</v>
      </c>
      <c r="Y306" s="115">
        <v>0.4793</v>
      </c>
      <c r="Z306" s="115">
        <v>83.430199999999999</v>
      </c>
      <c r="AA306" s="115">
        <v>5.3762999999999996</v>
      </c>
      <c r="AB306" s="115">
        <v>159.18199999999999</v>
      </c>
      <c r="AC306" s="115">
        <v>58.8</v>
      </c>
      <c r="AD306" s="115">
        <v>-4.1999999999999997E-3</v>
      </c>
      <c r="AE306" s="115">
        <v>1.83E-2</v>
      </c>
      <c r="AF306" s="115">
        <v>-2.2100000000000002E-2</v>
      </c>
      <c r="AG306" s="115">
        <v>-0.10340000000000001</v>
      </c>
      <c r="AH306" s="115">
        <v>4.1300000000000003E-2</v>
      </c>
      <c r="AI306" s="115">
        <v>-0.05</v>
      </c>
      <c r="AJ306" s="115">
        <v>8.3000000000000001E-3</v>
      </c>
      <c r="AK306" s="115">
        <v>8.4419000000000004</v>
      </c>
      <c r="AL306" s="115">
        <v>-1.0581</v>
      </c>
      <c r="AM306" s="115">
        <v>1</v>
      </c>
      <c r="AN306" s="115">
        <v>3</v>
      </c>
      <c r="AO306" s="115">
        <v>0</v>
      </c>
      <c r="AP306" s="115">
        <v>0</v>
      </c>
      <c r="AQ306" s="115">
        <v>0</v>
      </c>
      <c r="AR306" s="115"/>
      <c r="AS306" s="115">
        <v>-5.0000000000000001E-4</v>
      </c>
      <c r="AT306" s="115">
        <v>-5.7599999999999998E-2</v>
      </c>
      <c r="AU306" s="114" t="str">
        <f>IF(A306&lt;&gt;"",INDEX(Index!$B$1:$B$77,MATCH($A306,Index!$A$1:$A$77,0)),"")</f>
        <v>WAS</v>
      </c>
      <c r="AV306" s="123" t="str">
        <f>IF(B306&lt;&gt;"",INDEX(Index!$C$1:$C$77,MATCH($A306,Index!$A$1:$A$77,0)),"")</f>
        <v>Mariota</v>
      </c>
      <c r="AW306" s="123">
        <f t="shared" si="5"/>
        <v>39</v>
      </c>
      <c r="AX306" s="113">
        <v>9</v>
      </c>
    </row>
    <row r="307" spans="1:50" x14ac:dyDescent="0.25">
      <c r="A307" s="95" t="s">
        <v>592</v>
      </c>
      <c r="B307" s="96">
        <v>2025</v>
      </c>
      <c r="C307" s="96">
        <v>1</v>
      </c>
      <c r="D307" s="96">
        <v>-1.47237</v>
      </c>
      <c r="E307" s="96">
        <v>0.366983</v>
      </c>
      <c r="F307" s="115">
        <v>0.366983</v>
      </c>
      <c r="G307" s="115">
        <v>7.5486000000000004</v>
      </c>
      <c r="H307" s="115">
        <v>0.13719999999999999</v>
      </c>
      <c r="I307" s="115">
        <v>27</v>
      </c>
      <c r="J307" s="115">
        <v>36</v>
      </c>
      <c r="K307" s="115">
        <v>0.75</v>
      </c>
      <c r="L307" s="115">
        <v>10.9704</v>
      </c>
      <c r="M307" s="115">
        <v>254</v>
      </c>
      <c r="N307" s="115">
        <v>7.0556000000000001</v>
      </c>
      <c r="O307" s="115">
        <v>1</v>
      </c>
      <c r="P307" s="115">
        <v>0</v>
      </c>
      <c r="Q307" s="115">
        <v>6</v>
      </c>
      <c r="R307" s="115">
        <v>11</v>
      </c>
      <c r="S307" s="115">
        <v>92</v>
      </c>
      <c r="T307" s="115">
        <v>8.3635999999999999</v>
      </c>
      <c r="U307" s="115">
        <v>0</v>
      </c>
      <c r="V307" s="115">
        <v>2.7799999999999998E-2</v>
      </c>
      <c r="W307" s="115">
        <v>0</v>
      </c>
      <c r="X307" s="115">
        <v>2.7799999999999998E-2</v>
      </c>
      <c r="Y307" s="115">
        <v>0.5091</v>
      </c>
      <c r="Z307" s="115">
        <v>103.241</v>
      </c>
      <c r="AA307" s="115">
        <v>5.7857000000000003</v>
      </c>
      <c r="AB307" s="115">
        <v>232.892</v>
      </c>
      <c r="AC307" s="115">
        <v>84.7</v>
      </c>
      <c r="AD307" s="115">
        <v>0.13100000000000001</v>
      </c>
      <c r="AE307" s="115">
        <v>-1.8700000000000001E-2</v>
      </c>
      <c r="AF307" s="115">
        <v>2.4799999999999999E-2</v>
      </c>
      <c r="AG307" s="115">
        <v>7.1400000000000005E-2</v>
      </c>
      <c r="AH307" s="115">
        <v>-6.0000000000000001E-3</v>
      </c>
      <c r="AI307" s="115">
        <v>-0.1401</v>
      </c>
      <c r="AJ307" s="115">
        <v>-1.7399999999999999E-2</v>
      </c>
      <c r="AK307" s="115">
        <v>8.1943999999999999</v>
      </c>
      <c r="AL307" s="115">
        <v>-1.4443999999999999</v>
      </c>
      <c r="AM307" s="115">
        <v>1</v>
      </c>
      <c r="AN307" s="115">
        <v>1</v>
      </c>
      <c r="AO307" s="115">
        <v>0</v>
      </c>
      <c r="AP307" s="115">
        <v>0</v>
      </c>
      <c r="AQ307" s="115">
        <v>0</v>
      </c>
      <c r="AR307" s="115"/>
      <c r="AS307" s="115">
        <v>3.8E-3</v>
      </c>
      <c r="AT307" s="115">
        <v>0.21</v>
      </c>
      <c r="AU307" s="114" t="str">
        <f>IF(A307&lt;&gt;"",INDEX(Index!$B$1:$B$77,MATCH($A307,Index!$A$1:$A$77,0)),"")</f>
        <v>BAL</v>
      </c>
      <c r="AV307" s="123" t="str">
        <f>IF(B307&lt;&gt;"",INDEX(Index!$C$1:$C$77,MATCH($A307,Index!$A$1:$A$77,0)),"")</f>
        <v>Huntley</v>
      </c>
      <c r="AW307" s="123">
        <f t="shared" si="5"/>
        <v>40</v>
      </c>
      <c r="AX307" s="113">
        <v>9</v>
      </c>
    </row>
    <row r="308" spans="1:50" x14ac:dyDescent="0.25">
      <c r="A308" s="95" t="s">
        <v>590</v>
      </c>
      <c r="B308" s="96">
        <v>2025</v>
      </c>
      <c r="C308" s="96">
        <v>3</v>
      </c>
      <c r="D308" s="96">
        <v>-1.57114</v>
      </c>
      <c r="E308" s="96">
        <v>0.105938</v>
      </c>
      <c r="F308" s="115">
        <v>0.59058299999999997</v>
      </c>
      <c r="G308" s="115">
        <v>22.255500000000001</v>
      </c>
      <c r="H308" s="115">
        <v>0.15240000000000001</v>
      </c>
      <c r="I308" s="115">
        <v>73</v>
      </c>
      <c r="J308" s="115">
        <v>112</v>
      </c>
      <c r="K308" s="115">
        <v>0.65180000000000005</v>
      </c>
      <c r="L308" s="115">
        <v>4.7388000000000003</v>
      </c>
      <c r="M308" s="115">
        <v>860</v>
      </c>
      <c r="N308" s="115">
        <v>7.6786000000000003</v>
      </c>
      <c r="O308" s="115">
        <v>6</v>
      </c>
      <c r="P308" s="115">
        <v>1</v>
      </c>
      <c r="Q308" s="115">
        <v>13</v>
      </c>
      <c r="R308" s="115">
        <v>12</v>
      </c>
      <c r="S308" s="115">
        <v>52</v>
      </c>
      <c r="T308" s="115">
        <v>4.3333000000000004</v>
      </c>
      <c r="U308" s="115">
        <v>1</v>
      </c>
      <c r="V308" s="115">
        <v>5.3600000000000002E-2</v>
      </c>
      <c r="W308" s="115">
        <v>8.8999999999999999E-3</v>
      </c>
      <c r="X308" s="115">
        <v>4.4600000000000001E-2</v>
      </c>
      <c r="Y308" s="115">
        <v>0.48630000000000001</v>
      </c>
      <c r="Z308" s="115">
        <v>102.53</v>
      </c>
      <c r="AA308" s="115">
        <v>6.7519999999999998</v>
      </c>
      <c r="AB308" s="115">
        <v>182.554</v>
      </c>
      <c r="AC308" s="115">
        <v>51</v>
      </c>
      <c r="AD308" s="115">
        <v>-8.0999999999999996E-3</v>
      </c>
      <c r="AE308" s="115">
        <v>-0.06</v>
      </c>
      <c r="AF308" s="115">
        <v>4.0000000000000002E-4</v>
      </c>
      <c r="AG308" s="115">
        <v>3.4000000000000002E-2</v>
      </c>
      <c r="AH308" s="115">
        <v>2.81E-2</v>
      </c>
      <c r="AI308" s="115">
        <v>5.5E-2</v>
      </c>
      <c r="AJ308" s="115">
        <v>1.0699999999999999E-2</v>
      </c>
      <c r="AK308" s="115">
        <v>8.5714000000000006</v>
      </c>
      <c r="AL308" s="115">
        <v>-1.0982000000000001</v>
      </c>
      <c r="AM308" s="115">
        <v>2</v>
      </c>
      <c r="AN308" s="115">
        <v>3</v>
      </c>
      <c r="AO308" s="115">
        <v>0</v>
      </c>
      <c r="AP308" s="115">
        <v>0</v>
      </c>
      <c r="AQ308" s="115">
        <v>2</v>
      </c>
      <c r="AR308" s="115">
        <v>0</v>
      </c>
      <c r="AS308" s="115">
        <v>1.8E-3</v>
      </c>
      <c r="AT308" s="115">
        <v>0.26090000000000002</v>
      </c>
      <c r="AU308" s="114" t="str">
        <f>IF(A308&lt;&gt;"",INDEX(Index!$B$1:$B$77,MATCH($A308,Index!$A$1:$A$77,0)),"")</f>
        <v>ARI</v>
      </c>
      <c r="AV308" s="123" t="str">
        <f>IF(B308&lt;&gt;"",INDEX(Index!$C$1:$C$77,MATCH($A308,Index!$A$1:$A$77,0)),"")</f>
        <v>Brissett</v>
      </c>
      <c r="AW308" s="123">
        <f t="shared" si="5"/>
        <v>27</v>
      </c>
      <c r="AX308" s="113">
        <v>9</v>
      </c>
    </row>
    <row r="309" spans="1:50" x14ac:dyDescent="0.25">
      <c r="A309" s="95" t="s">
        <v>572</v>
      </c>
      <c r="B309" s="96">
        <v>2025</v>
      </c>
      <c r="C309" s="96">
        <v>8</v>
      </c>
      <c r="D309" s="96">
        <v>-1.65439</v>
      </c>
      <c r="E309" s="96">
        <v>0.57804900000000004</v>
      </c>
      <c r="F309" s="115">
        <v>-1.57986</v>
      </c>
      <c r="G309" s="115">
        <v>-3.5165000000000002</v>
      </c>
      <c r="H309" s="115">
        <v>-1.18E-2</v>
      </c>
      <c r="I309" s="115">
        <v>162</v>
      </c>
      <c r="J309" s="115">
        <v>239</v>
      </c>
      <c r="K309" s="115">
        <v>0.67779999999999996</v>
      </c>
      <c r="L309" s="115">
        <v>-0.49180000000000001</v>
      </c>
      <c r="M309" s="115">
        <v>1701</v>
      </c>
      <c r="N309" s="115">
        <v>7.1172000000000004</v>
      </c>
      <c r="O309" s="115">
        <v>11</v>
      </c>
      <c r="P309" s="115">
        <v>11</v>
      </c>
      <c r="Q309" s="115">
        <v>21</v>
      </c>
      <c r="R309" s="115">
        <v>22</v>
      </c>
      <c r="S309" s="115">
        <v>85</v>
      </c>
      <c r="T309" s="115">
        <v>3.8635999999999999</v>
      </c>
      <c r="U309" s="115">
        <v>0</v>
      </c>
      <c r="V309" s="115">
        <v>4.5999999999999999E-2</v>
      </c>
      <c r="W309" s="115">
        <v>4.5999999999999999E-2</v>
      </c>
      <c r="X309" s="115">
        <v>0</v>
      </c>
      <c r="Y309" s="115">
        <v>0.46820000000000001</v>
      </c>
      <c r="Z309" s="115">
        <v>84.388099999999994</v>
      </c>
      <c r="AA309" s="115">
        <v>4.8845999999999998</v>
      </c>
      <c r="AB309" s="115">
        <v>88.8446</v>
      </c>
      <c r="AC309" s="115">
        <v>39.299999999999997</v>
      </c>
      <c r="AD309" s="115">
        <v>-2.5999999999999999E-2</v>
      </c>
      <c r="AE309" s="115">
        <v>-1.6500000000000001E-2</v>
      </c>
      <c r="AF309" s="115">
        <v>3.1899999999999998E-2</v>
      </c>
      <c r="AG309" s="115">
        <v>-0.1085</v>
      </c>
      <c r="AH309" s="115">
        <v>-8.7300000000000003E-2</v>
      </c>
      <c r="AI309" s="115">
        <v>9.5299999999999996E-2</v>
      </c>
      <c r="AJ309" s="115">
        <v>6.8999999999999999E-3</v>
      </c>
      <c r="AK309" s="115">
        <v>6.4978999999999996</v>
      </c>
      <c r="AL309" s="115">
        <v>-2.3849</v>
      </c>
      <c r="AM309" s="115">
        <v>2</v>
      </c>
      <c r="AN309" s="115">
        <v>6</v>
      </c>
      <c r="AO309" s="115">
        <v>0</v>
      </c>
      <c r="AP309" s="115">
        <v>0</v>
      </c>
      <c r="AQ309" s="115">
        <v>2</v>
      </c>
      <c r="AR309" s="115">
        <v>0</v>
      </c>
      <c r="AS309" s="115">
        <v>1.6999999999999999E-3</v>
      </c>
      <c r="AT309" s="115">
        <v>0.49680000000000002</v>
      </c>
      <c r="AU309" s="114" t="str">
        <f>IF(A309&lt;&gt;"",INDEX(Index!$B$1:$B$77,MATCH($A309,Index!$A$1:$A$77,0)),"")</f>
        <v>LV</v>
      </c>
      <c r="AV309" s="123" t="str">
        <f>IF(B309&lt;&gt;"",INDEX(Index!$C$1:$C$77,MATCH($A309,Index!$A$1:$A$77,0)),"")</f>
        <v>Smith</v>
      </c>
      <c r="AW309" s="123">
        <f t="shared" si="5"/>
        <v>6</v>
      </c>
      <c r="AX309" s="113">
        <v>9</v>
      </c>
    </row>
    <row r="310" spans="1:50" x14ac:dyDescent="0.25">
      <c r="A310" s="95" t="s">
        <v>584</v>
      </c>
      <c r="B310" s="96">
        <v>2025</v>
      </c>
      <c r="C310" s="96">
        <v>1</v>
      </c>
      <c r="D310" s="96">
        <v>-1.6596500000000001</v>
      </c>
      <c r="E310" s="96">
        <v>5.3784800000000001E-2</v>
      </c>
      <c r="F310" s="115">
        <v>5.3784800000000001E-2</v>
      </c>
      <c r="G310" s="115">
        <v>-4.1516000000000002</v>
      </c>
      <c r="H310" s="115">
        <v>-4.3700000000000003E-2</v>
      </c>
      <c r="I310" s="115">
        <v>43</v>
      </c>
      <c r="J310" s="115">
        <v>68</v>
      </c>
      <c r="K310" s="115">
        <v>0.63239999999999996</v>
      </c>
      <c r="L310" s="115">
        <v>1.5486</v>
      </c>
      <c r="M310" s="115">
        <v>379</v>
      </c>
      <c r="N310" s="115">
        <v>5.5735000000000001</v>
      </c>
      <c r="O310" s="115">
        <v>3</v>
      </c>
      <c r="P310" s="115">
        <v>3</v>
      </c>
      <c r="Q310" s="115">
        <v>9</v>
      </c>
      <c r="R310" s="115">
        <v>13</v>
      </c>
      <c r="S310" s="115">
        <v>81</v>
      </c>
      <c r="T310" s="115">
        <v>6.2308000000000003</v>
      </c>
      <c r="U310" s="115">
        <v>0</v>
      </c>
      <c r="V310" s="115">
        <v>4.41E-2</v>
      </c>
      <c r="W310" s="115">
        <v>4.41E-2</v>
      </c>
      <c r="X310" s="115">
        <v>0</v>
      </c>
      <c r="Y310" s="115">
        <v>0.4526</v>
      </c>
      <c r="Z310" s="115">
        <v>74.325999999999993</v>
      </c>
      <c r="AA310" s="115">
        <v>3.2856999999999998</v>
      </c>
      <c r="AB310" s="115">
        <v>146.065</v>
      </c>
      <c r="AC310" s="115"/>
      <c r="AD310" s="115">
        <v>-3.0800000000000001E-2</v>
      </c>
      <c r="AE310" s="115">
        <v>-3.9199999999999999E-2</v>
      </c>
      <c r="AF310" s="115">
        <v>1.84E-2</v>
      </c>
      <c r="AG310" s="115">
        <v>-6.8900000000000003E-2</v>
      </c>
      <c r="AH310" s="115">
        <v>5.6899999999999999E-2</v>
      </c>
      <c r="AI310" s="115">
        <v>-7.1900000000000006E-2</v>
      </c>
      <c r="AJ310" s="115">
        <v>-5.0000000000000001E-4</v>
      </c>
      <c r="AK310" s="115">
        <v>7.6471</v>
      </c>
      <c r="AL310" s="115">
        <v>-0.95589999999999997</v>
      </c>
      <c r="AM310" s="115">
        <v>0</v>
      </c>
      <c r="AN310" s="115">
        <v>3</v>
      </c>
      <c r="AO310" s="115">
        <v>0</v>
      </c>
      <c r="AP310" s="115">
        <v>0</v>
      </c>
      <c r="AQ310" s="115">
        <v>1</v>
      </c>
      <c r="AR310" s="115">
        <v>0</v>
      </c>
      <c r="AS310" s="115">
        <v>-6.1999999999999998E-3</v>
      </c>
      <c r="AT310" s="115">
        <v>-0.5907</v>
      </c>
      <c r="AU310" s="114" t="str">
        <f>IF(A310&lt;&gt;"",INDEX(Index!$B$1:$B$77,MATCH($A310,Index!$A$1:$A$77,0)),"")</f>
        <v>NYJ</v>
      </c>
      <c r="AV310" s="123" t="str">
        <f>IF(B310&lt;&gt;"",INDEX(Index!$C$1:$C$77,MATCH($A310,Index!$A$1:$A$77,0)),"")</f>
        <v>Taylor</v>
      </c>
      <c r="AW310" s="123">
        <f t="shared" si="5"/>
        <v>33</v>
      </c>
      <c r="AX310" s="113">
        <v>9</v>
      </c>
    </row>
    <row r="311" spans="1:50" x14ac:dyDescent="0.25">
      <c r="A311" s="95" t="s">
        <v>585</v>
      </c>
      <c r="B311" s="96">
        <v>2025</v>
      </c>
      <c r="C311" s="96">
        <v>3</v>
      </c>
      <c r="D311" s="96">
        <v>-1.9486000000000001</v>
      </c>
      <c r="E311" s="96">
        <v>0.13401099999999999</v>
      </c>
      <c r="F311" s="115">
        <v>-0.76969699999999996</v>
      </c>
      <c r="G311" s="115">
        <v>-36.548900000000003</v>
      </c>
      <c r="H311" s="115">
        <v>-0.2389</v>
      </c>
      <c r="I311" s="115">
        <v>80</v>
      </c>
      <c r="J311" s="115">
        <v>124</v>
      </c>
      <c r="K311" s="115">
        <v>0.6452</v>
      </c>
      <c r="L311" s="115">
        <v>0.1186</v>
      </c>
      <c r="M311" s="115">
        <v>757</v>
      </c>
      <c r="N311" s="115">
        <v>6.1048</v>
      </c>
      <c r="O311" s="115">
        <v>6</v>
      </c>
      <c r="P311" s="115">
        <v>8</v>
      </c>
      <c r="Q311" s="115">
        <v>9</v>
      </c>
      <c r="R311" s="115">
        <v>8</v>
      </c>
      <c r="S311" s="115">
        <v>40</v>
      </c>
      <c r="T311" s="115">
        <v>5</v>
      </c>
      <c r="U311" s="115">
        <v>1</v>
      </c>
      <c r="V311" s="115">
        <v>4.8399999999999999E-2</v>
      </c>
      <c r="W311" s="115">
        <v>6.4500000000000002E-2</v>
      </c>
      <c r="X311" s="115">
        <v>-1.61E-2</v>
      </c>
      <c r="Y311" s="115">
        <v>0.43140000000000001</v>
      </c>
      <c r="Z311" s="115">
        <v>70.530900000000003</v>
      </c>
      <c r="AA311" s="115">
        <v>3.4361000000000002</v>
      </c>
      <c r="AB311" s="115">
        <v>58.973999999999997</v>
      </c>
      <c r="AC311" s="115"/>
      <c r="AD311" s="115">
        <v>1.12E-2</v>
      </c>
      <c r="AE311" s="115">
        <v>5.1999999999999998E-3</v>
      </c>
      <c r="AF311" s="115">
        <v>1.77E-2</v>
      </c>
      <c r="AG311" s="115">
        <v>-0.18379999999999999</v>
      </c>
      <c r="AH311" s="115">
        <v>-8.9499999999999996E-2</v>
      </c>
      <c r="AI311" s="115">
        <v>-0.1358</v>
      </c>
      <c r="AJ311" s="115">
        <v>4.3799999999999999E-2</v>
      </c>
      <c r="AK311" s="115">
        <v>7.6612999999999998</v>
      </c>
      <c r="AL311" s="115">
        <v>-1.5323</v>
      </c>
      <c r="AM311" s="115">
        <v>1</v>
      </c>
      <c r="AN311" s="115">
        <v>3</v>
      </c>
      <c r="AO311" s="115">
        <v>0</v>
      </c>
      <c r="AP311" s="115">
        <v>1</v>
      </c>
      <c r="AQ311" s="115">
        <v>1</v>
      </c>
      <c r="AR311" s="115">
        <v>1</v>
      </c>
      <c r="AS311" s="115">
        <v>-5.9999999999999995E-4</v>
      </c>
      <c r="AT311" s="115">
        <v>-8.9099999999999999E-2</v>
      </c>
      <c r="AU311" s="114" t="str">
        <f>IF(A311&lt;&gt;"",INDEX(Index!$B$1:$B$77,MATCH($A311,Index!$A$1:$A$77,0)),"")</f>
        <v>CIN</v>
      </c>
      <c r="AV311" s="123" t="str">
        <f>IF(B311&lt;&gt;"",INDEX(Index!$C$1:$C$77,MATCH($A311,Index!$A$1:$A$77,0)),"")</f>
        <v>Browning</v>
      </c>
      <c r="AW311" s="123">
        <f t="shared" si="5"/>
        <v>33</v>
      </c>
      <c r="AX311" s="113">
        <v>9</v>
      </c>
    </row>
    <row r="312" spans="1:50" x14ac:dyDescent="0.25">
      <c r="A312" s="95" t="s">
        <v>576</v>
      </c>
      <c r="B312" s="96">
        <v>2025</v>
      </c>
      <c r="C312" s="96">
        <v>8</v>
      </c>
      <c r="D312" s="96">
        <v>-2.0420199999999999</v>
      </c>
      <c r="E312" s="96">
        <v>-0.44189400000000001</v>
      </c>
      <c r="F312" s="115">
        <v>-0.704121</v>
      </c>
      <c r="G312" s="115">
        <v>-2.4365000000000001</v>
      </c>
      <c r="H312" s="115">
        <v>-8.3000000000000001E-3</v>
      </c>
      <c r="I312" s="115">
        <v>149</v>
      </c>
      <c r="J312" s="115">
        <v>243</v>
      </c>
      <c r="K312" s="115">
        <v>0.61319999999999997</v>
      </c>
      <c r="L312" s="115">
        <v>-1.5798000000000001</v>
      </c>
      <c r="M312" s="115">
        <v>1390</v>
      </c>
      <c r="N312" s="115">
        <v>5.7202000000000002</v>
      </c>
      <c r="O312" s="115">
        <v>11</v>
      </c>
      <c r="P312" s="115">
        <v>6</v>
      </c>
      <c r="Q312" s="115">
        <v>12</v>
      </c>
      <c r="R312" s="115">
        <v>14</v>
      </c>
      <c r="S312" s="115">
        <v>86</v>
      </c>
      <c r="T312" s="115">
        <v>6.1429</v>
      </c>
      <c r="U312" s="115">
        <v>1</v>
      </c>
      <c r="V312" s="115">
        <v>4.53E-2</v>
      </c>
      <c r="W312" s="115">
        <v>2.47E-2</v>
      </c>
      <c r="X312" s="115">
        <v>2.06E-2</v>
      </c>
      <c r="Y312" s="115">
        <v>0.47260000000000002</v>
      </c>
      <c r="Z312" s="115">
        <v>81.815799999999996</v>
      </c>
      <c r="AA312" s="115">
        <v>4.8979999999999997</v>
      </c>
      <c r="AB312" s="115">
        <v>108.496</v>
      </c>
      <c r="AC312" s="115">
        <v>45.1</v>
      </c>
      <c r="AD312" s="115">
        <v>-6.3E-3</v>
      </c>
      <c r="AE312" s="115">
        <v>8.9999999999999998E-4</v>
      </c>
      <c r="AF312" s="115">
        <v>-5.3400000000000003E-2</v>
      </c>
      <c r="AG312" s="115">
        <v>-2.1000000000000001E-2</v>
      </c>
      <c r="AH312" s="115">
        <v>-2.0199999999999999E-2</v>
      </c>
      <c r="AI312" s="115">
        <v>-2.92E-2</v>
      </c>
      <c r="AJ312" s="115">
        <v>2.86E-2</v>
      </c>
      <c r="AK312" s="115">
        <v>6.5021000000000004</v>
      </c>
      <c r="AL312" s="115">
        <v>-1.8107</v>
      </c>
      <c r="AM312" s="115">
        <v>5</v>
      </c>
      <c r="AN312" s="115">
        <v>3</v>
      </c>
      <c r="AO312" s="115">
        <v>0</v>
      </c>
      <c r="AP312" s="115">
        <v>2</v>
      </c>
      <c r="AQ312" s="115">
        <v>3</v>
      </c>
      <c r="AR312" s="115">
        <v>0.66669999999999996</v>
      </c>
      <c r="AS312" s="115">
        <v>-2.9999999999999997E-4</v>
      </c>
      <c r="AT312" s="115">
        <v>-9.2100000000000001E-2</v>
      </c>
      <c r="AU312" s="114" t="str">
        <f>IF(A312&lt;&gt;"",INDEX(Index!$B$1:$B$77,MATCH($A312,Index!$A$1:$A$77,0)),"")</f>
        <v>CAR</v>
      </c>
      <c r="AV312" s="123" t="str">
        <f>IF(B312&lt;&gt;"",INDEX(Index!$C$1:$C$77,MATCH($A312,Index!$A$1:$A$77,0)),"")</f>
        <v>Young</v>
      </c>
      <c r="AW312" s="123">
        <f t="shared" si="5"/>
        <v>29</v>
      </c>
      <c r="AX312" s="113">
        <v>9</v>
      </c>
    </row>
    <row r="313" spans="1:50" x14ac:dyDescent="0.25">
      <c r="A313" s="95" t="s">
        <v>593</v>
      </c>
      <c r="B313" s="96">
        <v>2025</v>
      </c>
      <c r="C313" s="96">
        <v>1</v>
      </c>
      <c r="D313" s="96">
        <v>-2.2927200000000001</v>
      </c>
      <c r="E313" s="96">
        <v>-0.78385899999999997</v>
      </c>
      <c r="F313" s="115">
        <v>-0.78385899999999997</v>
      </c>
      <c r="G313" s="115">
        <v>-8.7080000000000002</v>
      </c>
      <c r="H313" s="115">
        <v>-0.18140000000000001</v>
      </c>
      <c r="I313" s="115">
        <v>25</v>
      </c>
      <c r="J313" s="115">
        <v>37</v>
      </c>
      <c r="K313" s="115">
        <v>0.67569999999999997</v>
      </c>
      <c r="L313" s="115">
        <v>6.5959000000000003</v>
      </c>
      <c r="M313" s="115">
        <v>293</v>
      </c>
      <c r="N313" s="115">
        <v>7.9188999999999998</v>
      </c>
      <c r="O313" s="115">
        <v>1</v>
      </c>
      <c r="P313" s="115">
        <v>1</v>
      </c>
      <c r="Q313" s="115">
        <v>8</v>
      </c>
      <c r="R313" s="115">
        <v>1</v>
      </c>
      <c r="S313" s="115">
        <v>1</v>
      </c>
      <c r="T313" s="115">
        <v>1</v>
      </c>
      <c r="U313" s="115">
        <v>0</v>
      </c>
      <c r="V313" s="115">
        <v>2.7E-2</v>
      </c>
      <c r="W313" s="115">
        <v>2.7E-2</v>
      </c>
      <c r="X313" s="115">
        <v>0</v>
      </c>
      <c r="Y313" s="115">
        <v>0.45829999999999999</v>
      </c>
      <c r="Z313" s="115">
        <v>89.132900000000006</v>
      </c>
      <c r="AA313" s="115">
        <v>4.7556000000000003</v>
      </c>
      <c r="AB313" s="115">
        <v>-93.4208</v>
      </c>
      <c r="AC313" s="115"/>
      <c r="AD313" s="115">
        <v>-0.1226</v>
      </c>
      <c r="AE313" s="115">
        <v>-0.27550000000000002</v>
      </c>
      <c r="AF313" s="115">
        <v>1.1299999999999999E-2</v>
      </c>
      <c r="AG313" s="115">
        <v>-8.1100000000000005E-2</v>
      </c>
      <c r="AH313" s="115">
        <v>0.28389999999999999</v>
      </c>
      <c r="AI313" s="115">
        <v>-9.1700000000000004E-2</v>
      </c>
      <c r="AJ313" s="115">
        <v>1.9E-3</v>
      </c>
      <c r="AK313" s="115">
        <v>9.4054000000000002</v>
      </c>
      <c r="AL313" s="115">
        <v>1.5405</v>
      </c>
      <c r="AM313" s="115">
        <v>1</v>
      </c>
      <c r="AN313" s="115">
        <v>2</v>
      </c>
      <c r="AO313" s="115">
        <v>0</v>
      </c>
      <c r="AP313" s="115">
        <v>0</v>
      </c>
      <c r="AQ313" s="115">
        <v>0</v>
      </c>
      <c r="AR313" s="115"/>
      <c r="AS313" s="115">
        <v>-8.2000000000000007E-3</v>
      </c>
      <c r="AT313" s="115">
        <v>-0.39529999999999998</v>
      </c>
      <c r="AU313" s="114" t="str">
        <f>IF(A313&lt;&gt;"",INDEX(Index!$B$1:$B$77,MATCH($A313,Index!$A$1:$A$77,0)),"")</f>
        <v>CAR</v>
      </c>
      <c r="AV313" s="123" t="str">
        <f>IF(B313&lt;&gt;"",INDEX(Index!$C$1:$C$77,MATCH($A313,Index!$A$1:$A$77,0)),"")</f>
        <v>Dalton</v>
      </c>
      <c r="AW313" s="123">
        <f t="shared" si="5"/>
        <v>37</v>
      </c>
      <c r="AX313" s="113">
        <v>9</v>
      </c>
    </row>
    <row r="314" spans="1:50" x14ac:dyDescent="0.25">
      <c r="A314" s="95" t="s">
        <v>586</v>
      </c>
      <c r="B314" s="96">
        <v>2025</v>
      </c>
      <c r="C314" s="96">
        <v>5</v>
      </c>
      <c r="D314" s="96">
        <v>-2.4698899999999999</v>
      </c>
      <c r="E314" s="96">
        <v>-0.60543899999999995</v>
      </c>
      <c r="F314" s="115">
        <v>-0.248695</v>
      </c>
      <c r="G314" s="115">
        <v>12.968299999999999</v>
      </c>
      <c r="H314" s="115">
        <v>6.3E-2</v>
      </c>
      <c r="I314" s="115">
        <v>110</v>
      </c>
      <c r="J314" s="115">
        <v>168</v>
      </c>
      <c r="K314" s="115">
        <v>0.65480000000000005</v>
      </c>
      <c r="L314" s="115">
        <v>1.1112</v>
      </c>
      <c r="M314" s="115">
        <v>1216</v>
      </c>
      <c r="N314" s="115">
        <v>7.2381000000000002</v>
      </c>
      <c r="O314" s="115">
        <v>6</v>
      </c>
      <c r="P314" s="115">
        <v>5</v>
      </c>
      <c r="Q314" s="115">
        <v>19</v>
      </c>
      <c r="R314" s="115">
        <v>9</v>
      </c>
      <c r="S314" s="115">
        <v>57</v>
      </c>
      <c r="T314" s="115">
        <v>6.3333000000000004</v>
      </c>
      <c r="U314" s="115">
        <v>0</v>
      </c>
      <c r="V314" s="115">
        <v>3.5700000000000003E-2</v>
      </c>
      <c r="W314" s="115">
        <v>2.98E-2</v>
      </c>
      <c r="X314" s="115">
        <v>6.0000000000000001E-3</v>
      </c>
      <c r="Y314" s="115">
        <v>0.48060000000000003</v>
      </c>
      <c r="Z314" s="115">
        <v>86.3095</v>
      </c>
      <c r="AA314" s="115">
        <v>5.2727000000000004</v>
      </c>
      <c r="AB314" s="115">
        <v>107.76</v>
      </c>
      <c r="AC314" s="115">
        <v>41.1</v>
      </c>
      <c r="AD314" s="115">
        <v>-2.3300000000000001E-2</v>
      </c>
      <c r="AE314" s="115">
        <v>-3.3500000000000002E-2</v>
      </c>
      <c r="AF314" s="115">
        <v>1.72E-2</v>
      </c>
      <c r="AG314" s="115">
        <v>-3.49E-2</v>
      </c>
      <c r="AH314" s="115">
        <v>6.4000000000000003E-3</v>
      </c>
      <c r="AI314" s="115">
        <v>3.56E-2</v>
      </c>
      <c r="AJ314" s="115">
        <v>3.2000000000000002E-3</v>
      </c>
      <c r="AK314" s="115">
        <v>7.6666999999999996</v>
      </c>
      <c r="AL314" s="115">
        <v>-1.3571</v>
      </c>
      <c r="AM314" s="115">
        <v>2</v>
      </c>
      <c r="AN314" s="115">
        <v>3</v>
      </c>
      <c r="AO314" s="115">
        <v>0</v>
      </c>
      <c r="AP314" s="115">
        <v>1</v>
      </c>
      <c r="AQ314" s="115">
        <v>3</v>
      </c>
      <c r="AR314" s="115">
        <v>0.33329999999999999</v>
      </c>
      <c r="AS314" s="115">
        <v>1.1999999999999999E-3</v>
      </c>
      <c r="AT314" s="115">
        <v>0.23880000000000001</v>
      </c>
      <c r="AU314" s="114" t="str">
        <f>IF(A314&lt;&gt;"",INDEX(Index!$B$1:$B$77,MATCH($A314,Index!$A$1:$A$77,0)),"")</f>
        <v>MIN</v>
      </c>
      <c r="AV314" s="123" t="str">
        <f>IF(B314&lt;&gt;"",INDEX(Index!$C$1:$C$77,MATCH($A314,Index!$A$1:$A$77,0)),"")</f>
        <v>Wentz</v>
      </c>
      <c r="AW314" s="123">
        <f t="shared" si="5"/>
        <v>8</v>
      </c>
      <c r="AX314" s="113">
        <v>9</v>
      </c>
    </row>
    <row r="315" spans="1:50" x14ac:dyDescent="0.25">
      <c r="A315" s="95" t="s">
        <v>588</v>
      </c>
      <c r="B315" s="96">
        <v>2025</v>
      </c>
      <c r="C315" s="96">
        <v>2</v>
      </c>
      <c r="D315" s="96">
        <v>-2.5199199999999999</v>
      </c>
      <c r="E315" s="96">
        <v>-0.378133</v>
      </c>
      <c r="F315" s="115">
        <v>-0.79516200000000004</v>
      </c>
      <c r="G315" s="115">
        <v>-25.889299999999999</v>
      </c>
      <c r="H315" s="115">
        <v>-0.45419999999999999</v>
      </c>
      <c r="I315" s="115">
        <v>34</v>
      </c>
      <c r="J315" s="115">
        <v>52</v>
      </c>
      <c r="K315" s="115">
        <v>0.65380000000000005</v>
      </c>
      <c r="L315" s="115">
        <v>-1.9399</v>
      </c>
      <c r="M315" s="115">
        <v>303</v>
      </c>
      <c r="N315" s="115">
        <v>5.8269000000000002</v>
      </c>
      <c r="O315" s="115">
        <v>0</v>
      </c>
      <c r="P315" s="115">
        <v>4</v>
      </c>
      <c r="Q315" s="115">
        <v>1</v>
      </c>
      <c r="R315" s="115">
        <v>0</v>
      </c>
      <c r="S315" s="115">
        <v>0</v>
      </c>
      <c r="T315" s="115"/>
      <c r="U315" s="115">
        <v>0</v>
      </c>
      <c r="V315" s="115">
        <v>0</v>
      </c>
      <c r="W315" s="115">
        <v>7.6899999999999996E-2</v>
      </c>
      <c r="X315" s="115">
        <v>-7.6899999999999996E-2</v>
      </c>
      <c r="Y315" s="115">
        <v>0.42109999999999997</v>
      </c>
      <c r="Z315" s="115">
        <v>48.798099999999998</v>
      </c>
      <c r="AA315" s="115">
        <v>2.0188999999999999</v>
      </c>
      <c r="AB315" s="115">
        <v>12.234400000000001</v>
      </c>
      <c r="AC315" s="115"/>
      <c r="AD315" s="115">
        <v>-3.3099999999999997E-2</v>
      </c>
      <c r="AE315" s="115">
        <v>5.8799999999999998E-2</v>
      </c>
      <c r="AF315" s="115">
        <v>-6.1899999999999997E-2</v>
      </c>
      <c r="AG315" s="115">
        <v>-0.23169999999999999</v>
      </c>
      <c r="AH315" s="115">
        <v>-0.22109999999999999</v>
      </c>
      <c r="AI315" s="115">
        <v>-1.8700000000000001E-2</v>
      </c>
      <c r="AJ315" s="115">
        <v>-3.8800000000000001E-2</v>
      </c>
      <c r="AK315" s="115">
        <v>6.4423000000000004</v>
      </c>
      <c r="AL315" s="115">
        <v>-2.0577000000000001</v>
      </c>
      <c r="AM315" s="115">
        <v>0</v>
      </c>
      <c r="AN315" s="115">
        <v>3</v>
      </c>
      <c r="AO315" s="115">
        <v>0</v>
      </c>
      <c r="AP315" s="115">
        <v>0</v>
      </c>
      <c r="AQ315" s="115">
        <v>0</v>
      </c>
      <c r="AR315" s="115"/>
      <c r="AS315" s="115">
        <v>-6.8999999999999999E-3</v>
      </c>
      <c r="AT315" s="115">
        <v>-0.39179999999999998</v>
      </c>
      <c r="AU315" s="114" t="str">
        <f>IF(A315&lt;&gt;"",INDEX(Index!$B$1:$B$77,MATCH($A315,Index!$A$1:$A$77,0)),"")</f>
        <v>BAL</v>
      </c>
      <c r="AV315" s="123" t="str">
        <f>IF(B315&lt;&gt;"",INDEX(Index!$C$1:$C$77,MATCH($A315,Index!$A$1:$A$77,0)),"")</f>
        <v>Rush</v>
      </c>
      <c r="AW315" s="123">
        <f t="shared" si="5"/>
        <v>44</v>
      </c>
      <c r="AX315" s="113">
        <v>9</v>
      </c>
    </row>
    <row r="316" spans="1:50" x14ac:dyDescent="0.25">
      <c r="A316" s="95" t="s">
        <v>581</v>
      </c>
      <c r="B316" s="96">
        <v>2025</v>
      </c>
      <c r="C316" s="96">
        <v>8</v>
      </c>
      <c r="D316" s="96">
        <v>-2.5891199999999999</v>
      </c>
      <c r="E316" s="96">
        <v>-0.47380100000000003</v>
      </c>
      <c r="F316" s="115">
        <v>0.738784</v>
      </c>
      <c r="G316" s="115">
        <v>-17.053899999999999</v>
      </c>
      <c r="H316" s="115">
        <v>-5.28E-2</v>
      </c>
      <c r="I316" s="115">
        <v>174</v>
      </c>
      <c r="J316" s="115">
        <v>253</v>
      </c>
      <c r="K316" s="115">
        <v>0.68769999999999998</v>
      </c>
      <c r="L316" s="115">
        <v>2.3567999999999998</v>
      </c>
      <c r="M316" s="115">
        <v>1586</v>
      </c>
      <c r="N316" s="115">
        <v>6.2687999999999997</v>
      </c>
      <c r="O316" s="115">
        <v>8</v>
      </c>
      <c r="P316" s="115">
        <v>5</v>
      </c>
      <c r="Q316" s="115">
        <v>18</v>
      </c>
      <c r="R316" s="115">
        <v>30</v>
      </c>
      <c r="S316" s="115">
        <v>168</v>
      </c>
      <c r="T316" s="115">
        <v>5.6</v>
      </c>
      <c r="U316" s="115">
        <v>0</v>
      </c>
      <c r="V316" s="115">
        <v>3.1600000000000003E-2</v>
      </c>
      <c r="W316" s="115">
        <v>1.9800000000000002E-2</v>
      </c>
      <c r="X316" s="115">
        <v>1.1900000000000001E-2</v>
      </c>
      <c r="Y316" s="115">
        <v>0.47989999999999999</v>
      </c>
      <c r="Z316" s="115">
        <v>87.821100000000001</v>
      </c>
      <c r="AA316" s="115">
        <v>5.2287999999999997</v>
      </c>
      <c r="AB316" s="115">
        <v>139.14599999999999</v>
      </c>
      <c r="AC316" s="115">
        <v>50.8</v>
      </c>
      <c r="AD316" s="115">
        <v>-3.5000000000000001E-3</v>
      </c>
      <c r="AE316" s="115">
        <v>9.1999999999999998E-3</v>
      </c>
      <c r="AF316" s="115">
        <v>1.7000000000000001E-2</v>
      </c>
      <c r="AG316" s="115">
        <v>8.2000000000000007E-3</v>
      </c>
      <c r="AH316" s="115">
        <v>-5.0999999999999997E-2</v>
      </c>
      <c r="AI316" s="115">
        <v>-0.13</v>
      </c>
      <c r="AJ316" s="115">
        <v>4.7999999999999996E-3</v>
      </c>
      <c r="AK316" s="115">
        <v>8.0078999999999994</v>
      </c>
      <c r="AL316" s="115">
        <v>-1.1028</v>
      </c>
      <c r="AM316" s="115">
        <v>1</v>
      </c>
      <c r="AN316" s="115">
        <v>7</v>
      </c>
      <c r="AO316" s="115">
        <v>0</v>
      </c>
      <c r="AP316" s="115">
        <v>0</v>
      </c>
      <c r="AQ316" s="115">
        <v>4</v>
      </c>
      <c r="AR316" s="115">
        <v>0</v>
      </c>
      <c r="AS316" s="115">
        <v>-2.8E-3</v>
      </c>
      <c r="AT316" s="115">
        <v>-0.89029999999999998</v>
      </c>
      <c r="AU316" s="114" t="str">
        <f>IF(A316&lt;&gt;"",INDEX(Index!$B$1:$B$77,MATCH($A316,Index!$A$1:$A$77,0)),"")</f>
        <v>NO</v>
      </c>
      <c r="AV316" s="123" t="str">
        <f>IF(B316&lt;&gt;"",INDEX(Index!$C$1:$C$77,MATCH($A316,Index!$A$1:$A$77,0)),"")</f>
        <v>Rattler</v>
      </c>
      <c r="AW316" s="123">
        <f t="shared" si="5"/>
        <v>10</v>
      </c>
      <c r="AX316" s="113">
        <v>9</v>
      </c>
    </row>
    <row r="317" spans="1:50" x14ac:dyDescent="0.25">
      <c r="A317" s="95" t="s">
        <v>594</v>
      </c>
      <c r="B317" s="96">
        <v>2025</v>
      </c>
      <c r="C317" s="96">
        <v>1</v>
      </c>
      <c r="D317" s="96">
        <v>-2.7063100000000002</v>
      </c>
      <c r="E317" s="96">
        <v>-2.7345299999999999E-2</v>
      </c>
      <c r="F317" s="115">
        <v>-2.7345299999999999E-2</v>
      </c>
      <c r="G317" s="115">
        <v>-15.694800000000001</v>
      </c>
      <c r="H317" s="115">
        <v>-0.24909999999999999</v>
      </c>
      <c r="I317" s="115">
        <v>32</v>
      </c>
      <c r="J317" s="115">
        <v>55</v>
      </c>
      <c r="K317" s="115">
        <v>0.58179999999999998</v>
      </c>
      <c r="L317" s="115">
        <v>-10.6539</v>
      </c>
      <c r="M317" s="115">
        <v>304</v>
      </c>
      <c r="N317" s="115">
        <v>5.5273000000000003</v>
      </c>
      <c r="O317" s="115">
        <v>1</v>
      </c>
      <c r="P317" s="115">
        <v>2</v>
      </c>
      <c r="Q317" s="115">
        <v>3</v>
      </c>
      <c r="R317" s="115">
        <v>4</v>
      </c>
      <c r="S317" s="115">
        <v>14</v>
      </c>
      <c r="T317" s="115">
        <v>3.5</v>
      </c>
      <c r="U317" s="115">
        <v>0</v>
      </c>
      <c r="V317" s="115">
        <v>1.8200000000000001E-2</v>
      </c>
      <c r="W317" s="115">
        <v>3.6400000000000002E-2</v>
      </c>
      <c r="X317" s="115">
        <v>-1.8200000000000001E-2</v>
      </c>
      <c r="Y317" s="115">
        <v>0.41270000000000001</v>
      </c>
      <c r="Z317" s="115">
        <v>64.507599999999996</v>
      </c>
      <c r="AA317" s="115">
        <v>3.569</v>
      </c>
      <c r="AB317" s="115">
        <v>99.044799999999995</v>
      </c>
      <c r="AC317" s="115"/>
      <c r="AD317" s="115">
        <v>-2.6100000000000002E-2</v>
      </c>
      <c r="AE317" s="115">
        <v>2.3E-3</v>
      </c>
      <c r="AF317" s="115">
        <v>-9.8000000000000004E-2</v>
      </c>
      <c r="AG317" s="115">
        <v>-5.6300000000000003E-2</v>
      </c>
      <c r="AH317" s="115">
        <v>-3.44E-2</v>
      </c>
      <c r="AI317" s="115">
        <v>-0.1144</v>
      </c>
      <c r="AJ317" s="115">
        <v>-1.4500000000000001E-2</v>
      </c>
      <c r="AK317" s="115">
        <v>8.9635999999999996</v>
      </c>
      <c r="AL317" s="115">
        <v>1.2544999999999999</v>
      </c>
      <c r="AM317" s="115">
        <v>0</v>
      </c>
      <c r="AN317" s="115">
        <v>3</v>
      </c>
      <c r="AO317" s="115">
        <v>0</v>
      </c>
      <c r="AP317" s="115">
        <v>0</v>
      </c>
      <c r="AQ317" s="115">
        <v>0</v>
      </c>
      <c r="AR317" s="115"/>
      <c r="AS317" s="115">
        <v>-2.0999999999999999E-3</v>
      </c>
      <c r="AT317" s="115">
        <v>-0.1303</v>
      </c>
      <c r="AU317" s="114" t="str">
        <f>IF(A317&lt;&gt;"",INDEX(Index!$B$1:$B$77,MATCH($A317,Index!$A$1:$A$77,0)),"")</f>
        <v>NO</v>
      </c>
      <c r="AV317" s="123" t="str">
        <f>IF(B317&lt;&gt;"",INDEX(Index!$C$1:$C$77,MATCH($A317,Index!$A$1:$A$77,0)),"")</f>
        <v>Shough</v>
      </c>
      <c r="AW317" s="123">
        <f t="shared" si="5"/>
        <v>42</v>
      </c>
      <c r="AX317" s="113">
        <v>9</v>
      </c>
    </row>
    <row r="318" spans="1:50" x14ac:dyDescent="0.25">
      <c r="A318" s="95" t="s">
        <v>580</v>
      </c>
      <c r="B318" s="96">
        <v>2025</v>
      </c>
      <c r="C318" s="96">
        <v>3</v>
      </c>
      <c r="D318" s="96">
        <v>-2.8231199999999999</v>
      </c>
      <c r="E318" s="96">
        <v>-0.29556900000000003</v>
      </c>
      <c r="F318" s="115">
        <v>-1.18865</v>
      </c>
      <c r="G318" s="115">
        <v>-22.032</v>
      </c>
      <c r="H318" s="115">
        <v>-0.2319</v>
      </c>
      <c r="I318" s="115">
        <v>38</v>
      </c>
      <c r="J318" s="115">
        <v>66</v>
      </c>
      <c r="K318" s="115">
        <v>0.57579999999999998</v>
      </c>
      <c r="L318" s="115">
        <v>-4.7088000000000001</v>
      </c>
      <c r="M318" s="115">
        <v>444</v>
      </c>
      <c r="N318" s="115">
        <v>6.7272999999999996</v>
      </c>
      <c r="O318" s="115">
        <v>4</v>
      </c>
      <c r="P318" s="115">
        <v>4</v>
      </c>
      <c r="Q318" s="115">
        <v>14</v>
      </c>
      <c r="R318" s="115">
        <v>10</v>
      </c>
      <c r="S318" s="115">
        <v>67</v>
      </c>
      <c r="T318" s="115">
        <v>6.7</v>
      </c>
      <c r="U318" s="115">
        <v>2</v>
      </c>
      <c r="V318" s="115">
        <v>6.0600000000000001E-2</v>
      </c>
      <c r="W318" s="115">
        <v>6.0600000000000001E-2</v>
      </c>
      <c r="X318" s="115">
        <v>0</v>
      </c>
      <c r="Y318" s="115">
        <v>0.41049999999999998</v>
      </c>
      <c r="Z318" s="115">
        <v>73.042900000000003</v>
      </c>
      <c r="AA318" s="115">
        <v>3.375</v>
      </c>
      <c r="AB318" s="115">
        <v>7.9581</v>
      </c>
      <c r="AC318" s="115"/>
      <c r="AD318" s="115">
        <v>4.8399999999999999E-2</v>
      </c>
      <c r="AE318" s="115">
        <v>-0.17879999999999999</v>
      </c>
      <c r="AF318" s="115">
        <v>-1.21E-2</v>
      </c>
      <c r="AG318" s="115">
        <v>-0.14050000000000001</v>
      </c>
      <c r="AH318" s="115">
        <v>3.61E-2</v>
      </c>
      <c r="AI318" s="115">
        <v>-0.1115</v>
      </c>
      <c r="AJ318" s="115">
        <v>3.4200000000000001E-2</v>
      </c>
      <c r="AK318" s="115">
        <v>9.5</v>
      </c>
      <c r="AL318" s="115">
        <v>0.40910000000000002</v>
      </c>
      <c r="AM318" s="115">
        <v>2</v>
      </c>
      <c r="AN318" s="115">
        <v>1</v>
      </c>
      <c r="AO318" s="115">
        <v>0</v>
      </c>
      <c r="AP318" s="115">
        <v>1</v>
      </c>
      <c r="AQ318" s="115">
        <v>2</v>
      </c>
      <c r="AR318" s="115">
        <v>0.5</v>
      </c>
      <c r="AS318" s="115">
        <v>-2.9999999999999997E-4</v>
      </c>
      <c r="AT318" s="115">
        <v>-2.9899999999999999E-2</v>
      </c>
      <c r="AU318" s="114" t="str">
        <f>IF(A318&lt;&gt;"",INDEX(Index!$B$1:$B$77,MATCH($A318,Index!$A$1:$A$77,0)),"")</f>
        <v>MIN</v>
      </c>
      <c r="AV318" s="123" t="str">
        <f>IF(B318&lt;&gt;"",INDEX(Index!$C$1:$C$77,MATCH($A318,Index!$A$1:$A$77,0)),"")</f>
        <v>McCarthy</v>
      </c>
      <c r="AW318" s="123">
        <f t="shared" si="5"/>
        <v>24</v>
      </c>
      <c r="AX318" s="113">
        <v>9</v>
      </c>
    </row>
    <row r="319" spans="1:50" x14ac:dyDescent="0.25">
      <c r="A319" s="95" t="s">
        <v>589</v>
      </c>
      <c r="B319" s="96">
        <v>2025</v>
      </c>
      <c r="C319" s="96">
        <v>4</v>
      </c>
      <c r="D319" s="96">
        <v>-3.9140600000000001</v>
      </c>
      <c r="E319" s="96">
        <v>2.8353300000000001E-2</v>
      </c>
      <c r="F319" s="115">
        <v>-0.13846600000000001</v>
      </c>
      <c r="G319" s="115">
        <v>-21.621300000000002</v>
      </c>
      <c r="H319" s="115">
        <v>-0.12790000000000001</v>
      </c>
      <c r="I319" s="115">
        <v>85</v>
      </c>
      <c r="J319" s="115">
        <v>141</v>
      </c>
      <c r="K319" s="115">
        <v>0.6028</v>
      </c>
      <c r="L319" s="115">
        <v>-6.2244000000000002</v>
      </c>
      <c r="M319" s="115">
        <v>702</v>
      </c>
      <c r="N319" s="115">
        <v>4.9786999999999999</v>
      </c>
      <c r="O319" s="115">
        <v>5</v>
      </c>
      <c r="P319" s="115">
        <v>2</v>
      </c>
      <c r="Q319" s="115">
        <v>11</v>
      </c>
      <c r="R319" s="115">
        <v>6</v>
      </c>
      <c r="S319" s="115">
        <v>31</v>
      </c>
      <c r="T319" s="115">
        <v>5.1666999999999996</v>
      </c>
      <c r="U319" s="115">
        <v>0</v>
      </c>
      <c r="V319" s="115">
        <v>3.5499999999999997E-2</v>
      </c>
      <c r="W319" s="115">
        <v>1.4200000000000001E-2</v>
      </c>
      <c r="X319" s="115">
        <v>2.1299999999999999E-2</v>
      </c>
      <c r="Y319" s="115">
        <v>0.3669</v>
      </c>
      <c r="Z319" s="115">
        <v>78.974599999999995</v>
      </c>
      <c r="AA319" s="115">
        <v>4.2171000000000003</v>
      </c>
      <c r="AB319" s="115">
        <v>69.864599999999996</v>
      </c>
      <c r="AC319" s="115">
        <v>26.8</v>
      </c>
      <c r="AD319" s="115">
        <v>-3.78E-2</v>
      </c>
      <c r="AE319" s="115">
        <v>1.9E-3</v>
      </c>
      <c r="AF319" s="115">
        <v>-6.7699999999999996E-2</v>
      </c>
      <c r="AG319" s="115">
        <v>2.6100000000000002E-2</v>
      </c>
      <c r="AH319" s="115">
        <v>-0.18160000000000001</v>
      </c>
      <c r="AI319" s="115">
        <v>-2.8E-3</v>
      </c>
      <c r="AJ319" s="115">
        <v>4.1799999999999997E-2</v>
      </c>
      <c r="AK319" s="115">
        <v>5.8297999999999996</v>
      </c>
      <c r="AL319" s="115">
        <v>-3.7871999999999999</v>
      </c>
      <c r="AM319" s="115">
        <v>1</v>
      </c>
      <c r="AN319" s="115">
        <v>5</v>
      </c>
      <c r="AO319" s="115">
        <v>0</v>
      </c>
      <c r="AP319" s="115">
        <v>0</v>
      </c>
      <c r="AQ319" s="115">
        <v>1</v>
      </c>
      <c r="AR319" s="115">
        <v>0</v>
      </c>
      <c r="AS319" s="115">
        <v>-1.9E-3</v>
      </c>
      <c r="AT319" s="115">
        <v>-0.3251</v>
      </c>
      <c r="AU319" s="114" t="str">
        <f>IF(A319&lt;&gt;"",INDEX(Index!$B$1:$B$77,MATCH($A319,Index!$A$1:$A$77,0)),"")</f>
        <v>CLE</v>
      </c>
      <c r="AV319" s="123" t="str">
        <f>IF(B319&lt;&gt;"",INDEX(Index!$C$1:$C$77,MATCH($A319,Index!$A$1:$A$77,0)),"")</f>
        <v>Gabriel</v>
      </c>
      <c r="AW319" s="123">
        <f t="shared" si="5"/>
        <v>30</v>
      </c>
      <c r="AX319" s="113">
        <v>9</v>
      </c>
    </row>
    <row r="320" spans="1:50" ht="15.75" thickBot="1" x14ac:dyDescent="0.3">
      <c r="A320" s="95" t="s">
        <v>582</v>
      </c>
      <c r="B320" s="96">
        <v>2025</v>
      </c>
      <c r="C320" s="96">
        <v>9</v>
      </c>
      <c r="D320" s="96">
        <v>-4.25007</v>
      </c>
      <c r="E320" s="96">
        <v>-0.23541699999999999</v>
      </c>
      <c r="F320" s="115">
        <v>-2.7454100000000001</v>
      </c>
      <c r="G320" s="115">
        <v>-74.722399999999993</v>
      </c>
      <c r="H320" s="115">
        <v>-0.20419999999999999</v>
      </c>
      <c r="I320" s="115">
        <v>170</v>
      </c>
      <c r="J320" s="115">
        <v>292</v>
      </c>
      <c r="K320" s="115">
        <v>0.58220000000000005</v>
      </c>
      <c r="L320" s="115">
        <v>-5.6214000000000004</v>
      </c>
      <c r="M320" s="115">
        <v>1760</v>
      </c>
      <c r="N320" s="115">
        <v>6.0274000000000001</v>
      </c>
      <c r="O320" s="115">
        <v>5</v>
      </c>
      <c r="P320" s="115">
        <v>6</v>
      </c>
      <c r="Q320" s="115">
        <v>38</v>
      </c>
      <c r="R320" s="115">
        <v>13</v>
      </c>
      <c r="S320" s="115">
        <v>54</v>
      </c>
      <c r="T320" s="115">
        <v>4.1538000000000004</v>
      </c>
      <c r="U320" s="115">
        <v>0</v>
      </c>
      <c r="V320" s="115">
        <v>1.7100000000000001E-2</v>
      </c>
      <c r="W320" s="115">
        <v>2.0500000000000001E-2</v>
      </c>
      <c r="X320" s="115">
        <v>-3.3999999999999998E-3</v>
      </c>
      <c r="Y320" s="115">
        <v>0.40160000000000001</v>
      </c>
      <c r="Z320" s="115">
        <v>72.8596</v>
      </c>
      <c r="AA320" s="115">
        <v>3.9241999999999999</v>
      </c>
      <c r="AB320" s="115">
        <v>6.0111999999999997</v>
      </c>
      <c r="AC320" s="115">
        <v>23.9</v>
      </c>
      <c r="AD320" s="115">
        <v>-2.7699999999999999E-2</v>
      </c>
      <c r="AE320" s="115">
        <v>-0.11940000000000001</v>
      </c>
      <c r="AF320" s="115">
        <v>-4.1700000000000001E-2</v>
      </c>
      <c r="AG320" s="115">
        <v>1.18E-2</v>
      </c>
      <c r="AH320" s="115">
        <v>-5.45E-2</v>
      </c>
      <c r="AI320" s="115">
        <v>-6.0600000000000001E-2</v>
      </c>
      <c r="AJ320" s="115">
        <v>-4.4000000000000003E-3</v>
      </c>
      <c r="AK320" s="115">
        <v>7.8663999999999996</v>
      </c>
      <c r="AL320" s="115">
        <v>-1.4315</v>
      </c>
      <c r="AM320" s="115">
        <v>1</v>
      </c>
      <c r="AN320" s="115">
        <v>8</v>
      </c>
      <c r="AO320" s="115">
        <v>0</v>
      </c>
      <c r="AP320" s="115">
        <v>1</v>
      </c>
      <c r="AQ320" s="115">
        <v>3</v>
      </c>
      <c r="AR320" s="115">
        <v>0.33329999999999999</v>
      </c>
      <c r="AS320" s="115">
        <v>-4.1000000000000003E-3</v>
      </c>
      <c r="AT320" s="115">
        <v>-1.5154000000000001</v>
      </c>
      <c r="AU320" s="114" t="str">
        <f>IF(A320&lt;&gt;"",INDEX(Index!$B$1:$B$77,MATCH($A320,Index!$A$1:$A$77,0)),"")</f>
        <v>TEN</v>
      </c>
      <c r="AV320" s="123" t="str">
        <f>IF(B320&lt;&gt;"",INDEX(Index!$C$1:$C$77,MATCH($A320,Index!$A$1:$A$77,0)),"")</f>
        <v>Ward</v>
      </c>
      <c r="AW320" s="123">
        <f t="shared" si="5"/>
        <v>1</v>
      </c>
      <c r="AX320" s="113">
        <v>9</v>
      </c>
    </row>
    <row r="321" spans="1:50" x14ac:dyDescent="0.25">
      <c r="A321" s="117" t="s">
        <v>551</v>
      </c>
      <c r="B321" s="118">
        <v>2025</v>
      </c>
      <c r="C321" s="118">
        <v>9</v>
      </c>
      <c r="D321" s="119">
        <v>3.2308599999999998</v>
      </c>
      <c r="E321" s="119">
        <v>-9.7742300000000004E-2</v>
      </c>
      <c r="F321" s="119">
        <v>-0.229515</v>
      </c>
      <c r="G321" s="119">
        <v>90.438100000000006</v>
      </c>
      <c r="H321" s="119">
        <v>0.2591</v>
      </c>
      <c r="I321" s="119">
        <v>185</v>
      </c>
      <c r="J321" s="119">
        <v>262</v>
      </c>
      <c r="K321" s="119">
        <v>0.70609999999999995</v>
      </c>
      <c r="L321" s="119">
        <v>4.6111000000000004</v>
      </c>
      <c r="M321" s="119">
        <v>2139</v>
      </c>
      <c r="N321" s="119">
        <v>8.1640999999999995</v>
      </c>
      <c r="O321" s="119">
        <v>15</v>
      </c>
      <c r="P321" s="119">
        <v>5</v>
      </c>
      <c r="Q321" s="119">
        <v>20</v>
      </c>
      <c r="R321" s="119">
        <v>48</v>
      </c>
      <c r="S321" s="119">
        <v>321</v>
      </c>
      <c r="T321" s="119">
        <v>6.6875</v>
      </c>
      <c r="U321" s="119">
        <v>7</v>
      </c>
      <c r="V321" s="119">
        <v>5.7299999999999997E-2</v>
      </c>
      <c r="W321" s="119">
        <v>1.9099999999999999E-2</v>
      </c>
      <c r="X321" s="119">
        <v>3.8199999999999998E-2</v>
      </c>
      <c r="Y321" s="119">
        <v>0.53010000000000002</v>
      </c>
      <c r="Z321" s="119">
        <v>106.075</v>
      </c>
      <c r="AA321" s="119">
        <v>7.4539</v>
      </c>
      <c r="AB321" s="119">
        <v>257.20699999999999</v>
      </c>
      <c r="AC321" s="119">
        <v>61.6</v>
      </c>
      <c r="AD321" s="119">
        <v>5.1400000000000001E-2</v>
      </c>
      <c r="AE321" s="119">
        <v>3.5499999999999997E-2</v>
      </c>
      <c r="AF321" s="119">
        <v>3.9E-2</v>
      </c>
      <c r="AG321" s="119">
        <v>2.5000000000000001E-2</v>
      </c>
      <c r="AH321" s="119">
        <v>-5.9799999999999999E-2</v>
      </c>
      <c r="AI321" s="119">
        <v>7.8799999999999995E-2</v>
      </c>
      <c r="AJ321" s="119">
        <v>2.5999999999999999E-3</v>
      </c>
      <c r="AK321" s="119">
        <v>7.7938999999999998</v>
      </c>
      <c r="AL321" s="119">
        <v>-0.67179999999999995</v>
      </c>
      <c r="AM321" s="119">
        <v>6</v>
      </c>
      <c r="AN321" s="119">
        <v>3</v>
      </c>
      <c r="AO321" s="119">
        <v>0</v>
      </c>
      <c r="AP321" s="119">
        <v>1</v>
      </c>
      <c r="AQ321" s="119">
        <v>3</v>
      </c>
      <c r="AR321" s="119">
        <v>0.33329999999999999</v>
      </c>
      <c r="AS321" s="119">
        <v>5.3E-3</v>
      </c>
      <c r="AT321" s="119">
        <v>1.8534999999999999</v>
      </c>
      <c r="AU321" s="121" t="str">
        <f>IF(A321&lt;&gt;"",INDEX(Index!$B$1:$B$77,MATCH($A321,Index!$A$1:$A$77,0)),"")</f>
        <v>BUF</v>
      </c>
      <c r="AV321" s="124" t="str">
        <f>IF(B321&lt;&gt;"",INDEX(Index!$C$1:$C$77,MATCH($A321,Index!$A$1:$A$77,0)),"")</f>
        <v>Allen</v>
      </c>
      <c r="AW321" s="124">
        <f t="shared" si="5"/>
        <v>10</v>
      </c>
      <c r="AX321" s="120">
        <v>10</v>
      </c>
    </row>
    <row r="322" spans="1:50" x14ac:dyDescent="0.25">
      <c r="A322" s="95" t="s">
        <v>550</v>
      </c>
      <c r="B322" s="96">
        <v>2025</v>
      </c>
      <c r="C322" s="96">
        <v>6</v>
      </c>
      <c r="D322" s="115">
        <v>2.9607299999999999</v>
      </c>
      <c r="E322" s="115">
        <v>-0.31722499999999998</v>
      </c>
      <c r="F322" s="115">
        <v>-0.61926300000000001</v>
      </c>
      <c r="G322" s="115">
        <v>51.2881</v>
      </c>
      <c r="H322" s="115">
        <v>0.249</v>
      </c>
      <c r="I322" s="115">
        <v>103</v>
      </c>
      <c r="J322" s="115">
        <v>147</v>
      </c>
      <c r="K322" s="115">
        <v>0.70069999999999999</v>
      </c>
      <c r="L322" s="115">
        <v>6.1128</v>
      </c>
      <c r="M322" s="115">
        <v>1249</v>
      </c>
      <c r="N322" s="115">
        <v>8.4966000000000008</v>
      </c>
      <c r="O322" s="115">
        <v>15</v>
      </c>
      <c r="P322" s="115">
        <v>1</v>
      </c>
      <c r="Q322" s="115">
        <v>18</v>
      </c>
      <c r="R322" s="115">
        <v>32</v>
      </c>
      <c r="S322" s="115">
        <v>219</v>
      </c>
      <c r="T322" s="115">
        <v>6.8437999999999999</v>
      </c>
      <c r="U322" s="115">
        <v>1</v>
      </c>
      <c r="V322" s="115">
        <v>0.10199999999999999</v>
      </c>
      <c r="W322" s="115">
        <v>6.7999999999999996E-3</v>
      </c>
      <c r="X322" s="115">
        <v>9.5200000000000007E-2</v>
      </c>
      <c r="Y322" s="115">
        <v>0.52429999999999999</v>
      </c>
      <c r="Z322" s="115">
        <v>127.05500000000001</v>
      </c>
      <c r="AA322" s="115">
        <v>8.3514999999999997</v>
      </c>
      <c r="AB322" s="115">
        <v>233.85300000000001</v>
      </c>
      <c r="AC322" s="115">
        <v>73.2</v>
      </c>
      <c r="AD322" s="115">
        <v>4.36E-2</v>
      </c>
      <c r="AE322" s="115">
        <v>-4.6199999999999998E-2</v>
      </c>
      <c r="AF322" s="115">
        <v>2.6700000000000002E-2</v>
      </c>
      <c r="AG322" s="115">
        <v>4.87E-2</v>
      </c>
      <c r="AH322" s="115">
        <v>9.7199999999999995E-2</v>
      </c>
      <c r="AI322" s="115">
        <v>2.3E-3</v>
      </c>
      <c r="AJ322" s="115">
        <v>-1.01E-2</v>
      </c>
      <c r="AK322" s="115">
        <v>7.9184000000000001</v>
      </c>
      <c r="AL322" s="115">
        <v>-1.0476000000000001</v>
      </c>
      <c r="AM322" s="115">
        <v>3</v>
      </c>
      <c r="AN322" s="115">
        <v>3</v>
      </c>
      <c r="AO322" s="115">
        <v>0</v>
      </c>
      <c r="AP322" s="115">
        <v>0</v>
      </c>
      <c r="AQ322" s="115">
        <v>1</v>
      </c>
      <c r="AR322" s="115">
        <v>0</v>
      </c>
      <c r="AS322" s="115">
        <v>6.0000000000000001E-3</v>
      </c>
      <c r="AT322" s="115">
        <v>1.2273000000000001</v>
      </c>
      <c r="AU322" s="114" t="str">
        <f>IF(A322&lt;&gt;"",INDEX(Index!$B$1:$B$77,MATCH($A322,Index!$A$1:$A$77,0)),"")</f>
        <v>BAL</v>
      </c>
      <c r="AV322" s="123" t="str">
        <f>IF(B322&lt;&gt;"",INDEX(Index!$C$1:$C$77,MATCH($A322,Index!$A$1:$A$77,0)),"")</f>
        <v>Jackson</v>
      </c>
      <c r="AW322" s="123">
        <f t="shared" ref="AW322:AW366" si="6">IF(AT322&lt;&gt;"",COUNTIFS($AX$2:$AX$994,AX322,$Q$2:$Q$994,"&gt;"&amp;$Q322)+1,"")</f>
        <v>13</v>
      </c>
      <c r="AX322" s="113">
        <v>10</v>
      </c>
    </row>
    <row r="323" spans="1:50" x14ac:dyDescent="0.25">
      <c r="A323" s="95" t="s">
        <v>552</v>
      </c>
      <c r="B323" s="96">
        <v>2025</v>
      </c>
      <c r="C323" s="96">
        <v>9</v>
      </c>
      <c r="D323" s="115">
        <v>2.7216200000000002</v>
      </c>
      <c r="E323" s="115">
        <v>-0.91523600000000005</v>
      </c>
      <c r="F323" s="115">
        <v>0.51700400000000002</v>
      </c>
      <c r="G323" s="115">
        <v>99.029600000000002</v>
      </c>
      <c r="H323" s="115">
        <v>0.25330000000000003</v>
      </c>
      <c r="I323" s="115">
        <v>204</v>
      </c>
      <c r="J323" s="115">
        <v>315</v>
      </c>
      <c r="K323" s="115">
        <v>0.64759999999999995</v>
      </c>
      <c r="L323" s="115">
        <v>2.1545999999999998</v>
      </c>
      <c r="M323" s="115">
        <v>2349</v>
      </c>
      <c r="N323" s="115">
        <v>7.4570999999999996</v>
      </c>
      <c r="O323" s="115">
        <v>17</v>
      </c>
      <c r="P323" s="115">
        <v>5</v>
      </c>
      <c r="Q323" s="115">
        <v>17</v>
      </c>
      <c r="R323" s="115">
        <v>39</v>
      </c>
      <c r="S323" s="115">
        <v>292</v>
      </c>
      <c r="T323" s="115">
        <v>7.4871999999999996</v>
      </c>
      <c r="U323" s="115">
        <v>4</v>
      </c>
      <c r="V323" s="115">
        <v>5.3999999999999999E-2</v>
      </c>
      <c r="W323" s="115">
        <v>1.5900000000000001E-2</v>
      </c>
      <c r="X323" s="115">
        <v>3.8100000000000002E-2</v>
      </c>
      <c r="Y323" s="115">
        <v>0.53449999999999998</v>
      </c>
      <c r="Z323" s="115">
        <v>98.498699999999999</v>
      </c>
      <c r="AA323" s="115">
        <v>7.0933999999999999</v>
      </c>
      <c r="AB323" s="115">
        <v>259.38</v>
      </c>
      <c r="AC323" s="115">
        <v>74.5</v>
      </c>
      <c r="AD323" s="115">
        <v>1.6400000000000001E-2</v>
      </c>
      <c r="AE323" s="115">
        <v>5.3800000000000001E-2</v>
      </c>
      <c r="AF323" s="115">
        <v>6.4999999999999997E-3</v>
      </c>
      <c r="AG323" s="115">
        <v>-5.9999999999999995E-4</v>
      </c>
      <c r="AH323" s="115">
        <v>1.7999999999999999E-2</v>
      </c>
      <c r="AI323" s="115">
        <v>7.1599999999999997E-2</v>
      </c>
      <c r="AJ323" s="115">
        <v>1.1000000000000001E-3</v>
      </c>
      <c r="AK323" s="115">
        <v>8.3556000000000008</v>
      </c>
      <c r="AL323" s="115">
        <v>-4.1300000000000003E-2</v>
      </c>
      <c r="AM323" s="115">
        <v>5</v>
      </c>
      <c r="AN323" s="115">
        <v>4</v>
      </c>
      <c r="AO323" s="115">
        <v>0</v>
      </c>
      <c r="AP323" s="115">
        <v>0</v>
      </c>
      <c r="AQ323" s="115">
        <v>4</v>
      </c>
      <c r="AR323" s="115">
        <v>0</v>
      </c>
      <c r="AS323" s="115">
        <v>4.7999999999999996E-3</v>
      </c>
      <c r="AT323" s="115">
        <v>1.8928</v>
      </c>
      <c r="AU323" s="114" t="str">
        <f>IF(A323&lt;&gt;"",INDEX(Index!$B$1:$B$77,MATCH($A323,Index!$A$1:$A$77,0)),"")</f>
        <v>KC</v>
      </c>
      <c r="AV323" s="123" t="str">
        <f>IF(B323&lt;&gt;"",INDEX(Index!$C$1:$C$77,MATCH($A323,Index!$A$1:$A$77,0)),"")</f>
        <v>Mahomes</v>
      </c>
      <c r="AW323" s="123">
        <f t="shared" si="6"/>
        <v>19</v>
      </c>
      <c r="AX323" s="113">
        <v>10</v>
      </c>
    </row>
    <row r="324" spans="1:50" x14ac:dyDescent="0.25">
      <c r="A324" s="95" t="s">
        <v>567</v>
      </c>
      <c r="B324" s="96">
        <v>2025</v>
      </c>
      <c r="C324" s="96">
        <v>9</v>
      </c>
      <c r="D324" s="115">
        <v>2.0128499999999998</v>
      </c>
      <c r="E324" s="115">
        <v>0.31282900000000002</v>
      </c>
      <c r="F324" s="115">
        <v>1.97054</v>
      </c>
      <c r="G324" s="115">
        <v>93.850999999999999</v>
      </c>
      <c r="H324" s="115">
        <v>0.2681</v>
      </c>
      <c r="I324" s="115">
        <v>208</v>
      </c>
      <c r="J324" s="115">
        <v>308</v>
      </c>
      <c r="K324" s="115">
        <v>0.67530000000000001</v>
      </c>
      <c r="L324" s="115">
        <v>4.3837999999999999</v>
      </c>
      <c r="M324" s="115">
        <v>2427</v>
      </c>
      <c r="N324" s="115">
        <v>7.8799000000000001</v>
      </c>
      <c r="O324" s="115">
        <v>25</v>
      </c>
      <c r="P324" s="115">
        <v>2</v>
      </c>
      <c r="Q324" s="115">
        <v>14</v>
      </c>
      <c r="R324" s="115">
        <v>5</v>
      </c>
      <c r="S324" s="115">
        <v>11</v>
      </c>
      <c r="T324" s="115">
        <v>2.2000000000000002</v>
      </c>
      <c r="U324" s="115">
        <v>0</v>
      </c>
      <c r="V324" s="115">
        <v>8.1199999999999994E-2</v>
      </c>
      <c r="W324" s="115">
        <v>6.4999999999999997E-3</v>
      </c>
      <c r="X324" s="115">
        <v>7.4700000000000003E-2</v>
      </c>
      <c r="Y324" s="115">
        <v>0.54290000000000005</v>
      </c>
      <c r="Z324" s="115">
        <v>115.544</v>
      </c>
      <c r="AA324" s="115">
        <v>8.5373000000000001</v>
      </c>
      <c r="AB324" s="115">
        <v>253.077</v>
      </c>
      <c r="AC324" s="115">
        <v>69.2</v>
      </c>
      <c r="AD324" s="115">
        <v>-4.7199999999999999E-2</v>
      </c>
      <c r="AE324" s="115">
        <v>1.8200000000000001E-2</v>
      </c>
      <c r="AF324" s="115">
        <v>-1.15E-2</v>
      </c>
      <c r="AG324" s="115">
        <v>0.05</v>
      </c>
      <c r="AH324" s="115">
        <v>0.14699999999999999</v>
      </c>
      <c r="AI324" s="115">
        <v>3.7000000000000002E-3</v>
      </c>
      <c r="AJ324" s="115">
        <v>2.1399999999999999E-2</v>
      </c>
      <c r="AK324" s="115">
        <v>8.9902999999999995</v>
      </c>
      <c r="AL324" s="115">
        <v>0.97399999999999998</v>
      </c>
      <c r="AM324" s="115">
        <v>7</v>
      </c>
      <c r="AN324" s="115">
        <v>2</v>
      </c>
      <c r="AO324" s="115">
        <v>0</v>
      </c>
      <c r="AP324" s="115">
        <v>1</v>
      </c>
      <c r="AQ324" s="115">
        <v>3</v>
      </c>
      <c r="AR324" s="115">
        <v>0.33329999999999999</v>
      </c>
      <c r="AS324" s="115">
        <v>8.5000000000000006E-3</v>
      </c>
      <c r="AT324" s="115">
        <v>2.964</v>
      </c>
      <c r="AU324" s="114" t="str">
        <f>IF(A324&lt;&gt;"",INDEX(Index!$B$1:$B$77,MATCH($A324,Index!$A$1:$A$77,0)),"")</f>
        <v>LAR</v>
      </c>
      <c r="AV324" s="123" t="str">
        <f>IF(B324&lt;&gt;"",INDEX(Index!$C$1:$C$77,MATCH($A324,Index!$A$1:$A$77,0)),"")</f>
        <v>Stafford</v>
      </c>
      <c r="AW324" s="123">
        <f t="shared" si="6"/>
        <v>28</v>
      </c>
      <c r="AX324" s="113">
        <v>10</v>
      </c>
    </row>
    <row r="325" spans="1:50" x14ac:dyDescent="0.25">
      <c r="A325" s="95" t="s">
        <v>553</v>
      </c>
      <c r="B325" s="96">
        <v>2025</v>
      </c>
      <c r="C325" s="96">
        <v>9</v>
      </c>
      <c r="D325" s="115">
        <v>1.77355</v>
      </c>
      <c r="E325" s="115">
        <v>0.60889499999999996</v>
      </c>
      <c r="F325" s="115">
        <v>0.68468899999999999</v>
      </c>
      <c r="G325" s="115">
        <v>81.853700000000003</v>
      </c>
      <c r="H325" s="115">
        <v>0.26579999999999998</v>
      </c>
      <c r="I325" s="115">
        <v>202</v>
      </c>
      <c r="J325" s="115">
        <v>273</v>
      </c>
      <c r="K325" s="115">
        <v>0.7399</v>
      </c>
      <c r="L325" s="115">
        <v>8.5223999999999993</v>
      </c>
      <c r="M325" s="115">
        <v>2235</v>
      </c>
      <c r="N325" s="115">
        <v>8.1867999999999999</v>
      </c>
      <c r="O325" s="115">
        <v>20</v>
      </c>
      <c r="P325" s="115">
        <v>3</v>
      </c>
      <c r="Q325" s="115">
        <v>18</v>
      </c>
      <c r="R325" s="115">
        <v>6</v>
      </c>
      <c r="S325" s="115">
        <v>27</v>
      </c>
      <c r="T325" s="115">
        <v>4.5</v>
      </c>
      <c r="U325" s="115">
        <v>0</v>
      </c>
      <c r="V325" s="115">
        <v>7.3300000000000004E-2</v>
      </c>
      <c r="W325" s="115">
        <v>1.0999999999999999E-2</v>
      </c>
      <c r="X325" s="115">
        <v>6.2300000000000001E-2</v>
      </c>
      <c r="Y325" s="115">
        <v>0.53900000000000003</v>
      </c>
      <c r="Z325" s="115">
        <v>117.697</v>
      </c>
      <c r="AA325" s="115">
        <v>8.2027000000000001</v>
      </c>
      <c r="AB325" s="115">
        <v>232.751</v>
      </c>
      <c r="AC325" s="115">
        <v>68.099999999999994</v>
      </c>
      <c r="AD325" s="115">
        <v>-2.6499999999999999E-2</v>
      </c>
      <c r="AE325" s="115">
        <v>-2.0299999999999999E-2</v>
      </c>
      <c r="AF325" s="115">
        <v>2.18E-2</v>
      </c>
      <c r="AG325" s="115">
        <v>3.7999999999999999E-2</v>
      </c>
      <c r="AH325" s="115">
        <v>-5.7999999999999996E-3</v>
      </c>
      <c r="AI325" s="115">
        <v>0.1885</v>
      </c>
      <c r="AJ325" s="115">
        <v>-1.66E-2</v>
      </c>
      <c r="AK325" s="115">
        <v>6.3810000000000002</v>
      </c>
      <c r="AL325" s="115">
        <v>-1.8717999999999999</v>
      </c>
      <c r="AM325" s="115">
        <v>6</v>
      </c>
      <c r="AN325" s="115">
        <v>3</v>
      </c>
      <c r="AO325" s="115">
        <v>0</v>
      </c>
      <c r="AP325" s="115">
        <v>0</v>
      </c>
      <c r="AQ325" s="115">
        <v>1</v>
      </c>
      <c r="AR325" s="115">
        <v>0</v>
      </c>
      <c r="AS325" s="115">
        <v>4.7999999999999996E-3</v>
      </c>
      <c r="AT325" s="115">
        <v>1.4856</v>
      </c>
      <c r="AU325" s="114" t="str">
        <f>IF(A325&lt;&gt;"",INDEX(Index!$B$1:$B$77,MATCH($A325,Index!$A$1:$A$77,0)),"")</f>
        <v>DET</v>
      </c>
      <c r="AV325" s="123" t="str">
        <f>IF(B325&lt;&gt;"",INDEX(Index!$C$1:$C$77,MATCH($A325,Index!$A$1:$A$77,0)),"")</f>
        <v>Goff</v>
      </c>
      <c r="AW325" s="123">
        <f t="shared" si="6"/>
        <v>13</v>
      </c>
      <c r="AX325" s="113">
        <v>10</v>
      </c>
    </row>
    <row r="326" spans="1:50" x14ac:dyDescent="0.25">
      <c r="A326" s="95" t="s">
        <v>555</v>
      </c>
      <c r="B326" s="96">
        <v>2025</v>
      </c>
      <c r="C326" s="96">
        <v>9</v>
      </c>
      <c r="D326" s="115">
        <v>1.6838500000000001</v>
      </c>
      <c r="E326" s="115">
        <v>-0.54737100000000005</v>
      </c>
      <c r="F326" s="115">
        <v>0.43764999999999998</v>
      </c>
      <c r="G326" s="115">
        <v>79.374399999999994</v>
      </c>
      <c r="H326" s="115">
        <v>0.2046</v>
      </c>
      <c r="I326" s="115">
        <v>228</v>
      </c>
      <c r="J326" s="115">
        <v>327</v>
      </c>
      <c r="K326" s="115">
        <v>0.69720000000000004</v>
      </c>
      <c r="L326" s="115">
        <v>3.6204000000000001</v>
      </c>
      <c r="M326" s="115">
        <v>2319</v>
      </c>
      <c r="N326" s="115">
        <v>7.0917000000000003</v>
      </c>
      <c r="O326" s="115">
        <v>17</v>
      </c>
      <c r="P326" s="115">
        <v>6</v>
      </c>
      <c r="Q326" s="115">
        <v>15</v>
      </c>
      <c r="R326" s="115">
        <v>20</v>
      </c>
      <c r="S326" s="115">
        <v>124</v>
      </c>
      <c r="T326" s="115">
        <v>6.2</v>
      </c>
      <c r="U326" s="115">
        <v>1</v>
      </c>
      <c r="V326" s="115">
        <v>5.1999999999999998E-2</v>
      </c>
      <c r="W326" s="115">
        <v>1.83E-2</v>
      </c>
      <c r="X326" s="115">
        <v>3.3599999999999998E-2</v>
      </c>
      <c r="Y326" s="115">
        <v>0.48449999999999999</v>
      </c>
      <c r="Z326" s="115">
        <v>99.420199999999994</v>
      </c>
      <c r="AA326" s="115">
        <v>6.6988000000000003</v>
      </c>
      <c r="AB326" s="115">
        <v>234.57599999999999</v>
      </c>
      <c r="AC326" s="115">
        <v>74.400000000000006</v>
      </c>
      <c r="AD326" s="115">
        <v>-1.06E-2</v>
      </c>
      <c r="AE326" s="115">
        <v>4.4900000000000002E-2</v>
      </c>
      <c r="AF326" s="115">
        <v>1.7899999999999999E-2</v>
      </c>
      <c r="AG326" s="115">
        <v>1.44E-2</v>
      </c>
      <c r="AH326" s="115">
        <v>3.9800000000000002E-2</v>
      </c>
      <c r="AI326" s="115">
        <v>-1.1900000000000001E-2</v>
      </c>
      <c r="AJ326" s="115">
        <v>2.3400000000000001E-2</v>
      </c>
      <c r="AK326" s="115">
        <v>7.5106999999999999</v>
      </c>
      <c r="AL326" s="115">
        <v>-1.0183</v>
      </c>
      <c r="AM326" s="115">
        <v>3</v>
      </c>
      <c r="AN326" s="115">
        <v>5</v>
      </c>
      <c r="AO326" s="115">
        <v>1</v>
      </c>
      <c r="AP326" s="115">
        <v>1</v>
      </c>
      <c r="AQ326" s="115">
        <v>4</v>
      </c>
      <c r="AR326" s="115">
        <v>0.25</v>
      </c>
      <c r="AS326" s="115">
        <v>9.5999999999999992E-3</v>
      </c>
      <c r="AT326" s="115">
        <v>3.7381000000000002</v>
      </c>
      <c r="AU326" s="114" t="str">
        <f>IF(A326&lt;&gt;"",INDEX(Index!$B$1:$B$77,MATCH($A326,Index!$A$1:$A$77,0)),"")</f>
        <v>DAL</v>
      </c>
      <c r="AV326" s="123" t="str">
        <f>IF(B326&lt;&gt;"",INDEX(Index!$C$1:$C$77,MATCH($A326,Index!$A$1:$A$77,0)),"")</f>
        <v>Prescott</v>
      </c>
      <c r="AW326" s="123">
        <f t="shared" si="6"/>
        <v>26</v>
      </c>
      <c r="AX326" s="113">
        <v>10</v>
      </c>
    </row>
    <row r="327" spans="1:50" x14ac:dyDescent="0.25">
      <c r="A327" s="95" t="s">
        <v>554</v>
      </c>
      <c r="B327" s="96">
        <v>2025</v>
      </c>
      <c r="C327" s="96">
        <v>9</v>
      </c>
      <c r="D327" s="115">
        <v>1.4135899999999999</v>
      </c>
      <c r="E327" s="115">
        <v>-8.4403099999999995E-2</v>
      </c>
      <c r="F327" s="115">
        <v>-1.2415799999999999E-2</v>
      </c>
      <c r="G327" s="115">
        <v>56.294499999999999</v>
      </c>
      <c r="H327" s="115">
        <v>0.1696</v>
      </c>
      <c r="I327" s="115">
        <v>166</v>
      </c>
      <c r="J327" s="115">
        <v>241</v>
      </c>
      <c r="K327" s="115">
        <v>0.68879999999999997</v>
      </c>
      <c r="L327" s="115">
        <v>6.0381999999999998</v>
      </c>
      <c r="M327" s="115">
        <v>1860</v>
      </c>
      <c r="N327" s="115">
        <v>7.7178000000000004</v>
      </c>
      <c r="O327" s="115">
        <v>16</v>
      </c>
      <c r="P327" s="115">
        <v>1</v>
      </c>
      <c r="Q327" s="115">
        <v>25</v>
      </c>
      <c r="R327" s="115">
        <v>54</v>
      </c>
      <c r="S327" s="115">
        <v>246</v>
      </c>
      <c r="T327" s="115">
        <v>4.5556000000000001</v>
      </c>
      <c r="U327" s="115">
        <v>5</v>
      </c>
      <c r="V327" s="115">
        <v>6.6400000000000001E-2</v>
      </c>
      <c r="W327" s="115">
        <v>4.1000000000000003E-3</v>
      </c>
      <c r="X327" s="115">
        <v>6.2199999999999998E-2</v>
      </c>
      <c r="Y327" s="115">
        <v>0.47289999999999999</v>
      </c>
      <c r="Z327" s="115">
        <v>112.042</v>
      </c>
      <c r="AA327" s="115">
        <v>7.5187999999999997</v>
      </c>
      <c r="AB327" s="115">
        <v>209.71199999999999</v>
      </c>
      <c r="AC327" s="115">
        <v>63.3</v>
      </c>
      <c r="AD327" s="115">
        <v>3.1399999999999997E-2</v>
      </c>
      <c r="AE327" s="115">
        <v>-1.35E-2</v>
      </c>
      <c r="AF327" s="115">
        <v>5.3999999999999999E-2</v>
      </c>
      <c r="AG327" s="115">
        <v>4.3700000000000003E-2</v>
      </c>
      <c r="AH327" s="115">
        <v>3.3500000000000002E-2</v>
      </c>
      <c r="AI327" s="115">
        <v>-6.0699999999999997E-2</v>
      </c>
      <c r="AJ327" s="115">
        <v>-5.4999999999999997E-3</v>
      </c>
      <c r="AK327" s="115">
        <v>8.7635000000000005</v>
      </c>
      <c r="AL327" s="115">
        <v>0.13689999999999999</v>
      </c>
      <c r="AM327" s="115">
        <v>7</v>
      </c>
      <c r="AN327" s="115">
        <v>2</v>
      </c>
      <c r="AO327" s="115">
        <v>0</v>
      </c>
      <c r="AP327" s="115">
        <v>1</v>
      </c>
      <c r="AQ327" s="115">
        <v>2</v>
      </c>
      <c r="AR327" s="115">
        <v>0.5</v>
      </c>
      <c r="AS327" s="115">
        <v>4.7000000000000002E-3</v>
      </c>
      <c r="AT327" s="115">
        <v>1.548</v>
      </c>
      <c r="AU327" s="114" t="str">
        <f>IF(A327&lt;&gt;"",INDEX(Index!$B$1:$B$77,MATCH($A327,Index!$A$1:$A$77,0)),"")</f>
        <v>PHI</v>
      </c>
      <c r="AV327" s="123" t="str">
        <f>IF(B327&lt;&gt;"",INDEX(Index!$C$1:$C$77,MATCH($A327,Index!$A$1:$A$77,0)),"")</f>
        <v>Hurts</v>
      </c>
      <c r="AW327" s="123">
        <f t="shared" si="6"/>
        <v>6</v>
      </c>
      <c r="AX327" s="113">
        <v>10</v>
      </c>
    </row>
    <row r="328" spans="1:50" x14ac:dyDescent="0.25">
      <c r="A328" s="95" t="s">
        <v>557</v>
      </c>
      <c r="B328" s="96">
        <v>2025</v>
      </c>
      <c r="C328" s="96">
        <v>2</v>
      </c>
      <c r="D328" s="115">
        <v>1.02342</v>
      </c>
      <c r="E328" s="115">
        <v>-0.72667099999999996</v>
      </c>
      <c r="F328" s="115">
        <v>-1.3634200000000001</v>
      </c>
      <c r="G328" s="115">
        <v>-0.90390000000000004</v>
      </c>
      <c r="H328" s="115">
        <v>-1.9599999999999999E-2</v>
      </c>
      <c r="I328" s="115">
        <v>21</v>
      </c>
      <c r="J328" s="115">
        <v>36</v>
      </c>
      <c r="K328" s="115">
        <v>0.58330000000000004</v>
      </c>
      <c r="L328" s="115">
        <v>-1.5459000000000001</v>
      </c>
      <c r="M328" s="115">
        <v>189</v>
      </c>
      <c r="N328" s="115">
        <v>5.25</v>
      </c>
      <c r="O328" s="115">
        <v>2</v>
      </c>
      <c r="P328" s="115">
        <v>0</v>
      </c>
      <c r="Q328" s="115">
        <v>5</v>
      </c>
      <c r="R328" s="115">
        <v>2</v>
      </c>
      <c r="S328" s="115">
        <v>3</v>
      </c>
      <c r="T328" s="115">
        <v>1.5</v>
      </c>
      <c r="U328" s="115">
        <v>0</v>
      </c>
      <c r="V328" s="115">
        <v>5.5599999999999997E-2</v>
      </c>
      <c r="W328" s="115">
        <v>0</v>
      </c>
      <c r="X328" s="115">
        <v>5.5599999999999997E-2</v>
      </c>
      <c r="Y328" s="115">
        <v>0.43480000000000002</v>
      </c>
      <c r="Z328" s="115">
        <v>91.087999999999994</v>
      </c>
      <c r="AA328" s="115">
        <v>4.9512</v>
      </c>
      <c r="AB328" s="115">
        <v>25.4618</v>
      </c>
      <c r="AC328" s="115">
        <v>58.2</v>
      </c>
      <c r="AD328" s="115">
        <v>-6.7500000000000004E-2</v>
      </c>
      <c r="AE328" s="115">
        <v>-4.2599999999999999E-2</v>
      </c>
      <c r="AF328" s="115">
        <v>-5.3199999999999997E-2</v>
      </c>
      <c r="AG328" s="115">
        <v>7.0300000000000001E-2</v>
      </c>
      <c r="AH328" s="115">
        <v>0.1933</v>
      </c>
      <c r="AI328" s="115">
        <v>-0.20150000000000001</v>
      </c>
      <c r="AJ328" s="115">
        <v>-5.0000000000000001E-3</v>
      </c>
      <c r="AK328" s="115">
        <v>6.8611000000000004</v>
      </c>
      <c r="AL328" s="115">
        <v>-1.0832999999999999</v>
      </c>
      <c r="AM328" s="115">
        <v>2</v>
      </c>
      <c r="AN328" s="115">
        <v>0</v>
      </c>
      <c r="AO328" s="115">
        <v>0</v>
      </c>
      <c r="AP328" s="115">
        <v>0</v>
      </c>
      <c r="AQ328" s="115">
        <v>0</v>
      </c>
      <c r="AR328" s="115"/>
      <c r="AS328" s="115">
        <v>1.6000000000000001E-3</v>
      </c>
      <c r="AT328" s="115">
        <v>7.4800000000000005E-2</v>
      </c>
      <c r="AU328" s="114" t="str">
        <f>IF(A328&lt;&gt;"",INDEX(Index!$B$1:$B$77,MATCH($A328,Index!$A$1:$A$77,0)),"")</f>
        <v>CIN</v>
      </c>
      <c r="AV328" s="123" t="str">
        <f>IF(B328&lt;&gt;"",INDEX(Index!$C$1:$C$77,MATCH($A328,Index!$A$1:$A$77,0)),"")</f>
        <v>Burrow</v>
      </c>
      <c r="AW328" s="123">
        <f t="shared" si="6"/>
        <v>41</v>
      </c>
      <c r="AX328" s="113">
        <v>10</v>
      </c>
    </row>
    <row r="329" spans="1:50" x14ac:dyDescent="0.25">
      <c r="A329" s="95" t="s">
        <v>559</v>
      </c>
      <c r="B329" s="96">
        <v>2025</v>
      </c>
      <c r="C329" s="96">
        <v>9</v>
      </c>
      <c r="D329" s="115">
        <v>0.99361100000000002</v>
      </c>
      <c r="E329" s="115">
        <v>0.27877400000000002</v>
      </c>
      <c r="F329" s="115">
        <v>0.30110900000000002</v>
      </c>
      <c r="G329" s="115">
        <v>45.9651</v>
      </c>
      <c r="H329" s="115">
        <v>0.1246</v>
      </c>
      <c r="I329" s="115">
        <v>200</v>
      </c>
      <c r="J329" s="115">
        <v>311</v>
      </c>
      <c r="K329" s="115">
        <v>0.6431</v>
      </c>
      <c r="L329" s="115">
        <v>-1.9689000000000001</v>
      </c>
      <c r="M329" s="115">
        <v>2192</v>
      </c>
      <c r="N329" s="115">
        <v>7.0481999999999996</v>
      </c>
      <c r="O329" s="115">
        <v>16</v>
      </c>
      <c r="P329" s="115">
        <v>2</v>
      </c>
      <c r="Q329" s="115">
        <v>19</v>
      </c>
      <c r="R329" s="115">
        <v>17</v>
      </c>
      <c r="S329" s="115">
        <v>162</v>
      </c>
      <c r="T329" s="115">
        <v>9.5294000000000008</v>
      </c>
      <c r="U329" s="115">
        <v>0</v>
      </c>
      <c r="V329" s="115">
        <v>5.1400000000000001E-2</v>
      </c>
      <c r="W329" s="115">
        <v>6.4000000000000003E-3</v>
      </c>
      <c r="X329" s="115">
        <v>4.4999999999999998E-2</v>
      </c>
      <c r="Y329" s="115">
        <v>0.4526</v>
      </c>
      <c r="Z329" s="115">
        <v>99.510999999999996</v>
      </c>
      <c r="AA329" s="115">
        <v>6.9302999999999999</v>
      </c>
      <c r="AB329" s="115">
        <v>211.768</v>
      </c>
      <c r="AC329" s="115">
        <v>61.2</v>
      </c>
      <c r="AD329" s="115">
        <v>2.0400000000000001E-2</v>
      </c>
      <c r="AE329" s="115">
        <v>1.78E-2</v>
      </c>
      <c r="AF329" s="115">
        <v>-2.4500000000000001E-2</v>
      </c>
      <c r="AG329" s="115">
        <v>4.24E-2</v>
      </c>
      <c r="AH329" s="115">
        <v>-6.8400000000000002E-2</v>
      </c>
      <c r="AI329" s="115">
        <v>4.7899999999999998E-2</v>
      </c>
      <c r="AJ329" s="115">
        <v>2.3E-3</v>
      </c>
      <c r="AK329" s="115">
        <v>8.3505000000000003</v>
      </c>
      <c r="AL329" s="115">
        <v>-0.58520000000000005</v>
      </c>
      <c r="AM329" s="115">
        <v>6</v>
      </c>
      <c r="AN329" s="115">
        <v>3</v>
      </c>
      <c r="AO329" s="115">
        <v>0</v>
      </c>
      <c r="AP329" s="115">
        <v>4</v>
      </c>
      <c r="AQ329" s="115">
        <v>6</v>
      </c>
      <c r="AR329" s="115">
        <v>0.66669999999999996</v>
      </c>
      <c r="AS329" s="115">
        <v>4.4999999999999997E-3</v>
      </c>
      <c r="AT329" s="115">
        <v>1.6434</v>
      </c>
      <c r="AU329" s="114" t="str">
        <f>IF(A329&lt;&gt;"",INDEX(Index!$B$1:$B$77,MATCH($A329,Index!$A$1:$A$77,0)),"")</f>
        <v>TB</v>
      </c>
      <c r="AV329" s="123" t="str">
        <f>IF(B329&lt;&gt;"",INDEX(Index!$C$1:$C$77,MATCH($A329,Index!$A$1:$A$77,0)),"")</f>
        <v>Mayfield</v>
      </c>
      <c r="AW329" s="123">
        <f t="shared" si="6"/>
        <v>11</v>
      </c>
      <c r="AX329" s="113">
        <v>10</v>
      </c>
    </row>
    <row r="330" spans="1:50" x14ac:dyDescent="0.25">
      <c r="A330" s="95" t="s">
        <v>566</v>
      </c>
      <c r="B330" s="96">
        <v>2025</v>
      </c>
      <c r="C330" s="96">
        <v>9</v>
      </c>
      <c r="D330" s="115">
        <v>0.78773300000000002</v>
      </c>
      <c r="E330" s="115">
        <v>-0.47037499999999999</v>
      </c>
      <c r="F330" s="115">
        <v>0.96025000000000005</v>
      </c>
      <c r="G330" s="115">
        <v>95.333500000000001</v>
      </c>
      <c r="H330" s="115">
        <v>0.28120000000000001</v>
      </c>
      <c r="I330" s="115">
        <v>197</v>
      </c>
      <c r="J330" s="115">
        <v>285</v>
      </c>
      <c r="K330" s="115">
        <v>0.69120000000000004</v>
      </c>
      <c r="L330" s="115">
        <v>6.3973000000000004</v>
      </c>
      <c r="M330" s="115">
        <v>2247</v>
      </c>
      <c r="N330" s="115">
        <v>7.8841999999999999</v>
      </c>
      <c r="O330" s="115">
        <v>13</v>
      </c>
      <c r="P330" s="115">
        <v>3</v>
      </c>
      <c r="Q330" s="115">
        <v>14</v>
      </c>
      <c r="R330" s="115">
        <v>22</v>
      </c>
      <c r="S330" s="115">
        <v>145</v>
      </c>
      <c r="T330" s="115">
        <v>6.5909000000000004</v>
      </c>
      <c r="U330" s="115">
        <v>0</v>
      </c>
      <c r="V330" s="115">
        <v>4.5600000000000002E-2</v>
      </c>
      <c r="W330" s="115">
        <v>1.0500000000000001E-2</v>
      </c>
      <c r="X330" s="115">
        <v>3.5099999999999999E-2</v>
      </c>
      <c r="Y330" s="115">
        <v>0.52210000000000001</v>
      </c>
      <c r="Z330" s="115">
        <v>103.355</v>
      </c>
      <c r="AA330" s="115">
        <v>7.5651999999999999</v>
      </c>
      <c r="AB330" s="115">
        <v>217.29400000000001</v>
      </c>
      <c r="AC330" s="115">
        <v>68.599999999999994</v>
      </c>
      <c r="AD330" s="115">
        <v>1.6E-2</v>
      </c>
      <c r="AE330" s="115">
        <v>2.7900000000000001E-2</v>
      </c>
      <c r="AF330" s="115">
        <v>4.0000000000000001E-3</v>
      </c>
      <c r="AG330" s="115">
        <v>2.3300000000000001E-2</v>
      </c>
      <c r="AH330" s="115">
        <v>1.21E-2</v>
      </c>
      <c r="AI330" s="115">
        <v>0.108</v>
      </c>
      <c r="AJ330" s="115">
        <v>3.3999999999999998E-3</v>
      </c>
      <c r="AK330" s="115">
        <v>7.8</v>
      </c>
      <c r="AL330" s="115">
        <v>-0.89119999999999999</v>
      </c>
      <c r="AM330" s="115">
        <v>5</v>
      </c>
      <c r="AN330" s="115">
        <v>3</v>
      </c>
      <c r="AO330" s="115">
        <v>1</v>
      </c>
      <c r="AP330" s="115">
        <v>1</v>
      </c>
      <c r="AQ330" s="115">
        <v>4</v>
      </c>
      <c r="AR330" s="115">
        <v>0.25</v>
      </c>
      <c r="AS330" s="115">
        <v>1.0999999999999999E-2</v>
      </c>
      <c r="AT330" s="115">
        <v>3.7269999999999999</v>
      </c>
      <c r="AU330" s="114" t="str">
        <f>IF(A330&lt;&gt;"",INDEX(Index!$B$1:$B$77,MATCH($A330,Index!$A$1:$A$77,0)),"")</f>
        <v>GB</v>
      </c>
      <c r="AV330" s="123" t="str">
        <f>IF(B330&lt;&gt;"",INDEX(Index!$C$1:$C$77,MATCH($A330,Index!$A$1:$A$77,0)),"")</f>
        <v>Love</v>
      </c>
      <c r="AW330" s="123">
        <f t="shared" si="6"/>
        <v>28</v>
      </c>
      <c r="AX330" s="113">
        <v>10</v>
      </c>
    </row>
    <row r="331" spans="1:50" x14ac:dyDescent="0.25">
      <c r="A331" s="95" t="s">
        <v>561</v>
      </c>
      <c r="B331" s="96">
        <v>2025</v>
      </c>
      <c r="C331" s="96">
        <v>10</v>
      </c>
      <c r="D331" s="115">
        <v>0.70948599999999995</v>
      </c>
      <c r="E331" s="115">
        <v>-0.80683800000000006</v>
      </c>
      <c r="F331" s="115">
        <v>-0.321465</v>
      </c>
      <c r="G331" s="115">
        <v>24.709</v>
      </c>
      <c r="H331" s="115">
        <v>5.8400000000000001E-2</v>
      </c>
      <c r="I331" s="115">
        <v>213</v>
      </c>
      <c r="J331" s="115">
        <v>349</v>
      </c>
      <c r="K331" s="115">
        <v>0.61029999999999995</v>
      </c>
      <c r="L331" s="115">
        <v>-3.0811999999999999</v>
      </c>
      <c r="M331" s="115">
        <v>2126</v>
      </c>
      <c r="N331" s="115">
        <v>6.0917000000000003</v>
      </c>
      <c r="O331" s="115">
        <v>18</v>
      </c>
      <c r="P331" s="115">
        <v>8</v>
      </c>
      <c r="Q331" s="115">
        <v>10</v>
      </c>
      <c r="R331" s="115">
        <v>36</v>
      </c>
      <c r="S331" s="115">
        <v>216</v>
      </c>
      <c r="T331" s="115">
        <v>6</v>
      </c>
      <c r="U331" s="115">
        <v>3</v>
      </c>
      <c r="V331" s="115">
        <v>5.16E-2</v>
      </c>
      <c r="W331" s="115">
        <v>2.29E-2</v>
      </c>
      <c r="X331" s="115">
        <v>2.87E-2</v>
      </c>
      <c r="Y331" s="115">
        <v>0.41370000000000001</v>
      </c>
      <c r="Z331" s="115">
        <v>85.965900000000005</v>
      </c>
      <c r="AA331" s="115">
        <v>5.7521000000000004</v>
      </c>
      <c r="AB331" s="115">
        <v>190.44399999999999</v>
      </c>
      <c r="AC331" s="115">
        <v>54.9</v>
      </c>
      <c r="AD331" s="115">
        <v>-7.0000000000000001E-3</v>
      </c>
      <c r="AE331" s="115">
        <v>6.5600000000000006E-2</v>
      </c>
      <c r="AF331" s="115">
        <v>-2.3400000000000001E-2</v>
      </c>
      <c r="AG331" s="115">
        <v>2.0999999999999999E-3</v>
      </c>
      <c r="AH331" s="115">
        <v>-7.8799999999999995E-2</v>
      </c>
      <c r="AI331" s="115">
        <v>4.1099999999999998E-2</v>
      </c>
      <c r="AJ331" s="115">
        <v>-2.7799999999999998E-2</v>
      </c>
      <c r="AK331" s="115">
        <v>7.9112</v>
      </c>
      <c r="AL331" s="115">
        <v>-1.3524</v>
      </c>
      <c r="AM331" s="115">
        <v>8</v>
      </c>
      <c r="AN331" s="115">
        <v>2</v>
      </c>
      <c r="AO331" s="115">
        <v>0</v>
      </c>
      <c r="AP331" s="115">
        <v>4</v>
      </c>
      <c r="AQ331" s="115">
        <v>4</v>
      </c>
      <c r="AR331" s="115">
        <v>1</v>
      </c>
      <c r="AS331" s="115">
        <v>1.8E-3</v>
      </c>
      <c r="AT331" s="115">
        <v>0.77329999999999999</v>
      </c>
      <c r="AU331" s="114" t="str">
        <f>IF(A331&lt;&gt;"",INDEX(Index!$B$1:$B$77,MATCH($A331,Index!$A$1:$A$77,0)),"")</f>
        <v>DEN</v>
      </c>
      <c r="AV331" s="123" t="str">
        <f>IF(B331&lt;&gt;"",INDEX(Index!$C$1:$C$77,MATCH($A331,Index!$A$1:$A$77,0)),"")</f>
        <v>Nix</v>
      </c>
      <c r="AW331" s="123">
        <f t="shared" si="6"/>
        <v>33</v>
      </c>
      <c r="AX331" s="113">
        <v>10</v>
      </c>
    </row>
    <row r="332" spans="1:50" x14ac:dyDescent="0.25">
      <c r="A332" s="95" t="s">
        <v>560</v>
      </c>
      <c r="B332" s="96">
        <v>2025</v>
      </c>
      <c r="C332" s="96">
        <v>2</v>
      </c>
      <c r="D332" s="115">
        <v>0.69646200000000003</v>
      </c>
      <c r="E332" s="115">
        <v>-0.12831300000000001</v>
      </c>
      <c r="F332" s="115">
        <v>-1.32458E-2</v>
      </c>
      <c r="G332" s="115">
        <v>16.7165</v>
      </c>
      <c r="H332" s="115">
        <v>0.19670000000000001</v>
      </c>
      <c r="I332" s="115">
        <v>48</v>
      </c>
      <c r="J332" s="115">
        <v>73</v>
      </c>
      <c r="K332" s="115">
        <v>0.65749999999999997</v>
      </c>
      <c r="L332" s="115">
        <v>3.0061</v>
      </c>
      <c r="M332" s="115">
        <v>586</v>
      </c>
      <c r="N332" s="115">
        <v>8.0274000000000001</v>
      </c>
      <c r="O332" s="115">
        <v>4</v>
      </c>
      <c r="P332" s="115">
        <v>4</v>
      </c>
      <c r="Q332" s="115">
        <v>2</v>
      </c>
      <c r="R332" s="115">
        <v>5</v>
      </c>
      <c r="S332" s="115">
        <v>32</v>
      </c>
      <c r="T332" s="115">
        <v>6.4</v>
      </c>
      <c r="U332" s="115">
        <v>0</v>
      </c>
      <c r="V332" s="115">
        <v>5.4800000000000001E-2</v>
      </c>
      <c r="W332" s="115">
        <v>5.4800000000000001E-2</v>
      </c>
      <c r="X332" s="115">
        <v>0</v>
      </c>
      <c r="Y332" s="115">
        <v>0.57650000000000001</v>
      </c>
      <c r="Z332" s="115">
        <v>85.759100000000004</v>
      </c>
      <c r="AA332" s="115">
        <v>6.28</v>
      </c>
      <c r="AB332" s="115">
        <v>190.423</v>
      </c>
      <c r="AC332" s="115">
        <v>67.2</v>
      </c>
      <c r="AD332" s="115">
        <v>-2.5999999999999999E-3</v>
      </c>
      <c r="AE332" s="115">
        <v>3.0200000000000001E-2</v>
      </c>
      <c r="AF332" s="115">
        <v>-5.9999999999999995E-4</v>
      </c>
      <c r="AG332" s="115">
        <v>-0.1227</v>
      </c>
      <c r="AH332" s="115">
        <v>0.1618</v>
      </c>
      <c r="AI332" s="115">
        <v>2.3900000000000001E-2</v>
      </c>
      <c r="AJ332" s="115">
        <v>2.0199999999999999E-2</v>
      </c>
      <c r="AK332" s="115">
        <v>7.7534000000000001</v>
      </c>
      <c r="AL332" s="115">
        <v>-0.39729999999999999</v>
      </c>
      <c r="AM332" s="115">
        <v>1</v>
      </c>
      <c r="AN332" s="115">
        <v>1</v>
      </c>
      <c r="AO332" s="115">
        <v>0</v>
      </c>
      <c r="AP332" s="115">
        <v>1</v>
      </c>
      <c r="AQ332" s="115">
        <v>2</v>
      </c>
      <c r="AR332" s="115">
        <v>0.5</v>
      </c>
      <c r="AS332" s="115">
        <v>8.0999999999999996E-3</v>
      </c>
      <c r="AT332" s="115">
        <v>0.68879999999999997</v>
      </c>
      <c r="AU332" s="114" t="str">
        <f>IF(A332&lt;&gt;"",INDEX(Index!$B$1:$B$77,MATCH($A332,Index!$A$1:$A$77,0)),"")</f>
        <v>SF</v>
      </c>
      <c r="AV332" s="123" t="str">
        <f>IF(B332&lt;&gt;"",INDEX(Index!$C$1:$C$77,MATCH($A332,Index!$A$1:$A$77,0)),"")</f>
        <v>Purdy</v>
      </c>
      <c r="AW332" s="123">
        <f t="shared" si="6"/>
        <v>44</v>
      </c>
      <c r="AX332" s="113">
        <v>10</v>
      </c>
    </row>
    <row r="333" spans="1:50" x14ac:dyDescent="0.25">
      <c r="A333" s="95" t="s">
        <v>562</v>
      </c>
      <c r="B333" s="96">
        <v>2025</v>
      </c>
      <c r="C333" s="96">
        <v>6</v>
      </c>
      <c r="D333" s="115">
        <v>0.57517200000000002</v>
      </c>
      <c r="E333" s="115">
        <v>-0.27734900000000001</v>
      </c>
      <c r="F333" s="115">
        <v>-0.58660000000000001</v>
      </c>
      <c r="G333" s="115">
        <v>21.349</v>
      </c>
      <c r="H333" s="115">
        <v>8.5400000000000004E-2</v>
      </c>
      <c r="I333" s="115">
        <v>105</v>
      </c>
      <c r="J333" s="115">
        <v>166</v>
      </c>
      <c r="K333" s="115">
        <v>0.63249999999999995</v>
      </c>
      <c r="L333" s="115">
        <v>-1.2165999999999999</v>
      </c>
      <c r="M333" s="115">
        <v>1184</v>
      </c>
      <c r="N333" s="115">
        <v>7.1325000000000003</v>
      </c>
      <c r="O333" s="115">
        <v>8</v>
      </c>
      <c r="P333" s="115">
        <v>2</v>
      </c>
      <c r="Q333" s="115">
        <v>17</v>
      </c>
      <c r="R333" s="115">
        <v>48</v>
      </c>
      <c r="S333" s="115">
        <v>267</v>
      </c>
      <c r="T333" s="115">
        <v>5.5625</v>
      </c>
      <c r="U333" s="115">
        <v>2</v>
      </c>
      <c r="V333" s="115">
        <v>4.82E-2</v>
      </c>
      <c r="W333" s="115">
        <v>1.2E-2</v>
      </c>
      <c r="X333" s="115">
        <v>3.61E-2</v>
      </c>
      <c r="Y333" s="115">
        <v>0.48399999999999999</v>
      </c>
      <c r="Z333" s="115">
        <v>95.557199999999995</v>
      </c>
      <c r="AA333" s="115">
        <v>6.4261999999999997</v>
      </c>
      <c r="AB333" s="115">
        <v>169.989</v>
      </c>
      <c r="AC333" s="115">
        <v>51.2</v>
      </c>
      <c r="AD333" s="115">
        <v>8.0999999999999996E-3</v>
      </c>
      <c r="AE333" s="115">
        <v>-2.7000000000000001E-3</v>
      </c>
      <c r="AF333" s="115">
        <v>-2.3599999999999999E-2</v>
      </c>
      <c r="AG333" s="115">
        <v>3.6499999999999998E-2</v>
      </c>
      <c r="AH333" s="115">
        <v>1.0699999999999999E-2</v>
      </c>
      <c r="AI333" s="115">
        <v>-0.03</v>
      </c>
      <c r="AJ333" s="115">
        <v>-1E-4</v>
      </c>
      <c r="AK333" s="115">
        <v>8.0060000000000002</v>
      </c>
      <c r="AL333" s="115">
        <v>-0.87949999999999995</v>
      </c>
      <c r="AM333" s="115">
        <v>2</v>
      </c>
      <c r="AN333" s="115">
        <v>4</v>
      </c>
      <c r="AO333" s="115">
        <v>0</v>
      </c>
      <c r="AP333" s="115">
        <v>0</v>
      </c>
      <c r="AQ333" s="115">
        <v>0</v>
      </c>
      <c r="AR333" s="115"/>
      <c r="AS333" s="115">
        <v>2.8999999999999998E-3</v>
      </c>
      <c r="AT333" s="115">
        <v>0.72760000000000002</v>
      </c>
      <c r="AU333" s="114" t="str">
        <f>IF(A333&lt;&gt;"",INDEX(Index!$B$1:$B$77,MATCH($A333,Index!$A$1:$A$77,0)),"")</f>
        <v>WAS</v>
      </c>
      <c r="AV333" s="123" t="str">
        <f>IF(B333&lt;&gt;"",INDEX(Index!$C$1:$C$77,MATCH($A333,Index!$A$1:$A$77,0)),"")</f>
        <v>Daniels</v>
      </c>
      <c r="AW333" s="123">
        <f t="shared" si="6"/>
        <v>19</v>
      </c>
      <c r="AX333" s="113">
        <v>10</v>
      </c>
    </row>
    <row r="334" spans="1:50" x14ac:dyDescent="0.25">
      <c r="A334" s="95" t="s">
        <v>556</v>
      </c>
      <c r="B334" s="96">
        <v>2025</v>
      </c>
      <c r="C334" s="96">
        <v>5</v>
      </c>
      <c r="D334" s="115">
        <v>0.56714500000000001</v>
      </c>
      <c r="E334" s="115">
        <v>3.6627199999999999E-2</v>
      </c>
      <c r="F334" s="115">
        <v>-0.83574700000000002</v>
      </c>
      <c r="G334" s="115">
        <v>23.545000000000002</v>
      </c>
      <c r="H334" s="115">
        <v>0.107</v>
      </c>
      <c r="I334" s="115">
        <v>110</v>
      </c>
      <c r="J334" s="115">
        <v>161</v>
      </c>
      <c r="K334" s="115">
        <v>0.68320000000000003</v>
      </c>
      <c r="L334" s="115">
        <v>-0.52880000000000005</v>
      </c>
      <c r="M334" s="115">
        <v>962</v>
      </c>
      <c r="N334" s="115">
        <v>5.9752000000000001</v>
      </c>
      <c r="O334" s="115">
        <v>6</v>
      </c>
      <c r="P334" s="115">
        <v>3</v>
      </c>
      <c r="Q334" s="115">
        <v>16</v>
      </c>
      <c r="R334" s="115">
        <v>27</v>
      </c>
      <c r="S334" s="115">
        <v>175</v>
      </c>
      <c r="T334" s="115">
        <v>6.4814999999999996</v>
      </c>
      <c r="U334" s="115">
        <v>1</v>
      </c>
      <c r="V334" s="115">
        <v>3.73E-2</v>
      </c>
      <c r="W334" s="115">
        <v>1.8599999999999998E-2</v>
      </c>
      <c r="X334" s="115">
        <v>1.8599999999999998E-2</v>
      </c>
      <c r="Y334" s="115">
        <v>0.45</v>
      </c>
      <c r="Z334" s="115">
        <v>88.573999999999998</v>
      </c>
      <c r="AA334" s="115">
        <v>4.7232000000000003</v>
      </c>
      <c r="AB334" s="115">
        <v>151.27199999999999</v>
      </c>
      <c r="AC334" s="115">
        <v>44.2</v>
      </c>
      <c r="AD334" s="115">
        <v>7.1000000000000004E-3</v>
      </c>
      <c r="AE334" s="115">
        <v>1.6999999999999999E-3</v>
      </c>
      <c r="AF334" s="115">
        <v>4.24E-2</v>
      </c>
      <c r="AG334" s="115">
        <v>2.87E-2</v>
      </c>
      <c r="AH334" s="115">
        <v>-9.8699999999999996E-2</v>
      </c>
      <c r="AI334" s="115">
        <v>2.1399999999999999E-2</v>
      </c>
      <c r="AJ334" s="115">
        <v>1.8200000000000001E-2</v>
      </c>
      <c r="AK334" s="115">
        <v>5.8446999999999996</v>
      </c>
      <c r="AL334" s="115">
        <v>-3.0682999999999998</v>
      </c>
      <c r="AM334" s="115">
        <v>2</v>
      </c>
      <c r="AN334" s="115">
        <v>3</v>
      </c>
      <c r="AO334" s="115">
        <v>0</v>
      </c>
      <c r="AP334" s="115">
        <v>0</v>
      </c>
      <c r="AQ334" s="115">
        <v>2</v>
      </c>
      <c r="AR334" s="115">
        <v>0</v>
      </c>
      <c r="AS334" s="115">
        <v>4.1999999999999997E-3</v>
      </c>
      <c r="AT334" s="115">
        <v>0.92720000000000002</v>
      </c>
      <c r="AU334" s="114" t="str">
        <f>IF(A334&lt;&gt;"",INDEX(Index!$B$1:$B$77,MATCH($A334,Index!$A$1:$A$77,0)),"")</f>
        <v>ARI</v>
      </c>
      <c r="AV334" s="123" t="str">
        <f>IF(B334&lt;&gt;"",INDEX(Index!$C$1:$C$77,MATCH($A334,Index!$A$1:$A$77,0)),"")</f>
        <v>Murray</v>
      </c>
      <c r="AW334" s="123">
        <f t="shared" si="6"/>
        <v>23</v>
      </c>
      <c r="AX334" s="113">
        <v>10</v>
      </c>
    </row>
    <row r="335" spans="1:50" x14ac:dyDescent="0.25">
      <c r="A335" s="95" t="s">
        <v>573</v>
      </c>
      <c r="B335" s="96">
        <v>2025</v>
      </c>
      <c r="C335" s="96">
        <v>9</v>
      </c>
      <c r="D335" s="115">
        <v>0.475719</v>
      </c>
      <c r="E335" s="115">
        <v>-0.35848799999999997</v>
      </c>
      <c r="F335" s="115">
        <v>1.4301699999999999</v>
      </c>
      <c r="G335" s="115">
        <v>85.8322</v>
      </c>
      <c r="H335" s="115">
        <v>0.3301</v>
      </c>
      <c r="I335" s="115">
        <v>162</v>
      </c>
      <c r="J335" s="115">
        <v>227</v>
      </c>
      <c r="K335" s="115">
        <v>0.7137</v>
      </c>
      <c r="L335" s="115">
        <v>11.2744</v>
      </c>
      <c r="M335" s="115">
        <v>2262</v>
      </c>
      <c r="N335" s="115">
        <v>9.9648000000000003</v>
      </c>
      <c r="O335" s="115">
        <v>17</v>
      </c>
      <c r="P335" s="115">
        <v>6</v>
      </c>
      <c r="Q335" s="115">
        <v>10</v>
      </c>
      <c r="R335" s="115">
        <v>5</v>
      </c>
      <c r="S335" s="115">
        <v>47</v>
      </c>
      <c r="T335" s="115">
        <v>9.4</v>
      </c>
      <c r="U335" s="115">
        <v>0</v>
      </c>
      <c r="V335" s="115">
        <v>7.4899999999999994E-2</v>
      </c>
      <c r="W335" s="115">
        <v>2.64E-2</v>
      </c>
      <c r="X335" s="115">
        <v>4.8500000000000001E-2</v>
      </c>
      <c r="Y335" s="115">
        <v>0.5615</v>
      </c>
      <c r="Z335" s="115">
        <v>117.02500000000001</v>
      </c>
      <c r="AA335" s="115">
        <v>9.5780999999999992</v>
      </c>
      <c r="AB335" s="115">
        <v>212.71</v>
      </c>
      <c r="AC335" s="115">
        <v>77.599999999999994</v>
      </c>
      <c r="AD335" s="115">
        <v>-1.2500000000000001E-2</v>
      </c>
      <c r="AE335" s="115">
        <v>3.0000000000000001E-3</v>
      </c>
      <c r="AF335" s="115">
        <v>6.59E-2</v>
      </c>
      <c r="AG335" s="115">
        <v>-3.3599999999999998E-2</v>
      </c>
      <c r="AH335" s="115">
        <v>0.20469999999999999</v>
      </c>
      <c r="AI335" s="115">
        <v>1E-3</v>
      </c>
      <c r="AJ335" s="115">
        <v>1.5100000000000001E-2</v>
      </c>
      <c r="AK335" s="115">
        <v>9.2467000000000006</v>
      </c>
      <c r="AL335" s="115">
        <v>0.16300000000000001</v>
      </c>
      <c r="AM335" s="115">
        <v>7</v>
      </c>
      <c r="AN335" s="115">
        <v>2</v>
      </c>
      <c r="AO335" s="115">
        <v>0</v>
      </c>
      <c r="AP335" s="115">
        <v>0</v>
      </c>
      <c r="AQ335" s="115">
        <v>2</v>
      </c>
      <c r="AR335" s="115">
        <v>0</v>
      </c>
      <c r="AS335" s="115">
        <v>6.8999999999999999E-3</v>
      </c>
      <c r="AT335" s="115">
        <v>1.8025</v>
      </c>
      <c r="AU335" s="114" t="str">
        <f>IF(A335&lt;&gt;"",INDEX(Index!$B$1:$B$77,MATCH($A335,Index!$A$1:$A$77,0)),"")</f>
        <v>SEA</v>
      </c>
      <c r="AV335" s="123" t="str">
        <f>IF(B335&lt;&gt;"",INDEX(Index!$C$1:$C$77,MATCH($A335,Index!$A$1:$A$77,0)),"")</f>
        <v>Darnold</v>
      </c>
      <c r="AW335" s="123">
        <f t="shared" si="6"/>
        <v>33</v>
      </c>
      <c r="AX335" s="113">
        <v>10</v>
      </c>
    </row>
    <row r="336" spans="1:50" x14ac:dyDescent="0.25">
      <c r="A336" s="95" t="s">
        <v>563</v>
      </c>
      <c r="B336" s="96">
        <v>2025</v>
      </c>
      <c r="C336" s="96">
        <v>10</v>
      </c>
      <c r="D336" s="115">
        <v>0.47142899999999999</v>
      </c>
      <c r="E336" s="115">
        <v>-0.43496600000000002</v>
      </c>
      <c r="F336" s="115">
        <v>0.48623100000000002</v>
      </c>
      <c r="G336" s="115">
        <v>49.895200000000003</v>
      </c>
      <c r="H336" s="115">
        <v>0.1106</v>
      </c>
      <c r="I336" s="115">
        <v>240</v>
      </c>
      <c r="J336" s="115">
        <v>358</v>
      </c>
      <c r="K336" s="115">
        <v>0.6704</v>
      </c>
      <c r="L336" s="115">
        <v>0.96330000000000005</v>
      </c>
      <c r="M336" s="115">
        <v>2610</v>
      </c>
      <c r="N336" s="115">
        <v>7.2904999999999998</v>
      </c>
      <c r="O336" s="115">
        <v>19</v>
      </c>
      <c r="P336" s="115">
        <v>8</v>
      </c>
      <c r="Q336" s="115">
        <v>33</v>
      </c>
      <c r="R336" s="115">
        <v>41</v>
      </c>
      <c r="S336" s="115">
        <v>333</v>
      </c>
      <c r="T336" s="115">
        <v>8.1219999999999999</v>
      </c>
      <c r="U336" s="115">
        <v>1</v>
      </c>
      <c r="V336" s="115">
        <v>5.3100000000000001E-2</v>
      </c>
      <c r="W336" s="115">
        <v>2.23E-2</v>
      </c>
      <c r="X336" s="115">
        <v>3.0700000000000002E-2</v>
      </c>
      <c r="Y336" s="115">
        <v>0.50109999999999999</v>
      </c>
      <c r="Z336" s="115">
        <v>96.706199999999995</v>
      </c>
      <c r="AA336" s="115">
        <v>6.2275999999999998</v>
      </c>
      <c r="AB336" s="115">
        <v>196.69200000000001</v>
      </c>
      <c r="AC336" s="115">
        <v>63.6</v>
      </c>
      <c r="AD336" s="115">
        <v>3.73E-2</v>
      </c>
      <c r="AE336" s="115">
        <v>-8.9999999999999993E-3</v>
      </c>
      <c r="AF336" s="115">
        <v>1.11E-2</v>
      </c>
      <c r="AG336" s="115">
        <v>-2.8500000000000001E-2</v>
      </c>
      <c r="AH336" s="115">
        <v>2.0199999999999999E-2</v>
      </c>
      <c r="AI336" s="115">
        <v>1.6000000000000001E-3</v>
      </c>
      <c r="AJ336" s="115">
        <v>-8.6E-3</v>
      </c>
      <c r="AK336" s="115">
        <v>7.6368999999999998</v>
      </c>
      <c r="AL336" s="115">
        <v>-1.3211999999999999</v>
      </c>
      <c r="AM336" s="115">
        <v>7</v>
      </c>
      <c r="AN336" s="115">
        <v>3</v>
      </c>
      <c r="AO336" s="115">
        <v>0</v>
      </c>
      <c r="AP336" s="115">
        <v>2</v>
      </c>
      <c r="AQ336" s="115">
        <v>3</v>
      </c>
      <c r="AR336" s="115">
        <v>0.66669999999999996</v>
      </c>
      <c r="AS336" s="115">
        <v>3.2000000000000002E-3</v>
      </c>
      <c r="AT336" s="115">
        <v>1.4226000000000001</v>
      </c>
      <c r="AU336" s="114" t="str">
        <f>IF(A336&lt;&gt;"",INDEX(Index!$B$1:$B$77,MATCH($A336,Index!$A$1:$A$77,0)),"")</f>
        <v>LAC</v>
      </c>
      <c r="AV336" s="123" t="str">
        <f>IF(B336&lt;&gt;"",INDEX(Index!$C$1:$C$77,MATCH($A336,Index!$A$1:$A$77,0)),"")</f>
        <v>Herbert</v>
      </c>
      <c r="AW336" s="123">
        <f t="shared" si="6"/>
        <v>3</v>
      </c>
      <c r="AX336" s="113">
        <v>10</v>
      </c>
    </row>
    <row r="337" spans="1:50" x14ac:dyDescent="0.25">
      <c r="A337" s="95" t="s">
        <v>570</v>
      </c>
      <c r="B337" s="96">
        <v>2025</v>
      </c>
      <c r="C337" s="96">
        <v>10</v>
      </c>
      <c r="D337" s="115">
        <v>0.45577099999999998</v>
      </c>
      <c r="E337" s="115">
        <v>-0.17933099999999999</v>
      </c>
      <c r="F337" s="115">
        <v>1.13341</v>
      </c>
      <c r="G337" s="115">
        <v>101.81699999999999</v>
      </c>
      <c r="H337" s="115">
        <v>0.25969999999999999</v>
      </c>
      <c r="I337" s="115">
        <v>205</v>
      </c>
      <c r="J337" s="115">
        <v>286</v>
      </c>
      <c r="K337" s="115">
        <v>0.71679999999999999</v>
      </c>
      <c r="L337" s="115">
        <v>9.6867999999999999</v>
      </c>
      <c r="M337" s="115">
        <v>2555</v>
      </c>
      <c r="N337" s="115">
        <v>8.9336000000000002</v>
      </c>
      <c r="O337" s="115">
        <v>19</v>
      </c>
      <c r="P337" s="115">
        <v>5</v>
      </c>
      <c r="Q337" s="115">
        <v>35</v>
      </c>
      <c r="R337" s="115">
        <v>51</v>
      </c>
      <c r="S337" s="115">
        <v>297</v>
      </c>
      <c r="T337" s="115">
        <v>5.8235000000000001</v>
      </c>
      <c r="U337" s="115">
        <v>2</v>
      </c>
      <c r="V337" s="115">
        <v>6.6400000000000001E-2</v>
      </c>
      <c r="W337" s="115">
        <v>1.7500000000000002E-2</v>
      </c>
      <c r="X337" s="115">
        <v>4.9000000000000002E-2</v>
      </c>
      <c r="Y337" s="115">
        <v>0.52039999999999997</v>
      </c>
      <c r="Z337" s="115">
        <v>113.899</v>
      </c>
      <c r="AA337" s="115">
        <v>7.9657</v>
      </c>
      <c r="AB337" s="115">
        <v>208.92500000000001</v>
      </c>
      <c r="AC337" s="115">
        <v>72.900000000000006</v>
      </c>
      <c r="AD337" s="115">
        <v>1E-3</v>
      </c>
      <c r="AE337" s="115">
        <v>-2.9100000000000001E-2</v>
      </c>
      <c r="AF337" s="115">
        <v>5.7799999999999997E-2</v>
      </c>
      <c r="AG337" s="115">
        <v>1.21E-2</v>
      </c>
      <c r="AH337" s="115">
        <v>0.16350000000000001</v>
      </c>
      <c r="AI337" s="115">
        <v>-3.1E-2</v>
      </c>
      <c r="AJ337" s="115">
        <v>-1.1999999999999999E-3</v>
      </c>
      <c r="AK337" s="115">
        <v>8.5524000000000004</v>
      </c>
      <c r="AL337" s="115">
        <v>-0.41610000000000003</v>
      </c>
      <c r="AM337" s="115">
        <v>8</v>
      </c>
      <c r="AN337" s="115">
        <v>2</v>
      </c>
      <c r="AO337" s="115">
        <v>0</v>
      </c>
      <c r="AP337" s="115">
        <v>0</v>
      </c>
      <c r="AQ337" s="115">
        <v>2</v>
      </c>
      <c r="AR337" s="115">
        <v>0</v>
      </c>
      <c r="AS337" s="115">
        <v>7.7000000000000002E-3</v>
      </c>
      <c r="AT337" s="115">
        <v>3.0005999999999999</v>
      </c>
      <c r="AU337" s="114" t="str">
        <f>IF(A337&lt;&gt;"",INDEX(Index!$B$1:$B$77,MATCH($A337,Index!$A$1:$A$77,0)),"")</f>
        <v>NE</v>
      </c>
      <c r="AV337" s="123" t="str">
        <f>IF(B337&lt;&gt;"",INDEX(Index!$C$1:$C$77,MATCH($A337,Index!$A$1:$A$77,0)),"")</f>
        <v>Maye</v>
      </c>
      <c r="AW337" s="123">
        <f t="shared" si="6"/>
        <v>2</v>
      </c>
      <c r="AX337" s="113">
        <v>10</v>
      </c>
    </row>
    <row r="338" spans="1:50" x14ac:dyDescent="0.25">
      <c r="A338" s="95" t="s">
        <v>591</v>
      </c>
      <c r="B338" s="96">
        <v>2025</v>
      </c>
      <c r="C338" s="96">
        <v>1</v>
      </c>
      <c r="D338" s="115">
        <v>0.227211</v>
      </c>
      <c r="E338" s="115">
        <v>-0.32927400000000001</v>
      </c>
      <c r="F338" s="115">
        <v>-0.32927400000000001</v>
      </c>
      <c r="G338" s="115">
        <v>-6.4212999999999996</v>
      </c>
      <c r="H338" s="115">
        <v>-0.15659999999999999</v>
      </c>
      <c r="I338" s="115">
        <v>26</v>
      </c>
      <c r="J338" s="115">
        <v>38</v>
      </c>
      <c r="K338" s="115">
        <v>0.68420000000000003</v>
      </c>
      <c r="L338" s="115">
        <v>0.43859999999999999</v>
      </c>
      <c r="M338" s="115">
        <v>202</v>
      </c>
      <c r="N338" s="115">
        <v>5.3158000000000003</v>
      </c>
      <c r="O338" s="115">
        <v>0</v>
      </c>
      <c r="P338" s="115">
        <v>0</v>
      </c>
      <c r="Q338" s="115">
        <v>1</v>
      </c>
      <c r="R338" s="115">
        <v>1</v>
      </c>
      <c r="S338" s="115">
        <v>3</v>
      </c>
      <c r="T338" s="115">
        <v>3</v>
      </c>
      <c r="U338" s="115">
        <v>0</v>
      </c>
      <c r="V338" s="115">
        <v>0</v>
      </c>
      <c r="W338" s="115">
        <v>0</v>
      </c>
      <c r="X338" s="115">
        <v>0</v>
      </c>
      <c r="Y338" s="115">
        <v>0.41460000000000002</v>
      </c>
      <c r="Z338" s="115">
        <v>81.25</v>
      </c>
      <c r="AA338" s="115">
        <v>5.0513000000000003</v>
      </c>
      <c r="AB338" s="115">
        <v>92.161000000000001</v>
      </c>
      <c r="AC338" s="115"/>
      <c r="AD338" s="115">
        <v>-2.9600000000000001E-2</v>
      </c>
      <c r="AE338" s="115">
        <v>6.7500000000000004E-2</v>
      </c>
      <c r="AF338" s="115">
        <v>-0.16039999999999999</v>
      </c>
      <c r="AG338" s="115">
        <v>7.0300000000000001E-2</v>
      </c>
      <c r="AH338" s="115">
        <v>-0.13619999999999999</v>
      </c>
      <c r="AI338" s="115">
        <v>-8.9200000000000002E-2</v>
      </c>
      <c r="AJ338" s="115">
        <v>3.44E-2</v>
      </c>
      <c r="AK338" s="115">
        <v>7.7632000000000003</v>
      </c>
      <c r="AL338" s="115">
        <v>-0.52629999999999999</v>
      </c>
      <c r="AM338" s="115">
        <v>0</v>
      </c>
      <c r="AN338" s="115">
        <v>2</v>
      </c>
      <c r="AO338" s="115">
        <v>0</v>
      </c>
      <c r="AP338" s="115">
        <v>0</v>
      </c>
      <c r="AQ338" s="115">
        <v>0</v>
      </c>
      <c r="AR338" s="115"/>
      <c r="AS338" s="115">
        <v>-2.9999999999999997E-4</v>
      </c>
      <c r="AT338" s="115">
        <v>-1.21E-2</v>
      </c>
      <c r="AU338" s="114" t="str">
        <f>IF(A338&lt;&gt;"",INDEX(Index!$B$1:$B$77,MATCH($A338,Index!$A$1:$A$77,0)),"")</f>
        <v>ATL</v>
      </c>
      <c r="AV338" s="123" t="str">
        <f>IF(B338&lt;&gt;"",INDEX(Index!$C$1:$C$77,MATCH($A338,Index!$A$1:$A$77,0)),"")</f>
        <v>Cousins</v>
      </c>
      <c r="AW338" s="123">
        <f t="shared" si="6"/>
        <v>45</v>
      </c>
      <c r="AX338" s="113">
        <v>10</v>
      </c>
    </row>
    <row r="339" spans="1:50" x14ac:dyDescent="0.25">
      <c r="A339" s="95" t="s">
        <v>568</v>
      </c>
      <c r="B339" s="96">
        <v>2025</v>
      </c>
      <c r="C339" s="96">
        <v>10</v>
      </c>
      <c r="D339" s="115">
        <v>8.9135099999999995E-2</v>
      </c>
      <c r="E339" s="115">
        <v>-0.30458000000000002</v>
      </c>
      <c r="F339" s="115">
        <v>1.7128699999999999</v>
      </c>
      <c r="G339" s="115">
        <v>81.824399999999997</v>
      </c>
      <c r="H339" s="115">
        <v>0.21029999999999999</v>
      </c>
      <c r="I339" s="115">
        <v>223</v>
      </c>
      <c r="J339" s="115">
        <v>317</v>
      </c>
      <c r="K339" s="115">
        <v>0.70350000000000001</v>
      </c>
      <c r="L339" s="115">
        <v>3.8641999999999999</v>
      </c>
      <c r="M339" s="115">
        <v>2659</v>
      </c>
      <c r="N339" s="115">
        <v>8.3879999999999999</v>
      </c>
      <c r="O339" s="115">
        <v>15</v>
      </c>
      <c r="P339" s="115">
        <v>7</v>
      </c>
      <c r="Q339" s="115">
        <v>21</v>
      </c>
      <c r="R339" s="115">
        <v>33</v>
      </c>
      <c r="S339" s="115">
        <v>146</v>
      </c>
      <c r="T339" s="115">
        <v>4.4241999999999999</v>
      </c>
      <c r="U339" s="115">
        <v>5</v>
      </c>
      <c r="V339" s="115">
        <v>4.7300000000000002E-2</v>
      </c>
      <c r="W339" s="115">
        <v>2.2100000000000002E-2</v>
      </c>
      <c r="X339" s="115">
        <v>2.52E-2</v>
      </c>
      <c r="Y339" s="115">
        <v>0.53979999999999995</v>
      </c>
      <c r="Z339" s="115">
        <v>102.22799999999999</v>
      </c>
      <c r="AA339" s="115">
        <v>7.3727999999999998</v>
      </c>
      <c r="AB339" s="115">
        <v>222.19900000000001</v>
      </c>
      <c r="AC339" s="115">
        <v>66.8</v>
      </c>
      <c r="AD339" s="115">
        <v>1.55E-2</v>
      </c>
      <c r="AE339" s="115">
        <v>-3.0000000000000001E-3</v>
      </c>
      <c r="AF339" s="115">
        <v>5.0799999999999998E-2</v>
      </c>
      <c r="AG339" s="115">
        <v>-2.2000000000000001E-3</v>
      </c>
      <c r="AH339" s="115">
        <v>3.2399999999999998E-2</v>
      </c>
      <c r="AI339" s="115">
        <v>4.2500000000000003E-2</v>
      </c>
      <c r="AJ339" s="115">
        <v>-1.2200000000000001E-2</v>
      </c>
      <c r="AK339" s="115">
        <v>8.4415999999999993</v>
      </c>
      <c r="AL339" s="115">
        <v>-0.43530000000000002</v>
      </c>
      <c r="AM339" s="115">
        <v>8</v>
      </c>
      <c r="AN339" s="115">
        <v>2</v>
      </c>
      <c r="AO339" s="115">
        <v>0</v>
      </c>
      <c r="AP339" s="115">
        <v>3</v>
      </c>
      <c r="AQ339" s="115">
        <v>4</v>
      </c>
      <c r="AR339" s="115">
        <v>0.75</v>
      </c>
      <c r="AS339" s="115">
        <v>4.3E-3</v>
      </c>
      <c r="AT339" s="115">
        <v>1.6809000000000001</v>
      </c>
      <c r="AU339" s="114" t="str">
        <f>IF(A339&lt;&gt;"",INDEX(Index!$B$1:$B$77,MATCH($A339,Index!$A$1:$A$77,0)),"")</f>
        <v>IND</v>
      </c>
      <c r="AV339" s="123" t="str">
        <f>IF(B339&lt;&gt;"",INDEX(Index!$C$1:$C$77,MATCH($A339,Index!$A$1:$A$77,0)),"")</f>
        <v>Jones</v>
      </c>
      <c r="AW339" s="123">
        <f t="shared" si="6"/>
        <v>8</v>
      </c>
      <c r="AX339" s="113">
        <v>10</v>
      </c>
    </row>
    <row r="340" spans="1:50" x14ac:dyDescent="0.25">
      <c r="A340" s="95" t="s">
        <v>574</v>
      </c>
      <c r="B340" s="96">
        <v>2025</v>
      </c>
      <c r="C340" s="96">
        <v>9</v>
      </c>
      <c r="D340" s="115">
        <v>1.9489699999999999E-2</v>
      </c>
      <c r="E340" s="115">
        <v>0.49280200000000002</v>
      </c>
      <c r="F340" s="115">
        <v>1.5025900000000001</v>
      </c>
      <c r="G340" s="115">
        <v>36.363900000000001</v>
      </c>
      <c r="H340" s="115">
        <v>9.9099999999999994E-2</v>
      </c>
      <c r="I340" s="115">
        <v>178</v>
      </c>
      <c r="J340" s="115">
        <v>293</v>
      </c>
      <c r="K340" s="115">
        <v>0.60750000000000004</v>
      </c>
      <c r="L340" s="115">
        <v>-3.7570000000000001</v>
      </c>
      <c r="M340" s="115">
        <v>2136</v>
      </c>
      <c r="N340" s="115">
        <v>7.2900999999999998</v>
      </c>
      <c r="O340" s="115">
        <v>13</v>
      </c>
      <c r="P340" s="115">
        <v>4</v>
      </c>
      <c r="Q340" s="115">
        <v>14</v>
      </c>
      <c r="R340" s="115">
        <v>37</v>
      </c>
      <c r="S340" s="115">
        <v>255</v>
      </c>
      <c r="T340" s="115">
        <v>6.8918999999999997</v>
      </c>
      <c r="U340" s="115">
        <v>3</v>
      </c>
      <c r="V340" s="115">
        <v>4.4400000000000002E-2</v>
      </c>
      <c r="W340" s="115">
        <v>1.37E-2</v>
      </c>
      <c r="X340" s="115">
        <v>3.0700000000000002E-2</v>
      </c>
      <c r="Y340" s="115">
        <v>0.45779999999999998</v>
      </c>
      <c r="Z340" s="115">
        <v>92.185699999999997</v>
      </c>
      <c r="AA340" s="115">
        <v>6.9153000000000002</v>
      </c>
      <c r="AB340" s="115">
        <v>199.18600000000001</v>
      </c>
      <c r="AC340" s="115">
        <v>57.7</v>
      </c>
      <c r="AD340" s="115">
        <v>-9.1999999999999998E-3</v>
      </c>
      <c r="AE340" s="115">
        <v>4.6600000000000003E-2</v>
      </c>
      <c r="AF340" s="115">
        <v>-4.3900000000000002E-2</v>
      </c>
      <c r="AG340" s="115">
        <v>2.7400000000000001E-2</v>
      </c>
      <c r="AH340" s="115">
        <v>-1.26E-2</v>
      </c>
      <c r="AI340" s="115">
        <v>2.3300000000000001E-2</v>
      </c>
      <c r="AJ340" s="115">
        <v>-1.9099999999999999E-2</v>
      </c>
      <c r="AK340" s="115">
        <v>8.4198000000000004</v>
      </c>
      <c r="AL340" s="115">
        <v>-0.83620000000000005</v>
      </c>
      <c r="AM340" s="115">
        <v>6</v>
      </c>
      <c r="AN340" s="115">
        <v>3</v>
      </c>
      <c r="AO340" s="115">
        <v>0</v>
      </c>
      <c r="AP340" s="115">
        <v>4</v>
      </c>
      <c r="AQ340" s="115">
        <v>6</v>
      </c>
      <c r="AR340" s="115">
        <v>0.66669999999999996</v>
      </c>
      <c r="AS340" s="115">
        <v>4.4000000000000003E-3</v>
      </c>
      <c r="AT340" s="115">
        <v>1.6007</v>
      </c>
      <c r="AU340" s="114" t="str">
        <f>IF(A340&lt;&gt;"",INDEX(Index!$B$1:$B$77,MATCH($A340,Index!$A$1:$A$77,0)),"")</f>
        <v>CHI</v>
      </c>
      <c r="AV340" s="123" t="str">
        <f>IF(B340&lt;&gt;"",INDEX(Index!$C$1:$C$77,MATCH($A340,Index!$A$1:$A$77,0)),"")</f>
        <v>Williams</v>
      </c>
      <c r="AW340" s="123">
        <f t="shared" si="6"/>
        <v>28</v>
      </c>
      <c r="AX340" s="113">
        <v>10</v>
      </c>
    </row>
    <row r="341" spans="1:50" x14ac:dyDescent="0.25">
      <c r="A341" s="95" t="s">
        <v>558</v>
      </c>
      <c r="B341" s="96">
        <v>2025</v>
      </c>
      <c r="C341" s="96">
        <v>9</v>
      </c>
      <c r="D341" s="115">
        <v>-7.3846399999999996E-3</v>
      </c>
      <c r="E341" s="115">
        <v>-0.79295499999999997</v>
      </c>
      <c r="F341" s="115">
        <v>-1.44672</v>
      </c>
      <c r="G341" s="115">
        <v>11.2826</v>
      </c>
      <c r="H341" s="115">
        <v>3.5999999999999997E-2</v>
      </c>
      <c r="I341" s="115">
        <v>183</v>
      </c>
      <c r="J341" s="115">
        <v>274</v>
      </c>
      <c r="K341" s="115">
        <v>0.66790000000000005</v>
      </c>
      <c r="L341" s="115">
        <v>1.8131999999999999</v>
      </c>
      <c r="M341" s="115">
        <v>1853</v>
      </c>
      <c r="N341" s="115">
        <v>6.7628000000000004</v>
      </c>
      <c r="O341" s="115">
        <v>18</v>
      </c>
      <c r="P341" s="115">
        <v>7</v>
      </c>
      <c r="Q341" s="115">
        <v>18</v>
      </c>
      <c r="R341" s="115">
        <v>6</v>
      </c>
      <c r="S341" s="115">
        <v>24</v>
      </c>
      <c r="T341" s="115">
        <v>4</v>
      </c>
      <c r="U341" s="115">
        <v>0</v>
      </c>
      <c r="V341" s="115">
        <v>6.5699999999999995E-2</v>
      </c>
      <c r="W341" s="115">
        <v>2.5499999999999998E-2</v>
      </c>
      <c r="X341" s="115">
        <v>4.0099999999999997E-2</v>
      </c>
      <c r="Y341" s="115">
        <v>0.44090000000000001</v>
      </c>
      <c r="Z341" s="115">
        <v>97.171499999999995</v>
      </c>
      <c r="AA341" s="115">
        <v>6.1233000000000004</v>
      </c>
      <c r="AB341" s="115">
        <v>151.97399999999999</v>
      </c>
      <c r="AC341" s="115">
        <v>44.9</v>
      </c>
      <c r="AD341" s="115">
        <v>-3.0300000000000001E-2</v>
      </c>
      <c r="AE341" s="115">
        <v>2.4899999999999999E-2</v>
      </c>
      <c r="AF341" s="115">
        <v>-1.2E-2</v>
      </c>
      <c r="AG341" s="115">
        <v>-1.5900000000000001E-2</v>
      </c>
      <c r="AH341" s="115">
        <v>-0.14219999999999999</v>
      </c>
      <c r="AI341" s="115">
        <v>0.1129</v>
      </c>
      <c r="AJ341" s="115">
        <v>1.2E-2</v>
      </c>
      <c r="AK341" s="115">
        <v>5.9890999999999996</v>
      </c>
      <c r="AL341" s="115">
        <v>-3.1642000000000001</v>
      </c>
      <c r="AM341" s="115">
        <v>5</v>
      </c>
      <c r="AN341" s="115">
        <v>4</v>
      </c>
      <c r="AO341" s="115">
        <v>0</v>
      </c>
      <c r="AP341" s="115">
        <v>1</v>
      </c>
      <c r="AQ341" s="115">
        <v>3</v>
      </c>
      <c r="AR341" s="115">
        <v>0.33329999999999999</v>
      </c>
      <c r="AS341" s="115">
        <v>8.0000000000000004E-4</v>
      </c>
      <c r="AT341" s="115">
        <v>0.26590000000000003</v>
      </c>
      <c r="AU341" s="114" t="str">
        <f>IF(A341&lt;&gt;"",INDEX(Index!$B$1:$B$77,MATCH($A341,Index!$A$1:$A$77,0)),"")</f>
        <v>GB</v>
      </c>
      <c r="AV341" s="123" t="str">
        <f>IF(B341&lt;&gt;"",INDEX(Index!$C$1:$C$77,MATCH($A341,Index!$A$1:$A$77,0)),"")</f>
        <v>Rodgers</v>
      </c>
      <c r="AW341" s="123">
        <f t="shared" si="6"/>
        <v>13</v>
      </c>
      <c r="AX341" s="113">
        <v>10</v>
      </c>
    </row>
    <row r="342" spans="1:50" x14ac:dyDescent="0.25">
      <c r="A342" s="95" t="s">
        <v>564</v>
      </c>
      <c r="B342" s="96">
        <v>2025</v>
      </c>
      <c r="C342" s="96">
        <v>3</v>
      </c>
      <c r="D342" s="115">
        <v>-7.3842199999999997E-2</v>
      </c>
      <c r="E342" s="115">
        <v>-0.72087800000000002</v>
      </c>
      <c r="F342" s="115">
        <v>-0.42435</v>
      </c>
      <c r="G342" s="115">
        <v>-4.0004</v>
      </c>
      <c r="H342" s="115">
        <v>-2.53E-2</v>
      </c>
      <c r="I342" s="115">
        <v>69</v>
      </c>
      <c r="J342" s="115">
        <v>119</v>
      </c>
      <c r="K342" s="115">
        <v>0.57979999999999998</v>
      </c>
      <c r="L342" s="115">
        <v>-1.48</v>
      </c>
      <c r="M342" s="115">
        <v>831</v>
      </c>
      <c r="N342" s="115">
        <v>6.9832000000000001</v>
      </c>
      <c r="O342" s="115">
        <v>3</v>
      </c>
      <c r="P342" s="115">
        <v>3</v>
      </c>
      <c r="Q342" s="115">
        <v>10</v>
      </c>
      <c r="R342" s="115">
        <v>18</v>
      </c>
      <c r="S342" s="115">
        <v>106</v>
      </c>
      <c r="T342" s="115">
        <v>5.8888999999999996</v>
      </c>
      <c r="U342" s="115">
        <v>0</v>
      </c>
      <c r="V342" s="115">
        <v>2.52E-2</v>
      </c>
      <c r="W342" s="115">
        <v>2.52E-2</v>
      </c>
      <c r="X342" s="115">
        <v>0</v>
      </c>
      <c r="Y342" s="115">
        <v>0.40510000000000002</v>
      </c>
      <c r="Z342" s="115">
        <v>77.398499999999999</v>
      </c>
      <c r="AA342" s="115">
        <v>5.3487999999999998</v>
      </c>
      <c r="AB342" s="115">
        <v>140.05699999999999</v>
      </c>
      <c r="AC342" s="115"/>
      <c r="AD342" s="115">
        <v>-3.9899999999999998E-2</v>
      </c>
      <c r="AE342" s="115">
        <v>1.32E-2</v>
      </c>
      <c r="AF342" s="115">
        <v>-0.1016</v>
      </c>
      <c r="AG342" s="115">
        <v>1.4500000000000001E-2</v>
      </c>
      <c r="AH342" s="115">
        <v>8.9999999999999993E-3</v>
      </c>
      <c r="AI342" s="115">
        <v>-6.5000000000000002E-2</v>
      </c>
      <c r="AJ342" s="115">
        <v>5.79E-2</v>
      </c>
      <c r="AK342" s="115">
        <v>8.8908000000000005</v>
      </c>
      <c r="AL342" s="115">
        <v>-0.10920000000000001</v>
      </c>
      <c r="AM342" s="115">
        <v>2</v>
      </c>
      <c r="AN342" s="115">
        <v>4</v>
      </c>
      <c r="AO342" s="115">
        <v>0</v>
      </c>
      <c r="AP342" s="115">
        <v>0</v>
      </c>
      <c r="AQ342" s="115">
        <v>3</v>
      </c>
      <c r="AR342" s="115">
        <v>0</v>
      </c>
      <c r="AS342" s="115">
        <v>4.8999999999999998E-3</v>
      </c>
      <c r="AT342" s="115">
        <v>0.77270000000000005</v>
      </c>
      <c r="AU342" s="114" t="str">
        <f>IF(A342&lt;&gt;"",INDEX(Index!$B$1:$B$77,MATCH($A342,Index!$A$1:$A$77,0)),"")</f>
        <v>NYG</v>
      </c>
      <c r="AV342" s="123" t="str">
        <f>IF(B342&lt;&gt;"",INDEX(Index!$C$1:$C$77,MATCH($A342,Index!$A$1:$A$77,0)),"")</f>
        <v>Wilson</v>
      </c>
      <c r="AW342" s="123">
        <f t="shared" si="6"/>
        <v>33</v>
      </c>
      <c r="AX342" s="113">
        <v>10</v>
      </c>
    </row>
    <row r="343" spans="1:50" x14ac:dyDescent="0.25">
      <c r="A343" s="95" t="s">
        <v>575</v>
      </c>
      <c r="B343" s="96">
        <v>2025</v>
      </c>
      <c r="C343" s="96">
        <v>8</v>
      </c>
      <c r="D343" s="115">
        <v>-0.230328</v>
      </c>
      <c r="E343" s="115">
        <v>0.88405599999999995</v>
      </c>
      <c r="F343" s="115">
        <v>1.54932</v>
      </c>
      <c r="G343" s="115">
        <v>47.140999999999998</v>
      </c>
      <c r="H343" s="115">
        <v>0.14069999999999999</v>
      </c>
      <c r="I343" s="115">
        <v>201</v>
      </c>
      <c r="J343" s="115">
        <v>286</v>
      </c>
      <c r="K343" s="115">
        <v>0.70279999999999998</v>
      </c>
      <c r="L343" s="115">
        <v>3.6785999999999999</v>
      </c>
      <c r="M343" s="115">
        <v>2151</v>
      </c>
      <c r="N343" s="115">
        <v>7.5209999999999999</v>
      </c>
      <c r="O343" s="115">
        <v>13</v>
      </c>
      <c r="P343" s="115">
        <v>6</v>
      </c>
      <c r="Q343" s="115">
        <v>16</v>
      </c>
      <c r="R343" s="115">
        <v>21</v>
      </c>
      <c r="S343" s="115">
        <v>71</v>
      </c>
      <c r="T343" s="115">
        <v>3.3809999999999998</v>
      </c>
      <c r="U343" s="115">
        <v>0</v>
      </c>
      <c r="V343" s="115">
        <v>4.5499999999999999E-2</v>
      </c>
      <c r="W343" s="115">
        <v>2.1000000000000001E-2</v>
      </c>
      <c r="X343" s="115">
        <v>2.4500000000000001E-2</v>
      </c>
      <c r="Y343" s="115">
        <v>0.52839999999999998</v>
      </c>
      <c r="Z343" s="115">
        <v>98.397400000000005</v>
      </c>
      <c r="AA343" s="115">
        <v>6.7317999999999998</v>
      </c>
      <c r="AB343" s="115">
        <v>197.37700000000001</v>
      </c>
      <c r="AC343" s="115">
        <v>64.8</v>
      </c>
      <c r="AD343" s="115">
        <v>-9.7000000000000003E-3</v>
      </c>
      <c r="AE343" s="115">
        <v>1.29E-2</v>
      </c>
      <c r="AF343" s="115">
        <v>2.46E-2</v>
      </c>
      <c r="AG343" s="115">
        <v>-1.4E-3</v>
      </c>
      <c r="AH343" s="115">
        <v>5.04E-2</v>
      </c>
      <c r="AI343" s="115">
        <v>-2.5000000000000001E-3</v>
      </c>
      <c r="AJ343" s="115">
        <v>-2.0299999999999999E-2</v>
      </c>
      <c r="AK343" s="115">
        <v>7.4265999999999996</v>
      </c>
      <c r="AL343" s="115">
        <v>-1.6608000000000001</v>
      </c>
      <c r="AM343" s="115">
        <v>5</v>
      </c>
      <c r="AN343" s="115">
        <v>3</v>
      </c>
      <c r="AO343" s="115">
        <v>0</v>
      </c>
      <c r="AP343" s="115">
        <v>1</v>
      </c>
      <c r="AQ343" s="115">
        <v>2</v>
      </c>
      <c r="AR343" s="115">
        <v>0.5</v>
      </c>
      <c r="AS343" s="115">
        <v>4.1999999999999997E-3</v>
      </c>
      <c r="AT343" s="115">
        <v>1.4128000000000001</v>
      </c>
      <c r="AU343" s="114" t="str">
        <f>IF(A343&lt;&gt;"",INDEX(Index!$B$1:$B$77,MATCH($A343,Index!$A$1:$A$77,0)),"")</f>
        <v>SF</v>
      </c>
      <c r="AV343" s="123" t="str">
        <f>IF(B343&lt;&gt;"",INDEX(Index!$C$1:$C$77,MATCH($A343,Index!$A$1:$A$77,0)),"")</f>
        <v>Jones</v>
      </c>
      <c r="AW343" s="123">
        <f t="shared" si="6"/>
        <v>23</v>
      </c>
      <c r="AX343" s="113">
        <v>10</v>
      </c>
    </row>
    <row r="344" spans="1:50" x14ac:dyDescent="0.25">
      <c r="A344" s="95" t="s">
        <v>587</v>
      </c>
      <c r="B344" s="96">
        <v>2025</v>
      </c>
      <c r="C344" s="96">
        <v>7</v>
      </c>
      <c r="D344" s="115">
        <v>-0.25078099999999998</v>
      </c>
      <c r="E344" s="115">
        <v>0.65627400000000002</v>
      </c>
      <c r="F344" s="115">
        <v>2.2668200000000001</v>
      </c>
      <c r="G344" s="115">
        <v>47.185699999999997</v>
      </c>
      <c r="H344" s="115">
        <v>0.1605</v>
      </c>
      <c r="I344" s="115">
        <v>128</v>
      </c>
      <c r="J344" s="115">
        <v>203</v>
      </c>
      <c r="K344" s="115">
        <v>0.63049999999999995</v>
      </c>
      <c r="L344" s="115">
        <v>-0.64970000000000006</v>
      </c>
      <c r="M344" s="115">
        <v>1417</v>
      </c>
      <c r="N344" s="115">
        <v>6.9802999999999997</v>
      </c>
      <c r="O344" s="115">
        <v>10</v>
      </c>
      <c r="P344" s="115">
        <v>3</v>
      </c>
      <c r="Q344" s="115">
        <v>21</v>
      </c>
      <c r="R344" s="115">
        <v>52</v>
      </c>
      <c r="S344" s="115">
        <v>320</v>
      </c>
      <c r="T344" s="115">
        <v>6.1538000000000004</v>
      </c>
      <c r="U344" s="115">
        <v>7</v>
      </c>
      <c r="V344" s="115">
        <v>4.9299999999999997E-2</v>
      </c>
      <c r="W344" s="115">
        <v>1.4800000000000001E-2</v>
      </c>
      <c r="X344" s="115">
        <v>3.4500000000000003E-2</v>
      </c>
      <c r="Y344" s="115">
        <v>0.48299999999999998</v>
      </c>
      <c r="Z344" s="115">
        <v>93.975800000000007</v>
      </c>
      <c r="AA344" s="115">
        <v>6.2454999999999998</v>
      </c>
      <c r="AB344" s="115">
        <v>221.684</v>
      </c>
      <c r="AC344" s="115">
        <v>63.7</v>
      </c>
      <c r="AD344" s="115">
        <v>7.0400000000000004E-2</v>
      </c>
      <c r="AE344" s="115">
        <v>-4.7999999999999996E-3</v>
      </c>
      <c r="AF344" s="115">
        <v>2.6800000000000001E-2</v>
      </c>
      <c r="AG344" s="115">
        <v>3.7900000000000003E-2</v>
      </c>
      <c r="AH344" s="115">
        <v>-6.9900000000000004E-2</v>
      </c>
      <c r="AI344" s="115">
        <v>-1.1599999999999999E-2</v>
      </c>
      <c r="AJ344" s="115">
        <v>2.5000000000000001E-2</v>
      </c>
      <c r="AK344" s="115">
        <v>8.6107999999999993</v>
      </c>
      <c r="AL344" s="115">
        <v>-0.61080000000000001</v>
      </c>
      <c r="AM344" s="115">
        <v>2</v>
      </c>
      <c r="AN344" s="115">
        <v>7</v>
      </c>
      <c r="AO344" s="115">
        <v>0</v>
      </c>
      <c r="AP344" s="115">
        <v>0</v>
      </c>
      <c r="AQ344" s="115">
        <v>2</v>
      </c>
      <c r="AR344" s="115">
        <v>0</v>
      </c>
      <c r="AS344" s="115">
        <v>4.1000000000000003E-3</v>
      </c>
      <c r="AT344" s="115">
        <v>1.2171000000000001</v>
      </c>
      <c r="AU344" s="114" t="str">
        <f>IF(A344&lt;&gt;"",INDEX(Index!$B$1:$B$77,MATCH($A344,Index!$A$1:$A$77,0)),"")</f>
        <v>NYG</v>
      </c>
      <c r="AV344" s="123" t="str">
        <f>IF(B344&lt;&gt;"",INDEX(Index!$C$1:$C$77,MATCH($A344,Index!$A$1:$A$77,0)),"")</f>
        <v>Dart</v>
      </c>
      <c r="AW344" s="123">
        <f t="shared" si="6"/>
        <v>8</v>
      </c>
      <c r="AX344" s="113">
        <v>10</v>
      </c>
    </row>
    <row r="345" spans="1:50" x14ac:dyDescent="0.25">
      <c r="A345" s="95" t="s">
        <v>577</v>
      </c>
      <c r="B345" s="96">
        <v>2025</v>
      </c>
      <c r="C345" s="96">
        <v>8</v>
      </c>
      <c r="D345" s="115">
        <v>-0.50449600000000006</v>
      </c>
      <c r="E345" s="115">
        <v>0.591368</v>
      </c>
      <c r="F345" s="115">
        <v>0.652671</v>
      </c>
      <c r="G345" s="115">
        <v>-7.8882000000000003</v>
      </c>
      <c r="H345" s="115">
        <v>-2.0799999999999999E-2</v>
      </c>
      <c r="I345" s="115">
        <v>205</v>
      </c>
      <c r="J345" s="115">
        <v>330</v>
      </c>
      <c r="K345" s="115">
        <v>0.62119999999999997</v>
      </c>
      <c r="L345" s="115">
        <v>-1.6496999999999999</v>
      </c>
      <c r="M345" s="115">
        <v>2069</v>
      </c>
      <c r="N345" s="115">
        <v>6.2697000000000003</v>
      </c>
      <c r="O345" s="115">
        <v>13</v>
      </c>
      <c r="P345" s="115">
        <v>8</v>
      </c>
      <c r="Q345" s="115">
        <v>16</v>
      </c>
      <c r="R345" s="115">
        <v>9</v>
      </c>
      <c r="S345" s="115">
        <v>42</v>
      </c>
      <c r="T345" s="115">
        <v>4.6666999999999996</v>
      </c>
      <c r="U345" s="115">
        <v>1</v>
      </c>
      <c r="V345" s="115">
        <v>3.9399999999999998E-2</v>
      </c>
      <c r="W345" s="115">
        <v>2.4199999999999999E-2</v>
      </c>
      <c r="X345" s="115">
        <v>1.52E-2</v>
      </c>
      <c r="Y345" s="115">
        <v>0.438</v>
      </c>
      <c r="Z345" s="115">
        <v>83.005099999999999</v>
      </c>
      <c r="AA345" s="115">
        <v>5.3987999999999996</v>
      </c>
      <c r="AB345" s="115">
        <v>154.446</v>
      </c>
      <c r="AC345" s="115">
        <v>48.2</v>
      </c>
      <c r="AD345" s="115">
        <v>-1.6899999999999998E-2</v>
      </c>
      <c r="AE345" s="115">
        <v>8.0000000000000004E-4</v>
      </c>
      <c r="AF345" s="115">
        <v>-3.2000000000000001E-2</v>
      </c>
      <c r="AG345" s="115">
        <v>-1.17E-2</v>
      </c>
      <c r="AH345" s="115">
        <v>-5.3800000000000001E-2</v>
      </c>
      <c r="AI345" s="115">
        <v>1.7899999999999999E-2</v>
      </c>
      <c r="AJ345" s="115">
        <v>-1.18E-2</v>
      </c>
      <c r="AK345" s="115">
        <v>7.3242000000000003</v>
      </c>
      <c r="AL345" s="115">
        <v>-1.6727000000000001</v>
      </c>
      <c r="AM345" s="115">
        <v>2</v>
      </c>
      <c r="AN345" s="115">
        <v>6</v>
      </c>
      <c r="AO345" s="115">
        <v>0</v>
      </c>
      <c r="AP345" s="115">
        <v>2</v>
      </c>
      <c r="AQ345" s="115">
        <v>5</v>
      </c>
      <c r="AR345" s="115">
        <v>0.4</v>
      </c>
      <c r="AS345" s="115">
        <v>-6.9999999999999999E-4</v>
      </c>
      <c r="AT345" s="115">
        <v>-0.24779999999999999</v>
      </c>
      <c r="AU345" s="114" t="str">
        <f>IF(A345&lt;&gt;"",INDEX(Index!$B$1:$B$77,MATCH($A345,Index!$A$1:$A$77,0)),"")</f>
        <v>CIN</v>
      </c>
      <c r="AV345" s="123" t="str">
        <f>IF(B345&lt;&gt;"",INDEX(Index!$C$1:$C$77,MATCH($A345,Index!$A$1:$A$77,0)),"")</f>
        <v>Flacco</v>
      </c>
      <c r="AW345" s="123">
        <f t="shared" si="6"/>
        <v>23</v>
      </c>
      <c r="AX345" s="113">
        <v>10</v>
      </c>
    </row>
    <row r="346" spans="1:50" x14ac:dyDescent="0.25">
      <c r="A346" s="95" t="s">
        <v>565</v>
      </c>
      <c r="B346" s="96">
        <v>2025</v>
      </c>
      <c r="C346" s="96">
        <v>10</v>
      </c>
      <c r="D346" s="115">
        <v>-0.53093999999999997</v>
      </c>
      <c r="E346" s="115">
        <v>-7.8107300000000005E-2</v>
      </c>
      <c r="F346" s="115">
        <v>-1.85944</v>
      </c>
      <c r="G346" s="115">
        <v>5.3893000000000004</v>
      </c>
      <c r="H346" s="115">
        <v>1.6E-2</v>
      </c>
      <c r="I346" s="115">
        <v>199</v>
      </c>
      <c r="J346" s="115">
        <v>291</v>
      </c>
      <c r="K346" s="115">
        <v>0.68379999999999996</v>
      </c>
      <c r="L346" s="115">
        <v>1.8418000000000001</v>
      </c>
      <c r="M346" s="115">
        <v>1952</v>
      </c>
      <c r="N346" s="115">
        <v>6.7079000000000004</v>
      </c>
      <c r="O346" s="115">
        <v>17</v>
      </c>
      <c r="P346" s="115">
        <v>13</v>
      </c>
      <c r="Q346" s="115">
        <v>18</v>
      </c>
      <c r="R346" s="115">
        <v>8</v>
      </c>
      <c r="S346" s="115">
        <v>37</v>
      </c>
      <c r="T346" s="115">
        <v>4.625</v>
      </c>
      <c r="U346" s="115">
        <v>0</v>
      </c>
      <c r="V346" s="115">
        <v>5.8400000000000001E-2</v>
      </c>
      <c r="W346" s="115">
        <v>4.4699999999999997E-2</v>
      </c>
      <c r="X346" s="115">
        <v>1.37E-2</v>
      </c>
      <c r="Y346" s="115">
        <v>0.43619999999999998</v>
      </c>
      <c r="Z346" s="115">
        <v>87.879400000000004</v>
      </c>
      <c r="AA346" s="115">
        <v>5.1877000000000004</v>
      </c>
      <c r="AB346" s="115">
        <v>126.071</v>
      </c>
      <c r="AC346" s="115">
        <v>45.1</v>
      </c>
      <c r="AD346" s="115">
        <v>-2.7E-2</v>
      </c>
      <c r="AE346" s="115">
        <v>1.84E-2</v>
      </c>
      <c r="AF346" s="115">
        <v>1.9699999999999999E-2</v>
      </c>
      <c r="AG346" s="115">
        <v>-5.6899999999999999E-2</v>
      </c>
      <c r="AH346" s="115">
        <v>-1.5100000000000001E-2</v>
      </c>
      <c r="AI346" s="115">
        <v>2.9899999999999999E-2</v>
      </c>
      <c r="AJ346" s="115">
        <v>-3.9600000000000003E-2</v>
      </c>
      <c r="AK346" s="115">
        <v>6.8041</v>
      </c>
      <c r="AL346" s="115">
        <v>-2.1648999999999998</v>
      </c>
      <c r="AM346" s="115">
        <v>3</v>
      </c>
      <c r="AN346" s="115">
        <v>7</v>
      </c>
      <c r="AO346" s="115">
        <v>0</v>
      </c>
      <c r="AP346" s="115">
        <v>0</v>
      </c>
      <c r="AQ346" s="115">
        <v>4</v>
      </c>
      <c r="AR346" s="115">
        <v>0</v>
      </c>
      <c r="AS346" s="115">
        <v>6.9999999999999999E-4</v>
      </c>
      <c r="AT346" s="115">
        <v>0.22589999999999999</v>
      </c>
      <c r="AU346" s="114" t="str">
        <f>IF(A346&lt;&gt;"",INDEX(Index!$B$1:$B$77,MATCH($A346,Index!$A$1:$A$77,0)),"")</f>
        <v>MIA</v>
      </c>
      <c r="AV346" s="123" t="str">
        <f>IF(B346&lt;&gt;"",INDEX(Index!$C$1:$C$77,MATCH($A346,Index!$A$1:$A$77,0)),"")</f>
        <v>Tagovailoa</v>
      </c>
      <c r="AW346" s="123">
        <f t="shared" si="6"/>
        <v>13</v>
      </c>
      <c r="AX346" s="113">
        <v>10</v>
      </c>
    </row>
    <row r="347" spans="1:50" x14ac:dyDescent="0.25">
      <c r="A347" s="95" t="s">
        <v>579</v>
      </c>
      <c r="B347" s="96">
        <v>2025</v>
      </c>
      <c r="C347" s="96">
        <v>8</v>
      </c>
      <c r="D347" s="115">
        <v>-0.87625299999999995</v>
      </c>
      <c r="E347" s="115">
        <v>-0.36142000000000002</v>
      </c>
      <c r="F347" s="115">
        <v>0.85229100000000002</v>
      </c>
      <c r="G347" s="115">
        <v>38.322099999999999</v>
      </c>
      <c r="H347" s="115">
        <v>0.12520000000000001</v>
      </c>
      <c r="I347" s="115">
        <v>161</v>
      </c>
      <c r="J347" s="115">
        <v>241</v>
      </c>
      <c r="K347" s="115">
        <v>0.66800000000000004</v>
      </c>
      <c r="L347" s="115">
        <v>0.62119999999999997</v>
      </c>
      <c r="M347" s="115">
        <v>1702</v>
      </c>
      <c r="N347" s="115">
        <v>7.0621999999999998</v>
      </c>
      <c r="O347" s="115">
        <v>11</v>
      </c>
      <c r="P347" s="115">
        <v>5</v>
      </c>
      <c r="Q347" s="115">
        <v>17</v>
      </c>
      <c r="R347" s="115">
        <v>26</v>
      </c>
      <c r="S347" s="115">
        <v>190</v>
      </c>
      <c r="T347" s="115">
        <v>7.3076999999999996</v>
      </c>
      <c r="U347" s="115">
        <v>0</v>
      </c>
      <c r="V347" s="115">
        <v>4.5600000000000002E-2</v>
      </c>
      <c r="W347" s="115">
        <v>2.07E-2</v>
      </c>
      <c r="X347" s="115">
        <v>2.4899999999999999E-2</v>
      </c>
      <c r="Y347" s="115">
        <v>0.49020000000000002</v>
      </c>
      <c r="Z347" s="115">
        <v>93.75</v>
      </c>
      <c r="AA347" s="115">
        <v>6.0038999999999998</v>
      </c>
      <c r="AB347" s="115">
        <v>167.54400000000001</v>
      </c>
      <c r="AC347" s="115">
        <v>64.3</v>
      </c>
      <c r="AD347" s="115">
        <v>4.2500000000000003E-2</v>
      </c>
      <c r="AE347" s="115">
        <v>2.2000000000000001E-3</v>
      </c>
      <c r="AF347" s="115">
        <v>2.1000000000000001E-2</v>
      </c>
      <c r="AG347" s="115">
        <v>1.9699999999999999E-2</v>
      </c>
      <c r="AH347" s="115">
        <v>-1.1000000000000001E-3</v>
      </c>
      <c r="AI347" s="115">
        <v>-1.8200000000000001E-2</v>
      </c>
      <c r="AJ347" s="115">
        <v>-2.7400000000000001E-2</v>
      </c>
      <c r="AK347" s="115">
        <v>7.8464999999999998</v>
      </c>
      <c r="AL347" s="115">
        <v>-1.1036999999999999</v>
      </c>
      <c r="AM347" s="115">
        <v>3</v>
      </c>
      <c r="AN347" s="115">
        <v>5</v>
      </c>
      <c r="AO347" s="115">
        <v>0</v>
      </c>
      <c r="AP347" s="115">
        <v>0</v>
      </c>
      <c r="AQ347" s="115">
        <v>3</v>
      </c>
      <c r="AR347" s="115">
        <v>0</v>
      </c>
      <c r="AS347" s="115">
        <v>1.1000000000000001E-3</v>
      </c>
      <c r="AT347" s="115">
        <v>0.35149999999999998</v>
      </c>
      <c r="AU347" s="114" t="str">
        <f>IF(A347&lt;&gt;"",INDEX(Index!$B$1:$B$77,MATCH($A347,Index!$A$1:$A$77,0)),"")</f>
        <v>HOU</v>
      </c>
      <c r="AV347" s="123" t="str">
        <f>IF(B347&lt;&gt;"",INDEX(Index!$C$1:$C$77,MATCH($A347,Index!$A$1:$A$77,0)),"")</f>
        <v>Stroud</v>
      </c>
      <c r="AW347" s="123">
        <f t="shared" si="6"/>
        <v>19</v>
      </c>
      <c r="AX347" s="113">
        <v>10</v>
      </c>
    </row>
    <row r="348" spans="1:50" x14ac:dyDescent="0.25">
      <c r="A348" s="95" t="s">
        <v>583</v>
      </c>
      <c r="B348" s="96">
        <v>2025</v>
      </c>
      <c r="C348" s="96">
        <v>4</v>
      </c>
      <c r="D348" s="115">
        <v>-0.95538400000000001</v>
      </c>
      <c r="E348" s="115">
        <v>0.31684899999999999</v>
      </c>
      <c r="F348" s="115">
        <v>0.471003</v>
      </c>
      <c r="G348" s="115">
        <v>10.156599999999999</v>
      </c>
      <c r="H348" s="115">
        <v>6.8199999999999997E-2</v>
      </c>
      <c r="I348" s="115">
        <v>72</v>
      </c>
      <c r="J348" s="115">
        <v>108</v>
      </c>
      <c r="K348" s="115">
        <v>0.66669999999999996</v>
      </c>
      <c r="L348" s="115">
        <v>4.9724000000000004</v>
      </c>
      <c r="M348" s="115">
        <v>852</v>
      </c>
      <c r="N348" s="115">
        <v>7.8888999999999996</v>
      </c>
      <c r="O348" s="115">
        <v>6</v>
      </c>
      <c r="P348" s="115">
        <v>4</v>
      </c>
      <c r="Q348" s="115">
        <v>9</v>
      </c>
      <c r="R348" s="115">
        <v>22</v>
      </c>
      <c r="S348" s="115">
        <v>145</v>
      </c>
      <c r="T348" s="115">
        <v>6.5909000000000004</v>
      </c>
      <c r="U348" s="115">
        <v>1</v>
      </c>
      <c r="V348" s="115">
        <v>5.5599999999999997E-2</v>
      </c>
      <c r="W348" s="115">
        <v>3.6999999999999998E-2</v>
      </c>
      <c r="X348" s="115">
        <v>1.8499999999999999E-2</v>
      </c>
      <c r="Y348" s="115">
        <v>0.4899</v>
      </c>
      <c r="Z348" s="115">
        <v>93.595699999999994</v>
      </c>
      <c r="AA348" s="115">
        <v>6.2820999999999998</v>
      </c>
      <c r="AB348" s="115">
        <v>177.41399999999999</v>
      </c>
      <c r="AC348" s="115">
        <v>64.5</v>
      </c>
      <c r="AD348" s="115">
        <v>-4.0000000000000001E-3</v>
      </c>
      <c r="AE348" s="115">
        <v>1.3599999999999999E-2</v>
      </c>
      <c r="AF348" s="115">
        <v>-1.6299999999999999E-2</v>
      </c>
      <c r="AG348" s="115">
        <v>-7.1599999999999997E-2</v>
      </c>
      <c r="AH348" s="115">
        <v>0.12590000000000001</v>
      </c>
      <c r="AI348" s="115">
        <v>-6.8199999999999997E-2</v>
      </c>
      <c r="AJ348" s="115">
        <v>2.0999999999999999E-3</v>
      </c>
      <c r="AK348" s="115">
        <v>9.3888999999999996</v>
      </c>
      <c r="AL348" s="115">
        <v>0.39810000000000001</v>
      </c>
      <c r="AM348" s="115">
        <v>1</v>
      </c>
      <c r="AN348" s="115">
        <v>4</v>
      </c>
      <c r="AO348" s="115">
        <v>0</v>
      </c>
      <c r="AP348" s="115">
        <v>0</v>
      </c>
      <c r="AQ348" s="115">
        <v>0</v>
      </c>
      <c r="AR348" s="115"/>
      <c r="AS348" s="115">
        <v>-4.0000000000000002E-4</v>
      </c>
      <c r="AT348" s="115">
        <v>-5.7700000000000001E-2</v>
      </c>
      <c r="AU348" s="114" t="str">
        <f>IF(A348&lt;&gt;"",INDEX(Index!$B$1:$B$77,MATCH($A348,Index!$A$1:$A$77,0)),"")</f>
        <v>WAS</v>
      </c>
      <c r="AV348" s="123" t="str">
        <f>IF(B348&lt;&gt;"",INDEX(Index!$C$1:$C$77,MATCH($A348,Index!$A$1:$A$77,0)),"")</f>
        <v>Mariota</v>
      </c>
      <c r="AW348" s="123">
        <f t="shared" si="6"/>
        <v>36</v>
      </c>
      <c r="AX348" s="113">
        <v>10</v>
      </c>
    </row>
    <row r="349" spans="1:50" x14ac:dyDescent="0.25">
      <c r="A349" s="95" t="s">
        <v>571</v>
      </c>
      <c r="B349" s="96">
        <v>2025</v>
      </c>
      <c r="C349" s="96">
        <v>9</v>
      </c>
      <c r="D349" s="115">
        <v>-1.2486699999999999</v>
      </c>
      <c r="E349" s="115">
        <v>-0.36403400000000002</v>
      </c>
      <c r="F349" s="115">
        <v>-0.87493500000000002</v>
      </c>
      <c r="G349" s="115">
        <v>-0.25750000000000001</v>
      </c>
      <c r="H349" s="115">
        <v>-5.9999999999999995E-4</v>
      </c>
      <c r="I349" s="115">
        <v>188</v>
      </c>
      <c r="J349" s="115">
        <v>313</v>
      </c>
      <c r="K349" s="115">
        <v>0.60060000000000002</v>
      </c>
      <c r="L349" s="115">
        <v>-5.6805000000000003</v>
      </c>
      <c r="M349" s="115">
        <v>1998</v>
      </c>
      <c r="N349" s="115">
        <v>6.3834</v>
      </c>
      <c r="O349" s="115">
        <v>10</v>
      </c>
      <c r="P349" s="115">
        <v>7</v>
      </c>
      <c r="Q349" s="115">
        <v>26</v>
      </c>
      <c r="R349" s="115">
        <v>36</v>
      </c>
      <c r="S349" s="115">
        <v>180</v>
      </c>
      <c r="T349" s="115">
        <v>5</v>
      </c>
      <c r="U349" s="115">
        <v>4</v>
      </c>
      <c r="V349" s="115">
        <v>3.1899999999999998E-2</v>
      </c>
      <c r="W349" s="115">
        <v>2.24E-2</v>
      </c>
      <c r="X349" s="115">
        <v>9.5999999999999992E-3</v>
      </c>
      <c r="Y349" s="115">
        <v>0.44109999999999999</v>
      </c>
      <c r="Z349" s="115">
        <v>80.065200000000004</v>
      </c>
      <c r="AA349" s="115">
        <v>5.0914000000000001</v>
      </c>
      <c r="AB349" s="115">
        <v>127.92100000000001</v>
      </c>
      <c r="AC349" s="115">
        <v>41.9</v>
      </c>
      <c r="AD349" s="115">
        <v>-6.7000000000000002E-3</v>
      </c>
      <c r="AE349" s="115">
        <v>9.4000000000000004E-3</v>
      </c>
      <c r="AF349" s="115">
        <v>-3.3399999999999999E-2</v>
      </c>
      <c r="AG349" s="115">
        <v>1E-4</v>
      </c>
      <c r="AH349" s="115">
        <v>-1.5299999999999999E-2</v>
      </c>
      <c r="AI349" s="115">
        <v>-3.9399999999999998E-2</v>
      </c>
      <c r="AJ349" s="115">
        <v>-2E-3</v>
      </c>
      <c r="AK349" s="115">
        <v>8.0767000000000007</v>
      </c>
      <c r="AL349" s="115">
        <v>-1.2875000000000001</v>
      </c>
      <c r="AM349" s="115">
        <v>5</v>
      </c>
      <c r="AN349" s="115">
        <v>4</v>
      </c>
      <c r="AO349" s="115">
        <v>0</v>
      </c>
      <c r="AP349" s="115">
        <v>2</v>
      </c>
      <c r="AQ349" s="115">
        <v>5</v>
      </c>
      <c r="AR349" s="115">
        <v>0.4</v>
      </c>
      <c r="AS349" s="115">
        <v>5.9999999999999995E-4</v>
      </c>
      <c r="AT349" s="115">
        <v>0.23350000000000001</v>
      </c>
      <c r="AU349" s="114" t="str">
        <f>IF(A349&lt;&gt;"",INDEX(Index!$B$1:$B$77,MATCH($A349,Index!$A$1:$A$77,0)),"")</f>
        <v>JAX</v>
      </c>
      <c r="AV349" s="123" t="str">
        <f>IF(B349&lt;&gt;"",INDEX(Index!$C$1:$C$77,MATCH($A349,Index!$A$1:$A$77,0)),"")</f>
        <v>Lawrence</v>
      </c>
      <c r="AW349" s="123">
        <f t="shared" si="6"/>
        <v>5</v>
      </c>
      <c r="AX349" s="113">
        <v>10</v>
      </c>
    </row>
    <row r="350" spans="1:50" x14ac:dyDescent="0.25">
      <c r="A350" s="95" t="s">
        <v>592</v>
      </c>
      <c r="B350" s="96">
        <v>2025</v>
      </c>
      <c r="C350" s="96">
        <v>1</v>
      </c>
      <c r="D350" s="115">
        <v>-1.44964</v>
      </c>
      <c r="E350" s="115">
        <v>0.366983</v>
      </c>
      <c r="F350" s="115">
        <v>0.366983</v>
      </c>
      <c r="G350" s="115">
        <v>7.5486000000000004</v>
      </c>
      <c r="H350" s="115">
        <v>0.13719999999999999</v>
      </c>
      <c r="I350" s="115">
        <v>27</v>
      </c>
      <c r="J350" s="115">
        <v>36</v>
      </c>
      <c r="K350" s="115">
        <v>0.75</v>
      </c>
      <c r="L350" s="115">
        <v>10.9704</v>
      </c>
      <c r="M350" s="115">
        <v>254</v>
      </c>
      <c r="N350" s="115">
        <v>7.0556000000000001</v>
      </c>
      <c r="O350" s="115">
        <v>1</v>
      </c>
      <c r="P350" s="115">
        <v>0</v>
      </c>
      <c r="Q350" s="115">
        <v>6</v>
      </c>
      <c r="R350" s="115">
        <v>11</v>
      </c>
      <c r="S350" s="115">
        <v>92</v>
      </c>
      <c r="T350" s="115">
        <v>8.3635999999999999</v>
      </c>
      <c r="U350" s="115">
        <v>0</v>
      </c>
      <c r="V350" s="115">
        <v>2.7799999999999998E-2</v>
      </c>
      <c r="W350" s="115">
        <v>0</v>
      </c>
      <c r="X350" s="115">
        <v>2.7799999999999998E-2</v>
      </c>
      <c r="Y350" s="115">
        <v>0.5091</v>
      </c>
      <c r="Z350" s="115">
        <v>103.241</v>
      </c>
      <c r="AA350" s="115">
        <v>5.7857000000000003</v>
      </c>
      <c r="AB350" s="115">
        <v>232.892</v>
      </c>
      <c r="AC350" s="115">
        <v>83.5</v>
      </c>
      <c r="AD350" s="115">
        <v>0.1323</v>
      </c>
      <c r="AE350" s="115">
        <v>-1.6500000000000001E-2</v>
      </c>
      <c r="AF350" s="115">
        <v>2.86E-2</v>
      </c>
      <c r="AG350" s="115">
        <v>7.0300000000000001E-2</v>
      </c>
      <c r="AH350" s="115">
        <v>-7.4999999999999997E-3</v>
      </c>
      <c r="AI350" s="115">
        <v>-0.1391</v>
      </c>
      <c r="AJ350" s="115">
        <v>-1.7500000000000002E-2</v>
      </c>
      <c r="AK350" s="115">
        <v>8.1943999999999999</v>
      </c>
      <c r="AL350" s="115">
        <v>-1.4443999999999999</v>
      </c>
      <c r="AM350" s="115">
        <v>1</v>
      </c>
      <c r="AN350" s="115">
        <v>1</v>
      </c>
      <c r="AO350" s="115">
        <v>0</v>
      </c>
      <c r="AP350" s="115">
        <v>0</v>
      </c>
      <c r="AQ350" s="115">
        <v>0</v>
      </c>
      <c r="AR350" s="115"/>
      <c r="AS350" s="115">
        <v>3.8E-3</v>
      </c>
      <c r="AT350" s="115">
        <v>0.21</v>
      </c>
      <c r="AU350" s="114" t="str">
        <f>IF(A350&lt;&gt;"",INDEX(Index!$B$1:$B$77,MATCH($A350,Index!$A$1:$A$77,0)),"")</f>
        <v>BAL</v>
      </c>
      <c r="AV350" s="123" t="str">
        <f>IF(B350&lt;&gt;"",INDEX(Index!$C$1:$C$77,MATCH($A350,Index!$A$1:$A$77,0)),"")</f>
        <v>Huntley</v>
      </c>
      <c r="AW350" s="123">
        <f t="shared" si="6"/>
        <v>40</v>
      </c>
      <c r="AX350" s="113">
        <v>10</v>
      </c>
    </row>
    <row r="351" spans="1:50" x14ac:dyDescent="0.25">
      <c r="A351" s="95" t="s">
        <v>569</v>
      </c>
      <c r="B351" s="96">
        <v>2025</v>
      </c>
      <c r="C351" s="96">
        <v>8</v>
      </c>
      <c r="D351" s="115">
        <v>-1.5545500000000001</v>
      </c>
      <c r="E351" s="115">
        <v>-0.49875900000000001</v>
      </c>
      <c r="F351" s="115">
        <v>-1.23491</v>
      </c>
      <c r="G351" s="115">
        <v>-11.014900000000001</v>
      </c>
      <c r="H351" s="115">
        <v>-4.1300000000000003E-2</v>
      </c>
      <c r="I351" s="115">
        <v>113</v>
      </c>
      <c r="J351" s="115">
        <v>176</v>
      </c>
      <c r="K351" s="115">
        <v>0.64200000000000002</v>
      </c>
      <c r="L351" s="115">
        <v>-1.4248000000000001</v>
      </c>
      <c r="M351" s="115">
        <v>1126</v>
      </c>
      <c r="N351" s="115">
        <v>6.3977000000000004</v>
      </c>
      <c r="O351" s="115">
        <v>6</v>
      </c>
      <c r="P351" s="115">
        <v>1</v>
      </c>
      <c r="Q351" s="115">
        <v>25</v>
      </c>
      <c r="R351" s="115">
        <v>55</v>
      </c>
      <c r="S351" s="115">
        <v>320</v>
      </c>
      <c r="T351" s="115">
        <v>5.8182</v>
      </c>
      <c r="U351" s="115">
        <v>3</v>
      </c>
      <c r="V351" s="115">
        <v>3.4099999999999998E-2</v>
      </c>
      <c r="W351" s="115">
        <v>5.7000000000000002E-3</v>
      </c>
      <c r="X351" s="115">
        <v>2.8400000000000002E-2</v>
      </c>
      <c r="Y351" s="115">
        <v>0.44569999999999999</v>
      </c>
      <c r="Z351" s="115">
        <v>91.240499999999997</v>
      </c>
      <c r="AA351" s="115">
        <v>5.0746000000000002</v>
      </c>
      <c r="AB351" s="115">
        <v>119.563</v>
      </c>
      <c r="AC351" s="115">
        <v>35.700000000000003</v>
      </c>
      <c r="AD351" s="115">
        <v>-2.8999999999999998E-3</v>
      </c>
      <c r="AE351" s="115">
        <v>-4.0599999999999997E-2</v>
      </c>
      <c r="AF351" s="115">
        <v>3.9899999999999998E-2</v>
      </c>
      <c r="AG351" s="115">
        <v>5.0200000000000002E-2</v>
      </c>
      <c r="AH351" s="115">
        <v>-4.5400000000000003E-2</v>
      </c>
      <c r="AI351" s="115">
        <v>-9.6600000000000005E-2</v>
      </c>
      <c r="AJ351" s="115">
        <v>-3.2399999999999998E-2</v>
      </c>
      <c r="AK351" s="115">
        <v>6.6704999999999997</v>
      </c>
      <c r="AL351" s="115">
        <v>-2.3807</v>
      </c>
      <c r="AM351" s="115">
        <v>2</v>
      </c>
      <c r="AN351" s="115">
        <v>6</v>
      </c>
      <c r="AO351" s="115">
        <v>0</v>
      </c>
      <c r="AP351" s="115">
        <v>1</v>
      </c>
      <c r="AQ351" s="115">
        <v>4</v>
      </c>
      <c r="AR351" s="115">
        <v>0.25</v>
      </c>
      <c r="AS351" s="115">
        <v>-4.5999999999999999E-3</v>
      </c>
      <c r="AT351" s="115">
        <v>-1.2150000000000001</v>
      </c>
      <c r="AU351" s="114" t="str">
        <f>IF(A351&lt;&gt;"",INDEX(Index!$B$1:$B$77,MATCH($A351,Index!$A$1:$A$77,0)),"")</f>
        <v>NYJ</v>
      </c>
      <c r="AV351" s="123" t="str">
        <f>IF(B351&lt;&gt;"",INDEX(Index!$C$1:$C$77,MATCH($A351,Index!$A$1:$A$77,0)),"")</f>
        <v>Fields</v>
      </c>
      <c r="AW351" s="123">
        <f t="shared" si="6"/>
        <v>6</v>
      </c>
      <c r="AX351" s="113">
        <v>10</v>
      </c>
    </row>
    <row r="352" spans="1:50" x14ac:dyDescent="0.25">
      <c r="A352" s="95" t="s">
        <v>590</v>
      </c>
      <c r="B352" s="96">
        <v>2025</v>
      </c>
      <c r="C352" s="96">
        <v>4</v>
      </c>
      <c r="D352" s="115">
        <v>-1.5788500000000001</v>
      </c>
      <c r="E352" s="115">
        <v>-3.0440700000000001E-2</v>
      </c>
      <c r="F352" s="115">
        <v>0.56014299999999995</v>
      </c>
      <c r="G352" s="115">
        <v>11.0046</v>
      </c>
      <c r="H352" s="115">
        <v>5.4699999999999999E-2</v>
      </c>
      <c r="I352" s="115">
        <v>95</v>
      </c>
      <c r="J352" s="115">
        <v>156</v>
      </c>
      <c r="K352" s="115">
        <v>0.60899999999999999</v>
      </c>
      <c r="L352" s="115">
        <v>0.43009999999999998</v>
      </c>
      <c r="M352" s="115">
        <v>1118</v>
      </c>
      <c r="N352" s="115">
        <v>7.1666999999999996</v>
      </c>
      <c r="O352" s="115">
        <v>8</v>
      </c>
      <c r="P352" s="115">
        <v>1</v>
      </c>
      <c r="Q352" s="115">
        <v>18</v>
      </c>
      <c r="R352" s="115">
        <v>16</v>
      </c>
      <c r="S352" s="115">
        <v>83</v>
      </c>
      <c r="T352" s="115">
        <v>5.1875</v>
      </c>
      <c r="U352" s="115">
        <v>1</v>
      </c>
      <c r="V352" s="115">
        <v>5.1299999999999998E-2</v>
      </c>
      <c r="W352" s="115">
        <v>6.4000000000000003E-3</v>
      </c>
      <c r="X352" s="115">
        <v>4.4900000000000002E-2</v>
      </c>
      <c r="Y352" s="115">
        <v>0.47260000000000002</v>
      </c>
      <c r="Z352" s="115">
        <v>97.115399999999994</v>
      </c>
      <c r="AA352" s="115">
        <v>6.2644000000000002</v>
      </c>
      <c r="AB352" s="115">
        <v>168.38300000000001</v>
      </c>
      <c r="AC352" s="115">
        <v>46.9</v>
      </c>
      <c r="AD352" s="115">
        <v>-3.8E-3</v>
      </c>
      <c r="AE352" s="115">
        <v>-0.1182</v>
      </c>
      <c r="AF352" s="115">
        <v>-2.69E-2</v>
      </c>
      <c r="AG352" s="115">
        <v>4.3200000000000002E-2</v>
      </c>
      <c r="AH352" s="115">
        <v>2.5399999999999999E-2</v>
      </c>
      <c r="AI352" s="115">
        <v>4.9000000000000002E-2</v>
      </c>
      <c r="AJ352" s="115">
        <v>-4.0000000000000002E-4</v>
      </c>
      <c r="AK352" s="115">
        <v>8.2308000000000003</v>
      </c>
      <c r="AL352" s="115">
        <v>-1.1537999999999999</v>
      </c>
      <c r="AM352" s="115">
        <v>2</v>
      </c>
      <c r="AN352" s="115">
        <v>4</v>
      </c>
      <c r="AO352" s="115">
        <v>0</v>
      </c>
      <c r="AP352" s="115">
        <v>0</v>
      </c>
      <c r="AQ352" s="115">
        <v>2</v>
      </c>
      <c r="AR352" s="115">
        <v>0</v>
      </c>
      <c r="AS352" s="115">
        <v>4.0000000000000002E-4</v>
      </c>
      <c r="AT352" s="115">
        <v>7.3300000000000004E-2</v>
      </c>
      <c r="AU352" s="114" t="str">
        <f>IF(A352&lt;&gt;"",INDEX(Index!$B$1:$B$77,MATCH($A352,Index!$A$1:$A$77,0)),"")</f>
        <v>ARI</v>
      </c>
      <c r="AV352" s="123" t="str">
        <f>IF(B352&lt;&gt;"",INDEX(Index!$C$1:$C$77,MATCH($A352,Index!$A$1:$A$77,0)),"")</f>
        <v>Brissett</v>
      </c>
      <c r="AW352" s="123">
        <f t="shared" si="6"/>
        <v>13</v>
      </c>
      <c r="AX352" s="113">
        <v>10</v>
      </c>
    </row>
    <row r="353" spans="1:50" x14ac:dyDescent="0.25">
      <c r="A353" s="95" t="s">
        <v>584</v>
      </c>
      <c r="B353" s="96">
        <v>2025</v>
      </c>
      <c r="C353" s="96">
        <v>1</v>
      </c>
      <c r="D353" s="115">
        <v>-1.63693</v>
      </c>
      <c r="E353" s="115">
        <v>5.3784800000000001E-2</v>
      </c>
      <c r="F353" s="115">
        <v>5.3784800000000001E-2</v>
      </c>
      <c r="G353" s="115">
        <v>-4.1516000000000002</v>
      </c>
      <c r="H353" s="115">
        <v>-4.3700000000000003E-2</v>
      </c>
      <c r="I353" s="115">
        <v>43</v>
      </c>
      <c r="J353" s="115">
        <v>68</v>
      </c>
      <c r="K353" s="115">
        <v>0.63239999999999996</v>
      </c>
      <c r="L353" s="115">
        <v>1.5486</v>
      </c>
      <c r="M353" s="115">
        <v>379</v>
      </c>
      <c r="N353" s="115">
        <v>5.5735000000000001</v>
      </c>
      <c r="O353" s="115">
        <v>3</v>
      </c>
      <c r="P353" s="115">
        <v>3</v>
      </c>
      <c r="Q353" s="115">
        <v>9</v>
      </c>
      <c r="R353" s="115">
        <v>13</v>
      </c>
      <c r="S353" s="115">
        <v>81</v>
      </c>
      <c r="T353" s="115">
        <v>6.2308000000000003</v>
      </c>
      <c r="U353" s="115">
        <v>0</v>
      </c>
      <c r="V353" s="115">
        <v>4.41E-2</v>
      </c>
      <c r="W353" s="115">
        <v>4.41E-2</v>
      </c>
      <c r="X353" s="115">
        <v>0</v>
      </c>
      <c r="Y353" s="115">
        <v>0.4526</v>
      </c>
      <c r="Z353" s="115">
        <v>74.325999999999993</v>
      </c>
      <c r="AA353" s="115">
        <v>3.2856999999999998</v>
      </c>
      <c r="AB353" s="115">
        <v>146.065</v>
      </c>
      <c r="AC353" s="115"/>
      <c r="AD353" s="115">
        <v>-2.9399999999999999E-2</v>
      </c>
      <c r="AE353" s="115">
        <v>-3.6999999999999998E-2</v>
      </c>
      <c r="AF353" s="115">
        <v>2.2200000000000001E-2</v>
      </c>
      <c r="AG353" s="115">
        <v>-7.0000000000000007E-2</v>
      </c>
      <c r="AH353" s="115">
        <v>5.5399999999999998E-2</v>
      </c>
      <c r="AI353" s="115">
        <v>-7.0900000000000005E-2</v>
      </c>
      <c r="AJ353" s="115">
        <v>-5.9999999999999995E-4</v>
      </c>
      <c r="AK353" s="115">
        <v>7.6471</v>
      </c>
      <c r="AL353" s="115">
        <v>-0.95589999999999997</v>
      </c>
      <c r="AM353" s="115">
        <v>0</v>
      </c>
      <c r="AN353" s="115">
        <v>3</v>
      </c>
      <c r="AO353" s="115">
        <v>0</v>
      </c>
      <c r="AP353" s="115">
        <v>0</v>
      </c>
      <c r="AQ353" s="115">
        <v>1</v>
      </c>
      <c r="AR353" s="115">
        <v>0</v>
      </c>
      <c r="AS353" s="115">
        <v>-6.1999999999999998E-3</v>
      </c>
      <c r="AT353" s="115">
        <v>-0.5907</v>
      </c>
      <c r="AU353" s="114" t="str">
        <f>IF(A353&lt;&gt;"",INDEX(Index!$B$1:$B$77,MATCH($A353,Index!$A$1:$A$77,0)),"")</f>
        <v>NYJ</v>
      </c>
      <c r="AV353" s="123" t="str">
        <f>IF(B353&lt;&gt;"",INDEX(Index!$C$1:$C$77,MATCH($A353,Index!$A$1:$A$77,0)),"")</f>
        <v>Taylor</v>
      </c>
      <c r="AW353" s="123">
        <f t="shared" si="6"/>
        <v>36</v>
      </c>
      <c r="AX353" s="113">
        <v>10</v>
      </c>
    </row>
    <row r="354" spans="1:50" x14ac:dyDescent="0.25">
      <c r="A354" s="95" t="s">
        <v>595</v>
      </c>
      <c r="B354" s="96">
        <v>2025</v>
      </c>
      <c r="C354" s="96">
        <v>1</v>
      </c>
      <c r="D354" s="115">
        <v>-1.7067699999999999</v>
      </c>
      <c r="E354" s="115">
        <v>0.35394100000000001</v>
      </c>
      <c r="F354" s="115">
        <v>0.35394100000000001</v>
      </c>
      <c r="G354" s="115">
        <v>0.21340000000000001</v>
      </c>
      <c r="H354" s="115">
        <v>2.3E-3</v>
      </c>
      <c r="I354" s="115">
        <v>46</v>
      </c>
      <c r="J354" s="115">
        <v>79</v>
      </c>
      <c r="K354" s="115">
        <v>0.58230000000000004</v>
      </c>
      <c r="L354" s="115">
        <v>-7.1134000000000004</v>
      </c>
      <c r="M354" s="115">
        <v>452</v>
      </c>
      <c r="N354" s="115">
        <v>5.7214999999999998</v>
      </c>
      <c r="O354" s="115">
        <v>2</v>
      </c>
      <c r="P354" s="115">
        <v>1</v>
      </c>
      <c r="Q354" s="115">
        <v>4</v>
      </c>
      <c r="R354" s="115">
        <v>5</v>
      </c>
      <c r="S354" s="115">
        <v>32</v>
      </c>
      <c r="T354" s="115">
        <v>6.4</v>
      </c>
      <c r="U354" s="115">
        <v>1</v>
      </c>
      <c r="V354" s="115">
        <v>2.53E-2</v>
      </c>
      <c r="W354" s="115">
        <v>1.2699999999999999E-2</v>
      </c>
      <c r="X354" s="115">
        <v>1.2699999999999999E-2</v>
      </c>
      <c r="Y354" s="115">
        <v>0.41760000000000003</v>
      </c>
      <c r="Z354" s="115">
        <v>77.610799999999998</v>
      </c>
      <c r="AA354" s="115">
        <v>5.0723000000000003</v>
      </c>
      <c r="AB354" s="115">
        <v>222.12799999999999</v>
      </c>
      <c r="AC354" s="115">
        <v>56</v>
      </c>
      <c r="AD354" s="115">
        <v>-1.6000000000000001E-3</v>
      </c>
      <c r="AE354" s="115">
        <v>5.9200000000000003E-2</v>
      </c>
      <c r="AF354" s="115">
        <v>-8.1000000000000003E-2</v>
      </c>
      <c r="AG354" s="115">
        <v>9.5999999999999992E-3</v>
      </c>
      <c r="AH354" s="115">
        <v>0.1192</v>
      </c>
      <c r="AI354" s="115">
        <v>-0.18490000000000001</v>
      </c>
      <c r="AJ354" s="115">
        <v>-4.7000000000000002E-3</v>
      </c>
      <c r="AK354" s="115">
        <v>9.1771999999999991</v>
      </c>
      <c r="AL354" s="115">
        <v>0.92410000000000003</v>
      </c>
      <c r="AM354" s="115">
        <v>2</v>
      </c>
      <c r="AN354" s="115">
        <v>1</v>
      </c>
      <c r="AO354" s="115">
        <v>0</v>
      </c>
      <c r="AP354" s="115">
        <v>1</v>
      </c>
      <c r="AQ354" s="115">
        <v>1</v>
      </c>
      <c r="AR354" s="115">
        <v>1</v>
      </c>
      <c r="AS354" s="115">
        <v>1.1000000000000001E-3</v>
      </c>
      <c r="AT354" s="115">
        <v>0.1007</v>
      </c>
      <c r="AU354" s="114" t="str">
        <f>IF(A354&lt;&gt;"",INDEX(Index!$B$1:$B$77,MATCH($A354,Index!$A$1:$A$77,0)),"")</f>
        <v>HOU</v>
      </c>
      <c r="AV354" s="123" t="str">
        <f>IF(B354&lt;&gt;"",INDEX(Index!$C$1:$C$77,MATCH($A354,Index!$A$1:$A$77,0)),"")</f>
        <v>Mills</v>
      </c>
      <c r="AW354" s="123">
        <f t="shared" si="6"/>
        <v>43</v>
      </c>
      <c r="AX354" s="113">
        <v>10</v>
      </c>
    </row>
    <row r="355" spans="1:50" x14ac:dyDescent="0.25">
      <c r="A355" s="95" t="s">
        <v>578</v>
      </c>
      <c r="B355" s="96">
        <v>2025</v>
      </c>
      <c r="C355" s="96">
        <v>8</v>
      </c>
      <c r="D355" s="115">
        <v>-1.7101500000000001</v>
      </c>
      <c r="E355" s="115">
        <v>-0.48161100000000001</v>
      </c>
      <c r="F355" s="115">
        <v>0.156831</v>
      </c>
      <c r="G355" s="115">
        <v>7.4424000000000001</v>
      </c>
      <c r="H355" s="115">
        <v>2.4500000000000001E-2</v>
      </c>
      <c r="I355" s="115">
        <v>153</v>
      </c>
      <c r="J355" s="115">
        <v>260</v>
      </c>
      <c r="K355" s="115">
        <v>0.58850000000000002</v>
      </c>
      <c r="L355" s="115">
        <v>-4.7769000000000004</v>
      </c>
      <c r="M355" s="115">
        <v>1807</v>
      </c>
      <c r="N355" s="115">
        <v>6.95</v>
      </c>
      <c r="O355" s="115">
        <v>9</v>
      </c>
      <c r="P355" s="115">
        <v>3</v>
      </c>
      <c r="Q355" s="115">
        <v>13</v>
      </c>
      <c r="R355" s="115">
        <v>12</v>
      </c>
      <c r="S355" s="115">
        <v>68</v>
      </c>
      <c r="T355" s="115">
        <v>5.6666999999999996</v>
      </c>
      <c r="U355" s="115">
        <v>1</v>
      </c>
      <c r="V355" s="115">
        <v>3.4599999999999999E-2</v>
      </c>
      <c r="W355" s="115">
        <v>1.15E-2</v>
      </c>
      <c r="X355" s="115">
        <v>2.3099999999999999E-2</v>
      </c>
      <c r="Y355" s="115">
        <v>0.4572</v>
      </c>
      <c r="Z355" s="115">
        <v>86.810900000000004</v>
      </c>
      <c r="AA355" s="115">
        <v>6.4138999999999999</v>
      </c>
      <c r="AB355" s="115">
        <v>135.815</v>
      </c>
      <c r="AC355" s="115">
        <v>53.4</v>
      </c>
      <c r="AD355" s="115">
        <v>3.0000000000000001E-3</v>
      </c>
      <c r="AE355" s="115">
        <v>9.1000000000000004E-3</v>
      </c>
      <c r="AF355" s="115">
        <v>-8.3799999999999999E-2</v>
      </c>
      <c r="AG355" s="115">
        <v>8.8000000000000005E-3</v>
      </c>
      <c r="AH355" s="115">
        <v>6.6600000000000006E-2</v>
      </c>
      <c r="AI355" s="115">
        <v>-7.3800000000000004E-2</v>
      </c>
      <c r="AJ355" s="115">
        <v>7.7000000000000002E-3</v>
      </c>
      <c r="AK355" s="115">
        <v>8.35</v>
      </c>
      <c r="AL355" s="115">
        <v>-0.47310000000000002</v>
      </c>
      <c r="AM355" s="115">
        <v>3</v>
      </c>
      <c r="AN355" s="115">
        <v>5</v>
      </c>
      <c r="AO355" s="115">
        <v>0</v>
      </c>
      <c r="AP355" s="115">
        <v>0</v>
      </c>
      <c r="AQ355" s="115">
        <v>4</v>
      </c>
      <c r="AR355" s="115">
        <v>0</v>
      </c>
      <c r="AS355" s="115">
        <v>2.5999999999999999E-3</v>
      </c>
      <c r="AT355" s="115">
        <v>0.7923</v>
      </c>
      <c r="AU355" s="114" t="str">
        <f>IF(A355&lt;&gt;"",INDEX(Index!$B$1:$B$77,MATCH($A355,Index!$A$1:$A$77,0)),"")</f>
        <v>ATL</v>
      </c>
      <c r="AV355" s="123" t="str">
        <f>IF(B355&lt;&gt;"",INDEX(Index!$C$1:$C$77,MATCH($A355,Index!$A$1:$A$77,0)),"")</f>
        <v>Penix</v>
      </c>
      <c r="AW355" s="123">
        <f t="shared" si="6"/>
        <v>32</v>
      </c>
      <c r="AX355" s="113">
        <v>10</v>
      </c>
    </row>
    <row r="356" spans="1:50" x14ac:dyDescent="0.25">
      <c r="A356" s="95" t="s">
        <v>585</v>
      </c>
      <c r="B356" s="96">
        <v>2025</v>
      </c>
      <c r="C356" s="96">
        <v>3</v>
      </c>
      <c r="D356" s="115">
        <v>-1.92588</v>
      </c>
      <c r="E356" s="115">
        <v>0.13401099999999999</v>
      </c>
      <c r="F356" s="115">
        <v>-0.76969699999999996</v>
      </c>
      <c r="G356" s="115">
        <v>-36.548900000000003</v>
      </c>
      <c r="H356" s="115">
        <v>-0.2389</v>
      </c>
      <c r="I356" s="115">
        <v>80</v>
      </c>
      <c r="J356" s="115">
        <v>124</v>
      </c>
      <c r="K356" s="115">
        <v>0.6452</v>
      </c>
      <c r="L356" s="115">
        <v>0.1186</v>
      </c>
      <c r="M356" s="115">
        <v>757</v>
      </c>
      <c r="N356" s="115">
        <v>6.1048</v>
      </c>
      <c r="O356" s="115">
        <v>6</v>
      </c>
      <c r="P356" s="115">
        <v>8</v>
      </c>
      <c r="Q356" s="115">
        <v>9</v>
      </c>
      <c r="R356" s="115">
        <v>8</v>
      </c>
      <c r="S356" s="115">
        <v>40</v>
      </c>
      <c r="T356" s="115">
        <v>5</v>
      </c>
      <c r="U356" s="115">
        <v>1</v>
      </c>
      <c r="V356" s="115">
        <v>4.8399999999999999E-2</v>
      </c>
      <c r="W356" s="115">
        <v>6.4500000000000002E-2</v>
      </c>
      <c r="X356" s="115">
        <v>-1.61E-2</v>
      </c>
      <c r="Y356" s="115">
        <v>0.43140000000000001</v>
      </c>
      <c r="Z356" s="115">
        <v>70.530900000000003</v>
      </c>
      <c r="AA356" s="115">
        <v>3.4361000000000002</v>
      </c>
      <c r="AB356" s="115">
        <v>58.973999999999997</v>
      </c>
      <c r="AC356" s="115"/>
      <c r="AD356" s="115">
        <v>1.26E-2</v>
      </c>
      <c r="AE356" s="115">
        <v>7.4000000000000003E-3</v>
      </c>
      <c r="AF356" s="115">
        <v>2.1499999999999998E-2</v>
      </c>
      <c r="AG356" s="115">
        <v>-0.18479999999999999</v>
      </c>
      <c r="AH356" s="115">
        <v>-9.0999999999999998E-2</v>
      </c>
      <c r="AI356" s="115">
        <v>-0.13489999999999999</v>
      </c>
      <c r="AJ356" s="115">
        <v>4.3700000000000003E-2</v>
      </c>
      <c r="AK356" s="115">
        <v>7.6612999999999998</v>
      </c>
      <c r="AL356" s="115">
        <v>-1.5323</v>
      </c>
      <c r="AM356" s="115">
        <v>1</v>
      </c>
      <c r="AN356" s="115">
        <v>3</v>
      </c>
      <c r="AO356" s="115">
        <v>0</v>
      </c>
      <c r="AP356" s="115">
        <v>1</v>
      </c>
      <c r="AQ356" s="115">
        <v>1</v>
      </c>
      <c r="AR356" s="115">
        <v>1</v>
      </c>
      <c r="AS356" s="115">
        <v>-5.9999999999999995E-4</v>
      </c>
      <c r="AT356" s="115">
        <v>-8.9099999999999999E-2</v>
      </c>
      <c r="AU356" s="114" t="str">
        <f>IF(A356&lt;&gt;"",INDEX(Index!$B$1:$B$77,MATCH($A356,Index!$A$1:$A$77,0)),"")</f>
        <v>CIN</v>
      </c>
      <c r="AV356" s="123" t="str">
        <f>IF(B356&lt;&gt;"",INDEX(Index!$C$1:$C$77,MATCH($A356,Index!$A$1:$A$77,0)),"")</f>
        <v>Browning</v>
      </c>
      <c r="AW356" s="123">
        <f t="shared" si="6"/>
        <v>36</v>
      </c>
      <c r="AX356" s="113">
        <v>10</v>
      </c>
    </row>
    <row r="357" spans="1:50" x14ac:dyDescent="0.25">
      <c r="A357" s="95" t="s">
        <v>594</v>
      </c>
      <c r="B357" s="96">
        <v>2025</v>
      </c>
      <c r="C357" s="96">
        <v>2</v>
      </c>
      <c r="D357" s="115">
        <v>-2.2343600000000001</v>
      </c>
      <c r="E357" s="115">
        <v>0.44922400000000001</v>
      </c>
      <c r="F357" s="115">
        <v>0.421879</v>
      </c>
      <c r="G357" s="115">
        <v>-5.3000999999999996</v>
      </c>
      <c r="H357" s="115">
        <v>-5.6399999999999999E-2</v>
      </c>
      <c r="I357" s="115">
        <v>51</v>
      </c>
      <c r="J357" s="115">
        <v>82</v>
      </c>
      <c r="K357" s="115">
        <v>0.622</v>
      </c>
      <c r="L357" s="115">
        <v>-3.9051999999999998</v>
      </c>
      <c r="M357" s="115">
        <v>586</v>
      </c>
      <c r="N357" s="115">
        <v>7.1463000000000001</v>
      </c>
      <c r="O357" s="115">
        <v>3</v>
      </c>
      <c r="P357" s="115">
        <v>2</v>
      </c>
      <c r="Q357" s="115">
        <v>5</v>
      </c>
      <c r="R357" s="115">
        <v>5</v>
      </c>
      <c r="S357" s="115">
        <v>17</v>
      </c>
      <c r="T357" s="115">
        <v>3.4</v>
      </c>
      <c r="U357" s="115">
        <v>0</v>
      </c>
      <c r="V357" s="115">
        <v>3.6600000000000001E-2</v>
      </c>
      <c r="W357" s="115">
        <v>2.4400000000000002E-2</v>
      </c>
      <c r="X357" s="115">
        <v>1.2200000000000001E-2</v>
      </c>
      <c r="Y357" s="115">
        <v>0.41489999999999999</v>
      </c>
      <c r="Z357" s="115">
        <v>85.721500000000006</v>
      </c>
      <c r="AA357" s="115">
        <v>5.8966000000000003</v>
      </c>
      <c r="AB357" s="115">
        <v>167.453</v>
      </c>
      <c r="AC357" s="115">
        <v>48</v>
      </c>
      <c r="AD357" s="115">
        <v>-3.04E-2</v>
      </c>
      <c r="AE357" s="115">
        <v>-2.2100000000000002E-2</v>
      </c>
      <c r="AF357" s="115">
        <v>-6.9099999999999995E-2</v>
      </c>
      <c r="AG357" s="115">
        <v>-1.52E-2</v>
      </c>
      <c r="AH357" s="115">
        <v>2.92E-2</v>
      </c>
      <c r="AI357" s="115">
        <v>-6.1999999999999998E-3</v>
      </c>
      <c r="AJ357" s="115">
        <v>-2.9100000000000001E-2</v>
      </c>
      <c r="AK357" s="115">
        <v>9.1707000000000001</v>
      </c>
      <c r="AL357" s="115">
        <v>1.2317</v>
      </c>
      <c r="AM357" s="115">
        <v>1</v>
      </c>
      <c r="AN357" s="115">
        <v>3</v>
      </c>
      <c r="AO357" s="115">
        <v>0</v>
      </c>
      <c r="AP357" s="115">
        <v>0</v>
      </c>
      <c r="AQ357" s="115">
        <v>0</v>
      </c>
      <c r="AR357" s="115"/>
      <c r="AS357" s="115">
        <v>2.5999999999999999E-3</v>
      </c>
      <c r="AT357" s="115">
        <v>0.2422</v>
      </c>
      <c r="AU357" s="114" t="str">
        <f>IF(A357&lt;&gt;"",INDEX(Index!$B$1:$B$77,MATCH($A357,Index!$A$1:$A$77,0)),"")</f>
        <v>NO</v>
      </c>
      <c r="AV357" s="123" t="str">
        <f>IF(B357&lt;&gt;"",INDEX(Index!$C$1:$C$77,MATCH($A357,Index!$A$1:$A$77,0)),"")</f>
        <v>Shough</v>
      </c>
      <c r="AW357" s="123">
        <f t="shared" si="6"/>
        <v>41</v>
      </c>
      <c r="AX357" s="113">
        <v>10</v>
      </c>
    </row>
    <row r="358" spans="1:50" x14ac:dyDescent="0.25">
      <c r="A358" s="95" t="s">
        <v>593</v>
      </c>
      <c r="B358" s="96">
        <v>2025</v>
      </c>
      <c r="C358" s="96">
        <v>1</v>
      </c>
      <c r="D358" s="115">
        <v>-2.26999</v>
      </c>
      <c r="E358" s="115">
        <v>-0.78385899999999997</v>
      </c>
      <c r="F358" s="115">
        <v>-0.78385899999999997</v>
      </c>
      <c r="G358" s="115">
        <v>-8.7080000000000002</v>
      </c>
      <c r="H358" s="115">
        <v>-0.18140000000000001</v>
      </c>
      <c r="I358" s="115">
        <v>25</v>
      </c>
      <c r="J358" s="115">
        <v>37</v>
      </c>
      <c r="K358" s="115">
        <v>0.67569999999999997</v>
      </c>
      <c r="L358" s="115">
        <v>6.5959000000000003</v>
      </c>
      <c r="M358" s="115">
        <v>293</v>
      </c>
      <c r="N358" s="115">
        <v>7.9188999999999998</v>
      </c>
      <c r="O358" s="115">
        <v>1</v>
      </c>
      <c r="P358" s="115">
        <v>1</v>
      </c>
      <c r="Q358" s="115">
        <v>8</v>
      </c>
      <c r="R358" s="115">
        <v>1</v>
      </c>
      <c r="S358" s="115">
        <v>1</v>
      </c>
      <c r="T358" s="115">
        <v>1</v>
      </c>
      <c r="U358" s="115">
        <v>0</v>
      </c>
      <c r="V358" s="115">
        <v>2.7E-2</v>
      </c>
      <c r="W358" s="115">
        <v>2.7E-2</v>
      </c>
      <c r="X358" s="115">
        <v>0</v>
      </c>
      <c r="Y358" s="115">
        <v>0.45829999999999999</v>
      </c>
      <c r="Z358" s="115">
        <v>89.132900000000006</v>
      </c>
      <c r="AA358" s="115">
        <v>4.7556000000000003</v>
      </c>
      <c r="AB358" s="115">
        <v>-93.4208</v>
      </c>
      <c r="AC358" s="115"/>
      <c r="AD358" s="115">
        <v>-0.1212</v>
      </c>
      <c r="AE358" s="115">
        <v>-0.27329999999999999</v>
      </c>
      <c r="AF358" s="115">
        <v>1.5100000000000001E-2</v>
      </c>
      <c r="AG358" s="115">
        <v>-8.2199999999999995E-2</v>
      </c>
      <c r="AH358" s="115">
        <v>0.28249999999999997</v>
      </c>
      <c r="AI358" s="115">
        <v>-9.0700000000000003E-2</v>
      </c>
      <c r="AJ358" s="115">
        <v>1.8E-3</v>
      </c>
      <c r="AK358" s="115">
        <v>9.4054000000000002</v>
      </c>
      <c r="AL358" s="115">
        <v>1.5405</v>
      </c>
      <c r="AM358" s="115">
        <v>1</v>
      </c>
      <c r="AN358" s="115">
        <v>2</v>
      </c>
      <c r="AO358" s="115">
        <v>0</v>
      </c>
      <c r="AP358" s="115">
        <v>0</v>
      </c>
      <c r="AQ358" s="115">
        <v>0</v>
      </c>
      <c r="AR358" s="115"/>
      <c r="AS358" s="115">
        <v>-8.2000000000000007E-3</v>
      </c>
      <c r="AT358" s="115">
        <v>-0.39529999999999998</v>
      </c>
      <c r="AU358" s="114" t="str">
        <f>IF(A358&lt;&gt;"",INDEX(Index!$B$1:$B$77,MATCH($A358,Index!$A$1:$A$77,0)),"")</f>
        <v>CAR</v>
      </c>
      <c r="AV358" s="123" t="str">
        <f>IF(B358&lt;&gt;"",INDEX(Index!$C$1:$C$77,MATCH($A358,Index!$A$1:$A$77,0)),"")</f>
        <v>Dalton</v>
      </c>
      <c r="AW358" s="123">
        <f t="shared" si="6"/>
        <v>39</v>
      </c>
      <c r="AX358" s="113">
        <v>10</v>
      </c>
    </row>
    <row r="359" spans="1:50" x14ac:dyDescent="0.25">
      <c r="A359" s="95" t="s">
        <v>572</v>
      </c>
      <c r="B359" s="96">
        <v>2025</v>
      </c>
      <c r="C359" s="96">
        <v>9</v>
      </c>
      <c r="D359" s="115">
        <v>-2.27332</v>
      </c>
      <c r="E359" s="115">
        <v>-0.64165300000000003</v>
      </c>
      <c r="F359" s="115">
        <v>-2.2215099999999999</v>
      </c>
      <c r="G359" s="115">
        <v>-21.995799999999999</v>
      </c>
      <c r="H359" s="115">
        <v>-6.5500000000000003E-2</v>
      </c>
      <c r="I359" s="115">
        <v>178</v>
      </c>
      <c r="J359" s="115">
        <v>265</v>
      </c>
      <c r="K359" s="115">
        <v>0.67169999999999996</v>
      </c>
      <c r="L359" s="115">
        <v>-1.0182</v>
      </c>
      <c r="M359" s="115">
        <v>1844</v>
      </c>
      <c r="N359" s="115">
        <v>6.9584999999999999</v>
      </c>
      <c r="O359" s="115">
        <v>11</v>
      </c>
      <c r="P359" s="115">
        <v>12</v>
      </c>
      <c r="Q359" s="115">
        <v>27</v>
      </c>
      <c r="R359" s="115">
        <v>25</v>
      </c>
      <c r="S359" s="115">
        <v>92</v>
      </c>
      <c r="T359" s="115">
        <v>3.68</v>
      </c>
      <c r="U359" s="115">
        <v>0</v>
      </c>
      <c r="V359" s="115">
        <v>4.1500000000000002E-2</v>
      </c>
      <c r="W359" s="115">
        <v>4.53E-2</v>
      </c>
      <c r="X359" s="115">
        <v>-3.8E-3</v>
      </c>
      <c r="Y359" s="115">
        <v>0.45240000000000002</v>
      </c>
      <c r="Z359" s="115">
        <v>82.020399999999995</v>
      </c>
      <c r="AA359" s="115">
        <v>4.5856000000000003</v>
      </c>
      <c r="AB359" s="115">
        <v>73.269900000000007</v>
      </c>
      <c r="AC359" s="115">
        <v>34.5</v>
      </c>
      <c r="AD359" s="115">
        <v>-2.9000000000000001E-2</v>
      </c>
      <c r="AE359" s="115">
        <v>-3.39E-2</v>
      </c>
      <c r="AF359" s="115">
        <v>3.2599999999999997E-2</v>
      </c>
      <c r="AG359" s="115">
        <v>-0.1082</v>
      </c>
      <c r="AH359" s="115">
        <v>-0.10539999999999999</v>
      </c>
      <c r="AI359" s="115">
        <v>9.1300000000000006E-2</v>
      </c>
      <c r="AJ359" s="115">
        <v>5.9999999999999995E-4</v>
      </c>
      <c r="AK359" s="115">
        <v>6.0942999999999996</v>
      </c>
      <c r="AL359" s="115">
        <v>-2.7471999999999999</v>
      </c>
      <c r="AM359" s="115">
        <v>2</v>
      </c>
      <c r="AN359" s="115">
        <v>7</v>
      </c>
      <c r="AO359" s="115">
        <v>0</v>
      </c>
      <c r="AP359" s="115">
        <v>0</v>
      </c>
      <c r="AQ359" s="115">
        <v>3</v>
      </c>
      <c r="AR359" s="115">
        <v>0</v>
      </c>
      <c r="AS359" s="115">
        <v>-2.0000000000000001E-4</v>
      </c>
      <c r="AT359" s="115">
        <v>-8.1500000000000003E-2</v>
      </c>
      <c r="AU359" s="114" t="str">
        <f>IF(A359&lt;&gt;"",INDEX(Index!$B$1:$B$77,MATCH($A359,Index!$A$1:$A$77,0)),"")</f>
        <v>LV</v>
      </c>
      <c r="AV359" s="123" t="str">
        <f>IF(B359&lt;&gt;"",INDEX(Index!$C$1:$C$77,MATCH($A359,Index!$A$1:$A$77,0)),"")</f>
        <v>Smith</v>
      </c>
      <c r="AW359" s="123">
        <f t="shared" si="6"/>
        <v>4</v>
      </c>
      <c r="AX359" s="113">
        <v>10</v>
      </c>
    </row>
    <row r="360" spans="1:50" x14ac:dyDescent="0.25">
      <c r="A360" s="95" t="s">
        <v>576</v>
      </c>
      <c r="B360" s="96">
        <v>2025</v>
      </c>
      <c r="C360" s="96">
        <v>9</v>
      </c>
      <c r="D360" s="115">
        <v>-2.3481800000000002</v>
      </c>
      <c r="E360" s="115">
        <v>-0.32888299999999998</v>
      </c>
      <c r="F360" s="115">
        <v>-1.0329999999999999</v>
      </c>
      <c r="G360" s="115">
        <v>-7.6890999999999998</v>
      </c>
      <c r="H360" s="115">
        <v>-2.3800000000000002E-2</v>
      </c>
      <c r="I360" s="115">
        <v>166</v>
      </c>
      <c r="J360" s="115">
        <v>268</v>
      </c>
      <c r="K360" s="115">
        <v>0.61939999999999995</v>
      </c>
      <c r="L360" s="115">
        <v>-1.1822999999999999</v>
      </c>
      <c r="M360" s="115">
        <v>1514</v>
      </c>
      <c r="N360" s="115">
        <v>5.6493000000000002</v>
      </c>
      <c r="O360" s="115">
        <v>11</v>
      </c>
      <c r="P360" s="115">
        <v>7</v>
      </c>
      <c r="Q360" s="115">
        <v>14</v>
      </c>
      <c r="R360" s="115">
        <v>15</v>
      </c>
      <c r="S360" s="115">
        <v>92</v>
      </c>
      <c r="T360" s="115">
        <v>6.1333000000000002</v>
      </c>
      <c r="U360" s="115">
        <v>1</v>
      </c>
      <c r="V360" s="115">
        <v>4.1000000000000002E-2</v>
      </c>
      <c r="W360" s="115">
        <v>2.6100000000000002E-2</v>
      </c>
      <c r="X360" s="115">
        <v>1.49E-2</v>
      </c>
      <c r="Y360" s="115">
        <v>0.47370000000000001</v>
      </c>
      <c r="Z360" s="115">
        <v>80.037300000000002</v>
      </c>
      <c r="AA360" s="115">
        <v>4.6311999999999998</v>
      </c>
      <c r="AB360" s="115">
        <v>99.677000000000007</v>
      </c>
      <c r="AC360" s="115">
        <v>40.700000000000003</v>
      </c>
      <c r="AD360" s="115">
        <v>-3.8999999999999998E-3</v>
      </c>
      <c r="AE360" s="115">
        <v>2.3E-3</v>
      </c>
      <c r="AF360" s="115">
        <v>-4.4600000000000001E-2</v>
      </c>
      <c r="AG360" s="115">
        <v>-2.87E-2</v>
      </c>
      <c r="AH360" s="115">
        <v>-3.4200000000000001E-2</v>
      </c>
      <c r="AI360" s="115">
        <v>-4.0500000000000001E-2</v>
      </c>
      <c r="AJ360" s="115">
        <v>3.9100000000000003E-2</v>
      </c>
      <c r="AK360" s="115">
        <v>6.5</v>
      </c>
      <c r="AL360" s="115">
        <v>-1.806</v>
      </c>
      <c r="AM360" s="115">
        <v>5</v>
      </c>
      <c r="AN360" s="115">
        <v>4</v>
      </c>
      <c r="AO360" s="115">
        <v>0</v>
      </c>
      <c r="AP360" s="115">
        <v>2</v>
      </c>
      <c r="AQ360" s="115">
        <v>4</v>
      </c>
      <c r="AR360" s="115">
        <v>0.5</v>
      </c>
      <c r="AS360" s="115">
        <v>-6.9999999999999999E-4</v>
      </c>
      <c r="AT360" s="115">
        <v>-0.2324</v>
      </c>
      <c r="AU360" s="114" t="str">
        <f>IF(A360&lt;&gt;"",INDEX(Index!$B$1:$B$77,MATCH($A360,Index!$A$1:$A$77,0)),"")</f>
        <v>CAR</v>
      </c>
      <c r="AV360" s="123" t="str">
        <f>IF(B360&lt;&gt;"",INDEX(Index!$C$1:$C$77,MATCH($A360,Index!$A$1:$A$77,0)),"")</f>
        <v>Young</v>
      </c>
      <c r="AW360" s="123">
        <f t="shared" si="6"/>
        <v>28</v>
      </c>
      <c r="AX360" s="113">
        <v>10</v>
      </c>
    </row>
    <row r="361" spans="1:50" x14ac:dyDescent="0.25">
      <c r="A361" s="95" t="s">
        <v>586</v>
      </c>
      <c r="B361" s="96">
        <v>2025</v>
      </c>
      <c r="C361" s="96">
        <v>5</v>
      </c>
      <c r="D361" s="115">
        <v>-2.4471699999999998</v>
      </c>
      <c r="E361" s="115">
        <v>-0.60543899999999995</v>
      </c>
      <c r="F361" s="115">
        <v>-0.248695</v>
      </c>
      <c r="G361" s="115">
        <v>12.968299999999999</v>
      </c>
      <c r="H361" s="115">
        <v>6.3E-2</v>
      </c>
      <c r="I361" s="115">
        <v>110</v>
      </c>
      <c r="J361" s="115">
        <v>168</v>
      </c>
      <c r="K361" s="115">
        <v>0.65480000000000005</v>
      </c>
      <c r="L361" s="115">
        <v>1.1112</v>
      </c>
      <c r="M361" s="115">
        <v>1216</v>
      </c>
      <c r="N361" s="115">
        <v>7.2381000000000002</v>
      </c>
      <c r="O361" s="115">
        <v>6</v>
      </c>
      <c r="P361" s="115">
        <v>5</v>
      </c>
      <c r="Q361" s="115">
        <v>19</v>
      </c>
      <c r="R361" s="115">
        <v>9</v>
      </c>
      <c r="S361" s="115">
        <v>57</v>
      </c>
      <c r="T361" s="115">
        <v>6.3333000000000004</v>
      </c>
      <c r="U361" s="115">
        <v>0</v>
      </c>
      <c r="V361" s="115">
        <v>3.5700000000000003E-2</v>
      </c>
      <c r="W361" s="115">
        <v>2.98E-2</v>
      </c>
      <c r="X361" s="115">
        <v>6.0000000000000001E-3</v>
      </c>
      <c r="Y361" s="115">
        <v>0.48060000000000003</v>
      </c>
      <c r="Z361" s="115">
        <v>86.3095</v>
      </c>
      <c r="AA361" s="115">
        <v>5.2727000000000004</v>
      </c>
      <c r="AB361" s="115">
        <v>107.76</v>
      </c>
      <c r="AC361" s="115">
        <v>42</v>
      </c>
      <c r="AD361" s="115">
        <v>-2.1899999999999999E-2</v>
      </c>
      <c r="AE361" s="115">
        <v>-3.1300000000000001E-2</v>
      </c>
      <c r="AF361" s="115">
        <v>2.0899999999999998E-2</v>
      </c>
      <c r="AG361" s="115">
        <v>-3.5900000000000001E-2</v>
      </c>
      <c r="AH361" s="115">
        <v>4.8999999999999998E-3</v>
      </c>
      <c r="AI361" s="115">
        <v>3.6600000000000001E-2</v>
      </c>
      <c r="AJ361" s="115">
        <v>3.0999999999999999E-3</v>
      </c>
      <c r="AK361" s="115">
        <v>7.6666999999999996</v>
      </c>
      <c r="AL361" s="115">
        <v>-1.3571</v>
      </c>
      <c r="AM361" s="115">
        <v>2</v>
      </c>
      <c r="AN361" s="115">
        <v>3</v>
      </c>
      <c r="AO361" s="115">
        <v>0</v>
      </c>
      <c r="AP361" s="115">
        <v>1</v>
      </c>
      <c r="AQ361" s="115">
        <v>3</v>
      </c>
      <c r="AR361" s="115">
        <v>0.33329999999999999</v>
      </c>
      <c r="AS361" s="115">
        <v>1.1999999999999999E-3</v>
      </c>
      <c r="AT361" s="115">
        <v>0.23880000000000001</v>
      </c>
      <c r="AU361" s="114" t="str">
        <f>IF(A361&lt;&gt;"",INDEX(Index!$B$1:$B$77,MATCH($A361,Index!$A$1:$A$77,0)),"")</f>
        <v>MIN</v>
      </c>
      <c r="AV361" s="123" t="str">
        <f>IF(B361&lt;&gt;"",INDEX(Index!$C$1:$C$77,MATCH($A361,Index!$A$1:$A$77,0)),"")</f>
        <v>Wentz</v>
      </c>
      <c r="AW361" s="123">
        <f t="shared" si="6"/>
        <v>11</v>
      </c>
      <c r="AX361" s="113">
        <v>10</v>
      </c>
    </row>
    <row r="362" spans="1:50" x14ac:dyDescent="0.25">
      <c r="A362" s="95" t="s">
        <v>588</v>
      </c>
      <c r="B362" s="96">
        <v>2025</v>
      </c>
      <c r="C362" s="96">
        <v>2</v>
      </c>
      <c r="D362" s="115">
        <v>-2.4971999999999999</v>
      </c>
      <c r="E362" s="115">
        <v>-0.378133</v>
      </c>
      <c r="F362" s="115">
        <v>-0.79516200000000004</v>
      </c>
      <c r="G362" s="115">
        <v>-25.889299999999999</v>
      </c>
      <c r="H362" s="115">
        <v>-0.45419999999999999</v>
      </c>
      <c r="I362" s="115">
        <v>34</v>
      </c>
      <c r="J362" s="115">
        <v>52</v>
      </c>
      <c r="K362" s="115">
        <v>0.65380000000000005</v>
      </c>
      <c r="L362" s="115">
        <v>-1.9399</v>
      </c>
      <c r="M362" s="115">
        <v>303</v>
      </c>
      <c r="N362" s="115">
        <v>5.8269000000000002</v>
      </c>
      <c r="O362" s="115">
        <v>0</v>
      </c>
      <c r="P362" s="115">
        <v>4</v>
      </c>
      <c r="Q362" s="115">
        <v>1</v>
      </c>
      <c r="R362" s="115">
        <v>0</v>
      </c>
      <c r="S362" s="115">
        <v>0</v>
      </c>
      <c r="T362" s="115"/>
      <c r="U362" s="115">
        <v>0</v>
      </c>
      <c r="V362" s="115">
        <v>0</v>
      </c>
      <c r="W362" s="115">
        <v>7.6899999999999996E-2</v>
      </c>
      <c r="X362" s="115">
        <v>-7.6899999999999996E-2</v>
      </c>
      <c r="Y362" s="115">
        <v>0.42109999999999997</v>
      </c>
      <c r="Z362" s="115">
        <v>48.798099999999998</v>
      </c>
      <c r="AA362" s="115">
        <v>2.0188999999999999</v>
      </c>
      <c r="AB362" s="115">
        <v>12.234400000000001</v>
      </c>
      <c r="AC362" s="115"/>
      <c r="AD362" s="115">
        <v>-3.1800000000000002E-2</v>
      </c>
      <c r="AE362" s="115">
        <v>6.0999999999999999E-2</v>
      </c>
      <c r="AF362" s="115">
        <v>-5.8099999999999999E-2</v>
      </c>
      <c r="AG362" s="115">
        <v>-0.23269999999999999</v>
      </c>
      <c r="AH362" s="115">
        <v>-0.22259999999999999</v>
      </c>
      <c r="AI362" s="115">
        <v>-1.77E-2</v>
      </c>
      <c r="AJ362" s="115">
        <v>-3.8899999999999997E-2</v>
      </c>
      <c r="AK362" s="115">
        <v>6.4423000000000004</v>
      </c>
      <c r="AL362" s="115">
        <v>-2.0577000000000001</v>
      </c>
      <c r="AM362" s="115">
        <v>0</v>
      </c>
      <c r="AN362" s="115">
        <v>3</v>
      </c>
      <c r="AO362" s="115">
        <v>0</v>
      </c>
      <c r="AP362" s="115">
        <v>0</v>
      </c>
      <c r="AQ362" s="115">
        <v>0</v>
      </c>
      <c r="AR362" s="115"/>
      <c r="AS362" s="115">
        <v>-6.8999999999999999E-3</v>
      </c>
      <c r="AT362" s="115">
        <v>-0.39179999999999998</v>
      </c>
      <c r="AU362" s="114" t="str">
        <f>IF(A362&lt;&gt;"",INDEX(Index!$B$1:$B$77,MATCH($A362,Index!$A$1:$A$77,0)),"")</f>
        <v>BAL</v>
      </c>
      <c r="AV362" s="123" t="str">
        <f>IF(B362&lt;&gt;"",INDEX(Index!$C$1:$C$77,MATCH($A362,Index!$A$1:$A$77,0)),"")</f>
        <v>Rush</v>
      </c>
      <c r="AW362" s="123">
        <f t="shared" si="6"/>
        <v>45</v>
      </c>
      <c r="AX362" s="113">
        <v>10</v>
      </c>
    </row>
    <row r="363" spans="1:50" x14ac:dyDescent="0.25">
      <c r="A363" s="95" t="s">
        <v>581</v>
      </c>
      <c r="B363" s="96">
        <v>2025</v>
      </c>
      <c r="C363" s="96">
        <v>8</v>
      </c>
      <c r="D363" s="115">
        <v>-2.5663999999999998</v>
      </c>
      <c r="E363" s="115">
        <v>-0.47380100000000003</v>
      </c>
      <c r="F363" s="115">
        <v>0.738784</v>
      </c>
      <c r="G363" s="115">
        <v>-17.053899999999999</v>
      </c>
      <c r="H363" s="115">
        <v>-5.28E-2</v>
      </c>
      <c r="I363" s="115">
        <v>174</v>
      </c>
      <c r="J363" s="115">
        <v>253</v>
      </c>
      <c r="K363" s="115">
        <v>0.68769999999999998</v>
      </c>
      <c r="L363" s="115">
        <v>2.3567999999999998</v>
      </c>
      <c r="M363" s="115">
        <v>1586</v>
      </c>
      <c r="N363" s="115">
        <v>6.2687999999999997</v>
      </c>
      <c r="O363" s="115">
        <v>8</v>
      </c>
      <c r="P363" s="115">
        <v>5</v>
      </c>
      <c r="Q363" s="115">
        <v>18</v>
      </c>
      <c r="R363" s="115">
        <v>30</v>
      </c>
      <c r="S363" s="115">
        <v>168</v>
      </c>
      <c r="T363" s="115">
        <v>5.6</v>
      </c>
      <c r="U363" s="115">
        <v>0</v>
      </c>
      <c r="V363" s="115">
        <v>3.1600000000000003E-2</v>
      </c>
      <c r="W363" s="115">
        <v>1.9800000000000002E-2</v>
      </c>
      <c r="X363" s="115">
        <v>1.1900000000000001E-2</v>
      </c>
      <c r="Y363" s="115">
        <v>0.47989999999999999</v>
      </c>
      <c r="Z363" s="115">
        <v>87.821100000000001</v>
      </c>
      <c r="AA363" s="115">
        <v>5.2287999999999997</v>
      </c>
      <c r="AB363" s="115">
        <v>139.14599999999999</v>
      </c>
      <c r="AC363" s="115">
        <v>49.3</v>
      </c>
      <c r="AD363" s="115">
        <v>-2.0999999999999999E-3</v>
      </c>
      <c r="AE363" s="115">
        <v>1.14E-2</v>
      </c>
      <c r="AF363" s="115">
        <v>2.0799999999999999E-2</v>
      </c>
      <c r="AG363" s="115">
        <v>7.1999999999999998E-3</v>
      </c>
      <c r="AH363" s="115">
        <v>-5.2400000000000002E-2</v>
      </c>
      <c r="AI363" s="115">
        <v>-0.129</v>
      </c>
      <c r="AJ363" s="115">
        <v>4.7000000000000002E-3</v>
      </c>
      <c r="AK363" s="115">
        <v>8.0078999999999994</v>
      </c>
      <c r="AL363" s="115">
        <v>-1.1028</v>
      </c>
      <c r="AM363" s="115">
        <v>1</v>
      </c>
      <c r="AN363" s="115">
        <v>7</v>
      </c>
      <c r="AO363" s="115">
        <v>0</v>
      </c>
      <c r="AP363" s="115">
        <v>0</v>
      </c>
      <c r="AQ363" s="115">
        <v>4</v>
      </c>
      <c r="AR363" s="115">
        <v>0</v>
      </c>
      <c r="AS363" s="115">
        <v>-2.8E-3</v>
      </c>
      <c r="AT363" s="115">
        <v>-0.89029999999999998</v>
      </c>
      <c r="AU363" s="114" t="str">
        <f>IF(A363&lt;&gt;"",INDEX(Index!$B$1:$B$77,MATCH($A363,Index!$A$1:$A$77,0)),"")</f>
        <v>NO</v>
      </c>
      <c r="AV363" s="123" t="str">
        <f>IF(B363&lt;&gt;"",INDEX(Index!$C$1:$C$77,MATCH($A363,Index!$A$1:$A$77,0)),"")</f>
        <v>Rattler</v>
      </c>
      <c r="AW363" s="123">
        <f t="shared" si="6"/>
        <v>13</v>
      </c>
      <c r="AX363" s="113">
        <v>10</v>
      </c>
    </row>
    <row r="364" spans="1:50" x14ac:dyDescent="0.25">
      <c r="A364" s="95" t="s">
        <v>580</v>
      </c>
      <c r="B364" s="96">
        <v>2025</v>
      </c>
      <c r="C364" s="96">
        <v>4</v>
      </c>
      <c r="D364" s="115">
        <v>-2.8170899999999999</v>
      </c>
      <c r="E364" s="115">
        <v>-1.6684299999999999E-2</v>
      </c>
      <c r="F364" s="115">
        <v>-1.2053400000000001</v>
      </c>
      <c r="G364" s="115">
        <v>-26.462499999999999</v>
      </c>
      <c r="H364" s="115">
        <v>-0.1812</v>
      </c>
      <c r="I364" s="115">
        <v>58</v>
      </c>
      <c r="J364" s="115">
        <v>108</v>
      </c>
      <c r="K364" s="115">
        <v>0.53700000000000003</v>
      </c>
      <c r="L364" s="115">
        <v>-7.4104999999999999</v>
      </c>
      <c r="M364" s="115">
        <v>692</v>
      </c>
      <c r="N364" s="115">
        <v>6.4074</v>
      </c>
      <c r="O364" s="115">
        <v>5</v>
      </c>
      <c r="P364" s="115">
        <v>6</v>
      </c>
      <c r="Q364" s="115">
        <v>15</v>
      </c>
      <c r="R364" s="115">
        <v>15</v>
      </c>
      <c r="S364" s="115">
        <v>115</v>
      </c>
      <c r="T364" s="115">
        <v>7.6666999999999996</v>
      </c>
      <c r="U364" s="115">
        <v>2</v>
      </c>
      <c r="V364" s="115">
        <v>4.6300000000000001E-2</v>
      </c>
      <c r="W364" s="115">
        <v>5.5599999999999997E-2</v>
      </c>
      <c r="X364" s="115">
        <v>-9.2999999999999992E-3</v>
      </c>
      <c r="Y364" s="115">
        <v>0.39729999999999999</v>
      </c>
      <c r="Z364" s="115">
        <v>65.817899999999995</v>
      </c>
      <c r="AA364" s="115">
        <v>3.6179000000000001</v>
      </c>
      <c r="AB364" s="115">
        <v>30.5808</v>
      </c>
      <c r="AC364" s="115"/>
      <c r="AD364" s="115">
        <v>2.1499999999999998E-2</v>
      </c>
      <c r="AE364" s="115">
        <v>-8.6099999999999996E-2</v>
      </c>
      <c r="AF364" s="115">
        <v>-8.6599999999999996E-2</v>
      </c>
      <c r="AG364" s="115">
        <v>-0.1101</v>
      </c>
      <c r="AH364" s="115">
        <v>5.8500000000000003E-2</v>
      </c>
      <c r="AI364" s="115">
        <v>-0.1094</v>
      </c>
      <c r="AJ364" s="115">
        <v>4.4400000000000002E-2</v>
      </c>
      <c r="AK364" s="115">
        <v>10.0463</v>
      </c>
      <c r="AL364" s="115">
        <v>1.1943999999999999</v>
      </c>
      <c r="AM364" s="115">
        <v>2</v>
      </c>
      <c r="AN364" s="115">
        <v>2</v>
      </c>
      <c r="AO364" s="115">
        <v>0</v>
      </c>
      <c r="AP364" s="115">
        <v>1</v>
      </c>
      <c r="AQ364" s="115">
        <v>3</v>
      </c>
      <c r="AR364" s="115">
        <v>0.33329999999999999</v>
      </c>
      <c r="AS364" s="115">
        <v>-1.4E-3</v>
      </c>
      <c r="AT364" s="115">
        <v>-0.20910000000000001</v>
      </c>
      <c r="AU364" s="114" t="str">
        <f>IF(A364&lt;&gt;"",INDEX(Index!$B$1:$B$77,MATCH($A364,Index!$A$1:$A$77,0)),"")</f>
        <v>MIN</v>
      </c>
      <c r="AV364" s="123" t="str">
        <f>IF(B364&lt;&gt;"",INDEX(Index!$C$1:$C$77,MATCH($A364,Index!$A$1:$A$77,0)),"")</f>
        <v>McCarthy</v>
      </c>
      <c r="AW364" s="123">
        <f t="shared" si="6"/>
        <v>26</v>
      </c>
      <c r="AX364" s="113">
        <v>10</v>
      </c>
    </row>
    <row r="365" spans="1:50" x14ac:dyDescent="0.25">
      <c r="A365" s="95" t="s">
        <v>589</v>
      </c>
      <c r="B365" s="96">
        <v>2025</v>
      </c>
      <c r="C365" s="96">
        <v>5</v>
      </c>
      <c r="D365" s="115">
        <v>-3.7968299999999999</v>
      </c>
      <c r="E365" s="115">
        <v>9.4508400000000006E-2</v>
      </c>
      <c r="F365" s="115">
        <v>-4.3957799999999998E-2</v>
      </c>
      <c r="G365" s="115">
        <v>-21.526499999999999</v>
      </c>
      <c r="H365" s="115">
        <v>-0.10009999999999999</v>
      </c>
      <c r="I365" s="115">
        <v>102</v>
      </c>
      <c r="J365" s="115">
        <v>173</v>
      </c>
      <c r="K365" s="115">
        <v>0.58960000000000001</v>
      </c>
      <c r="L365" s="115">
        <v>-8.1420999999999992</v>
      </c>
      <c r="M365" s="115">
        <v>869</v>
      </c>
      <c r="N365" s="115">
        <v>5.0231000000000003</v>
      </c>
      <c r="O365" s="115">
        <v>7</v>
      </c>
      <c r="P365" s="115">
        <v>2</v>
      </c>
      <c r="Q365" s="115">
        <v>17</v>
      </c>
      <c r="R365" s="115">
        <v>11</v>
      </c>
      <c r="S365" s="115">
        <v>85</v>
      </c>
      <c r="T365" s="115">
        <v>7.7272999999999996</v>
      </c>
      <c r="U365" s="115">
        <v>0</v>
      </c>
      <c r="V365" s="115">
        <v>4.0500000000000001E-2</v>
      </c>
      <c r="W365" s="115">
        <v>1.1599999999999999E-2</v>
      </c>
      <c r="X365" s="115">
        <v>2.8899999999999999E-2</v>
      </c>
      <c r="Y365" s="115">
        <v>0.36280000000000001</v>
      </c>
      <c r="Z365" s="115">
        <v>80.816500000000005</v>
      </c>
      <c r="AA365" s="115">
        <v>4.2157999999999998</v>
      </c>
      <c r="AB365" s="115">
        <v>76.432100000000005</v>
      </c>
      <c r="AC365" s="115">
        <v>33</v>
      </c>
      <c r="AD365" s="115">
        <v>-1.2699999999999999E-2</v>
      </c>
      <c r="AE365" s="115">
        <v>-2.07E-2</v>
      </c>
      <c r="AF365" s="115">
        <v>-5.0900000000000001E-2</v>
      </c>
      <c r="AG365" s="115">
        <v>3.4700000000000002E-2</v>
      </c>
      <c r="AH365" s="115">
        <v>-0.15579999999999999</v>
      </c>
      <c r="AI365" s="115">
        <v>-2.0899999999999998E-2</v>
      </c>
      <c r="AJ365" s="115">
        <v>3.9699999999999999E-2</v>
      </c>
      <c r="AK365" s="115">
        <v>5.9074999999999998</v>
      </c>
      <c r="AL365" s="115">
        <v>-3.9249000000000001</v>
      </c>
      <c r="AM365" s="115">
        <v>1</v>
      </c>
      <c r="AN365" s="115">
        <v>6</v>
      </c>
      <c r="AO365" s="115">
        <v>0</v>
      </c>
      <c r="AP365" s="115">
        <v>0</v>
      </c>
      <c r="AQ365" s="115">
        <v>2</v>
      </c>
      <c r="AR365" s="115">
        <v>0</v>
      </c>
      <c r="AS365" s="115">
        <v>-2.0999999999999999E-3</v>
      </c>
      <c r="AT365" s="115">
        <v>-0.4526</v>
      </c>
      <c r="AU365" s="114" t="str">
        <f>IF(A365&lt;&gt;"",INDEX(Index!$B$1:$B$77,MATCH($A365,Index!$A$1:$A$77,0)),"")</f>
        <v>CLE</v>
      </c>
      <c r="AV365" s="123" t="str">
        <f>IF(B365&lt;&gt;"",INDEX(Index!$C$1:$C$77,MATCH($A365,Index!$A$1:$A$77,0)),"")</f>
        <v>Gabriel</v>
      </c>
      <c r="AW365" s="123">
        <f t="shared" si="6"/>
        <v>19</v>
      </c>
      <c r="AX365" s="113">
        <v>10</v>
      </c>
    </row>
    <row r="366" spans="1:50" ht="15.75" thickBot="1" x14ac:dyDescent="0.3">
      <c r="A366" s="95" t="s">
        <v>582</v>
      </c>
      <c r="B366" s="96">
        <v>2025</v>
      </c>
      <c r="C366" s="96">
        <v>9</v>
      </c>
      <c r="D366" s="115">
        <v>-4.2273500000000004</v>
      </c>
      <c r="E366" s="115">
        <v>-0.23541699999999999</v>
      </c>
      <c r="F366" s="115">
        <v>-2.7454100000000001</v>
      </c>
      <c r="G366" s="115">
        <v>-74.722399999999993</v>
      </c>
      <c r="H366" s="115">
        <v>-0.20419999999999999</v>
      </c>
      <c r="I366" s="115">
        <v>170</v>
      </c>
      <c r="J366" s="115">
        <v>292</v>
      </c>
      <c r="K366" s="115">
        <v>0.58220000000000005</v>
      </c>
      <c r="L366" s="115">
        <v>-5.6214000000000004</v>
      </c>
      <c r="M366" s="115">
        <v>1760</v>
      </c>
      <c r="N366" s="115">
        <v>6.0274000000000001</v>
      </c>
      <c r="O366" s="115">
        <v>5</v>
      </c>
      <c r="P366" s="115">
        <v>6</v>
      </c>
      <c r="Q366" s="115">
        <v>38</v>
      </c>
      <c r="R366" s="115">
        <v>13</v>
      </c>
      <c r="S366" s="115">
        <v>54</v>
      </c>
      <c r="T366" s="115">
        <v>4.1538000000000004</v>
      </c>
      <c r="U366" s="115">
        <v>0</v>
      </c>
      <c r="V366" s="115">
        <v>1.7100000000000001E-2</v>
      </c>
      <c r="W366" s="115">
        <v>2.0500000000000001E-2</v>
      </c>
      <c r="X366" s="115">
        <v>-3.3999999999999998E-3</v>
      </c>
      <c r="Y366" s="115">
        <v>0.40160000000000001</v>
      </c>
      <c r="Z366" s="115">
        <v>72.8596</v>
      </c>
      <c r="AA366" s="115">
        <v>3.9241999999999999</v>
      </c>
      <c r="AB366" s="115">
        <v>6.0111999999999997</v>
      </c>
      <c r="AC366" s="115">
        <v>24.2</v>
      </c>
      <c r="AD366" s="115">
        <v>-2.63E-2</v>
      </c>
      <c r="AE366" s="115">
        <v>-0.1172</v>
      </c>
      <c r="AF366" s="115">
        <v>-3.7900000000000003E-2</v>
      </c>
      <c r="AG366" s="115">
        <v>1.0699999999999999E-2</v>
      </c>
      <c r="AH366" s="115">
        <v>-5.6000000000000001E-2</v>
      </c>
      <c r="AI366" s="115">
        <v>-5.9700000000000003E-2</v>
      </c>
      <c r="AJ366" s="115">
        <v>-4.4999999999999997E-3</v>
      </c>
      <c r="AK366" s="115">
        <v>7.8663999999999996</v>
      </c>
      <c r="AL366" s="115">
        <v>-1.4315</v>
      </c>
      <c r="AM366" s="115">
        <v>1</v>
      </c>
      <c r="AN366" s="115">
        <v>8</v>
      </c>
      <c r="AO366" s="115">
        <v>0</v>
      </c>
      <c r="AP366" s="115">
        <v>1</v>
      </c>
      <c r="AQ366" s="115">
        <v>3</v>
      </c>
      <c r="AR366" s="115">
        <v>0.33329999999999999</v>
      </c>
      <c r="AS366" s="115">
        <v>-4.1000000000000003E-3</v>
      </c>
      <c r="AT366" s="115">
        <v>-1.5154000000000001</v>
      </c>
      <c r="AU366" s="114" t="str">
        <f>IF(A366&lt;&gt;"",INDEX(Index!$B$1:$B$77,MATCH($A366,Index!$A$1:$A$77,0)),"")</f>
        <v>TEN</v>
      </c>
      <c r="AV366" s="123" t="str">
        <f>IF(B366&lt;&gt;"",INDEX(Index!$C$1:$C$77,MATCH($A366,Index!$A$1:$A$77,0)),"")</f>
        <v>Ward</v>
      </c>
      <c r="AW366" s="123">
        <f t="shared" si="6"/>
        <v>1</v>
      </c>
      <c r="AX366" s="113">
        <v>10</v>
      </c>
    </row>
    <row r="367" spans="1:50" x14ac:dyDescent="0.25">
      <c r="A367" s="117" t="s">
        <v>551</v>
      </c>
      <c r="B367" s="118">
        <v>2025</v>
      </c>
      <c r="C367" s="118">
        <v>10</v>
      </c>
      <c r="D367" s="119">
        <v>3.9892300000000001</v>
      </c>
      <c r="E367" s="119">
        <v>0.71775900000000004</v>
      </c>
      <c r="F367" s="119">
        <v>0.48824499999999998</v>
      </c>
      <c r="G367" s="119">
        <v>110.593</v>
      </c>
      <c r="H367" s="119">
        <v>0.2858</v>
      </c>
      <c r="I367" s="119">
        <v>204</v>
      </c>
      <c r="J367" s="119">
        <v>292</v>
      </c>
      <c r="K367" s="119">
        <v>0.6986</v>
      </c>
      <c r="L367" s="119">
        <v>4.0422000000000002</v>
      </c>
      <c r="M367" s="119">
        <v>2456</v>
      </c>
      <c r="N367" s="119">
        <v>8.4109999999999996</v>
      </c>
      <c r="O367" s="119">
        <v>18</v>
      </c>
      <c r="P367" s="119">
        <v>7</v>
      </c>
      <c r="Q367" s="119">
        <v>20</v>
      </c>
      <c r="R367" s="119">
        <v>54</v>
      </c>
      <c r="S367" s="119">
        <v>361</v>
      </c>
      <c r="T367" s="119">
        <v>6.6852</v>
      </c>
      <c r="U367" s="119">
        <v>10</v>
      </c>
      <c r="V367" s="119">
        <v>6.1600000000000002E-2</v>
      </c>
      <c r="W367" s="119">
        <v>2.4E-2</v>
      </c>
      <c r="X367" s="119">
        <v>3.7699999999999997E-2</v>
      </c>
      <c r="Y367" s="119">
        <v>0.5323</v>
      </c>
      <c r="Z367" s="119">
        <v>105.908</v>
      </c>
      <c r="AA367" s="119">
        <v>7.6570999999999998</v>
      </c>
      <c r="AB367" s="119">
        <v>277.916</v>
      </c>
      <c r="AC367" s="119">
        <v>62.6</v>
      </c>
      <c r="AD367" s="119">
        <v>5.4699999999999999E-2</v>
      </c>
      <c r="AE367" s="119">
        <v>4.1200000000000001E-2</v>
      </c>
      <c r="AF367" s="119">
        <v>4.3299999999999998E-2</v>
      </c>
      <c r="AG367" s="119">
        <v>1.3299999999999999E-2</v>
      </c>
      <c r="AH367" s="119">
        <v>-3.1600000000000003E-2</v>
      </c>
      <c r="AI367" s="119">
        <v>7.85E-2</v>
      </c>
      <c r="AJ367" s="119">
        <v>6.6E-3</v>
      </c>
      <c r="AK367" s="119">
        <v>8.1781000000000006</v>
      </c>
      <c r="AL367" s="119">
        <v>-0.2397</v>
      </c>
      <c r="AM367" s="119">
        <v>7</v>
      </c>
      <c r="AN367" s="119">
        <v>3</v>
      </c>
      <c r="AO367" s="119">
        <v>0</v>
      </c>
      <c r="AP367" s="119">
        <v>2</v>
      </c>
      <c r="AQ367" s="119">
        <v>4</v>
      </c>
      <c r="AR367" s="119">
        <v>0.5</v>
      </c>
      <c r="AS367" s="119">
        <v>6.7000000000000002E-3</v>
      </c>
      <c r="AT367" s="119">
        <v>2.6088</v>
      </c>
      <c r="AU367" s="121" t="str">
        <f>IF(A367&lt;&gt;"",INDEX(Index!$B$1:$B$77,MATCH($A367,Index!$A$1:$A$77,0)),"")</f>
        <v>BUF</v>
      </c>
      <c r="AV367" s="124" t="str">
        <f>IF(B367&lt;&gt;"",INDEX(Index!$C$1:$C$77,MATCH($A367,Index!$A$1:$A$77,0)),"")</f>
        <v>Allen</v>
      </c>
      <c r="AW367" s="124">
        <f t="shared" ref="AW367:AW413" si="7">IF(AT367&lt;&gt;"",COUNTIFS($AX$2:$AX$994,AX367,$Q$2:$Q$994,"&gt;"&amp;$Q367)+1,"")</f>
        <v>12</v>
      </c>
      <c r="AX367" s="120">
        <v>11</v>
      </c>
    </row>
    <row r="368" spans="1:50" x14ac:dyDescent="0.25">
      <c r="A368" s="95" t="s">
        <v>552</v>
      </c>
      <c r="B368" s="96">
        <v>2025</v>
      </c>
      <c r="C368" s="96">
        <v>10</v>
      </c>
      <c r="D368" s="115">
        <v>2.5301100000000001</v>
      </c>
      <c r="E368" s="115">
        <v>-0.232123</v>
      </c>
      <c r="F368" s="115">
        <v>0.284881</v>
      </c>
      <c r="G368" s="115">
        <v>106.44499999999999</v>
      </c>
      <c r="H368" s="115">
        <v>0.23810000000000001</v>
      </c>
      <c r="I368" s="115">
        <v>233</v>
      </c>
      <c r="J368" s="115">
        <v>360</v>
      </c>
      <c r="K368" s="115">
        <v>0.6472</v>
      </c>
      <c r="L368" s="115">
        <v>1.5347999999999999</v>
      </c>
      <c r="M368" s="115">
        <v>2625</v>
      </c>
      <c r="N368" s="115">
        <v>7.2916999999999996</v>
      </c>
      <c r="O368" s="115">
        <v>18</v>
      </c>
      <c r="P368" s="115">
        <v>6</v>
      </c>
      <c r="Q368" s="115">
        <v>20</v>
      </c>
      <c r="R368" s="115">
        <v>40</v>
      </c>
      <c r="S368" s="115">
        <v>295</v>
      </c>
      <c r="T368" s="115">
        <v>7.375</v>
      </c>
      <c r="U368" s="115">
        <v>4</v>
      </c>
      <c r="V368" s="115">
        <v>0.05</v>
      </c>
      <c r="W368" s="115">
        <v>1.67E-2</v>
      </c>
      <c r="X368" s="115">
        <v>3.3300000000000003E-2</v>
      </c>
      <c r="Y368" s="115">
        <v>0.51680000000000004</v>
      </c>
      <c r="Z368" s="115">
        <v>96.122699999999995</v>
      </c>
      <c r="AA368" s="115">
        <v>6.7868000000000004</v>
      </c>
      <c r="AB368" s="115">
        <v>251.012</v>
      </c>
      <c r="AC368" s="115">
        <v>72.7</v>
      </c>
      <c r="AD368" s="115">
        <v>1.0200000000000001E-2</v>
      </c>
      <c r="AE368" s="115">
        <v>5.2299999999999999E-2</v>
      </c>
      <c r="AF368" s="115">
        <v>1.43E-2</v>
      </c>
      <c r="AG368" s="115">
        <v>3.3E-3</v>
      </c>
      <c r="AH368" s="115">
        <v>-1.01E-2</v>
      </c>
      <c r="AI368" s="115">
        <v>7.5600000000000001E-2</v>
      </c>
      <c r="AJ368" s="115">
        <v>1.2699999999999999E-2</v>
      </c>
      <c r="AK368" s="115">
        <v>8.2111000000000001</v>
      </c>
      <c r="AL368" s="115">
        <v>-0.3639</v>
      </c>
      <c r="AM368" s="115">
        <v>5</v>
      </c>
      <c r="AN368" s="115">
        <v>5</v>
      </c>
      <c r="AO368" s="115">
        <v>0</v>
      </c>
      <c r="AP368" s="115">
        <v>0</v>
      </c>
      <c r="AQ368" s="115">
        <v>5</v>
      </c>
      <c r="AR368" s="115">
        <v>0</v>
      </c>
      <c r="AS368" s="115">
        <v>4.7999999999999996E-3</v>
      </c>
      <c r="AT368" s="115">
        <v>2.1292</v>
      </c>
      <c r="AU368" s="114" t="str">
        <f>IF(A368&lt;&gt;"",INDEX(Index!$B$1:$B$77,MATCH($A368,Index!$A$1:$A$77,0)),"")</f>
        <v>KC</v>
      </c>
      <c r="AV368" s="123" t="str">
        <f>IF(B368&lt;&gt;"",INDEX(Index!$C$1:$C$77,MATCH($A368,Index!$A$1:$A$77,0)),"")</f>
        <v>Mahomes</v>
      </c>
      <c r="AW368" s="123">
        <f t="shared" si="7"/>
        <v>12</v>
      </c>
      <c r="AX368" s="113">
        <v>11</v>
      </c>
    </row>
    <row r="369" spans="1:50" x14ac:dyDescent="0.25">
      <c r="A369" s="95" t="s">
        <v>555</v>
      </c>
      <c r="B369" s="96">
        <v>2025</v>
      </c>
      <c r="C369" s="96">
        <v>10</v>
      </c>
      <c r="D369" s="115">
        <v>2.1358100000000002</v>
      </c>
      <c r="E369" s="115">
        <v>0.41135300000000002</v>
      </c>
      <c r="F369" s="115">
        <v>0.84900299999999995</v>
      </c>
      <c r="G369" s="115">
        <v>90.236199999999997</v>
      </c>
      <c r="H369" s="115">
        <v>0.21329999999999999</v>
      </c>
      <c r="I369" s="115">
        <v>253</v>
      </c>
      <c r="J369" s="115">
        <v>360</v>
      </c>
      <c r="K369" s="115">
        <v>0.70279999999999998</v>
      </c>
      <c r="L369" s="115">
        <v>4.0824999999999996</v>
      </c>
      <c r="M369" s="115">
        <v>2587</v>
      </c>
      <c r="N369" s="115">
        <v>7.1860999999999997</v>
      </c>
      <c r="O369" s="115">
        <v>21</v>
      </c>
      <c r="P369" s="115">
        <v>6</v>
      </c>
      <c r="Q369" s="115">
        <v>16</v>
      </c>
      <c r="R369" s="115">
        <v>20</v>
      </c>
      <c r="S369" s="115">
        <v>124</v>
      </c>
      <c r="T369" s="115">
        <v>6.2</v>
      </c>
      <c r="U369" s="115">
        <v>1</v>
      </c>
      <c r="V369" s="115">
        <v>5.8299999999999998E-2</v>
      </c>
      <c r="W369" s="115">
        <v>1.67E-2</v>
      </c>
      <c r="X369" s="115">
        <v>4.1700000000000001E-2</v>
      </c>
      <c r="Y369" s="115">
        <v>0.4965</v>
      </c>
      <c r="Z369" s="115">
        <v>103.09</v>
      </c>
      <c r="AA369" s="115">
        <v>7.016</v>
      </c>
      <c r="AB369" s="115">
        <v>244.41300000000001</v>
      </c>
      <c r="AC369" s="115">
        <v>75.099999999999994</v>
      </c>
      <c r="AD369" s="115">
        <v>-1.17E-2</v>
      </c>
      <c r="AE369" s="115">
        <v>3.5000000000000003E-2</v>
      </c>
      <c r="AF369" s="115">
        <v>1.2800000000000001E-2</v>
      </c>
      <c r="AG369" s="115">
        <v>2.1499999999999998E-2</v>
      </c>
      <c r="AH369" s="115">
        <v>4.5699999999999998E-2</v>
      </c>
      <c r="AI369" s="115">
        <v>5.1000000000000004E-3</v>
      </c>
      <c r="AJ369" s="115">
        <v>2.4899999999999999E-2</v>
      </c>
      <c r="AK369" s="115">
        <v>7.4667000000000003</v>
      </c>
      <c r="AL369" s="115">
        <v>-0.9667</v>
      </c>
      <c r="AM369" s="115">
        <v>4</v>
      </c>
      <c r="AN369" s="115">
        <v>5</v>
      </c>
      <c r="AO369" s="115">
        <v>1</v>
      </c>
      <c r="AP369" s="115">
        <v>1</v>
      </c>
      <c r="AQ369" s="115">
        <v>4</v>
      </c>
      <c r="AR369" s="115">
        <v>0.25</v>
      </c>
      <c r="AS369" s="115">
        <v>9.5999999999999992E-3</v>
      </c>
      <c r="AT369" s="115">
        <v>4.0819000000000001</v>
      </c>
      <c r="AU369" s="114" t="str">
        <f>IF(A369&lt;&gt;"",INDEX(Index!$B$1:$B$77,MATCH($A369,Index!$A$1:$A$77,0)),"")</f>
        <v>DAL</v>
      </c>
      <c r="AV369" s="123" t="str">
        <f>IF(B369&lt;&gt;"",INDEX(Index!$C$1:$C$77,MATCH($A369,Index!$A$1:$A$77,0)),"")</f>
        <v>Prescott</v>
      </c>
      <c r="AW369" s="123">
        <f t="shared" si="7"/>
        <v>25</v>
      </c>
      <c r="AX369" s="113">
        <v>11</v>
      </c>
    </row>
    <row r="370" spans="1:50" x14ac:dyDescent="0.25">
      <c r="A370" s="95" t="s">
        <v>550</v>
      </c>
      <c r="B370" s="96">
        <v>2025</v>
      </c>
      <c r="C370" s="96">
        <v>7</v>
      </c>
      <c r="D370" s="115">
        <v>1.98437</v>
      </c>
      <c r="E370" s="115">
        <v>-1.0169699999999999</v>
      </c>
      <c r="F370" s="115">
        <v>-1.6362399999999999</v>
      </c>
      <c r="G370" s="115">
        <v>38.270800000000001</v>
      </c>
      <c r="H370" s="115">
        <v>0.16009999999999999</v>
      </c>
      <c r="I370" s="115">
        <v>117</v>
      </c>
      <c r="J370" s="115">
        <v>172</v>
      </c>
      <c r="K370" s="115">
        <v>0.68020000000000003</v>
      </c>
      <c r="L370" s="115">
        <v>3.8940000000000001</v>
      </c>
      <c r="M370" s="115">
        <v>1442</v>
      </c>
      <c r="N370" s="115">
        <v>8.3836999999999993</v>
      </c>
      <c r="O370" s="115">
        <v>15</v>
      </c>
      <c r="P370" s="115">
        <v>3</v>
      </c>
      <c r="Q370" s="115">
        <v>23</v>
      </c>
      <c r="R370" s="115">
        <v>34</v>
      </c>
      <c r="S370" s="115">
        <v>231</v>
      </c>
      <c r="T370" s="115">
        <v>6.7941000000000003</v>
      </c>
      <c r="U370" s="115">
        <v>1</v>
      </c>
      <c r="V370" s="115">
        <v>8.72E-2</v>
      </c>
      <c r="W370" s="115">
        <v>1.7399999999999999E-2</v>
      </c>
      <c r="X370" s="115">
        <v>6.9800000000000001E-2</v>
      </c>
      <c r="Y370" s="115">
        <v>0.50629999999999997</v>
      </c>
      <c r="Z370" s="115">
        <v>115.504</v>
      </c>
      <c r="AA370" s="115">
        <v>7.4615</v>
      </c>
      <c r="AB370" s="115">
        <v>193.32400000000001</v>
      </c>
      <c r="AC370" s="115">
        <v>66.900000000000006</v>
      </c>
      <c r="AD370" s="115">
        <v>4.0399999999999998E-2</v>
      </c>
      <c r="AE370" s="115">
        <v>-5.3900000000000003E-2</v>
      </c>
      <c r="AF370" s="115">
        <v>1.8800000000000001E-2</v>
      </c>
      <c r="AG370" s="115">
        <v>5.9999999999999995E-4</v>
      </c>
      <c r="AH370" s="115">
        <v>8.3900000000000002E-2</v>
      </c>
      <c r="AI370" s="115">
        <v>9.5999999999999992E-3</v>
      </c>
      <c r="AJ370" s="115">
        <v>-1.9300000000000001E-2</v>
      </c>
      <c r="AK370" s="115">
        <v>7.9244000000000003</v>
      </c>
      <c r="AL370" s="115">
        <v>-1.1395</v>
      </c>
      <c r="AM370" s="115">
        <v>4</v>
      </c>
      <c r="AN370" s="115">
        <v>3</v>
      </c>
      <c r="AO370" s="115">
        <v>0</v>
      </c>
      <c r="AP370" s="115">
        <v>1</v>
      </c>
      <c r="AQ370" s="115">
        <v>2</v>
      </c>
      <c r="AR370" s="115">
        <v>0.5</v>
      </c>
      <c r="AS370" s="115">
        <v>3.7000000000000002E-3</v>
      </c>
      <c r="AT370" s="115">
        <v>0.89159999999999995</v>
      </c>
      <c r="AU370" s="114" t="str">
        <f>IF(A370&lt;&gt;"",INDEX(Index!$B$1:$B$77,MATCH($A370,Index!$A$1:$A$77,0)),"")</f>
        <v>BAL</v>
      </c>
      <c r="AV370" s="123" t="str">
        <f>IF(B370&lt;&gt;"",INDEX(Index!$C$1:$C$77,MATCH($A370,Index!$A$1:$A$77,0)),"")</f>
        <v>Jackson</v>
      </c>
      <c r="AW370" s="123">
        <f t="shared" si="7"/>
        <v>8</v>
      </c>
      <c r="AX370" s="113">
        <v>11</v>
      </c>
    </row>
    <row r="371" spans="1:50" x14ac:dyDescent="0.25">
      <c r="A371" s="95" t="s">
        <v>567</v>
      </c>
      <c r="B371" s="96">
        <v>2025</v>
      </c>
      <c r="C371" s="96">
        <v>10</v>
      </c>
      <c r="D371" s="115">
        <v>1.8206</v>
      </c>
      <c r="E371" s="115">
        <v>-0.23286299999999999</v>
      </c>
      <c r="F371" s="115">
        <v>1.7376799999999999</v>
      </c>
      <c r="G371" s="115">
        <v>84.388800000000003</v>
      </c>
      <c r="H371" s="115">
        <v>0.2233</v>
      </c>
      <c r="I371" s="115">
        <v>223</v>
      </c>
      <c r="J371" s="115">
        <v>336</v>
      </c>
      <c r="K371" s="115">
        <v>0.66369999999999996</v>
      </c>
      <c r="L371" s="115">
        <v>2.6642999999999999</v>
      </c>
      <c r="M371" s="115">
        <v>2557</v>
      </c>
      <c r="N371" s="115">
        <v>7.6101000000000001</v>
      </c>
      <c r="O371" s="115">
        <v>27</v>
      </c>
      <c r="P371" s="115">
        <v>2</v>
      </c>
      <c r="Q371" s="115">
        <v>14</v>
      </c>
      <c r="R371" s="115">
        <v>5</v>
      </c>
      <c r="S371" s="115">
        <v>11</v>
      </c>
      <c r="T371" s="115">
        <v>2.2000000000000002</v>
      </c>
      <c r="U371" s="115">
        <v>0</v>
      </c>
      <c r="V371" s="115">
        <v>8.0399999999999999E-2</v>
      </c>
      <c r="W371" s="115">
        <v>6.0000000000000001E-3</v>
      </c>
      <c r="X371" s="115">
        <v>7.4399999999999994E-2</v>
      </c>
      <c r="Y371" s="115">
        <v>0.53439999999999999</v>
      </c>
      <c r="Z371" s="115">
        <v>113.405</v>
      </c>
      <c r="AA371" s="115">
        <v>8.34</v>
      </c>
      <c r="AB371" s="115">
        <v>243.52099999999999</v>
      </c>
      <c r="AC371" s="115">
        <v>68.7</v>
      </c>
      <c r="AD371" s="115">
        <v>-4.5499999999999999E-2</v>
      </c>
      <c r="AE371" s="115">
        <v>2.3400000000000001E-2</v>
      </c>
      <c r="AF371" s="115">
        <v>-3.2599999999999997E-2</v>
      </c>
      <c r="AG371" s="115">
        <v>5.4100000000000002E-2</v>
      </c>
      <c r="AH371" s="115">
        <v>0.1303</v>
      </c>
      <c r="AI371" s="115">
        <v>-4.4999999999999997E-3</v>
      </c>
      <c r="AJ371" s="115">
        <v>1.7999999999999999E-2</v>
      </c>
      <c r="AK371" s="115">
        <v>8.6755999999999993</v>
      </c>
      <c r="AL371" s="115">
        <v>0.63390000000000002</v>
      </c>
      <c r="AM371" s="115">
        <v>8</v>
      </c>
      <c r="AN371" s="115">
        <v>2</v>
      </c>
      <c r="AO371" s="115">
        <v>0</v>
      </c>
      <c r="AP371" s="115">
        <v>1</v>
      </c>
      <c r="AQ371" s="115">
        <v>3</v>
      </c>
      <c r="AR371" s="115">
        <v>0.33329999999999999</v>
      </c>
      <c r="AS371" s="115">
        <v>7.4000000000000003E-3</v>
      </c>
      <c r="AT371" s="115">
        <v>2.8121999999999998</v>
      </c>
      <c r="AU371" s="114" t="str">
        <f>IF(A371&lt;&gt;"",INDEX(Index!$B$1:$B$77,MATCH($A371,Index!$A$1:$A$77,0)),"")</f>
        <v>LAR</v>
      </c>
      <c r="AV371" s="123" t="str">
        <f>IF(B371&lt;&gt;"",INDEX(Index!$C$1:$C$77,MATCH($A371,Index!$A$1:$A$77,0)),"")</f>
        <v>Stafford</v>
      </c>
      <c r="AW371" s="123">
        <f t="shared" si="7"/>
        <v>31</v>
      </c>
      <c r="AX371" s="113">
        <v>11</v>
      </c>
    </row>
    <row r="372" spans="1:50" x14ac:dyDescent="0.25">
      <c r="A372" s="95" t="s">
        <v>554</v>
      </c>
      <c r="B372" s="96">
        <v>2025</v>
      </c>
      <c r="C372" s="96">
        <v>10</v>
      </c>
      <c r="D372" s="115">
        <v>1.1944900000000001</v>
      </c>
      <c r="E372" s="115">
        <v>-0.28042899999999998</v>
      </c>
      <c r="F372" s="115">
        <v>-0.27212999999999998</v>
      </c>
      <c r="G372" s="115">
        <v>47.754899999999999</v>
      </c>
      <c r="H372" s="115">
        <v>0.12839999999999999</v>
      </c>
      <c r="I372" s="115">
        <v>180</v>
      </c>
      <c r="J372" s="115">
        <v>269</v>
      </c>
      <c r="K372" s="115">
        <v>0.66910000000000003</v>
      </c>
      <c r="L372" s="115">
        <v>4.3743999999999996</v>
      </c>
      <c r="M372" s="115">
        <v>1995</v>
      </c>
      <c r="N372" s="115">
        <v>7.4164000000000003</v>
      </c>
      <c r="O372" s="115">
        <v>16</v>
      </c>
      <c r="P372" s="115">
        <v>1</v>
      </c>
      <c r="Q372" s="115">
        <v>26</v>
      </c>
      <c r="R372" s="115">
        <v>62</v>
      </c>
      <c r="S372" s="115">
        <v>278</v>
      </c>
      <c r="T372" s="115">
        <v>4.4839000000000002</v>
      </c>
      <c r="U372" s="115">
        <v>6</v>
      </c>
      <c r="V372" s="115">
        <v>5.9499999999999997E-2</v>
      </c>
      <c r="W372" s="115">
        <v>3.7000000000000002E-3</v>
      </c>
      <c r="X372" s="115">
        <v>5.5800000000000002E-2</v>
      </c>
      <c r="Y372" s="115">
        <v>0.46239999999999998</v>
      </c>
      <c r="Z372" s="115">
        <v>107.024</v>
      </c>
      <c r="AA372" s="115">
        <v>7.2</v>
      </c>
      <c r="AB372" s="115">
        <v>202.28100000000001</v>
      </c>
      <c r="AC372" s="115">
        <v>59.8</v>
      </c>
      <c r="AD372" s="115">
        <v>1.9400000000000001E-2</v>
      </c>
      <c r="AE372" s="115">
        <v>-8.3000000000000001E-3</v>
      </c>
      <c r="AF372" s="115">
        <v>4.1799999999999997E-2</v>
      </c>
      <c r="AG372" s="115">
        <v>4.9099999999999998E-2</v>
      </c>
      <c r="AH372" s="115">
        <v>2.8500000000000001E-2</v>
      </c>
      <c r="AI372" s="115">
        <v>-8.0100000000000005E-2</v>
      </c>
      <c r="AJ372" s="115">
        <v>-2E-3</v>
      </c>
      <c r="AK372" s="115">
        <v>9.1969999999999992</v>
      </c>
      <c r="AL372" s="115">
        <v>0.46839999999999998</v>
      </c>
      <c r="AM372" s="115">
        <v>8</v>
      </c>
      <c r="AN372" s="115">
        <v>2</v>
      </c>
      <c r="AO372" s="115">
        <v>0</v>
      </c>
      <c r="AP372" s="115">
        <v>1</v>
      </c>
      <c r="AQ372" s="115">
        <v>2</v>
      </c>
      <c r="AR372" s="115">
        <v>0.5</v>
      </c>
      <c r="AS372" s="115">
        <v>3.8E-3</v>
      </c>
      <c r="AT372" s="115">
        <v>1.4133</v>
      </c>
      <c r="AU372" s="114" t="str">
        <f>IF(A372&lt;&gt;"",INDEX(Index!$B$1:$B$77,MATCH($A372,Index!$A$1:$A$77,0)),"")</f>
        <v>PHI</v>
      </c>
      <c r="AV372" s="123" t="str">
        <f>IF(B372&lt;&gt;"",INDEX(Index!$C$1:$C$77,MATCH($A372,Index!$A$1:$A$77,0)),"")</f>
        <v>Hurts</v>
      </c>
      <c r="AW372" s="123">
        <f t="shared" si="7"/>
        <v>6</v>
      </c>
      <c r="AX372" s="113">
        <v>11</v>
      </c>
    </row>
    <row r="373" spans="1:50" x14ac:dyDescent="0.25">
      <c r="A373" s="95" t="s">
        <v>553</v>
      </c>
      <c r="B373" s="96">
        <v>2025</v>
      </c>
      <c r="C373" s="96">
        <v>10</v>
      </c>
      <c r="D373" s="115">
        <v>1.1935500000000001</v>
      </c>
      <c r="E373" s="115">
        <v>-0.62061299999999997</v>
      </c>
      <c r="F373" s="115">
        <v>6.4075900000000005E-2</v>
      </c>
      <c r="G373" s="115">
        <v>67.590400000000002</v>
      </c>
      <c r="H373" s="115">
        <v>0.1948</v>
      </c>
      <c r="I373" s="115">
        <v>216</v>
      </c>
      <c r="J373" s="115">
        <v>310</v>
      </c>
      <c r="K373" s="115">
        <v>0.69679999999999997</v>
      </c>
      <c r="L373" s="115">
        <v>3.8285999999999998</v>
      </c>
      <c r="M373" s="115">
        <v>2490</v>
      </c>
      <c r="N373" s="115">
        <v>8.0322999999999993</v>
      </c>
      <c r="O373" s="115">
        <v>21</v>
      </c>
      <c r="P373" s="115">
        <v>4</v>
      </c>
      <c r="Q373" s="115">
        <v>20</v>
      </c>
      <c r="R373" s="115">
        <v>6</v>
      </c>
      <c r="S373" s="115">
        <v>27</v>
      </c>
      <c r="T373" s="115">
        <v>4.5</v>
      </c>
      <c r="U373" s="115">
        <v>0</v>
      </c>
      <c r="V373" s="115">
        <v>6.7699999999999996E-2</v>
      </c>
      <c r="W373" s="115">
        <v>1.29E-2</v>
      </c>
      <c r="X373" s="115">
        <v>5.4800000000000001E-2</v>
      </c>
      <c r="Y373" s="115">
        <v>0.51300000000000001</v>
      </c>
      <c r="Z373" s="115">
        <v>110.82</v>
      </c>
      <c r="AA373" s="115">
        <v>7.8939000000000004</v>
      </c>
      <c r="AB373" s="115">
        <v>213.41499999999999</v>
      </c>
      <c r="AC373" s="115">
        <v>60.6</v>
      </c>
      <c r="AD373" s="115">
        <v>-2.6499999999999999E-2</v>
      </c>
      <c r="AE373" s="115">
        <v>-1.5299999999999999E-2</v>
      </c>
      <c r="AF373" s="115">
        <v>-2.6800000000000001E-2</v>
      </c>
      <c r="AG373" s="115">
        <v>2.64E-2</v>
      </c>
      <c r="AH373" s="115">
        <v>-1.7899999999999999E-2</v>
      </c>
      <c r="AI373" s="115">
        <v>0.19239999999999999</v>
      </c>
      <c r="AJ373" s="115">
        <v>-1.7399999999999999E-2</v>
      </c>
      <c r="AK373" s="115">
        <v>6.4128999999999996</v>
      </c>
      <c r="AL373" s="115">
        <v>-1.8676999999999999</v>
      </c>
      <c r="AM373" s="115">
        <v>6</v>
      </c>
      <c r="AN373" s="115">
        <v>4</v>
      </c>
      <c r="AO373" s="115">
        <v>0</v>
      </c>
      <c r="AP373" s="115">
        <v>0</v>
      </c>
      <c r="AQ373" s="115">
        <v>1</v>
      </c>
      <c r="AR373" s="115">
        <v>0</v>
      </c>
      <c r="AS373" s="115">
        <v>3.5999999999999999E-3</v>
      </c>
      <c r="AT373" s="115">
        <v>1.2499</v>
      </c>
      <c r="AU373" s="114" t="str">
        <f>IF(A373&lt;&gt;"",INDEX(Index!$B$1:$B$77,MATCH($A373,Index!$A$1:$A$77,0)),"")</f>
        <v>DET</v>
      </c>
      <c r="AV373" s="123" t="str">
        <f>IF(B373&lt;&gt;"",INDEX(Index!$C$1:$C$77,MATCH($A373,Index!$A$1:$A$77,0)),"")</f>
        <v>Goff</v>
      </c>
      <c r="AW373" s="123">
        <f t="shared" si="7"/>
        <v>12</v>
      </c>
      <c r="AX373" s="113">
        <v>11</v>
      </c>
    </row>
    <row r="374" spans="1:50" x14ac:dyDescent="0.25">
      <c r="A374" s="95" t="s">
        <v>559</v>
      </c>
      <c r="B374" s="96">
        <v>2025</v>
      </c>
      <c r="C374" s="96">
        <v>10</v>
      </c>
      <c r="D374" s="115">
        <v>1.14503</v>
      </c>
      <c r="E374" s="115">
        <v>0.11081100000000001</v>
      </c>
      <c r="F374" s="115">
        <v>0.41192000000000001</v>
      </c>
      <c r="G374" s="115">
        <v>48.297899999999998</v>
      </c>
      <c r="H374" s="115">
        <v>0.1195</v>
      </c>
      <c r="I374" s="115">
        <v>216</v>
      </c>
      <c r="J374" s="115">
        <v>339</v>
      </c>
      <c r="K374" s="115">
        <v>0.63719999999999999</v>
      </c>
      <c r="L374" s="115">
        <v>-2.4580000000000002</v>
      </c>
      <c r="M374" s="115">
        <v>2365</v>
      </c>
      <c r="N374" s="115">
        <v>6.9763999999999999</v>
      </c>
      <c r="O374" s="115">
        <v>17</v>
      </c>
      <c r="P374" s="115">
        <v>3</v>
      </c>
      <c r="Q374" s="115">
        <v>20</v>
      </c>
      <c r="R374" s="115">
        <v>22</v>
      </c>
      <c r="S374" s="115">
        <v>201</v>
      </c>
      <c r="T374" s="115">
        <v>9.1364000000000001</v>
      </c>
      <c r="U374" s="115">
        <v>1</v>
      </c>
      <c r="V374" s="115">
        <v>5.0099999999999999E-2</v>
      </c>
      <c r="W374" s="115">
        <v>8.8000000000000005E-3</v>
      </c>
      <c r="X374" s="115">
        <v>4.1300000000000003E-2</v>
      </c>
      <c r="Y374" s="115">
        <v>0.45540000000000003</v>
      </c>
      <c r="Z374" s="115">
        <v>97.277500000000003</v>
      </c>
      <c r="AA374" s="115">
        <v>6.7603999999999997</v>
      </c>
      <c r="AB374" s="115">
        <v>213.6</v>
      </c>
      <c r="AC374" s="115">
        <v>61.6</v>
      </c>
      <c r="AD374" s="115">
        <v>3.6900000000000002E-2</v>
      </c>
      <c r="AE374" s="115">
        <v>1.24E-2</v>
      </c>
      <c r="AF374" s="115">
        <v>-2.35E-2</v>
      </c>
      <c r="AG374" s="115">
        <v>3.56E-2</v>
      </c>
      <c r="AH374" s="115">
        <v>-6.0999999999999999E-2</v>
      </c>
      <c r="AI374" s="115">
        <v>3.6400000000000002E-2</v>
      </c>
      <c r="AJ374" s="115">
        <v>2.8999999999999998E-3</v>
      </c>
      <c r="AK374" s="115">
        <v>8.2683999999999997</v>
      </c>
      <c r="AL374" s="115">
        <v>-0.57520000000000004</v>
      </c>
      <c r="AM374" s="115">
        <v>6</v>
      </c>
      <c r="AN374" s="115">
        <v>4</v>
      </c>
      <c r="AO374" s="115">
        <v>0</v>
      </c>
      <c r="AP374" s="115">
        <v>4</v>
      </c>
      <c r="AQ374" s="115">
        <v>7</v>
      </c>
      <c r="AR374" s="115">
        <v>0.57140000000000002</v>
      </c>
      <c r="AS374" s="115">
        <v>4.4000000000000003E-3</v>
      </c>
      <c r="AT374" s="115">
        <v>1.7918000000000001</v>
      </c>
      <c r="AU374" s="114" t="str">
        <f>IF(A374&lt;&gt;"",INDEX(Index!$B$1:$B$77,MATCH($A374,Index!$A$1:$A$77,0)),"")</f>
        <v>TB</v>
      </c>
      <c r="AV374" s="123" t="str">
        <f>IF(B374&lt;&gt;"",INDEX(Index!$C$1:$C$77,MATCH($A374,Index!$A$1:$A$77,0)),"")</f>
        <v>Mayfield</v>
      </c>
      <c r="AW374" s="123">
        <f t="shared" si="7"/>
        <v>12</v>
      </c>
      <c r="AX374" s="113">
        <v>11</v>
      </c>
    </row>
    <row r="375" spans="1:50" x14ac:dyDescent="0.25">
      <c r="A375" s="95" t="s">
        <v>557</v>
      </c>
      <c r="B375" s="96">
        <v>2025</v>
      </c>
      <c r="C375" s="96">
        <v>2</v>
      </c>
      <c r="D375" s="115">
        <v>1.0640400000000001</v>
      </c>
      <c r="E375" s="115">
        <v>-0.72667099999999996</v>
      </c>
      <c r="F375" s="115">
        <v>-1.3634200000000001</v>
      </c>
      <c r="G375" s="115">
        <v>-0.90390000000000004</v>
      </c>
      <c r="H375" s="115">
        <v>-1.9599999999999999E-2</v>
      </c>
      <c r="I375" s="115">
        <v>21</v>
      </c>
      <c r="J375" s="115">
        <v>36</v>
      </c>
      <c r="K375" s="115">
        <v>0.58330000000000004</v>
      </c>
      <c r="L375" s="115">
        <v>-1.5459000000000001</v>
      </c>
      <c r="M375" s="115">
        <v>189</v>
      </c>
      <c r="N375" s="115">
        <v>5.25</v>
      </c>
      <c r="O375" s="115">
        <v>2</v>
      </c>
      <c r="P375" s="115">
        <v>0</v>
      </c>
      <c r="Q375" s="115">
        <v>5</v>
      </c>
      <c r="R375" s="115">
        <v>2</v>
      </c>
      <c r="S375" s="115">
        <v>3</v>
      </c>
      <c r="T375" s="115">
        <v>1.5</v>
      </c>
      <c r="U375" s="115">
        <v>0</v>
      </c>
      <c r="V375" s="115">
        <v>5.5599999999999997E-2</v>
      </c>
      <c r="W375" s="115">
        <v>0</v>
      </c>
      <c r="X375" s="115">
        <v>5.5599999999999997E-2</v>
      </c>
      <c r="Y375" s="115">
        <v>0.43480000000000002</v>
      </c>
      <c r="Z375" s="115">
        <v>91.087999999999994</v>
      </c>
      <c r="AA375" s="115">
        <v>4.9512</v>
      </c>
      <c r="AB375" s="115">
        <v>25.4618</v>
      </c>
      <c r="AC375" s="115">
        <v>57.7</v>
      </c>
      <c r="AD375" s="115">
        <v>-6.7000000000000004E-2</v>
      </c>
      <c r="AE375" s="115">
        <v>-4.3499999999999997E-2</v>
      </c>
      <c r="AF375" s="115">
        <v>-4.9799999999999997E-2</v>
      </c>
      <c r="AG375" s="115">
        <v>7.2900000000000006E-2</v>
      </c>
      <c r="AH375" s="115">
        <v>0.19539999999999999</v>
      </c>
      <c r="AI375" s="115">
        <v>-0.20250000000000001</v>
      </c>
      <c r="AJ375" s="115">
        <v>-5.0000000000000001E-3</v>
      </c>
      <c r="AK375" s="115">
        <v>6.8611000000000004</v>
      </c>
      <c r="AL375" s="115">
        <v>-1.0832999999999999</v>
      </c>
      <c r="AM375" s="115">
        <v>2</v>
      </c>
      <c r="AN375" s="115">
        <v>0</v>
      </c>
      <c r="AO375" s="115">
        <v>0</v>
      </c>
      <c r="AP375" s="115">
        <v>0</v>
      </c>
      <c r="AQ375" s="115">
        <v>0</v>
      </c>
      <c r="AR375" s="115"/>
      <c r="AS375" s="115">
        <v>1.6000000000000001E-3</v>
      </c>
      <c r="AT375" s="115">
        <v>7.4800000000000005E-2</v>
      </c>
      <c r="AU375" s="114" t="str">
        <f>IF(A375&lt;&gt;"",INDEX(Index!$B$1:$B$77,MATCH($A375,Index!$A$1:$A$77,0)),"")</f>
        <v>CIN</v>
      </c>
      <c r="AV375" s="123" t="str">
        <f>IF(B375&lt;&gt;"",INDEX(Index!$C$1:$C$77,MATCH($A375,Index!$A$1:$A$77,0)),"")</f>
        <v>Burrow</v>
      </c>
      <c r="AW375" s="123">
        <f t="shared" si="7"/>
        <v>42</v>
      </c>
      <c r="AX375" s="113">
        <v>11</v>
      </c>
    </row>
    <row r="376" spans="1:50" x14ac:dyDescent="0.25">
      <c r="A376" s="95" t="s">
        <v>560</v>
      </c>
      <c r="B376" s="96">
        <v>2025</v>
      </c>
      <c r="C376" s="96">
        <v>3</v>
      </c>
      <c r="D376" s="115">
        <v>0.89783299999999999</v>
      </c>
      <c r="E376" s="115">
        <v>0.16075800000000001</v>
      </c>
      <c r="F376" s="115">
        <v>0.147512</v>
      </c>
      <c r="G376" s="115">
        <v>25.117699999999999</v>
      </c>
      <c r="H376" s="115">
        <v>0.21840000000000001</v>
      </c>
      <c r="I376" s="115">
        <v>67</v>
      </c>
      <c r="J376" s="115">
        <v>99</v>
      </c>
      <c r="K376" s="115">
        <v>0.67679999999999996</v>
      </c>
      <c r="L376" s="115">
        <v>4.3151999999999999</v>
      </c>
      <c r="M376" s="115">
        <v>786</v>
      </c>
      <c r="N376" s="115">
        <v>7.9394</v>
      </c>
      <c r="O376" s="115">
        <v>7</v>
      </c>
      <c r="P376" s="115">
        <v>4</v>
      </c>
      <c r="Q376" s="115">
        <v>3</v>
      </c>
      <c r="R376" s="115">
        <v>6</v>
      </c>
      <c r="S376" s="115">
        <v>25</v>
      </c>
      <c r="T376" s="115">
        <v>4.1666999999999996</v>
      </c>
      <c r="U376" s="115">
        <v>0</v>
      </c>
      <c r="V376" s="115">
        <v>7.0699999999999999E-2</v>
      </c>
      <c r="W376" s="115">
        <v>4.0399999999999998E-2</v>
      </c>
      <c r="X376" s="115">
        <v>3.0300000000000001E-2</v>
      </c>
      <c r="Y376" s="115">
        <v>0.57389999999999997</v>
      </c>
      <c r="Z376" s="115">
        <v>98.295500000000004</v>
      </c>
      <c r="AA376" s="115">
        <v>7.0293999999999999</v>
      </c>
      <c r="AB376" s="115">
        <v>205.64400000000001</v>
      </c>
      <c r="AC376" s="115">
        <v>69.599999999999994</v>
      </c>
      <c r="AD376" s="115">
        <v>-2.3599999999999999E-2</v>
      </c>
      <c r="AE376" s="115">
        <v>2.7799999999999998E-2</v>
      </c>
      <c r="AF376" s="115">
        <v>8.3000000000000001E-3</v>
      </c>
      <c r="AG376" s="115">
        <v>-6.9800000000000001E-2</v>
      </c>
      <c r="AH376" s="115">
        <v>0.1449</v>
      </c>
      <c r="AI376" s="115">
        <v>3.8699999999999998E-2</v>
      </c>
      <c r="AJ376" s="115">
        <v>1.23E-2</v>
      </c>
      <c r="AK376" s="115">
        <v>7.6162000000000001</v>
      </c>
      <c r="AL376" s="115">
        <v>-0.53539999999999999</v>
      </c>
      <c r="AM376" s="115">
        <v>2</v>
      </c>
      <c r="AN376" s="115">
        <v>1</v>
      </c>
      <c r="AO376" s="115">
        <v>0</v>
      </c>
      <c r="AP376" s="115">
        <v>1</v>
      </c>
      <c r="AQ376" s="115">
        <v>2</v>
      </c>
      <c r="AR376" s="115">
        <v>0.5</v>
      </c>
      <c r="AS376" s="115">
        <v>7.7000000000000002E-3</v>
      </c>
      <c r="AT376" s="115">
        <v>0.89080000000000004</v>
      </c>
      <c r="AU376" s="114" t="str">
        <f>IF(A376&lt;&gt;"",INDEX(Index!$B$1:$B$77,MATCH($A376,Index!$A$1:$A$77,0)),"")</f>
        <v>SF</v>
      </c>
      <c r="AV376" s="123" t="str">
        <f>IF(B376&lt;&gt;"",INDEX(Index!$C$1:$C$77,MATCH($A376,Index!$A$1:$A$77,0)),"")</f>
        <v>Purdy</v>
      </c>
      <c r="AW376" s="123">
        <f t="shared" si="7"/>
        <v>44</v>
      </c>
      <c r="AX376" s="113">
        <v>11</v>
      </c>
    </row>
    <row r="377" spans="1:50" x14ac:dyDescent="0.25">
      <c r="A377" s="95" t="s">
        <v>570</v>
      </c>
      <c r="B377" s="96">
        <v>2025</v>
      </c>
      <c r="C377" s="96">
        <v>11</v>
      </c>
      <c r="D377" s="115">
        <v>0.72356100000000001</v>
      </c>
      <c r="E377" s="115">
        <v>0.22717699999999999</v>
      </c>
      <c r="F377" s="115">
        <v>1.36059</v>
      </c>
      <c r="G377" s="115">
        <v>113.44</v>
      </c>
      <c r="H377" s="115">
        <v>0.2626</v>
      </c>
      <c r="I377" s="115">
        <v>230</v>
      </c>
      <c r="J377" s="115">
        <v>320</v>
      </c>
      <c r="K377" s="115">
        <v>0.71879999999999999</v>
      </c>
      <c r="L377" s="115">
        <v>10.099600000000001</v>
      </c>
      <c r="M377" s="115">
        <v>2836</v>
      </c>
      <c r="N377" s="115">
        <v>8.8625000000000007</v>
      </c>
      <c r="O377" s="115">
        <v>20</v>
      </c>
      <c r="P377" s="115">
        <v>5</v>
      </c>
      <c r="Q377" s="115">
        <v>36</v>
      </c>
      <c r="R377" s="115">
        <v>53</v>
      </c>
      <c r="S377" s="115">
        <v>302</v>
      </c>
      <c r="T377" s="115">
        <v>5.6981000000000002</v>
      </c>
      <c r="U377" s="115">
        <v>2</v>
      </c>
      <c r="V377" s="115">
        <v>6.25E-2</v>
      </c>
      <c r="W377" s="115">
        <v>1.5599999999999999E-2</v>
      </c>
      <c r="X377" s="115">
        <v>4.6899999999999997E-2</v>
      </c>
      <c r="Y377" s="115">
        <v>0.52549999999999997</v>
      </c>
      <c r="Z377" s="115">
        <v>113.229</v>
      </c>
      <c r="AA377" s="115">
        <v>8</v>
      </c>
      <c r="AB377" s="115">
        <v>212.59100000000001</v>
      </c>
      <c r="AC377" s="115">
        <v>73.2</v>
      </c>
      <c r="AD377" s="115">
        <v>-2.8999999999999998E-3</v>
      </c>
      <c r="AE377" s="115">
        <v>-2.2700000000000001E-2</v>
      </c>
      <c r="AF377" s="115">
        <v>5.74E-2</v>
      </c>
      <c r="AG377" s="115">
        <v>2.01E-2</v>
      </c>
      <c r="AH377" s="115">
        <v>0.17230000000000001</v>
      </c>
      <c r="AI377" s="115">
        <v>-3.8300000000000001E-2</v>
      </c>
      <c r="AJ377" s="115">
        <v>-3.3E-3</v>
      </c>
      <c r="AK377" s="115">
        <v>8.8905999999999992</v>
      </c>
      <c r="AL377" s="115">
        <v>-0.13750000000000001</v>
      </c>
      <c r="AM377" s="115">
        <v>9</v>
      </c>
      <c r="AN377" s="115">
        <v>2</v>
      </c>
      <c r="AO377" s="115">
        <v>0</v>
      </c>
      <c r="AP377" s="115">
        <v>0</v>
      </c>
      <c r="AQ377" s="115">
        <v>2</v>
      </c>
      <c r="AR377" s="115">
        <v>0</v>
      </c>
      <c r="AS377" s="115">
        <v>8.0000000000000002E-3</v>
      </c>
      <c r="AT377" s="115">
        <v>3.4420999999999999</v>
      </c>
      <c r="AU377" s="114" t="str">
        <f>IF(A377&lt;&gt;"",INDEX(Index!$B$1:$B$77,MATCH($A377,Index!$A$1:$A$77,0)),"")</f>
        <v>NE</v>
      </c>
      <c r="AV377" s="123" t="str">
        <f>IF(B377&lt;&gt;"",INDEX(Index!$C$1:$C$77,MATCH($A377,Index!$A$1:$A$77,0)),"")</f>
        <v>Maye</v>
      </c>
      <c r="AW377" s="123">
        <f t="shared" si="7"/>
        <v>2</v>
      </c>
      <c r="AX377" s="113">
        <v>11</v>
      </c>
    </row>
    <row r="378" spans="1:50" x14ac:dyDescent="0.25">
      <c r="A378" s="95" t="s">
        <v>561</v>
      </c>
      <c r="B378" s="96">
        <v>2025</v>
      </c>
      <c r="C378" s="96">
        <v>11</v>
      </c>
      <c r="D378" s="115">
        <v>0.69164499999999995</v>
      </c>
      <c r="E378" s="115">
        <v>-5.8454600000000002E-2</v>
      </c>
      <c r="F378" s="115">
        <v>-0.37991900000000001</v>
      </c>
      <c r="G378" s="115">
        <v>29.265599999999999</v>
      </c>
      <c r="H378" s="115">
        <v>6.3100000000000003E-2</v>
      </c>
      <c r="I378" s="115">
        <v>237</v>
      </c>
      <c r="J378" s="115">
        <v>386</v>
      </c>
      <c r="K378" s="115">
        <v>0.61399999999999999</v>
      </c>
      <c r="L378" s="115">
        <v>-2.4373</v>
      </c>
      <c r="M378" s="115">
        <v>2421</v>
      </c>
      <c r="N378" s="115">
        <v>6.2720000000000002</v>
      </c>
      <c r="O378" s="115">
        <v>18</v>
      </c>
      <c r="P378" s="115">
        <v>8</v>
      </c>
      <c r="Q378" s="115">
        <v>12</v>
      </c>
      <c r="R378" s="115">
        <v>38</v>
      </c>
      <c r="S378" s="115">
        <v>225</v>
      </c>
      <c r="T378" s="115">
        <v>5.9211</v>
      </c>
      <c r="U378" s="115">
        <v>3</v>
      </c>
      <c r="V378" s="115">
        <v>4.6600000000000003E-2</v>
      </c>
      <c r="W378" s="115">
        <v>2.07E-2</v>
      </c>
      <c r="X378" s="115">
        <v>2.5899999999999999E-2</v>
      </c>
      <c r="Y378" s="115">
        <v>0.42030000000000001</v>
      </c>
      <c r="Z378" s="115">
        <v>86.290999999999997</v>
      </c>
      <c r="AA378" s="115">
        <v>5.8994999999999997</v>
      </c>
      <c r="AB378" s="115">
        <v>188.98500000000001</v>
      </c>
      <c r="AC378" s="115">
        <v>53.5</v>
      </c>
      <c r="AD378" s="115">
        <v>-9.5999999999999992E-3</v>
      </c>
      <c r="AE378" s="115">
        <v>6.1400000000000003E-2</v>
      </c>
      <c r="AF378" s="115">
        <v>-2.3099999999999999E-2</v>
      </c>
      <c r="AG378" s="115">
        <v>1.0699999999999999E-2</v>
      </c>
      <c r="AH378" s="115">
        <v>-6.8099999999999994E-2</v>
      </c>
      <c r="AI378" s="115">
        <v>3.9399999999999998E-2</v>
      </c>
      <c r="AJ378" s="115">
        <v>-2.75E-2</v>
      </c>
      <c r="AK378" s="115">
        <v>7.9741</v>
      </c>
      <c r="AL378" s="115">
        <v>-1.272</v>
      </c>
      <c r="AM378" s="115">
        <v>9</v>
      </c>
      <c r="AN378" s="115">
        <v>2</v>
      </c>
      <c r="AO378" s="115">
        <v>0</v>
      </c>
      <c r="AP378" s="115">
        <v>5</v>
      </c>
      <c r="AQ378" s="115">
        <v>5</v>
      </c>
      <c r="AR378" s="115">
        <v>1</v>
      </c>
      <c r="AS378" s="115">
        <v>2.3999999999999998E-3</v>
      </c>
      <c r="AT378" s="115">
        <v>1.1012</v>
      </c>
      <c r="AU378" s="114" t="str">
        <f>IF(A378&lt;&gt;"",INDEX(Index!$B$1:$B$77,MATCH($A378,Index!$A$1:$A$77,0)),"")</f>
        <v>DEN</v>
      </c>
      <c r="AV378" s="123" t="str">
        <f>IF(B378&lt;&gt;"",INDEX(Index!$C$1:$C$77,MATCH($A378,Index!$A$1:$A$77,0)),"")</f>
        <v>Nix</v>
      </c>
      <c r="AW378" s="123">
        <f t="shared" si="7"/>
        <v>33</v>
      </c>
      <c r="AX378" s="113">
        <v>11</v>
      </c>
    </row>
    <row r="379" spans="1:50" x14ac:dyDescent="0.25">
      <c r="A379" s="95" t="s">
        <v>562</v>
      </c>
      <c r="B379" s="96">
        <v>2025</v>
      </c>
      <c r="C379" s="96">
        <v>6</v>
      </c>
      <c r="D379" s="115">
        <v>0.61578599999999994</v>
      </c>
      <c r="E379" s="115">
        <v>-0.27734900000000001</v>
      </c>
      <c r="F379" s="115">
        <v>-0.58660000000000001</v>
      </c>
      <c r="G379" s="115">
        <v>21.349</v>
      </c>
      <c r="H379" s="115">
        <v>8.5400000000000004E-2</v>
      </c>
      <c r="I379" s="115">
        <v>105</v>
      </c>
      <c r="J379" s="115">
        <v>166</v>
      </c>
      <c r="K379" s="115">
        <v>0.63249999999999995</v>
      </c>
      <c r="L379" s="115">
        <v>-1.2165999999999999</v>
      </c>
      <c r="M379" s="115">
        <v>1184</v>
      </c>
      <c r="N379" s="115">
        <v>7.1325000000000003</v>
      </c>
      <c r="O379" s="115">
        <v>8</v>
      </c>
      <c r="P379" s="115">
        <v>2</v>
      </c>
      <c r="Q379" s="115">
        <v>17</v>
      </c>
      <c r="R379" s="115">
        <v>48</v>
      </c>
      <c r="S379" s="115">
        <v>267</v>
      </c>
      <c r="T379" s="115">
        <v>5.5625</v>
      </c>
      <c r="U379" s="115">
        <v>2</v>
      </c>
      <c r="V379" s="115">
        <v>4.82E-2</v>
      </c>
      <c r="W379" s="115">
        <v>1.2E-2</v>
      </c>
      <c r="X379" s="115">
        <v>3.61E-2</v>
      </c>
      <c r="Y379" s="115">
        <v>0.48399999999999999</v>
      </c>
      <c r="Z379" s="115">
        <v>95.557199999999995</v>
      </c>
      <c r="AA379" s="115">
        <v>6.4261999999999997</v>
      </c>
      <c r="AB379" s="115">
        <v>169.989</v>
      </c>
      <c r="AC379" s="115">
        <v>51.1</v>
      </c>
      <c r="AD379" s="115">
        <v>8.6999999999999994E-3</v>
      </c>
      <c r="AE379" s="115">
        <v>-3.7000000000000002E-3</v>
      </c>
      <c r="AF379" s="115">
        <v>-2.0199999999999999E-2</v>
      </c>
      <c r="AG379" s="115">
        <v>3.9E-2</v>
      </c>
      <c r="AH379" s="115">
        <v>1.2699999999999999E-2</v>
      </c>
      <c r="AI379" s="115">
        <v>-3.1E-2</v>
      </c>
      <c r="AJ379" s="115">
        <v>0</v>
      </c>
      <c r="AK379" s="115">
        <v>8.0060000000000002</v>
      </c>
      <c r="AL379" s="115">
        <v>-0.87949999999999995</v>
      </c>
      <c r="AM379" s="115">
        <v>2</v>
      </c>
      <c r="AN379" s="115">
        <v>4</v>
      </c>
      <c r="AO379" s="115">
        <v>0</v>
      </c>
      <c r="AP379" s="115">
        <v>0</v>
      </c>
      <c r="AQ379" s="115">
        <v>0</v>
      </c>
      <c r="AR379" s="115"/>
      <c r="AS379" s="115">
        <v>2.8999999999999998E-3</v>
      </c>
      <c r="AT379" s="115">
        <v>0.72760000000000002</v>
      </c>
      <c r="AU379" s="114" t="str">
        <f>IF(A379&lt;&gt;"",INDEX(Index!$B$1:$B$77,MATCH($A379,Index!$A$1:$A$77,0)),"")</f>
        <v>WAS</v>
      </c>
      <c r="AV379" s="123" t="str">
        <f>IF(B379&lt;&gt;"",INDEX(Index!$C$1:$C$77,MATCH($A379,Index!$A$1:$A$77,0)),"")</f>
        <v>Daniels</v>
      </c>
      <c r="AW379" s="123">
        <f t="shared" si="7"/>
        <v>22</v>
      </c>
      <c r="AX379" s="113">
        <v>11</v>
      </c>
    </row>
    <row r="380" spans="1:50" x14ac:dyDescent="0.25">
      <c r="A380" s="95" t="s">
        <v>566</v>
      </c>
      <c r="B380" s="96">
        <v>2025</v>
      </c>
      <c r="C380" s="96">
        <v>10</v>
      </c>
      <c r="D380" s="115">
        <v>0.61157799999999995</v>
      </c>
      <c r="E380" s="115">
        <v>-0.236063</v>
      </c>
      <c r="F380" s="115">
        <v>0.74348199999999998</v>
      </c>
      <c r="G380" s="115">
        <v>106.41</v>
      </c>
      <c r="H380" s="115">
        <v>0.28839999999999999</v>
      </c>
      <c r="I380" s="115">
        <v>210</v>
      </c>
      <c r="J380" s="115">
        <v>309</v>
      </c>
      <c r="K380" s="115">
        <v>0.67959999999999998</v>
      </c>
      <c r="L380" s="115">
        <v>5.7464000000000004</v>
      </c>
      <c r="M380" s="115">
        <v>2421</v>
      </c>
      <c r="N380" s="115">
        <v>7.835</v>
      </c>
      <c r="O380" s="115">
        <v>15</v>
      </c>
      <c r="P380" s="115">
        <v>3</v>
      </c>
      <c r="Q380" s="115">
        <v>16</v>
      </c>
      <c r="R380" s="115">
        <v>24</v>
      </c>
      <c r="S380" s="115">
        <v>152</v>
      </c>
      <c r="T380" s="115">
        <v>6.3333000000000004</v>
      </c>
      <c r="U380" s="115">
        <v>0</v>
      </c>
      <c r="V380" s="115">
        <v>4.8500000000000001E-2</v>
      </c>
      <c r="W380" s="115">
        <v>9.7000000000000003E-3</v>
      </c>
      <c r="X380" s="115">
        <v>3.8800000000000001E-2</v>
      </c>
      <c r="Y380" s="115">
        <v>0.51490000000000002</v>
      </c>
      <c r="Z380" s="115">
        <v>103.499</v>
      </c>
      <c r="AA380" s="115">
        <v>7.5815000000000001</v>
      </c>
      <c r="AB380" s="115">
        <v>208.76900000000001</v>
      </c>
      <c r="AC380" s="115">
        <v>69.7</v>
      </c>
      <c r="AD380" s="115">
        <v>1.12E-2</v>
      </c>
      <c r="AE380" s="115">
        <v>3.1099999999999999E-2</v>
      </c>
      <c r="AF380" s="115">
        <v>5.3E-3</v>
      </c>
      <c r="AG380" s="115">
        <v>2.9600000000000001E-2</v>
      </c>
      <c r="AH380" s="115">
        <v>3.7999999999999999E-2</v>
      </c>
      <c r="AI380" s="115">
        <v>8.5900000000000004E-2</v>
      </c>
      <c r="AJ380" s="115">
        <v>7.4000000000000003E-3</v>
      </c>
      <c r="AK380" s="115">
        <v>8.1326999999999998</v>
      </c>
      <c r="AL380" s="115">
        <v>-0.56630000000000003</v>
      </c>
      <c r="AM380" s="115">
        <v>6</v>
      </c>
      <c r="AN380" s="115">
        <v>3</v>
      </c>
      <c r="AO380" s="115">
        <v>1</v>
      </c>
      <c r="AP380" s="115">
        <v>2</v>
      </c>
      <c r="AQ380" s="115">
        <v>5</v>
      </c>
      <c r="AR380" s="115">
        <v>0.4</v>
      </c>
      <c r="AS380" s="115">
        <v>1.1599999999999999E-2</v>
      </c>
      <c r="AT380" s="115">
        <v>4.2784000000000004</v>
      </c>
      <c r="AU380" s="114" t="str">
        <f>IF(A380&lt;&gt;"",INDEX(Index!$B$1:$B$77,MATCH($A380,Index!$A$1:$A$77,0)),"")</f>
        <v>GB</v>
      </c>
      <c r="AV380" s="123" t="str">
        <f>IF(B380&lt;&gt;"",INDEX(Index!$C$1:$C$77,MATCH($A380,Index!$A$1:$A$77,0)),"")</f>
        <v>Love</v>
      </c>
      <c r="AW380" s="123">
        <f t="shared" si="7"/>
        <v>25</v>
      </c>
      <c r="AX380" s="113">
        <v>11</v>
      </c>
    </row>
    <row r="381" spans="1:50" x14ac:dyDescent="0.25">
      <c r="A381" s="95" t="s">
        <v>556</v>
      </c>
      <c r="B381" s="96">
        <v>2025</v>
      </c>
      <c r="C381" s="96">
        <v>5</v>
      </c>
      <c r="D381" s="115">
        <v>0.60775900000000005</v>
      </c>
      <c r="E381" s="115">
        <v>3.6627199999999999E-2</v>
      </c>
      <c r="F381" s="115">
        <v>-0.83574700000000002</v>
      </c>
      <c r="G381" s="115">
        <v>23.545000000000002</v>
      </c>
      <c r="H381" s="115">
        <v>0.107</v>
      </c>
      <c r="I381" s="115">
        <v>110</v>
      </c>
      <c r="J381" s="115">
        <v>161</v>
      </c>
      <c r="K381" s="115">
        <v>0.68320000000000003</v>
      </c>
      <c r="L381" s="115">
        <v>-0.52880000000000005</v>
      </c>
      <c r="M381" s="115">
        <v>962</v>
      </c>
      <c r="N381" s="115">
        <v>5.9752000000000001</v>
      </c>
      <c r="O381" s="115">
        <v>6</v>
      </c>
      <c r="P381" s="115">
        <v>3</v>
      </c>
      <c r="Q381" s="115">
        <v>16</v>
      </c>
      <c r="R381" s="115">
        <v>27</v>
      </c>
      <c r="S381" s="115">
        <v>175</v>
      </c>
      <c r="T381" s="115">
        <v>6.4814999999999996</v>
      </c>
      <c r="U381" s="115">
        <v>1</v>
      </c>
      <c r="V381" s="115">
        <v>3.73E-2</v>
      </c>
      <c r="W381" s="115">
        <v>1.8599999999999998E-2</v>
      </c>
      <c r="X381" s="115">
        <v>1.8599999999999998E-2</v>
      </c>
      <c r="Y381" s="115">
        <v>0.45</v>
      </c>
      <c r="Z381" s="115">
        <v>88.573999999999998</v>
      </c>
      <c r="AA381" s="115">
        <v>4.7232000000000003</v>
      </c>
      <c r="AB381" s="115">
        <v>151.27199999999999</v>
      </c>
      <c r="AC381" s="115">
        <v>44.7</v>
      </c>
      <c r="AD381" s="115">
        <v>7.7000000000000002E-3</v>
      </c>
      <c r="AE381" s="115">
        <v>6.9999999999999999E-4</v>
      </c>
      <c r="AF381" s="115">
        <v>4.58E-2</v>
      </c>
      <c r="AG381" s="115">
        <v>3.1199999999999999E-2</v>
      </c>
      <c r="AH381" s="115">
        <v>-9.6699999999999994E-2</v>
      </c>
      <c r="AI381" s="115">
        <v>2.0400000000000001E-2</v>
      </c>
      <c r="AJ381" s="115">
        <v>1.83E-2</v>
      </c>
      <c r="AK381" s="115">
        <v>5.8446999999999996</v>
      </c>
      <c r="AL381" s="115">
        <v>-3.0682999999999998</v>
      </c>
      <c r="AM381" s="115">
        <v>2</v>
      </c>
      <c r="AN381" s="115">
        <v>3</v>
      </c>
      <c r="AO381" s="115">
        <v>0</v>
      </c>
      <c r="AP381" s="115">
        <v>0</v>
      </c>
      <c r="AQ381" s="115">
        <v>2</v>
      </c>
      <c r="AR381" s="115">
        <v>0</v>
      </c>
      <c r="AS381" s="115">
        <v>4.1999999999999997E-3</v>
      </c>
      <c r="AT381" s="115">
        <v>0.92720000000000002</v>
      </c>
      <c r="AU381" s="114" t="str">
        <f>IF(A381&lt;&gt;"",INDEX(Index!$B$1:$B$77,MATCH($A381,Index!$A$1:$A$77,0)),"")</f>
        <v>ARI</v>
      </c>
      <c r="AV381" s="123" t="str">
        <f>IF(B381&lt;&gt;"",INDEX(Index!$C$1:$C$77,MATCH($A381,Index!$A$1:$A$77,0)),"")</f>
        <v>Murray</v>
      </c>
      <c r="AW381" s="123">
        <f t="shared" si="7"/>
        <v>25</v>
      </c>
      <c r="AX381" s="113">
        <v>11</v>
      </c>
    </row>
    <row r="382" spans="1:50" x14ac:dyDescent="0.25">
      <c r="A382" s="95" t="s">
        <v>591</v>
      </c>
      <c r="B382" s="96">
        <v>2025</v>
      </c>
      <c r="C382" s="96">
        <v>1</v>
      </c>
      <c r="D382" s="115">
        <v>0.26782499999999998</v>
      </c>
      <c r="E382" s="115">
        <v>-0.32927400000000001</v>
      </c>
      <c r="F382" s="115">
        <v>-0.32927400000000001</v>
      </c>
      <c r="G382" s="115">
        <v>-8.6425000000000001</v>
      </c>
      <c r="H382" s="115">
        <v>-0.14899999999999999</v>
      </c>
      <c r="I382" s="115">
        <v>32</v>
      </c>
      <c r="J382" s="115">
        <v>52</v>
      </c>
      <c r="K382" s="115">
        <v>0.61539999999999995</v>
      </c>
      <c r="L382" s="115">
        <v>-7.2228000000000003</v>
      </c>
      <c r="M382" s="115">
        <v>250</v>
      </c>
      <c r="N382" s="115">
        <v>4.8076999999999996</v>
      </c>
      <c r="O382" s="115">
        <v>0</v>
      </c>
      <c r="P382" s="115">
        <v>0</v>
      </c>
      <c r="Q382" s="115">
        <v>1</v>
      </c>
      <c r="R382" s="115">
        <v>2</v>
      </c>
      <c r="S382" s="115">
        <v>5</v>
      </c>
      <c r="T382" s="115">
        <v>2.5</v>
      </c>
      <c r="U382" s="115">
        <v>0</v>
      </c>
      <c r="V382" s="115">
        <v>0</v>
      </c>
      <c r="W382" s="115">
        <v>0</v>
      </c>
      <c r="X382" s="115">
        <v>0</v>
      </c>
      <c r="Y382" s="115">
        <v>0.4138</v>
      </c>
      <c r="Z382" s="115">
        <v>73.397400000000005</v>
      </c>
      <c r="AA382" s="115">
        <v>4.6226000000000003</v>
      </c>
      <c r="AB382" s="115">
        <v>92.161000000000001</v>
      </c>
      <c r="AC382" s="115"/>
      <c r="AD382" s="115">
        <v>-2.2599999999999999E-2</v>
      </c>
      <c r="AE382" s="115">
        <v>7.6799999999999993E-2</v>
      </c>
      <c r="AF382" s="115">
        <v>-0.1454</v>
      </c>
      <c r="AG382" s="115">
        <v>7.2900000000000006E-2</v>
      </c>
      <c r="AH382" s="115">
        <v>-0.13059999999999999</v>
      </c>
      <c r="AI382" s="115">
        <v>-0.1174</v>
      </c>
      <c r="AJ382" s="115">
        <v>3.7400000000000003E-2</v>
      </c>
      <c r="AK382" s="115">
        <v>8.0961999999999996</v>
      </c>
      <c r="AL382" s="115">
        <v>-0.44230000000000003</v>
      </c>
      <c r="AM382" s="115">
        <v>0</v>
      </c>
      <c r="AN382" s="115">
        <v>3</v>
      </c>
      <c r="AO382" s="115">
        <v>0</v>
      </c>
      <c r="AP382" s="115">
        <v>0</v>
      </c>
      <c r="AQ382" s="115">
        <v>1</v>
      </c>
      <c r="AR382" s="115">
        <v>0</v>
      </c>
      <c r="AS382" s="115">
        <v>-6.4999999999999997E-3</v>
      </c>
      <c r="AT382" s="115">
        <v>-0.37559999999999999</v>
      </c>
      <c r="AU382" s="114" t="str">
        <f>IF(A382&lt;&gt;"",INDEX(Index!$B$1:$B$77,MATCH($A382,Index!$A$1:$A$77,0)),"")</f>
        <v>ATL</v>
      </c>
      <c r="AV382" s="123" t="str">
        <f>IF(B382&lt;&gt;"",INDEX(Index!$C$1:$C$77,MATCH($A382,Index!$A$1:$A$77,0)),"")</f>
        <v>Cousins</v>
      </c>
      <c r="AW382" s="123">
        <f t="shared" si="7"/>
        <v>46</v>
      </c>
      <c r="AX382" s="113">
        <v>11</v>
      </c>
    </row>
    <row r="383" spans="1:50" x14ac:dyDescent="0.25">
      <c r="A383" s="95" t="s">
        <v>568</v>
      </c>
      <c r="B383" s="96">
        <v>2025</v>
      </c>
      <c r="C383" s="96">
        <v>10</v>
      </c>
      <c r="D383" s="115">
        <v>0.129749</v>
      </c>
      <c r="E383" s="115">
        <v>-0.30458000000000002</v>
      </c>
      <c r="F383" s="115">
        <v>1.7128699999999999</v>
      </c>
      <c r="G383" s="115">
        <v>81.824399999999997</v>
      </c>
      <c r="H383" s="115">
        <v>0.21029999999999999</v>
      </c>
      <c r="I383" s="115">
        <v>223</v>
      </c>
      <c r="J383" s="115">
        <v>317</v>
      </c>
      <c r="K383" s="115">
        <v>0.70350000000000001</v>
      </c>
      <c r="L383" s="115">
        <v>3.8641999999999999</v>
      </c>
      <c r="M383" s="115">
        <v>2659</v>
      </c>
      <c r="N383" s="115">
        <v>8.3879999999999999</v>
      </c>
      <c r="O383" s="115">
        <v>15</v>
      </c>
      <c r="P383" s="115">
        <v>7</v>
      </c>
      <c r="Q383" s="115">
        <v>21</v>
      </c>
      <c r="R383" s="115">
        <v>33</v>
      </c>
      <c r="S383" s="115">
        <v>146</v>
      </c>
      <c r="T383" s="115">
        <v>4.4241999999999999</v>
      </c>
      <c r="U383" s="115">
        <v>5</v>
      </c>
      <c r="V383" s="115">
        <v>4.7300000000000002E-2</v>
      </c>
      <c r="W383" s="115">
        <v>2.2100000000000002E-2</v>
      </c>
      <c r="X383" s="115">
        <v>2.52E-2</v>
      </c>
      <c r="Y383" s="115">
        <v>0.53979999999999995</v>
      </c>
      <c r="Z383" s="115">
        <v>102.22799999999999</v>
      </c>
      <c r="AA383" s="115">
        <v>7.3727999999999998</v>
      </c>
      <c r="AB383" s="115">
        <v>222.19900000000001</v>
      </c>
      <c r="AC383" s="115">
        <v>66.400000000000006</v>
      </c>
      <c r="AD383" s="115">
        <v>1.5900000000000001E-2</v>
      </c>
      <c r="AE383" s="115">
        <v>-3.8E-3</v>
      </c>
      <c r="AF383" s="115">
        <v>5.4199999999999998E-2</v>
      </c>
      <c r="AG383" s="115">
        <v>2.9999999999999997E-4</v>
      </c>
      <c r="AH383" s="115">
        <v>3.4500000000000003E-2</v>
      </c>
      <c r="AI383" s="115">
        <v>4.1500000000000002E-2</v>
      </c>
      <c r="AJ383" s="115">
        <v>-1.2200000000000001E-2</v>
      </c>
      <c r="AK383" s="115">
        <v>8.4415999999999993</v>
      </c>
      <c r="AL383" s="115">
        <v>-0.43530000000000002</v>
      </c>
      <c r="AM383" s="115">
        <v>8</v>
      </c>
      <c r="AN383" s="115">
        <v>2</v>
      </c>
      <c r="AO383" s="115">
        <v>0</v>
      </c>
      <c r="AP383" s="115">
        <v>3</v>
      </c>
      <c r="AQ383" s="115">
        <v>4</v>
      </c>
      <c r="AR383" s="115">
        <v>0.75</v>
      </c>
      <c r="AS383" s="115">
        <v>4.3E-3</v>
      </c>
      <c r="AT383" s="115">
        <v>1.6809000000000001</v>
      </c>
      <c r="AU383" s="114" t="str">
        <f>IF(A383&lt;&gt;"",INDEX(Index!$B$1:$B$77,MATCH($A383,Index!$A$1:$A$77,0)),"")</f>
        <v>IND</v>
      </c>
      <c r="AV383" s="123" t="str">
        <f>IF(B383&lt;&gt;"",INDEX(Index!$C$1:$C$77,MATCH($A383,Index!$A$1:$A$77,0)),"")</f>
        <v>Jones</v>
      </c>
      <c r="AW383" s="123">
        <f t="shared" si="7"/>
        <v>9</v>
      </c>
      <c r="AX383" s="113">
        <v>11</v>
      </c>
    </row>
    <row r="384" spans="1:50" x14ac:dyDescent="0.25">
      <c r="A384" s="95" t="s">
        <v>573</v>
      </c>
      <c r="B384" s="96">
        <v>2025</v>
      </c>
      <c r="C384" s="96">
        <v>10</v>
      </c>
      <c r="D384" s="115">
        <v>3.7217399999999998E-2</v>
      </c>
      <c r="E384" s="115">
        <v>-0.47911500000000001</v>
      </c>
      <c r="F384" s="115">
        <v>0.95105300000000004</v>
      </c>
      <c r="G384" s="115">
        <v>74.281000000000006</v>
      </c>
      <c r="H384" s="115">
        <v>0.2404</v>
      </c>
      <c r="I384" s="115">
        <v>191</v>
      </c>
      <c r="J384" s="115">
        <v>271</v>
      </c>
      <c r="K384" s="115">
        <v>0.70479999999999998</v>
      </c>
      <c r="L384" s="115">
        <v>9.4350000000000005</v>
      </c>
      <c r="M384" s="115">
        <v>2541</v>
      </c>
      <c r="N384" s="115">
        <v>9.3764000000000003</v>
      </c>
      <c r="O384" s="115">
        <v>17</v>
      </c>
      <c r="P384" s="115">
        <v>10</v>
      </c>
      <c r="Q384" s="115">
        <v>10</v>
      </c>
      <c r="R384" s="115">
        <v>7</v>
      </c>
      <c r="S384" s="115">
        <v>58</v>
      </c>
      <c r="T384" s="115">
        <v>8.2857000000000003</v>
      </c>
      <c r="U384" s="115">
        <v>0</v>
      </c>
      <c r="V384" s="115">
        <v>6.2700000000000006E-2</v>
      </c>
      <c r="W384" s="115">
        <v>3.6900000000000002E-2</v>
      </c>
      <c r="X384" s="115">
        <v>2.58E-2</v>
      </c>
      <c r="Y384" s="115">
        <v>0.55989999999999995</v>
      </c>
      <c r="Z384" s="115">
        <v>105.42</v>
      </c>
      <c r="AA384" s="115">
        <v>8.4306000000000001</v>
      </c>
      <c r="AB384" s="115">
        <v>196.143</v>
      </c>
      <c r="AC384" s="115">
        <v>71.2</v>
      </c>
      <c r="AD384" s="115">
        <v>-1.1599999999999999E-2</v>
      </c>
      <c r="AE384" s="115">
        <v>1.7899999999999999E-2</v>
      </c>
      <c r="AF384" s="115">
        <v>6.5199999999999994E-2</v>
      </c>
      <c r="AG384" s="115">
        <v>-9.0499999999999997E-2</v>
      </c>
      <c r="AH384" s="115">
        <v>0.18110000000000001</v>
      </c>
      <c r="AI384" s="115">
        <v>-1.2200000000000001E-2</v>
      </c>
      <c r="AJ384" s="115">
        <v>1.06E-2</v>
      </c>
      <c r="AK384" s="115">
        <v>9.0074000000000005</v>
      </c>
      <c r="AL384" s="115">
        <v>-3.7000000000000002E-3</v>
      </c>
      <c r="AM384" s="115">
        <v>7</v>
      </c>
      <c r="AN384" s="115">
        <v>3</v>
      </c>
      <c r="AO384" s="115">
        <v>0</v>
      </c>
      <c r="AP384" s="115">
        <v>0</v>
      </c>
      <c r="AQ384" s="115">
        <v>3</v>
      </c>
      <c r="AR384" s="115">
        <v>0</v>
      </c>
      <c r="AS384" s="115">
        <v>5.1000000000000004E-3</v>
      </c>
      <c r="AT384" s="115">
        <v>1.5672999999999999</v>
      </c>
      <c r="AU384" s="114" t="str">
        <f>IF(A384&lt;&gt;"",INDEX(Index!$B$1:$B$77,MATCH($A384,Index!$A$1:$A$77,0)),"")</f>
        <v>SEA</v>
      </c>
      <c r="AV384" s="123" t="str">
        <f>IF(B384&lt;&gt;"",INDEX(Index!$C$1:$C$77,MATCH($A384,Index!$A$1:$A$77,0)),"")</f>
        <v>Darnold</v>
      </c>
      <c r="AW384" s="123">
        <f t="shared" si="7"/>
        <v>34</v>
      </c>
      <c r="AX384" s="113">
        <v>11</v>
      </c>
    </row>
    <row r="385" spans="1:50" x14ac:dyDescent="0.25">
      <c r="A385" s="95" t="s">
        <v>564</v>
      </c>
      <c r="B385" s="96">
        <v>2025</v>
      </c>
      <c r="C385" s="96">
        <v>3</v>
      </c>
      <c r="D385" s="115">
        <v>-3.3228800000000003E-2</v>
      </c>
      <c r="E385" s="115">
        <v>-0.72087800000000002</v>
      </c>
      <c r="F385" s="115">
        <v>-0.42435</v>
      </c>
      <c r="G385" s="115">
        <v>-4.0004</v>
      </c>
      <c r="H385" s="115">
        <v>-2.53E-2</v>
      </c>
      <c r="I385" s="115">
        <v>69</v>
      </c>
      <c r="J385" s="115">
        <v>119</v>
      </c>
      <c r="K385" s="115">
        <v>0.57979999999999998</v>
      </c>
      <c r="L385" s="115">
        <v>-1.48</v>
      </c>
      <c r="M385" s="115">
        <v>831</v>
      </c>
      <c r="N385" s="115">
        <v>6.9832000000000001</v>
      </c>
      <c r="O385" s="115">
        <v>3</v>
      </c>
      <c r="P385" s="115">
        <v>3</v>
      </c>
      <c r="Q385" s="115">
        <v>10</v>
      </c>
      <c r="R385" s="115">
        <v>18</v>
      </c>
      <c r="S385" s="115">
        <v>106</v>
      </c>
      <c r="T385" s="115">
        <v>5.8888999999999996</v>
      </c>
      <c r="U385" s="115">
        <v>0</v>
      </c>
      <c r="V385" s="115">
        <v>2.52E-2</v>
      </c>
      <c r="W385" s="115">
        <v>2.52E-2</v>
      </c>
      <c r="X385" s="115">
        <v>0</v>
      </c>
      <c r="Y385" s="115">
        <v>0.40510000000000002</v>
      </c>
      <c r="Z385" s="115">
        <v>77.398499999999999</v>
      </c>
      <c r="AA385" s="115">
        <v>5.3487999999999998</v>
      </c>
      <c r="AB385" s="115">
        <v>140.05699999999999</v>
      </c>
      <c r="AC385" s="115"/>
      <c r="AD385" s="115">
        <v>-3.9300000000000002E-2</v>
      </c>
      <c r="AE385" s="115">
        <v>1.2200000000000001E-2</v>
      </c>
      <c r="AF385" s="115">
        <v>-9.8199999999999996E-2</v>
      </c>
      <c r="AG385" s="115">
        <v>1.7100000000000001E-2</v>
      </c>
      <c r="AH385" s="115">
        <v>1.0999999999999999E-2</v>
      </c>
      <c r="AI385" s="115">
        <v>-6.6000000000000003E-2</v>
      </c>
      <c r="AJ385" s="115">
        <v>5.79E-2</v>
      </c>
      <c r="AK385" s="115">
        <v>8.8908000000000005</v>
      </c>
      <c r="AL385" s="115">
        <v>-0.10920000000000001</v>
      </c>
      <c r="AM385" s="115">
        <v>2</v>
      </c>
      <c r="AN385" s="115">
        <v>4</v>
      </c>
      <c r="AO385" s="115">
        <v>0</v>
      </c>
      <c r="AP385" s="115">
        <v>0</v>
      </c>
      <c r="AQ385" s="115">
        <v>3</v>
      </c>
      <c r="AR385" s="115">
        <v>0</v>
      </c>
      <c r="AS385" s="115">
        <v>4.8999999999999998E-3</v>
      </c>
      <c r="AT385" s="115">
        <v>0.77270000000000005</v>
      </c>
      <c r="AU385" s="114" t="str">
        <f>IF(A385&lt;&gt;"",INDEX(Index!$B$1:$B$77,MATCH($A385,Index!$A$1:$A$77,0)),"")</f>
        <v>NYG</v>
      </c>
      <c r="AV385" s="123" t="str">
        <f>IF(B385&lt;&gt;"",INDEX(Index!$C$1:$C$77,MATCH($A385,Index!$A$1:$A$77,0)),"")</f>
        <v>Wilson</v>
      </c>
      <c r="AW385" s="123">
        <f t="shared" si="7"/>
        <v>34</v>
      </c>
      <c r="AX385" s="113">
        <v>11</v>
      </c>
    </row>
    <row r="386" spans="1:50" x14ac:dyDescent="0.25">
      <c r="A386" s="95" t="s">
        <v>575</v>
      </c>
      <c r="B386" s="96">
        <v>2025</v>
      </c>
      <c r="C386" s="96">
        <v>8</v>
      </c>
      <c r="D386" s="115">
        <v>-0.18971399999999999</v>
      </c>
      <c r="E386" s="115">
        <v>0.88405599999999995</v>
      </c>
      <c r="F386" s="115">
        <v>1.54932</v>
      </c>
      <c r="G386" s="115">
        <v>47.140999999999998</v>
      </c>
      <c r="H386" s="115">
        <v>0.14069999999999999</v>
      </c>
      <c r="I386" s="115">
        <v>201</v>
      </c>
      <c r="J386" s="115">
        <v>286</v>
      </c>
      <c r="K386" s="115">
        <v>0.70279999999999998</v>
      </c>
      <c r="L386" s="115">
        <v>3.6785999999999999</v>
      </c>
      <c r="M386" s="115">
        <v>2151</v>
      </c>
      <c r="N386" s="115">
        <v>7.5209999999999999</v>
      </c>
      <c r="O386" s="115">
        <v>13</v>
      </c>
      <c r="P386" s="115">
        <v>6</v>
      </c>
      <c r="Q386" s="115">
        <v>16</v>
      </c>
      <c r="R386" s="115">
        <v>21</v>
      </c>
      <c r="S386" s="115">
        <v>71</v>
      </c>
      <c r="T386" s="115">
        <v>3.3809999999999998</v>
      </c>
      <c r="U386" s="115">
        <v>0</v>
      </c>
      <c r="V386" s="115">
        <v>4.5499999999999999E-2</v>
      </c>
      <c r="W386" s="115">
        <v>2.1000000000000001E-2</v>
      </c>
      <c r="X386" s="115">
        <v>2.4500000000000001E-2</v>
      </c>
      <c r="Y386" s="115">
        <v>0.52839999999999998</v>
      </c>
      <c r="Z386" s="115">
        <v>98.397400000000005</v>
      </c>
      <c r="AA386" s="115">
        <v>6.7317999999999998</v>
      </c>
      <c r="AB386" s="115">
        <v>197.37700000000001</v>
      </c>
      <c r="AC386" s="115">
        <v>64.099999999999994</v>
      </c>
      <c r="AD386" s="115">
        <v>-9.1000000000000004E-3</v>
      </c>
      <c r="AE386" s="115">
        <v>1.1900000000000001E-2</v>
      </c>
      <c r="AF386" s="115">
        <v>2.8000000000000001E-2</v>
      </c>
      <c r="AG386" s="115">
        <v>1.1999999999999999E-3</v>
      </c>
      <c r="AH386" s="115">
        <v>5.2499999999999998E-2</v>
      </c>
      <c r="AI386" s="115">
        <v>-3.5000000000000001E-3</v>
      </c>
      <c r="AJ386" s="115">
        <v>-2.0199999999999999E-2</v>
      </c>
      <c r="AK386" s="115">
        <v>7.4265999999999996</v>
      </c>
      <c r="AL386" s="115">
        <v>-1.6608000000000001</v>
      </c>
      <c r="AM386" s="115">
        <v>5</v>
      </c>
      <c r="AN386" s="115">
        <v>3</v>
      </c>
      <c r="AO386" s="115">
        <v>0</v>
      </c>
      <c r="AP386" s="115">
        <v>1</v>
      </c>
      <c r="AQ386" s="115">
        <v>2</v>
      </c>
      <c r="AR386" s="115">
        <v>0.5</v>
      </c>
      <c r="AS386" s="115">
        <v>4.1999999999999997E-3</v>
      </c>
      <c r="AT386" s="115">
        <v>1.4128000000000001</v>
      </c>
      <c r="AU386" s="114" t="str">
        <f>IF(A386&lt;&gt;"",INDEX(Index!$B$1:$B$77,MATCH($A386,Index!$A$1:$A$77,0)),"")</f>
        <v>SF</v>
      </c>
      <c r="AV386" s="123" t="str">
        <f>IF(B386&lt;&gt;"",INDEX(Index!$C$1:$C$77,MATCH($A386,Index!$A$1:$A$77,0)),"")</f>
        <v>Jones</v>
      </c>
      <c r="AW386" s="123">
        <f t="shared" si="7"/>
        <v>25</v>
      </c>
      <c r="AX386" s="113">
        <v>11</v>
      </c>
    </row>
    <row r="387" spans="1:50" x14ac:dyDescent="0.25">
      <c r="A387" s="95" t="s">
        <v>587</v>
      </c>
      <c r="B387" s="96">
        <v>2025</v>
      </c>
      <c r="C387" s="96">
        <v>7</v>
      </c>
      <c r="D387" s="115">
        <v>-0.21016699999999999</v>
      </c>
      <c r="E387" s="115">
        <v>0.65627400000000002</v>
      </c>
      <c r="F387" s="115">
        <v>2.2668200000000001</v>
      </c>
      <c r="G387" s="115">
        <v>47.185699999999997</v>
      </c>
      <c r="H387" s="115">
        <v>0.1605</v>
      </c>
      <c r="I387" s="115">
        <v>128</v>
      </c>
      <c r="J387" s="115">
        <v>203</v>
      </c>
      <c r="K387" s="115">
        <v>0.63049999999999995</v>
      </c>
      <c r="L387" s="115">
        <v>-0.64970000000000006</v>
      </c>
      <c r="M387" s="115">
        <v>1417</v>
      </c>
      <c r="N387" s="115">
        <v>6.9802999999999997</v>
      </c>
      <c r="O387" s="115">
        <v>10</v>
      </c>
      <c r="P387" s="115">
        <v>3</v>
      </c>
      <c r="Q387" s="115">
        <v>21</v>
      </c>
      <c r="R387" s="115">
        <v>52</v>
      </c>
      <c r="S387" s="115">
        <v>320</v>
      </c>
      <c r="T387" s="115">
        <v>6.1538000000000004</v>
      </c>
      <c r="U387" s="115">
        <v>7</v>
      </c>
      <c r="V387" s="115">
        <v>4.9299999999999997E-2</v>
      </c>
      <c r="W387" s="115">
        <v>1.4800000000000001E-2</v>
      </c>
      <c r="X387" s="115">
        <v>3.4500000000000003E-2</v>
      </c>
      <c r="Y387" s="115">
        <v>0.48299999999999998</v>
      </c>
      <c r="Z387" s="115">
        <v>93.975800000000007</v>
      </c>
      <c r="AA387" s="115">
        <v>6.2454999999999998</v>
      </c>
      <c r="AB387" s="115">
        <v>221.684</v>
      </c>
      <c r="AC387" s="115">
        <v>64.8</v>
      </c>
      <c r="AD387" s="115">
        <v>7.0999999999999994E-2</v>
      </c>
      <c r="AE387" s="115">
        <v>-5.7000000000000002E-3</v>
      </c>
      <c r="AF387" s="115">
        <v>3.0200000000000001E-2</v>
      </c>
      <c r="AG387" s="115">
        <v>4.0500000000000001E-2</v>
      </c>
      <c r="AH387" s="115">
        <v>-6.7799999999999999E-2</v>
      </c>
      <c r="AI387" s="115">
        <v>-1.26E-2</v>
      </c>
      <c r="AJ387" s="115">
        <v>2.5000000000000001E-2</v>
      </c>
      <c r="AK387" s="115">
        <v>8.6107999999999993</v>
      </c>
      <c r="AL387" s="115">
        <v>-0.61080000000000001</v>
      </c>
      <c r="AM387" s="115">
        <v>2</v>
      </c>
      <c r="AN387" s="115">
        <v>7</v>
      </c>
      <c r="AO387" s="115">
        <v>0</v>
      </c>
      <c r="AP387" s="115">
        <v>0</v>
      </c>
      <c r="AQ387" s="115">
        <v>2</v>
      </c>
      <c r="AR387" s="115">
        <v>0</v>
      </c>
      <c r="AS387" s="115">
        <v>4.1000000000000003E-3</v>
      </c>
      <c r="AT387" s="115">
        <v>1.2171000000000001</v>
      </c>
      <c r="AU387" s="114" t="str">
        <f>IF(A387&lt;&gt;"",INDEX(Index!$B$1:$B$77,MATCH($A387,Index!$A$1:$A$77,0)),"")</f>
        <v>NYG</v>
      </c>
      <c r="AV387" s="123" t="str">
        <f>IF(B387&lt;&gt;"",INDEX(Index!$C$1:$C$77,MATCH($A387,Index!$A$1:$A$77,0)),"")</f>
        <v>Dart</v>
      </c>
      <c r="AW387" s="123">
        <f t="shared" si="7"/>
        <v>9</v>
      </c>
      <c r="AX387" s="113">
        <v>11</v>
      </c>
    </row>
    <row r="388" spans="1:50" x14ac:dyDescent="0.25">
      <c r="A388" s="95" t="s">
        <v>558</v>
      </c>
      <c r="B388" s="96">
        <v>2025</v>
      </c>
      <c r="C388" s="96">
        <v>10</v>
      </c>
      <c r="D388" s="115">
        <v>-0.22714200000000001</v>
      </c>
      <c r="E388" s="115">
        <v>-0.26036999999999999</v>
      </c>
      <c r="F388" s="115">
        <v>-1.70709</v>
      </c>
      <c r="G388" s="115">
        <v>14.286199999999999</v>
      </c>
      <c r="H388" s="115">
        <v>4.2799999999999998E-2</v>
      </c>
      <c r="I388" s="115">
        <v>192</v>
      </c>
      <c r="J388" s="115">
        <v>289</v>
      </c>
      <c r="K388" s="115">
        <v>0.66439999999999999</v>
      </c>
      <c r="L388" s="115">
        <v>1.1494</v>
      </c>
      <c r="M388" s="115">
        <v>1969</v>
      </c>
      <c r="N388" s="115">
        <v>6.8131000000000004</v>
      </c>
      <c r="O388" s="115">
        <v>19</v>
      </c>
      <c r="P388" s="115">
        <v>7</v>
      </c>
      <c r="Q388" s="115">
        <v>19</v>
      </c>
      <c r="R388" s="115">
        <v>7</v>
      </c>
      <c r="S388" s="115">
        <v>32</v>
      </c>
      <c r="T388" s="115">
        <v>4.5713999999999997</v>
      </c>
      <c r="U388" s="115">
        <v>0</v>
      </c>
      <c r="V388" s="115">
        <v>6.5699999999999995E-2</v>
      </c>
      <c r="W388" s="115">
        <v>2.4199999999999999E-2</v>
      </c>
      <c r="X388" s="115">
        <v>4.1500000000000002E-2</v>
      </c>
      <c r="Y388" s="115">
        <v>0.4461</v>
      </c>
      <c r="Z388" s="115">
        <v>97.657200000000003</v>
      </c>
      <c r="AA388" s="115">
        <v>6.2110000000000003</v>
      </c>
      <c r="AB388" s="115">
        <v>146.65600000000001</v>
      </c>
      <c r="AC388" s="115">
        <v>43.9</v>
      </c>
      <c r="AD388" s="115">
        <v>-2.7900000000000001E-2</v>
      </c>
      <c r="AE388" s="115">
        <v>2.3599999999999999E-2</v>
      </c>
      <c r="AF388" s="115">
        <v>-6.7999999999999996E-3</v>
      </c>
      <c r="AG388" s="115">
        <v>-7.9000000000000008E-3</v>
      </c>
      <c r="AH388" s="115">
        <v>-0.15260000000000001</v>
      </c>
      <c r="AI388" s="115">
        <v>0.12130000000000001</v>
      </c>
      <c r="AJ388" s="115">
        <v>1.32E-2</v>
      </c>
      <c r="AK388" s="115">
        <v>5.9619</v>
      </c>
      <c r="AL388" s="115">
        <v>-3.2075999999999998</v>
      </c>
      <c r="AM388" s="115">
        <v>6</v>
      </c>
      <c r="AN388" s="115">
        <v>4</v>
      </c>
      <c r="AO388" s="115">
        <v>0</v>
      </c>
      <c r="AP388" s="115">
        <v>1</v>
      </c>
      <c r="AQ388" s="115">
        <v>3</v>
      </c>
      <c r="AR388" s="115">
        <v>0.33329999999999999</v>
      </c>
      <c r="AS388" s="115">
        <v>8.0000000000000004E-4</v>
      </c>
      <c r="AT388" s="115">
        <v>0.26519999999999999</v>
      </c>
      <c r="AU388" s="114" t="str">
        <f>IF(A388&lt;&gt;"",INDEX(Index!$B$1:$B$77,MATCH($A388,Index!$A$1:$A$77,0)),"")</f>
        <v>GB</v>
      </c>
      <c r="AV388" s="123" t="str">
        <f>IF(B388&lt;&gt;"",INDEX(Index!$C$1:$C$77,MATCH($A388,Index!$A$1:$A$77,0)),"")</f>
        <v>Rodgers</v>
      </c>
      <c r="AW388" s="123">
        <f t="shared" si="7"/>
        <v>16</v>
      </c>
      <c r="AX388" s="113">
        <v>11</v>
      </c>
    </row>
    <row r="389" spans="1:50" x14ac:dyDescent="0.25">
      <c r="A389" s="95" t="s">
        <v>574</v>
      </c>
      <c r="B389" s="96">
        <v>2025</v>
      </c>
      <c r="C389" s="96">
        <v>10</v>
      </c>
      <c r="D389" s="115">
        <v>-0.268785</v>
      </c>
      <c r="E389" s="115">
        <v>-0.32888899999999999</v>
      </c>
      <c r="F389" s="115">
        <v>1.1737</v>
      </c>
      <c r="G389" s="115">
        <v>36.633499999999998</v>
      </c>
      <c r="H389" s="115">
        <v>9.0499999999999997E-2</v>
      </c>
      <c r="I389" s="115">
        <v>194</v>
      </c>
      <c r="J389" s="115">
        <v>325</v>
      </c>
      <c r="K389" s="115">
        <v>0.59689999999999999</v>
      </c>
      <c r="L389" s="115">
        <v>-4.2710999999999997</v>
      </c>
      <c r="M389" s="115">
        <v>2329</v>
      </c>
      <c r="N389" s="115">
        <v>7.1661999999999999</v>
      </c>
      <c r="O389" s="115">
        <v>13</v>
      </c>
      <c r="P389" s="115">
        <v>4</v>
      </c>
      <c r="Q389" s="115">
        <v>16</v>
      </c>
      <c r="R389" s="115">
        <v>40</v>
      </c>
      <c r="S389" s="115">
        <v>281</v>
      </c>
      <c r="T389" s="115">
        <v>7.0250000000000004</v>
      </c>
      <c r="U389" s="115">
        <v>3</v>
      </c>
      <c r="V389" s="115">
        <v>0.04</v>
      </c>
      <c r="W389" s="115">
        <v>1.23E-2</v>
      </c>
      <c r="X389" s="115">
        <v>2.7699999999999999E-2</v>
      </c>
      <c r="Y389" s="115">
        <v>0.45429999999999998</v>
      </c>
      <c r="Z389" s="115">
        <v>89.891000000000005</v>
      </c>
      <c r="AA389" s="115">
        <v>6.7537000000000003</v>
      </c>
      <c r="AB389" s="115">
        <v>187.25</v>
      </c>
      <c r="AC389" s="115">
        <v>54.7</v>
      </c>
      <c r="AD389" s="115">
        <v>-6.1000000000000004E-3</v>
      </c>
      <c r="AE389" s="115">
        <v>4.3400000000000001E-2</v>
      </c>
      <c r="AF389" s="115">
        <v>-4.8500000000000001E-2</v>
      </c>
      <c r="AG389" s="115">
        <v>3.39E-2</v>
      </c>
      <c r="AH389" s="115">
        <v>-2.2700000000000001E-2</v>
      </c>
      <c r="AI389" s="115">
        <v>3.1600000000000003E-2</v>
      </c>
      <c r="AJ389" s="115">
        <v>-2.1100000000000001E-2</v>
      </c>
      <c r="AK389" s="115">
        <v>8.7753999999999994</v>
      </c>
      <c r="AL389" s="115">
        <v>-0.57230000000000003</v>
      </c>
      <c r="AM389" s="115">
        <v>7</v>
      </c>
      <c r="AN389" s="115">
        <v>3</v>
      </c>
      <c r="AO389" s="115">
        <v>0</v>
      </c>
      <c r="AP389" s="115">
        <v>4</v>
      </c>
      <c r="AQ389" s="115">
        <v>6</v>
      </c>
      <c r="AR389" s="115">
        <v>0.66669999999999996</v>
      </c>
      <c r="AS389" s="115">
        <v>4.0000000000000001E-3</v>
      </c>
      <c r="AT389" s="115">
        <v>1.6397999999999999</v>
      </c>
      <c r="AU389" s="114" t="str">
        <f>IF(A389&lt;&gt;"",INDEX(Index!$B$1:$B$77,MATCH($A389,Index!$A$1:$A$77,0)),"")</f>
        <v>CHI</v>
      </c>
      <c r="AV389" s="123" t="str">
        <f>IF(B389&lt;&gt;"",INDEX(Index!$C$1:$C$77,MATCH($A389,Index!$A$1:$A$77,0)),"")</f>
        <v>Williams</v>
      </c>
      <c r="AW389" s="123">
        <f t="shared" si="7"/>
        <v>25</v>
      </c>
      <c r="AX389" s="113">
        <v>11</v>
      </c>
    </row>
    <row r="390" spans="1:50" x14ac:dyDescent="0.25">
      <c r="A390" s="95" t="s">
        <v>563</v>
      </c>
      <c r="B390" s="96">
        <v>2025</v>
      </c>
      <c r="C390" s="96">
        <v>11</v>
      </c>
      <c r="D390" s="115">
        <v>-0.29261399999999999</v>
      </c>
      <c r="E390" s="115">
        <v>-0.80465600000000004</v>
      </c>
      <c r="F390" s="115">
        <v>-0.31842500000000001</v>
      </c>
      <c r="G390" s="115">
        <v>37.0916</v>
      </c>
      <c r="H390" s="115">
        <v>7.7799999999999994E-2</v>
      </c>
      <c r="I390" s="115">
        <v>250</v>
      </c>
      <c r="J390" s="115">
        <v>376</v>
      </c>
      <c r="K390" s="115">
        <v>0.66490000000000005</v>
      </c>
      <c r="L390" s="115">
        <v>0.56399999999999995</v>
      </c>
      <c r="M390" s="115">
        <v>2691</v>
      </c>
      <c r="N390" s="115">
        <v>7.1569000000000003</v>
      </c>
      <c r="O390" s="115">
        <v>19</v>
      </c>
      <c r="P390" s="115">
        <v>9</v>
      </c>
      <c r="Q390" s="115">
        <v>35</v>
      </c>
      <c r="R390" s="115">
        <v>44</v>
      </c>
      <c r="S390" s="115">
        <v>354</v>
      </c>
      <c r="T390" s="115">
        <v>8.0455000000000005</v>
      </c>
      <c r="U390" s="115">
        <v>1</v>
      </c>
      <c r="V390" s="115">
        <v>5.0500000000000003E-2</v>
      </c>
      <c r="W390" s="115">
        <v>2.3900000000000001E-2</v>
      </c>
      <c r="X390" s="115">
        <v>2.6599999999999999E-2</v>
      </c>
      <c r="Y390" s="115">
        <v>0.49480000000000002</v>
      </c>
      <c r="Z390" s="115">
        <v>94.182199999999995</v>
      </c>
      <c r="AA390" s="115">
        <v>5.9683999999999999</v>
      </c>
      <c r="AB390" s="115">
        <v>173.83099999999999</v>
      </c>
      <c r="AC390" s="115">
        <v>60.9</v>
      </c>
      <c r="AD390" s="115">
        <v>3.6299999999999999E-2</v>
      </c>
      <c r="AE390" s="115">
        <v>-0.01</v>
      </c>
      <c r="AF390" s="115">
        <v>1.0800000000000001E-2</v>
      </c>
      <c r="AG390" s="115">
        <v>-3.3300000000000003E-2</v>
      </c>
      <c r="AH390" s="115">
        <v>1.09E-2</v>
      </c>
      <c r="AI390" s="115">
        <v>-8.3999999999999995E-3</v>
      </c>
      <c r="AJ390" s="115">
        <v>-8.5000000000000006E-3</v>
      </c>
      <c r="AK390" s="115">
        <v>7.4520999999999997</v>
      </c>
      <c r="AL390" s="115">
        <v>-1.5824</v>
      </c>
      <c r="AM390" s="115">
        <v>7</v>
      </c>
      <c r="AN390" s="115">
        <v>4</v>
      </c>
      <c r="AO390" s="115">
        <v>0</v>
      </c>
      <c r="AP390" s="115">
        <v>2</v>
      </c>
      <c r="AQ390" s="115">
        <v>3</v>
      </c>
      <c r="AR390" s="115">
        <v>0.66669999999999996</v>
      </c>
      <c r="AS390" s="115">
        <v>2.5999999999999999E-3</v>
      </c>
      <c r="AT390" s="115">
        <v>1.2458</v>
      </c>
      <c r="AU390" s="114" t="str">
        <f>IF(A390&lt;&gt;"",INDEX(Index!$B$1:$B$77,MATCH($A390,Index!$A$1:$A$77,0)),"")</f>
        <v>LAC</v>
      </c>
      <c r="AV390" s="123" t="str">
        <f>IF(B390&lt;&gt;"",INDEX(Index!$C$1:$C$77,MATCH($A390,Index!$A$1:$A$77,0)),"")</f>
        <v>Herbert</v>
      </c>
      <c r="AW390" s="123">
        <f t="shared" si="7"/>
        <v>3</v>
      </c>
      <c r="AX390" s="113">
        <v>11</v>
      </c>
    </row>
    <row r="391" spans="1:50" x14ac:dyDescent="0.25">
      <c r="A391" s="95" t="s">
        <v>590</v>
      </c>
      <c r="B391" s="96">
        <v>2025</v>
      </c>
      <c r="C391" s="96">
        <v>5</v>
      </c>
      <c r="D391" s="115">
        <v>-0.60641</v>
      </c>
      <c r="E391" s="115">
        <v>0.93183099999999996</v>
      </c>
      <c r="F391" s="115">
        <v>1.49197</v>
      </c>
      <c r="G391" s="115">
        <v>15.027900000000001</v>
      </c>
      <c r="H391" s="115">
        <v>5.74E-2</v>
      </c>
      <c r="I391" s="115">
        <v>142</v>
      </c>
      <c r="J391" s="115">
        <v>213</v>
      </c>
      <c r="K391" s="115">
        <v>0.66669999999999996</v>
      </c>
      <c r="L391" s="115">
        <v>3.7584</v>
      </c>
      <c r="M391" s="115">
        <v>1570</v>
      </c>
      <c r="N391" s="115">
        <v>7.3708999999999998</v>
      </c>
      <c r="O391" s="115">
        <v>10</v>
      </c>
      <c r="P391" s="115">
        <v>3</v>
      </c>
      <c r="Q391" s="115">
        <v>18</v>
      </c>
      <c r="R391" s="115">
        <v>18</v>
      </c>
      <c r="S391" s="115">
        <v>81</v>
      </c>
      <c r="T391" s="115">
        <v>4.5</v>
      </c>
      <c r="U391" s="115">
        <v>1</v>
      </c>
      <c r="V391" s="115">
        <v>4.6899999999999997E-2</v>
      </c>
      <c r="W391" s="115">
        <v>1.41E-2</v>
      </c>
      <c r="X391" s="115">
        <v>3.2899999999999999E-2</v>
      </c>
      <c r="Y391" s="115">
        <v>0.48089999999999999</v>
      </c>
      <c r="Z391" s="115">
        <v>98.131799999999998</v>
      </c>
      <c r="AA391" s="115">
        <v>6.4588999999999999</v>
      </c>
      <c r="AB391" s="115">
        <v>216.21</v>
      </c>
      <c r="AC391" s="115">
        <v>41.7</v>
      </c>
      <c r="AD391" s="115">
        <v>-1.3299999999999999E-2</v>
      </c>
      <c r="AE391" s="115">
        <v>-6.7799999999999999E-2</v>
      </c>
      <c r="AF391" s="115">
        <v>1.3599999999999999E-2</v>
      </c>
      <c r="AG391" s="115">
        <v>1.2800000000000001E-2</v>
      </c>
      <c r="AH391" s="115">
        <v>1.14E-2</v>
      </c>
      <c r="AI391" s="115">
        <v>3.5700000000000003E-2</v>
      </c>
      <c r="AJ391" s="115">
        <v>-1.4999999999999999E-2</v>
      </c>
      <c r="AK391" s="115">
        <v>7.8498000000000001</v>
      </c>
      <c r="AL391" s="115">
        <v>-1.4930000000000001</v>
      </c>
      <c r="AM391" s="115">
        <v>2</v>
      </c>
      <c r="AN391" s="115">
        <v>5</v>
      </c>
      <c r="AO391" s="115">
        <v>0</v>
      </c>
      <c r="AP391" s="115">
        <v>0</v>
      </c>
      <c r="AQ391" s="115">
        <v>2</v>
      </c>
      <c r="AR391" s="115">
        <v>0</v>
      </c>
      <c r="AS391" s="115">
        <v>0</v>
      </c>
      <c r="AT391" s="115">
        <v>5.7000000000000002E-3</v>
      </c>
      <c r="AU391" s="114" t="str">
        <f>IF(A391&lt;&gt;"",INDEX(Index!$B$1:$B$77,MATCH($A391,Index!$A$1:$A$77,0)),"")</f>
        <v>ARI</v>
      </c>
      <c r="AV391" s="123" t="str">
        <f>IF(B391&lt;&gt;"",INDEX(Index!$C$1:$C$77,MATCH($A391,Index!$A$1:$A$77,0)),"")</f>
        <v>Brissett</v>
      </c>
      <c r="AW391" s="123">
        <f t="shared" si="7"/>
        <v>19</v>
      </c>
      <c r="AX391" s="113">
        <v>11</v>
      </c>
    </row>
    <row r="392" spans="1:50" x14ac:dyDescent="0.25">
      <c r="A392" s="95" t="s">
        <v>577</v>
      </c>
      <c r="B392" s="96">
        <v>2025</v>
      </c>
      <c r="C392" s="96">
        <v>9</v>
      </c>
      <c r="D392" s="115">
        <v>-0.66614700000000004</v>
      </c>
      <c r="E392" s="115">
        <v>-0.202264</v>
      </c>
      <c r="F392" s="115">
        <v>0.45040599999999997</v>
      </c>
      <c r="G392" s="115">
        <v>-23.0459</v>
      </c>
      <c r="H392" s="115">
        <v>-5.4699999999999999E-2</v>
      </c>
      <c r="I392" s="115">
        <v>228</v>
      </c>
      <c r="J392" s="115">
        <v>370</v>
      </c>
      <c r="K392" s="115">
        <v>0.61619999999999997</v>
      </c>
      <c r="L392" s="115">
        <v>-2.5413999999999999</v>
      </c>
      <c r="M392" s="115">
        <v>2268</v>
      </c>
      <c r="N392" s="115">
        <v>6.1296999999999997</v>
      </c>
      <c r="O392" s="115">
        <v>14</v>
      </c>
      <c r="P392" s="115">
        <v>9</v>
      </c>
      <c r="Q392" s="115">
        <v>17</v>
      </c>
      <c r="R392" s="115">
        <v>9</v>
      </c>
      <c r="S392" s="115">
        <v>42</v>
      </c>
      <c r="T392" s="115">
        <v>4.6666999999999996</v>
      </c>
      <c r="U392" s="115">
        <v>1</v>
      </c>
      <c r="V392" s="115">
        <v>3.78E-2</v>
      </c>
      <c r="W392" s="115">
        <v>2.4299999999999999E-2</v>
      </c>
      <c r="X392" s="115">
        <v>1.35E-2</v>
      </c>
      <c r="Y392" s="115">
        <v>0.42759999999999998</v>
      </c>
      <c r="Z392" s="115">
        <v>81.452699999999993</v>
      </c>
      <c r="AA392" s="115">
        <v>5.2584</v>
      </c>
      <c r="AB392" s="115">
        <v>148.77099999999999</v>
      </c>
      <c r="AC392" s="115">
        <v>46.6</v>
      </c>
      <c r="AD392" s="115">
        <v>-1.78E-2</v>
      </c>
      <c r="AE392" s="115">
        <v>6.4999999999999997E-3</v>
      </c>
      <c r="AF392" s="115">
        <v>-3.32E-2</v>
      </c>
      <c r="AG392" s="115">
        <v>-2.3300000000000001E-2</v>
      </c>
      <c r="AH392" s="115">
        <v>-6.4199999999999993E-2</v>
      </c>
      <c r="AI392" s="115">
        <v>5.0000000000000001E-3</v>
      </c>
      <c r="AJ392" s="115">
        <v>-7.7999999999999996E-3</v>
      </c>
      <c r="AK392" s="115">
        <v>7.3026999999999997</v>
      </c>
      <c r="AL392" s="115">
        <v>-1.7054</v>
      </c>
      <c r="AM392" s="115">
        <v>2</v>
      </c>
      <c r="AN392" s="115">
        <v>7</v>
      </c>
      <c r="AO392" s="115">
        <v>0</v>
      </c>
      <c r="AP392" s="115">
        <v>2</v>
      </c>
      <c r="AQ392" s="115">
        <v>5</v>
      </c>
      <c r="AR392" s="115">
        <v>0.4</v>
      </c>
      <c r="AS392" s="115">
        <v>-1E-3</v>
      </c>
      <c r="AT392" s="115">
        <v>-0.40279999999999999</v>
      </c>
      <c r="AU392" s="114" t="str">
        <f>IF(A392&lt;&gt;"",INDEX(Index!$B$1:$B$77,MATCH($A392,Index!$A$1:$A$77,0)),"")</f>
        <v>CIN</v>
      </c>
      <c r="AV392" s="123" t="str">
        <f>IF(B392&lt;&gt;"",INDEX(Index!$C$1:$C$77,MATCH($A392,Index!$A$1:$A$77,0)),"")</f>
        <v>Flacco</v>
      </c>
      <c r="AW392" s="123">
        <f t="shared" si="7"/>
        <v>22</v>
      </c>
      <c r="AX392" s="113">
        <v>11</v>
      </c>
    </row>
    <row r="393" spans="1:50" x14ac:dyDescent="0.25">
      <c r="A393" s="95" t="s">
        <v>583</v>
      </c>
      <c r="B393" s="96">
        <v>2025</v>
      </c>
      <c r="C393" s="96">
        <v>5</v>
      </c>
      <c r="D393" s="115">
        <v>-0.75651100000000004</v>
      </c>
      <c r="E393" s="115">
        <v>0.15826000000000001</v>
      </c>
      <c r="F393" s="115">
        <v>0.62926300000000002</v>
      </c>
      <c r="G393" s="115">
        <v>16.459700000000002</v>
      </c>
      <c r="H393" s="115">
        <v>8.7999999999999995E-2</v>
      </c>
      <c r="I393" s="115">
        <v>92</v>
      </c>
      <c r="J393" s="115">
        <v>138</v>
      </c>
      <c r="K393" s="115">
        <v>0.66669999999999996</v>
      </c>
      <c r="L393" s="115">
        <v>4.3880999999999997</v>
      </c>
      <c r="M393" s="115">
        <v>1065</v>
      </c>
      <c r="N393" s="115">
        <v>7.7173999999999996</v>
      </c>
      <c r="O393" s="115">
        <v>7</v>
      </c>
      <c r="P393" s="115">
        <v>5</v>
      </c>
      <c r="Q393" s="115">
        <v>10</v>
      </c>
      <c r="R393" s="115">
        <v>26</v>
      </c>
      <c r="S393" s="115">
        <v>194</v>
      </c>
      <c r="T393" s="115">
        <v>7.4615</v>
      </c>
      <c r="U393" s="115">
        <v>1</v>
      </c>
      <c r="V393" s="115">
        <v>5.0700000000000002E-2</v>
      </c>
      <c r="W393" s="115">
        <v>3.6200000000000003E-2</v>
      </c>
      <c r="X393" s="115">
        <v>1.4500000000000001E-2</v>
      </c>
      <c r="Y393" s="115">
        <v>0.51339999999999997</v>
      </c>
      <c r="Z393" s="115">
        <v>91.606300000000005</v>
      </c>
      <c r="AA393" s="115">
        <v>6.1959</v>
      </c>
      <c r="AB393" s="115">
        <v>180.72900000000001</v>
      </c>
      <c r="AC393" s="115">
        <v>59.4</v>
      </c>
      <c r="AD393" s="115">
        <v>-2.2000000000000001E-3</v>
      </c>
      <c r="AE393" s="115">
        <v>2.0799999999999999E-2</v>
      </c>
      <c r="AF393" s="115">
        <v>-2.0999999999999999E-3</v>
      </c>
      <c r="AG393" s="115">
        <v>-6.7000000000000004E-2</v>
      </c>
      <c r="AH393" s="115">
        <v>9.64E-2</v>
      </c>
      <c r="AI393" s="115">
        <v>-3.9800000000000002E-2</v>
      </c>
      <c r="AJ393" s="115">
        <v>2E-3</v>
      </c>
      <c r="AK393" s="115">
        <v>8.9492999999999991</v>
      </c>
      <c r="AL393" s="115">
        <v>2.1700000000000001E-2</v>
      </c>
      <c r="AM393" s="115">
        <v>1</v>
      </c>
      <c r="AN393" s="115">
        <v>5</v>
      </c>
      <c r="AO393" s="115">
        <v>0</v>
      </c>
      <c r="AP393" s="115">
        <v>0</v>
      </c>
      <c r="AQ393" s="115">
        <v>0</v>
      </c>
      <c r="AR393" s="115"/>
      <c r="AS393" s="115">
        <v>8.9999999999999998E-4</v>
      </c>
      <c r="AT393" s="115">
        <v>0.17399999999999999</v>
      </c>
      <c r="AU393" s="114" t="str">
        <f>IF(A393&lt;&gt;"",INDEX(Index!$B$1:$B$77,MATCH($A393,Index!$A$1:$A$77,0)),"")</f>
        <v>WAS</v>
      </c>
      <c r="AV393" s="123" t="str">
        <f>IF(B393&lt;&gt;"",INDEX(Index!$C$1:$C$77,MATCH($A393,Index!$A$1:$A$77,0)),"")</f>
        <v>Mariota</v>
      </c>
      <c r="AW393" s="123">
        <f t="shared" si="7"/>
        <v>34</v>
      </c>
      <c r="AX393" s="113">
        <v>11</v>
      </c>
    </row>
    <row r="394" spans="1:50" x14ac:dyDescent="0.25">
      <c r="A394" s="95" t="s">
        <v>579</v>
      </c>
      <c r="B394" s="96">
        <v>2025</v>
      </c>
      <c r="C394" s="96">
        <v>8</v>
      </c>
      <c r="D394" s="115">
        <v>-0.83564000000000005</v>
      </c>
      <c r="E394" s="115">
        <v>-0.36142000000000002</v>
      </c>
      <c r="F394" s="115">
        <v>0.85229100000000002</v>
      </c>
      <c r="G394" s="115">
        <v>38.322099999999999</v>
      </c>
      <c r="H394" s="115">
        <v>0.12520000000000001</v>
      </c>
      <c r="I394" s="115">
        <v>161</v>
      </c>
      <c r="J394" s="115">
        <v>241</v>
      </c>
      <c r="K394" s="115">
        <v>0.66800000000000004</v>
      </c>
      <c r="L394" s="115">
        <v>0.62119999999999997</v>
      </c>
      <c r="M394" s="115">
        <v>1702</v>
      </c>
      <c r="N394" s="115">
        <v>7.0621999999999998</v>
      </c>
      <c r="O394" s="115">
        <v>11</v>
      </c>
      <c r="P394" s="115">
        <v>5</v>
      </c>
      <c r="Q394" s="115">
        <v>17</v>
      </c>
      <c r="R394" s="115">
        <v>26</v>
      </c>
      <c r="S394" s="115">
        <v>190</v>
      </c>
      <c r="T394" s="115">
        <v>7.3076999999999996</v>
      </c>
      <c r="U394" s="115">
        <v>0</v>
      </c>
      <c r="V394" s="115">
        <v>4.5600000000000002E-2</v>
      </c>
      <c r="W394" s="115">
        <v>2.07E-2</v>
      </c>
      <c r="X394" s="115">
        <v>2.4899999999999999E-2</v>
      </c>
      <c r="Y394" s="115">
        <v>0.49020000000000002</v>
      </c>
      <c r="Z394" s="115">
        <v>93.75</v>
      </c>
      <c r="AA394" s="115">
        <v>6.0038999999999998</v>
      </c>
      <c r="AB394" s="115">
        <v>167.54400000000001</v>
      </c>
      <c r="AC394" s="115">
        <v>65.400000000000006</v>
      </c>
      <c r="AD394" s="115">
        <v>4.3099999999999999E-2</v>
      </c>
      <c r="AE394" s="115">
        <v>1.1999999999999999E-3</v>
      </c>
      <c r="AF394" s="115">
        <v>2.4400000000000002E-2</v>
      </c>
      <c r="AG394" s="115">
        <v>2.2200000000000001E-2</v>
      </c>
      <c r="AH394" s="115">
        <v>1E-3</v>
      </c>
      <c r="AI394" s="115">
        <v>-1.9199999999999998E-2</v>
      </c>
      <c r="AJ394" s="115">
        <v>-2.7300000000000001E-2</v>
      </c>
      <c r="AK394" s="115">
        <v>7.8464999999999998</v>
      </c>
      <c r="AL394" s="115">
        <v>-1.1036999999999999</v>
      </c>
      <c r="AM394" s="115">
        <v>3</v>
      </c>
      <c r="AN394" s="115">
        <v>5</v>
      </c>
      <c r="AO394" s="115">
        <v>0</v>
      </c>
      <c r="AP394" s="115">
        <v>0</v>
      </c>
      <c r="AQ394" s="115">
        <v>3</v>
      </c>
      <c r="AR394" s="115">
        <v>0</v>
      </c>
      <c r="AS394" s="115">
        <v>1.1000000000000001E-3</v>
      </c>
      <c r="AT394" s="115">
        <v>0.35149999999999998</v>
      </c>
      <c r="AU394" s="114" t="str">
        <f>IF(A394&lt;&gt;"",INDEX(Index!$B$1:$B$77,MATCH($A394,Index!$A$1:$A$77,0)),"")</f>
        <v>HOU</v>
      </c>
      <c r="AV394" s="123" t="str">
        <f>IF(B394&lt;&gt;"",INDEX(Index!$C$1:$C$77,MATCH($A394,Index!$A$1:$A$77,0)),"")</f>
        <v>Stroud</v>
      </c>
      <c r="AW394" s="123">
        <f t="shared" si="7"/>
        <v>22</v>
      </c>
      <c r="AX394" s="113">
        <v>11</v>
      </c>
    </row>
    <row r="395" spans="1:50" x14ac:dyDescent="0.25">
      <c r="A395" s="95" t="s">
        <v>565</v>
      </c>
      <c r="B395" s="96">
        <v>2025</v>
      </c>
      <c r="C395" s="96">
        <v>11</v>
      </c>
      <c r="D395" s="115">
        <v>-0.90569599999999995</v>
      </c>
      <c r="E395" s="115">
        <v>-0.41537000000000002</v>
      </c>
      <c r="F395" s="115">
        <v>-2.27481</v>
      </c>
      <c r="G395" s="115">
        <v>8.0242000000000004</v>
      </c>
      <c r="H395" s="115">
        <v>2.2200000000000001E-2</v>
      </c>
      <c r="I395" s="115">
        <v>213</v>
      </c>
      <c r="J395" s="115">
        <v>311</v>
      </c>
      <c r="K395" s="115">
        <v>0.68489999999999995</v>
      </c>
      <c r="L395" s="115">
        <v>1.8565</v>
      </c>
      <c r="M395" s="115">
        <v>2123</v>
      </c>
      <c r="N395" s="115">
        <v>6.8263999999999996</v>
      </c>
      <c r="O395" s="115">
        <v>17</v>
      </c>
      <c r="P395" s="115">
        <v>13</v>
      </c>
      <c r="Q395" s="115">
        <v>21</v>
      </c>
      <c r="R395" s="115">
        <v>8</v>
      </c>
      <c r="S395" s="115">
        <v>37</v>
      </c>
      <c r="T395" s="115">
        <v>4.625</v>
      </c>
      <c r="U395" s="115">
        <v>0</v>
      </c>
      <c r="V395" s="115">
        <v>5.4699999999999999E-2</v>
      </c>
      <c r="W395" s="115">
        <v>4.1799999999999997E-2</v>
      </c>
      <c r="X395" s="115">
        <v>1.29E-2</v>
      </c>
      <c r="Y395" s="115">
        <v>0.44319999999999998</v>
      </c>
      <c r="Z395" s="115">
        <v>88.404300000000006</v>
      </c>
      <c r="AA395" s="115">
        <v>5.2560000000000002</v>
      </c>
      <c r="AB395" s="115">
        <v>118.227</v>
      </c>
      <c r="AC395" s="115">
        <v>42.9</v>
      </c>
      <c r="AD395" s="115">
        <v>-2.6700000000000002E-2</v>
      </c>
      <c r="AE395" s="115">
        <v>8.6E-3</v>
      </c>
      <c r="AF395" s="115">
        <v>2.3199999999999998E-2</v>
      </c>
      <c r="AG395" s="115">
        <v>-4.5900000000000003E-2</v>
      </c>
      <c r="AH395" s="115">
        <v>-2.3900000000000001E-2</v>
      </c>
      <c r="AI395" s="115">
        <v>4.3799999999999999E-2</v>
      </c>
      <c r="AJ395" s="115">
        <v>-3.6700000000000003E-2</v>
      </c>
      <c r="AK395" s="115">
        <v>6.8006000000000002</v>
      </c>
      <c r="AL395" s="115">
        <v>-2.1124999999999998</v>
      </c>
      <c r="AM395" s="115">
        <v>4</v>
      </c>
      <c r="AN395" s="115">
        <v>7</v>
      </c>
      <c r="AO395" s="115">
        <v>0</v>
      </c>
      <c r="AP395" s="115">
        <v>1</v>
      </c>
      <c r="AQ395" s="115">
        <v>5</v>
      </c>
      <c r="AR395" s="115">
        <v>0.2</v>
      </c>
      <c r="AS395" s="115">
        <v>2.0000000000000001E-4</v>
      </c>
      <c r="AT395" s="115">
        <v>7.7200000000000005E-2</v>
      </c>
      <c r="AU395" s="114" t="str">
        <f>IF(A395&lt;&gt;"",INDEX(Index!$B$1:$B$77,MATCH($A395,Index!$A$1:$A$77,0)),"")</f>
        <v>MIA</v>
      </c>
      <c r="AV395" s="123" t="str">
        <f>IF(B395&lt;&gt;"",INDEX(Index!$C$1:$C$77,MATCH($A395,Index!$A$1:$A$77,0)),"")</f>
        <v>Tagovailoa</v>
      </c>
      <c r="AW395" s="123">
        <f t="shared" si="7"/>
        <v>9</v>
      </c>
      <c r="AX395" s="113">
        <v>11</v>
      </c>
    </row>
    <row r="396" spans="1:50" x14ac:dyDescent="0.25">
      <c r="A396" s="95" t="s">
        <v>596</v>
      </c>
      <c r="B396" s="96">
        <v>2025</v>
      </c>
      <c r="C396" s="96">
        <v>1</v>
      </c>
      <c r="D396" s="115">
        <v>-0.96853599999999995</v>
      </c>
      <c r="E396" s="115">
        <v>-3.9623400000000003E-2</v>
      </c>
      <c r="F396" s="115">
        <v>-3.9623400000000003E-2</v>
      </c>
      <c r="G396" s="115">
        <v>8.8056000000000001</v>
      </c>
      <c r="H396" s="115">
        <v>0.25159999999999999</v>
      </c>
      <c r="I396" s="115">
        <v>19</v>
      </c>
      <c r="J396" s="115">
        <v>29</v>
      </c>
      <c r="K396" s="115">
        <v>0.6552</v>
      </c>
      <c r="L396" s="115">
        <v>0.50080000000000002</v>
      </c>
      <c r="M396" s="115">
        <v>201</v>
      </c>
      <c r="N396" s="115">
        <v>6.931</v>
      </c>
      <c r="O396" s="115">
        <v>0</v>
      </c>
      <c r="P396" s="115">
        <v>1</v>
      </c>
      <c r="Q396" s="115">
        <v>2</v>
      </c>
      <c r="R396" s="115">
        <v>2</v>
      </c>
      <c r="S396" s="115">
        <v>11</v>
      </c>
      <c r="T396" s="115">
        <v>5.5</v>
      </c>
      <c r="U396" s="115">
        <v>1</v>
      </c>
      <c r="V396" s="115">
        <v>0</v>
      </c>
      <c r="W396" s="115">
        <v>3.4500000000000003E-2</v>
      </c>
      <c r="X396" s="115">
        <v>-3.4500000000000003E-2</v>
      </c>
      <c r="Y396" s="115">
        <v>0.48570000000000002</v>
      </c>
      <c r="Z396" s="115">
        <v>71.192499999999995</v>
      </c>
      <c r="AA396" s="115">
        <v>4.8064999999999998</v>
      </c>
      <c r="AB396" s="115">
        <v>137.75299999999999</v>
      </c>
      <c r="AC396" s="115">
        <v>59.1</v>
      </c>
      <c r="AD396" s="115">
        <v>2.64E-2</v>
      </c>
      <c r="AE396" s="115">
        <v>4.1000000000000003E-3</v>
      </c>
      <c r="AF396" s="115">
        <v>4.07E-2</v>
      </c>
      <c r="AG396" s="115">
        <v>-3.8800000000000001E-2</v>
      </c>
      <c r="AH396" s="115">
        <v>0.15540000000000001</v>
      </c>
      <c r="AI396" s="115">
        <v>-3.0999999999999999E-3</v>
      </c>
      <c r="AJ396" s="115">
        <v>-1.29E-2</v>
      </c>
      <c r="AK396" s="115">
        <v>7.5517000000000003</v>
      </c>
      <c r="AL396" s="115">
        <v>0.10340000000000001</v>
      </c>
      <c r="AM396" s="115">
        <v>0</v>
      </c>
      <c r="AN396" s="115">
        <v>1</v>
      </c>
      <c r="AO396" s="115">
        <v>0</v>
      </c>
      <c r="AP396" s="115">
        <v>0</v>
      </c>
      <c r="AQ396" s="115">
        <v>1</v>
      </c>
      <c r="AR396" s="115">
        <v>0</v>
      </c>
      <c r="AS396" s="115">
        <v>5.4000000000000003E-3</v>
      </c>
      <c r="AT396" s="115">
        <v>0.1903</v>
      </c>
      <c r="AU396" s="114" t="str">
        <f>IF(A396&lt;&gt;"",INDEX(Index!$B$1:$B$77,MATCH($A396,Index!$A$1:$A$77,0)),"")</f>
        <v>NYG</v>
      </c>
      <c r="AV396" s="123" t="str">
        <f>IF(B396&lt;&gt;"",INDEX(Index!$C$1:$C$77,MATCH($A396,Index!$A$1:$A$77,0)),"")</f>
        <v>Winston</v>
      </c>
      <c r="AW396" s="123">
        <f t="shared" si="7"/>
        <v>45</v>
      </c>
      <c r="AX396" s="113">
        <v>11</v>
      </c>
    </row>
    <row r="397" spans="1:50" x14ac:dyDescent="0.25">
      <c r="A397" s="95" t="s">
        <v>571</v>
      </c>
      <c r="B397" s="96">
        <v>2025</v>
      </c>
      <c r="C397" s="96">
        <v>10</v>
      </c>
      <c r="D397" s="115">
        <v>-1.0525899999999999</v>
      </c>
      <c r="E397" s="115">
        <v>0.15546299999999999</v>
      </c>
      <c r="F397" s="115">
        <v>-0.719472</v>
      </c>
      <c r="G397" s="115">
        <v>5.8631000000000002</v>
      </c>
      <c r="H397" s="115">
        <v>1.37E-2</v>
      </c>
      <c r="I397" s="115">
        <v>202</v>
      </c>
      <c r="J397" s="115">
        <v>335</v>
      </c>
      <c r="K397" s="115">
        <v>0.60299999999999998</v>
      </c>
      <c r="L397" s="115">
        <v>-5.4065000000000003</v>
      </c>
      <c r="M397" s="115">
        <v>2151</v>
      </c>
      <c r="N397" s="115">
        <v>6.4208999999999996</v>
      </c>
      <c r="O397" s="115">
        <v>11</v>
      </c>
      <c r="P397" s="115">
        <v>8</v>
      </c>
      <c r="Q397" s="115">
        <v>26</v>
      </c>
      <c r="R397" s="115">
        <v>41</v>
      </c>
      <c r="S397" s="115">
        <v>189</v>
      </c>
      <c r="T397" s="115">
        <v>4.6097999999999999</v>
      </c>
      <c r="U397" s="115">
        <v>5</v>
      </c>
      <c r="V397" s="115">
        <v>3.2800000000000003E-2</v>
      </c>
      <c r="W397" s="115">
        <v>2.3900000000000001E-2</v>
      </c>
      <c r="X397" s="115">
        <v>8.9999999999999993E-3</v>
      </c>
      <c r="Y397" s="115">
        <v>0.4556</v>
      </c>
      <c r="Z397" s="115">
        <v>80.080799999999996</v>
      </c>
      <c r="AA397" s="115">
        <v>5.1356999999999999</v>
      </c>
      <c r="AB397" s="115">
        <v>133.78299999999999</v>
      </c>
      <c r="AC397" s="115">
        <v>43.2</v>
      </c>
      <c r="AD397" s="115">
        <v>-8.9999999999999993E-3</v>
      </c>
      <c r="AE397" s="115">
        <v>1.47E-2</v>
      </c>
      <c r="AF397" s="115">
        <v>-3.4299999999999997E-2</v>
      </c>
      <c r="AG397" s="115">
        <v>-3.5999999999999999E-3</v>
      </c>
      <c r="AH397" s="115">
        <v>1.03E-2</v>
      </c>
      <c r="AI397" s="115">
        <v>-5.0799999999999998E-2</v>
      </c>
      <c r="AJ397" s="115">
        <v>6.4000000000000003E-3</v>
      </c>
      <c r="AK397" s="115">
        <v>8.1254000000000008</v>
      </c>
      <c r="AL397" s="115">
        <v>-1.1164000000000001</v>
      </c>
      <c r="AM397" s="115">
        <v>6</v>
      </c>
      <c r="AN397" s="115">
        <v>4</v>
      </c>
      <c r="AO397" s="115">
        <v>0</v>
      </c>
      <c r="AP397" s="115">
        <v>2</v>
      </c>
      <c r="AQ397" s="115">
        <v>5</v>
      </c>
      <c r="AR397" s="115">
        <v>0.4</v>
      </c>
      <c r="AS397" s="115">
        <v>5.0000000000000001E-4</v>
      </c>
      <c r="AT397" s="115">
        <v>0.23380000000000001</v>
      </c>
      <c r="AU397" s="114" t="str">
        <f>IF(A397&lt;&gt;"",INDEX(Index!$B$1:$B$77,MATCH($A397,Index!$A$1:$A$77,0)),"")</f>
        <v>JAX</v>
      </c>
      <c r="AV397" s="123" t="str">
        <f>IF(B397&lt;&gt;"",INDEX(Index!$C$1:$C$77,MATCH($A397,Index!$A$1:$A$77,0)),"")</f>
        <v>Lawrence</v>
      </c>
      <c r="AW397" s="123">
        <f t="shared" si="7"/>
        <v>6</v>
      </c>
      <c r="AX397" s="113">
        <v>11</v>
      </c>
    </row>
    <row r="398" spans="1:50" x14ac:dyDescent="0.25">
      <c r="A398" s="95" t="s">
        <v>569</v>
      </c>
      <c r="B398" s="96">
        <v>2025</v>
      </c>
      <c r="C398" s="96">
        <v>9</v>
      </c>
      <c r="D398" s="115">
        <v>-1.2964800000000001</v>
      </c>
      <c r="E398" s="115">
        <v>0.21746399999999999</v>
      </c>
      <c r="F398" s="115">
        <v>-1.01745</v>
      </c>
      <c r="G398" s="115">
        <v>-10.984999999999999</v>
      </c>
      <c r="H398" s="115">
        <v>-3.5999999999999997E-2</v>
      </c>
      <c r="I398" s="115">
        <v>128</v>
      </c>
      <c r="J398" s="115">
        <v>202</v>
      </c>
      <c r="K398" s="115">
        <v>0.63370000000000004</v>
      </c>
      <c r="L398" s="115">
        <v>-1.8688</v>
      </c>
      <c r="M398" s="115">
        <v>1242</v>
      </c>
      <c r="N398" s="115">
        <v>6.1485000000000003</v>
      </c>
      <c r="O398" s="115">
        <v>7</v>
      </c>
      <c r="P398" s="115">
        <v>1</v>
      </c>
      <c r="Q398" s="115">
        <v>27</v>
      </c>
      <c r="R398" s="115">
        <v>65</v>
      </c>
      <c r="S398" s="115">
        <v>387</v>
      </c>
      <c r="T398" s="115">
        <v>5.9538000000000002</v>
      </c>
      <c r="U398" s="115">
        <v>4</v>
      </c>
      <c r="V398" s="115">
        <v>3.4700000000000002E-2</v>
      </c>
      <c r="W398" s="115">
        <v>5.0000000000000001E-3</v>
      </c>
      <c r="X398" s="115">
        <v>2.9700000000000001E-2</v>
      </c>
      <c r="Y398" s="115">
        <v>0.44919999999999999</v>
      </c>
      <c r="Z398" s="115">
        <v>89.995900000000006</v>
      </c>
      <c r="AA398" s="115">
        <v>5</v>
      </c>
      <c r="AB398" s="115">
        <v>128.06</v>
      </c>
      <c r="AC398" s="115">
        <v>38.200000000000003</v>
      </c>
      <c r="AD398" s="115">
        <v>1.8499999999999999E-2</v>
      </c>
      <c r="AE398" s="115">
        <v>-3.4200000000000001E-2</v>
      </c>
      <c r="AF398" s="115">
        <v>2.9899999999999999E-2</v>
      </c>
      <c r="AG398" s="115">
        <v>5.5199999999999999E-2</v>
      </c>
      <c r="AH398" s="115">
        <v>-4.6800000000000001E-2</v>
      </c>
      <c r="AI398" s="115">
        <v>-0.10730000000000001</v>
      </c>
      <c r="AJ398" s="115">
        <v>-3.1300000000000001E-2</v>
      </c>
      <c r="AK398" s="115">
        <v>6.8266999999999998</v>
      </c>
      <c r="AL398" s="115">
        <v>-2.1484999999999999</v>
      </c>
      <c r="AM398" s="115">
        <v>2</v>
      </c>
      <c r="AN398" s="115">
        <v>7</v>
      </c>
      <c r="AO398" s="115">
        <v>0</v>
      </c>
      <c r="AP398" s="115">
        <v>1</v>
      </c>
      <c r="AQ398" s="115">
        <v>4</v>
      </c>
      <c r="AR398" s="115">
        <v>0.25</v>
      </c>
      <c r="AS398" s="115">
        <v>-4.0000000000000001E-3</v>
      </c>
      <c r="AT398" s="115">
        <v>-1.2298</v>
      </c>
      <c r="AU398" s="114" t="str">
        <f>IF(A398&lt;&gt;"",INDEX(Index!$B$1:$B$77,MATCH($A398,Index!$A$1:$A$77,0)),"")</f>
        <v>NYJ</v>
      </c>
      <c r="AV398" s="123" t="str">
        <f>IF(B398&lt;&gt;"",INDEX(Index!$C$1:$C$77,MATCH($A398,Index!$A$1:$A$77,0)),"")</f>
        <v>Fields</v>
      </c>
      <c r="AW398" s="123">
        <f t="shared" si="7"/>
        <v>5</v>
      </c>
      <c r="AX398" s="113">
        <v>11</v>
      </c>
    </row>
    <row r="399" spans="1:50" x14ac:dyDescent="0.25">
      <c r="A399" s="95" t="s">
        <v>592</v>
      </c>
      <c r="B399" s="96">
        <v>2025</v>
      </c>
      <c r="C399" s="96">
        <v>1</v>
      </c>
      <c r="D399" s="115">
        <v>-1.40903</v>
      </c>
      <c r="E399" s="115">
        <v>0.366983</v>
      </c>
      <c r="F399" s="115">
        <v>0.366983</v>
      </c>
      <c r="G399" s="115">
        <v>7.5486000000000004</v>
      </c>
      <c r="H399" s="115">
        <v>0.13719999999999999</v>
      </c>
      <c r="I399" s="115">
        <v>27</v>
      </c>
      <c r="J399" s="115">
        <v>36</v>
      </c>
      <c r="K399" s="115">
        <v>0.75</v>
      </c>
      <c r="L399" s="115">
        <v>10.9704</v>
      </c>
      <c r="M399" s="115">
        <v>254</v>
      </c>
      <c r="N399" s="115">
        <v>7.0556000000000001</v>
      </c>
      <c r="O399" s="115">
        <v>1</v>
      </c>
      <c r="P399" s="115">
        <v>0</v>
      </c>
      <c r="Q399" s="115">
        <v>6</v>
      </c>
      <c r="R399" s="115">
        <v>11</v>
      </c>
      <c r="S399" s="115">
        <v>92</v>
      </c>
      <c r="T399" s="115">
        <v>8.3635999999999999</v>
      </c>
      <c r="U399" s="115">
        <v>0</v>
      </c>
      <c r="V399" s="115">
        <v>2.7799999999999998E-2</v>
      </c>
      <c r="W399" s="115">
        <v>0</v>
      </c>
      <c r="X399" s="115">
        <v>2.7799999999999998E-2</v>
      </c>
      <c r="Y399" s="115">
        <v>0.5091</v>
      </c>
      <c r="Z399" s="115">
        <v>103.241</v>
      </c>
      <c r="AA399" s="115">
        <v>5.7857000000000003</v>
      </c>
      <c r="AB399" s="115">
        <v>232.892</v>
      </c>
      <c r="AC399" s="115">
        <v>84.5</v>
      </c>
      <c r="AD399" s="115">
        <v>0.13289999999999999</v>
      </c>
      <c r="AE399" s="115">
        <v>-1.7500000000000002E-2</v>
      </c>
      <c r="AF399" s="115">
        <v>3.1899999999999998E-2</v>
      </c>
      <c r="AG399" s="115">
        <v>7.2900000000000006E-2</v>
      </c>
      <c r="AH399" s="115">
        <v>-5.4000000000000003E-3</v>
      </c>
      <c r="AI399" s="115">
        <v>-0.1401</v>
      </c>
      <c r="AJ399" s="115">
        <v>-1.7399999999999999E-2</v>
      </c>
      <c r="AK399" s="115">
        <v>8.1943999999999999</v>
      </c>
      <c r="AL399" s="115">
        <v>-1.4443999999999999</v>
      </c>
      <c r="AM399" s="115">
        <v>1</v>
      </c>
      <c r="AN399" s="115">
        <v>1</v>
      </c>
      <c r="AO399" s="115">
        <v>0</v>
      </c>
      <c r="AP399" s="115">
        <v>0</v>
      </c>
      <c r="AQ399" s="115">
        <v>0</v>
      </c>
      <c r="AR399" s="115"/>
      <c r="AS399" s="115">
        <v>3.8E-3</v>
      </c>
      <c r="AT399" s="115">
        <v>0.21</v>
      </c>
      <c r="AU399" s="114" t="str">
        <f>IF(A399&lt;&gt;"",INDEX(Index!$B$1:$B$77,MATCH($A399,Index!$A$1:$A$77,0)),"")</f>
        <v>BAL</v>
      </c>
      <c r="AV399" s="123" t="str">
        <f>IF(B399&lt;&gt;"",INDEX(Index!$C$1:$C$77,MATCH($A399,Index!$A$1:$A$77,0)),"")</f>
        <v>Huntley</v>
      </c>
      <c r="AW399" s="123">
        <f t="shared" si="7"/>
        <v>41</v>
      </c>
      <c r="AX399" s="113">
        <v>11</v>
      </c>
    </row>
    <row r="400" spans="1:50" x14ac:dyDescent="0.25">
      <c r="A400" s="95" t="s">
        <v>578</v>
      </c>
      <c r="B400" s="96">
        <v>2025</v>
      </c>
      <c r="C400" s="96">
        <v>9</v>
      </c>
      <c r="D400" s="115">
        <v>-1.5605899999999999</v>
      </c>
      <c r="E400" s="115">
        <v>0.10895100000000001</v>
      </c>
      <c r="F400" s="115">
        <v>0.26578200000000002</v>
      </c>
      <c r="G400" s="115">
        <v>19.752199999999998</v>
      </c>
      <c r="H400" s="115">
        <v>6.1199999999999997E-2</v>
      </c>
      <c r="I400" s="115">
        <v>166</v>
      </c>
      <c r="J400" s="115">
        <v>276</v>
      </c>
      <c r="K400" s="115">
        <v>0.60140000000000005</v>
      </c>
      <c r="L400" s="115">
        <v>-3.6196999999999999</v>
      </c>
      <c r="M400" s="115">
        <v>1982</v>
      </c>
      <c r="N400" s="115">
        <v>7.1811999999999996</v>
      </c>
      <c r="O400" s="115">
        <v>9</v>
      </c>
      <c r="P400" s="115">
        <v>3</v>
      </c>
      <c r="Q400" s="115">
        <v>13</v>
      </c>
      <c r="R400" s="115">
        <v>13</v>
      </c>
      <c r="S400" s="115">
        <v>77</v>
      </c>
      <c r="T400" s="115">
        <v>5.9230999999999998</v>
      </c>
      <c r="U400" s="115">
        <v>1</v>
      </c>
      <c r="V400" s="115">
        <v>3.2599999999999997E-2</v>
      </c>
      <c r="W400" s="115">
        <v>1.09E-2</v>
      </c>
      <c r="X400" s="115">
        <v>2.1700000000000001E-2</v>
      </c>
      <c r="Y400" s="115">
        <v>0.4768</v>
      </c>
      <c r="Z400" s="115">
        <v>88.466200000000001</v>
      </c>
      <c r="AA400" s="115">
        <v>6.6643999999999997</v>
      </c>
      <c r="AB400" s="115">
        <v>138.63399999999999</v>
      </c>
      <c r="AC400" s="115">
        <v>56.4</v>
      </c>
      <c r="AD400" s="115">
        <v>4.5999999999999999E-3</v>
      </c>
      <c r="AE400" s="115">
        <v>1.37E-2</v>
      </c>
      <c r="AF400" s="115">
        <v>-7.2999999999999995E-2</v>
      </c>
      <c r="AG400" s="115">
        <v>1.49E-2</v>
      </c>
      <c r="AH400" s="115">
        <v>6.8400000000000002E-2</v>
      </c>
      <c r="AI400" s="115">
        <v>-5.5300000000000002E-2</v>
      </c>
      <c r="AJ400" s="115">
        <v>7.6E-3</v>
      </c>
      <c r="AK400" s="115">
        <v>8.3332999999999995</v>
      </c>
      <c r="AL400" s="115">
        <v>-0.52900000000000003</v>
      </c>
      <c r="AM400" s="115">
        <v>3</v>
      </c>
      <c r="AN400" s="115">
        <v>6</v>
      </c>
      <c r="AO400" s="115">
        <v>0</v>
      </c>
      <c r="AP400" s="115">
        <v>0</v>
      </c>
      <c r="AQ400" s="115">
        <v>4</v>
      </c>
      <c r="AR400" s="115">
        <v>0</v>
      </c>
      <c r="AS400" s="115">
        <v>3.5000000000000001E-3</v>
      </c>
      <c r="AT400" s="115">
        <v>1.1247</v>
      </c>
      <c r="AU400" s="114" t="str">
        <f>IF(A400&lt;&gt;"",INDEX(Index!$B$1:$B$77,MATCH($A400,Index!$A$1:$A$77,0)),"")</f>
        <v>ATL</v>
      </c>
      <c r="AV400" s="123" t="str">
        <f>IF(B400&lt;&gt;"",INDEX(Index!$C$1:$C$77,MATCH($A400,Index!$A$1:$A$77,0)),"")</f>
        <v>Penix</v>
      </c>
      <c r="AW400" s="123">
        <f t="shared" si="7"/>
        <v>32</v>
      </c>
      <c r="AX400" s="113">
        <v>11</v>
      </c>
    </row>
    <row r="401" spans="1:50" x14ac:dyDescent="0.25">
      <c r="A401" s="95" t="s">
        <v>576</v>
      </c>
      <c r="B401" s="96">
        <v>2025</v>
      </c>
      <c r="C401" s="96">
        <v>10</v>
      </c>
      <c r="D401" s="115">
        <v>-1.5916999999999999</v>
      </c>
      <c r="E401" s="115">
        <v>0.715866</v>
      </c>
      <c r="F401" s="115">
        <v>-0.31713799999999998</v>
      </c>
      <c r="G401" s="115">
        <v>7.0991</v>
      </c>
      <c r="H401" s="115">
        <v>1.9E-2</v>
      </c>
      <c r="I401" s="115">
        <v>197</v>
      </c>
      <c r="J401" s="115">
        <v>313</v>
      </c>
      <c r="K401" s="115">
        <v>0.62939999999999996</v>
      </c>
      <c r="L401" s="115">
        <v>-0.68189999999999995</v>
      </c>
      <c r="M401" s="115">
        <v>1962</v>
      </c>
      <c r="N401" s="115">
        <v>6.2683999999999997</v>
      </c>
      <c r="O401" s="115">
        <v>14</v>
      </c>
      <c r="P401" s="115">
        <v>7</v>
      </c>
      <c r="Q401" s="115">
        <v>19</v>
      </c>
      <c r="R401" s="115">
        <v>15</v>
      </c>
      <c r="S401" s="115">
        <v>92</v>
      </c>
      <c r="T401" s="115">
        <v>6.1333000000000002</v>
      </c>
      <c r="U401" s="115">
        <v>1</v>
      </c>
      <c r="V401" s="115">
        <v>4.4699999999999997E-2</v>
      </c>
      <c r="W401" s="115">
        <v>2.24E-2</v>
      </c>
      <c r="X401" s="115">
        <v>2.24E-2</v>
      </c>
      <c r="Y401" s="115">
        <v>0.47589999999999999</v>
      </c>
      <c r="Z401" s="115">
        <v>86.242000000000004</v>
      </c>
      <c r="AA401" s="115">
        <v>5.3765000000000001</v>
      </c>
      <c r="AB401" s="115">
        <v>122.089</v>
      </c>
      <c r="AC401" s="115">
        <v>45.8</v>
      </c>
      <c r="AD401" s="115">
        <v>-7.1000000000000004E-3</v>
      </c>
      <c r="AE401" s="115">
        <v>-2.18E-2</v>
      </c>
      <c r="AF401" s="115">
        <v>-3.44E-2</v>
      </c>
      <c r="AG401" s="115">
        <v>-1.2699999999999999E-2</v>
      </c>
      <c r="AH401" s="115">
        <v>-4.4000000000000003E-3</v>
      </c>
      <c r="AI401" s="115">
        <v>-1.2800000000000001E-2</v>
      </c>
      <c r="AJ401" s="115">
        <v>3.2300000000000002E-2</v>
      </c>
      <c r="AK401" s="115">
        <v>6.4537000000000004</v>
      </c>
      <c r="AL401" s="115">
        <v>-1.8657999999999999</v>
      </c>
      <c r="AM401" s="115">
        <v>6</v>
      </c>
      <c r="AN401" s="115">
        <v>4</v>
      </c>
      <c r="AO401" s="115">
        <v>0</v>
      </c>
      <c r="AP401" s="115">
        <v>3</v>
      </c>
      <c r="AQ401" s="115">
        <v>5</v>
      </c>
      <c r="AR401" s="115">
        <v>0.6</v>
      </c>
      <c r="AS401" s="115">
        <v>1.5E-3</v>
      </c>
      <c r="AT401" s="115">
        <v>0.56120000000000003</v>
      </c>
      <c r="AU401" s="114" t="str">
        <f>IF(A401&lt;&gt;"",INDEX(Index!$B$1:$B$77,MATCH($A401,Index!$A$1:$A$77,0)),"")</f>
        <v>CAR</v>
      </c>
      <c r="AV401" s="123" t="str">
        <f>IF(B401&lt;&gt;"",INDEX(Index!$C$1:$C$77,MATCH($A401,Index!$A$1:$A$77,0)),"")</f>
        <v>Young</v>
      </c>
      <c r="AW401" s="123">
        <f t="shared" si="7"/>
        <v>16</v>
      </c>
      <c r="AX401" s="113">
        <v>11</v>
      </c>
    </row>
    <row r="402" spans="1:50" x14ac:dyDescent="0.25">
      <c r="A402" s="95" t="s">
        <v>584</v>
      </c>
      <c r="B402" s="96">
        <v>2025</v>
      </c>
      <c r="C402" s="96">
        <v>1</v>
      </c>
      <c r="D402" s="115">
        <v>-1.59632</v>
      </c>
      <c r="E402" s="115">
        <v>5.3784800000000001E-2</v>
      </c>
      <c r="F402" s="115">
        <v>5.3784800000000001E-2</v>
      </c>
      <c r="G402" s="115">
        <v>-4.1516000000000002</v>
      </c>
      <c r="H402" s="115">
        <v>-4.3700000000000003E-2</v>
      </c>
      <c r="I402" s="115">
        <v>43</v>
      </c>
      <c r="J402" s="115">
        <v>68</v>
      </c>
      <c r="K402" s="115">
        <v>0.63239999999999996</v>
      </c>
      <c r="L402" s="115">
        <v>1.5486</v>
      </c>
      <c r="M402" s="115">
        <v>379</v>
      </c>
      <c r="N402" s="115">
        <v>5.5735000000000001</v>
      </c>
      <c r="O402" s="115">
        <v>3</v>
      </c>
      <c r="P402" s="115">
        <v>3</v>
      </c>
      <c r="Q402" s="115">
        <v>9</v>
      </c>
      <c r="R402" s="115">
        <v>13</v>
      </c>
      <c r="S402" s="115">
        <v>81</v>
      </c>
      <c r="T402" s="115">
        <v>6.2308000000000003</v>
      </c>
      <c r="U402" s="115">
        <v>0</v>
      </c>
      <c r="V402" s="115">
        <v>4.41E-2</v>
      </c>
      <c r="W402" s="115">
        <v>4.41E-2</v>
      </c>
      <c r="X402" s="115">
        <v>0</v>
      </c>
      <c r="Y402" s="115">
        <v>0.4526</v>
      </c>
      <c r="Z402" s="115">
        <v>74.325999999999993</v>
      </c>
      <c r="AA402" s="115">
        <v>3.2856999999999998</v>
      </c>
      <c r="AB402" s="115">
        <v>146.065</v>
      </c>
      <c r="AC402" s="115"/>
      <c r="AD402" s="115">
        <v>-2.8799999999999999E-2</v>
      </c>
      <c r="AE402" s="115">
        <v>-3.7900000000000003E-2</v>
      </c>
      <c r="AF402" s="115">
        <v>2.5499999999999998E-2</v>
      </c>
      <c r="AG402" s="115">
        <v>-6.7500000000000004E-2</v>
      </c>
      <c r="AH402" s="115">
        <v>5.7500000000000002E-2</v>
      </c>
      <c r="AI402" s="115">
        <v>-7.1900000000000006E-2</v>
      </c>
      <c r="AJ402" s="115">
        <v>-5.0000000000000001E-4</v>
      </c>
      <c r="AK402" s="115">
        <v>7.6471</v>
      </c>
      <c r="AL402" s="115">
        <v>-0.95589999999999997</v>
      </c>
      <c r="AM402" s="115">
        <v>0</v>
      </c>
      <c r="AN402" s="115">
        <v>3</v>
      </c>
      <c r="AO402" s="115">
        <v>0</v>
      </c>
      <c r="AP402" s="115">
        <v>0</v>
      </c>
      <c r="AQ402" s="115">
        <v>1</v>
      </c>
      <c r="AR402" s="115">
        <v>0</v>
      </c>
      <c r="AS402" s="115">
        <v>-6.1999999999999998E-3</v>
      </c>
      <c r="AT402" s="115">
        <v>-0.5907</v>
      </c>
      <c r="AU402" s="114" t="str">
        <f>IF(A402&lt;&gt;"",INDEX(Index!$B$1:$B$77,MATCH($A402,Index!$A$1:$A$77,0)),"")</f>
        <v>NYJ</v>
      </c>
      <c r="AV402" s="123" t="str">
        <f>IF(B402&lt;&gt;"",INDEX(Index!$C$1:$C$77,MATCH($A402,Index!$A$1:$A$77,0)),"")</f>
        <v>Taylor</v>
      </c>
      <c r="AW402" s="123">
        <f t="shared" si="7"/>
        <v>37</v>
      </c>
      <c r="AX402" s="113">
        <v>11</v>
      </c>
    </row>
    <row r="403" spans="1:50" x14ac:dyDescent="0.25">
      <c r="A403" s="95" t="s">
        <v>595</v>
      </c>
      <c r="B403" s="96">
        <v>2025</v>
      </c>
      <c r="C403" s="96">
        <v>2</v>
      </c>
      <c r="D403" s="115">
        <v>-1.63784</v>
      </c>
      <c r="E403" s="115">
        <v>2.83167E-2</v>
      </c>
      <c r="F403" s="115">
        <v>0.38225799999999999</v>
      </c>
      <c r="G403" s="115">
        <v>0.86699999999999999</v>
      </c>
      <c r="H403" s="115">
        <v>6.1999999999999998E-3</v>
      </c>
      <c r="I403" s="115">
        <v>72</v>
      </c>
      <c r="J403" s="115">
        <v>120</v>
      </c>
      <c r="K403" s="115">
        <v>0.6</v>
      </c>
      <c r="L403" s="115">
        <v>-4.6900000000000004</v>
      </c>
      <c r="M403" s="115">
        <v>726</v>
      </c>
      <c r="N403" s="115">
        <v>6.05</v>
      </c>
      <c r="O403" s="115">
        <v>3</v>
      </c>
      <c r="P403" s="115">
        <v>1</v>
      </c>
      <c r="Q403" s="115">
        <v>8</v>
      </c>
      <c r="R403" s="115">
        <v>7</v>
      </c>
      <c r="S403" s="115">
        <v>46</v>
      </c>
      <c r="T403" s="115">
        <v>6.5713999999999997</v>
      </c>
      <c r="U403" s="115">
        <v>1</v>
      </c>
      <c r="V403" s="115">
        <v>2.5000000000000001E-2</v>
      </c>
      <c r="W403" s="115">
        <v>8.3000000000000001E-3</v>
      </c>
      <c r="X403" s="115">
        <v>1.67E-2</v>
      </c>
      <c r="Y403" s="115">
        <v>0.43880000000000002</v>
      </c>
      <c r="Z403" s="115">
        <v>82.152799999999999</v>
      </c>
      <c r="AA403" s="115">
        <v>5.3202999999999996</v>
      </c>
      <c r="AB403" s="115">
        <v>180.30699999999999</v>
      </c>
      <c r="AC403" s="115">
        <v>49.9</v>
      </c>
      <c r="AD403" s="115">
        <v>-1.2500000000000001E-2</v>
      </c>
      <c r="AE403" s="115">
        <v>-8.0000000000000002E-3</v>
      </c>
      <c r="AF403" s="115">
        <v>-4.3200000000000002E-2</v>
      </c>
      <c r="AG403" s="115">
        <v>3.3099999999999997E-2</v>
      </c>
      <c r="AH403" s="115">
        <v>0.1358</v>
      </c>
      <c r="AI403" s="115">
        <v>-0.1744</v>
      </c>
      <c r="AJ403" s="115">
        <v>-4.4999999999999997E-3</v>
      </c>
      <c r="AK403" s="115">
        <v>8.9582999999999995</v>
      </c>
      <c r="AL403" s="115">
        <v>5.8299999999999998E-2</v>
      </c>
      <c r="AM403" s="115">
        <v>3</v>
      </c>
      <c r="AN403" s="115">
        <v>1</v>
      </c>
      <c r="AO403" s="115">
        <v>0</v>
      </c>
      <c r="AP403" s="115">
        <v>1</v>
      </c>
      <c r="AQ403" s="115">
        <v>1</v>
      </c>
      <c r="AR403" s="115">
        <v>1</v>
      </c>
      <c r="AS403" s="115">
        <v>1.8E-3</v>
      </c>
      <c r="AT403" s="115">
        <v>0.24390000000000001</v>
      </c>
      <c r="AU403" s="114" t="str">
        <f>IF(A403&lt;&gt;"",INDEX(Index!$B$1:$B$77,MATCH($A403,Index!$A$1:$A$77,0)),"")</f>
        <v>HOU</v>
      </c>
      <c r="AV403" s="123" t="str">
        <f>IF(B403&lt;&gt;"",INDEX(Index!$C$1:$C$77,MATCH($A403,Index!$A$1:$A$77,0)),"")</f>
        <v>Mills</v>
      </c>
      <c r="AW403" s="123">
        <f t="shared" si="7"/>
        <v>39</v>
      </c>
      <c r="AX403" s="113">
        <v>11</v>
      </c>
    </row>
    <row r="404" spans="1:50" x14ac:dyDescent="0.25">
      <c r="A404" s="95" t="s">
        <v>585</v>
      </c>
      <c r="B404" s="96">
        <v>2025</v>
      </c>
      <c r="C404" s="96">
        <v>3</v>
      </c>
      <c r="D404" s="115">
        <v>-1.88527</v>
      </c>
      <c r="E404" s="115">
        <v>0.13401099999999999</v>
      </c>
      <c r="F404" s="115">
        <v>-0.76969699999999996</v>
      </c>
      <c r="G404" s="115">
        <v>-36.548900000000003</v>
      </c>
      <c r="H404" s="115">
        <v>-0.2389</v>
      </c>
      <c r="I404" s="115">
        <v>80</v>
      </c>
      <c r="J404" s="115">
        <v>124</v>
      </c>
      <c r="K404" s="115">
        <v>0.6452</v>
      </c>
      <c r="L404" s="115">
        <v>0.1186</v>
      </c>
      <c r="M404" s="115">
        <v>757</v>
      </c>
      <c r="N404" s="115">
        <v>6.1048</v>
      </c>
      <c r="O404" s="115">
        <v>6</v>
      </c>
      <c r="P404" s="115">
        <v>8</v>
      </c>
      <c r="Q404" s="115">
        <v>9</v>
      </c>
      <c r="R404" s="115">
        <v>8</v>
      </c>
      <c r="S404" s="115">
        <v>40</v>
      </c>
      <c r="T404" s="115">
        <v>5</v>
      </c>
      <c r="U404" s="115">
        <v>1</v>
      </c>
      <c r="V404" s="115">
        <v>4.8399999999999999E-2</v>
      </c>
      <c r="W404" s="115">
        <v>6.4500000000000002E-2</v>
      </c>
      <c r="X404" s="115">
        <v>-1.61E-2</v>
      </c>
      <c r="Y404" s="115">
        <v>0.43140000000000001</v>
      </c>
      <c r="Z404" s="115">
        <v>70.530900000000003</v>
      </c>
      <c r="AA404" s="115">
        <v>3.4361000000000002</v>
      </c>
      <c r="AB404" s="115">
        <v>58.973999999999997</v>
      </c>
      <c r="AC404" s="115"/>
      <c r="AD404" s="115">
        <v>1.32E-2</v>
      </c>
      <c r="AE404" s="115">
        <v>6.4999999999999997E-3</v>
      </c>
      <c r="AF404" s="115">
        <v>2.4899999999999999E-2</v>
      </c>
      <c r="AG404" s="115">
        <v>-0.18229999999999999</v>
      </c>
      <c r="AH404" s="115">
        <v>-8.8900000000000007E-2</v>
      </c>
      <c r="AI404" s="115">
        <v>-0.13589999999999999</v>
      </c>
      <c r="AJ404" s="115">
        <v>4.3700000000000003E-2</v>
      </c>
      <c r="AK404" s="115">
        <v>7.6612999999999998</v>
      </c>
      <c r="AL404" s="115">
        <v>-1.5323</v>
      </c>
      <c r="AM404" s="115">
        <v>1</v>
      </c>
      <c r="AN404" s="115">
        <v>3</v>
      </c>
      <c r="AO404" s="115">
        <v>0</v>
      </c>
      <c r="AP404" s="115">
        <v>1</v>
      </c>
      <c r="AQ404" s="115">
        <v>1</v>
      </c>
      <c r="AR404" s="115">
        <v>1</v>
      </c>
      <c r="AS404" s="115">
        <v>-5.9999999999999995E-4</v>
      </c>
      <c r="AT404" s="115">
        <v>-8.9099999999999999E-2</v>
      </c>
      <c r="AU404" s="114" t="str">
        <f>IF(A404&lt;&gt;"",INDEX(Index!$B$1:$B$77,MATCH($A404,Index!$A$1:$A$77,0)),"")</f>
        <v>CIN</v>
      </c>
      <c r="AV404" s="123" t="str">
        <f>IF(B404&lt;&gt;"",INDEX(Index!$C$1:$C$77,MATCH($A404,Index!$A$1:$A$77,0)),"")</f>
        <v>Browning</v>
      </c>
      <c r="AW404" s="123">
        <f t="shared" si="7"/>
        <v>37</v>
      </c>
      <c r="AX404" s="113">
        <v>11</v>
      </c>
    </row>
    <row r="405" spans="1:50" x14ac:dyDescent="0.25">
      <c r="A405" s="95" t="s">
        <v>594</v>
      </c>
      <c r="B405" s="96">
        <v>2025</v>
      </c>
      <c r="C405" s="96">
        <v>2</v>
      </c>
      <c r="D405" s="115">
        <v>-2.1937500000000001</v>
      </c>
      <c r="E405" s="115">
        <v>0.44922400000000001</v>
      </c>
      <c r="F405" s="115">
        <v>0.421879</v>
      </c>
      <c r="G405" s="115">
        <v>-5.3000999999999996</v>
      </c>
      <c r="H405" s="115">
        <v>-5.6399999999999999E-2</v>
      </c>
      <c r="I405" s="115">
        <v>51</v>
      </c>
      <c r="J405" s="115">
        <v>82</v>
      </c>
      <c r="K405" s="115">
        <v>0.622</v>
      </c>
      <c r="L405" s="115">
        <v>-3.9051999999999998</v>
      </c>
      <c r="M405" s="115">
        <v>586</v>
      </c>
      <c r="N405" s="115">
        <v>7.1463000000000001</v>
      </c>
      <c r="O405" s="115">
        <v>3</v>
      </c>
      <c r="P405" s="115">
        <v>2</v>
      </c>
      <c r="Q405" s="115">
        <v>5</v>
      </c>
      <c r="R405" s="115">
        <v>5</v>
      </c>
      <c r="S405" s="115">
        <v>17</v>
      </c>
      <c r="T405" s="115">
        <v>3.4</v>
      </c>
      <c r="U405" s="115">
        <v>0</v>
      </c>
      <c r="V405" s="115">
        <v>3.6600000000000001E-2</v>
      </c>
      <c r="W405" s="115">
        <v>2.4400000000000002E-2</v>
      </c>
      <c r="X405" s="115">
        <v>1.2200000000000001E-2</v>
      </c>
      <c r="Y405" s="115">
        <v>0.41489999999999999</v>
      </c>
      <c r="Z405" s="115">
        <v>85.721500000000006</v>
      </c>
      <c r="AA405" s="115">
        <v>5.8966000000000003</v>
      </c>
      <c r="AB405" s="115">
        <v>167.453</v>
      </c>
      <c r="AC405" s="115">
        <v>47.1</v>
      </c>
      <c r="AD405" s="115">
        <v>-2.98E-2</v>
      </c>
      <c r="AE405" s="115">
        <v>-2.3099999999999999E-2</v>
      </c>
      <c r="AF405" s="115">
        <v>-6.5699999999999995E-2</v>
      </c>
      <c r="AG405" s="115">
        <v>-1.2699999999999999E-2</v>
      </c>
      <c r="AH405" s="115">
        <v>3.1300000000000001E-2</v>
      </c>
      <c r="AI405" s="115">
        <v>-7.1999999999999998E-3</v>
      </c>
      <c r="AJ405" s="115">
        <v>-2.9100000000000001E-2</v>
      </c>
      <c r="AK405" s="115">
        <v>9.1707000000000001</v>
      </c>
      <c r="AL405" s="115">
        <v>1.2317</v>
      </c>
      <c r="AM405" s="115">
        <v>1</v>
      </c>
      <c r="AN405" s="115">
        <v>3</v>
      </c>
      <c r="AO405" s="115">
        <v>0</v>
      </c>
      <c r="AP405" s="115">
        <v>0</v>
      </c>
      <c r="AQ405" s="115">
        <v>0</v>
      </c>
      <c r="AR405" s="115"/>
      <c r="AS405" s="115">
        <v>2.5999999999999999E-3</v>
      </c>
      <c r="AT405" s="115">
        <v>0.2422</v>
      </c>
      <c r="AU405" s="114" t="str">
        <f>IF(A405&lt;&gt;"",INDEX(Index!$B$1:$B$77,MATCH($A405,Index!$A$1:$A$77,0)),"")</f>
        <v>NO</v>
      </c>
      <c r="AV405" s="123" t="str">
        <f>IF(B405&lt;&gt;"",INDEX(Index!$C$1:$C$77,MATCH($A405,Index!$A$1:$A$77,0)),"")</f>
        <v>Shough</v>
      </c>
      <c r="AW405" s="123">
        <f t="shared" si="7"/>
        <v>42</v>
      </c>
      <c r="AX405" s="113">
        <v>11</v>
      </c>
    </row>
    <row r="406" spans="1:50" x14ac:dyDescent="0.25">
      <c r="A406" s="95" t="s">
        <v>593</v>
      </c>
      <c r="B406" s="96">
        <v>2025</v>
      </c>
      <c r="C406" s="96">
        <v>1</v>
      </c>
      <c r="D406" s="115">
        <v>-2.2293799999999999</v>
      </c>
      <c r="E406" s="115">
        <v>-0.78385899999999997</v>
      </c>
      <c r="F406" s="115">
        <v>-0.78385899999999997</v>
      </c>
      <c r="G406" s="115">
        <v>-8.7080000000000002</v>
      </c>
      <c r="H406" s="115">
        <v>-0.18140000000000001</v>
      </c>
      <c r="I406" s="115">
        <v>25</v>
      </c>
      <c r="J406" s="115">
        <v>37</v>
      </c>
      <c r="K406" s="115">
        <v>0.67569999999999997</v>
      </c>
      <c r="L406" s="115">
        <v>6.5959000000000003</v>
      </c>
      <c r="M406" s="115">
        <v>293</v>
      </c>
      <c r="N406" s="115">
        <v>7.9188999999999998</v>
      </c>
      <c r="O406" s="115">
        <v>1</v>
      </c>
      <c r="P406" s="115">
        <v>1</v>
      </c>
      <c r="Q406" s="115">
        <v>8</v>
      </c>
      <c r="R406" s="115">
        <v>1</v>
      </c>
      <c r="S406" s="115">
        <v>1</v>
      </c>
      <c r="T406" s="115">
        <v>1</v>
      </c>
      <c r="U406" s="115">
        <v>0</v>
      </c>
      <c r="V406" s="115">
        <v>2.7E-2</v>
      </c>
      <c r="W406" s="115">
        <v>2.7E-2</v>
      </c>
      <c r="X406" s="115">
        <v>0</v>
      </c>
      <c r="Y406" s="115">
        <v>0.45829999999999999</v>
      </c>
      <c r="Z406" s="115">
        <v>89.132900000000006</v>
      </c>
      <c r="AA406" s="115">
        <v>4.7556000000000003</v>
      </c>
      <c r="AB406" s="115">
        <v>-93.4208</v>
      </c>
      <c r="AC406" s="115"/>
      <c r="AD406" s="115">
        <v>-0.1207</v>
      </c>
      <c r="AE406" s="115">
        <v>-0.2742</v>
      </c>
      <c r="AF406" s="115">
        <v>1.8499999999999999E-2</v>
      </c>
      <c r="AG406" s="115">
        <v>-7.9600000000000004E-2</v>
      </c>
      <c r="AH406" s="115">
        <v>0.28449999999999998</v>
      </c>
      <c r="AI406" s="115">
        <v>-9.1700000000000004E-2</v>
      </c>
      <c r="AJ406" s="115">
        <v>1.9E-3</v>
      </c>
      <c r="AK406" s="115">
        <v>9.4054000000000002</v>
      </c>
      <c r="AL406" s="115">
        <v>1.5405</v>
      </c>
      <c r="AM406" s="115">
        <v>1</v>
      </c>
      <c r="AN406" s="115">
        <v>2</v>
      </c>
      <c r="AO406" s="115">
        <v>0</v>
      </c>
      <c r="AP406" s="115">
        <v>0</v>
      </c>
      <c r="AQ406" s="115">
        <v>0</v>
      </c>
      <c r="AR406" s="115"/>
      <c r="AS406" s="115">
        <v>-8.2000000000000007E-3</v>
      </c>
      <c r="AT406" s="115">
        <v>-0.39529999999999998</v>
      </c>
      <c r="AU406" s="114" t="str">
        <f>IF(A406&lt;&gt;"",INDEX(Index!$B$1:$B$77,MATCH($A406,Index!$A$1:$A$77,0)),"")</f>
        <v>CAR</v>
      </c>
      <c r="AV406" s="123" t="str">
        <f>IF(B406&lt;&gt;"",INDEX(Index!$C$1:$C$77,MATCH($A406,Index!$A$1:$A$77,0)),"")</f>
        <v>Dalton</v>
      </c>
      <c r="AW406" s="123">
        <f t="shared" si="7"/>
        <v>39</v>
      </c>
      <c r="AX406" s="113">
        <v>11</v>
      </c>
    </row>
    <row r="407" spans="1:50" x14ac:dyDescent="0.25">
      <c r="A407" s="95" t="s">
        <v>586</v>
      </c>
      <c r="B407" s="96">
        <v>2025</v>
      </c>
      <c r="C407" s="96">
        <v>5</v>
      </c>
      <c r="D407" s="115">
        <v>-2.4065599999999998</v>
      </c>
      <c r="E407" s="115">
        <v>-0.60543899999999995</v>
      </c>
      <c r="F407" s="115">
        <v>-0.248695</v>
      </c>
      <c r="G407" s="115">
        <v>12.968299999999999</v>
      </c>
      <c r="H407" s="115">
        <v>6.3E-2</v>
      </c>
      <c r="I407" s="115">
        <v>110</v>
      </c>
      <c r="J407" s="115">
        <v>168</v>
      </c>
      <c r="K407" s="115">
        <v>0.65480000000000005</v>
      </c>
      <c r="L407" s="115">
        <v>1.1112</v>
      </c>
      <c r="M407" s="115">
        <v>1216</v>
      </c>
      <c r="N407" s="115">
        <v>7.2381000000000002</v>
      </c>
      <c r="O407" s="115">
        <v>6</v>
      </c>
      <c r="P407" s="115">
        <v>5</v>
      </c>
      <c r="Q407" s="115">
        <v>19</v>
      </c>
      <c r="R407" s="115">
        <v>9</v>
      </c>
      <c r="S407" s="115">
        <v>57</v>
      </c>
      <c r="T407" s="115">
        <v>6.3333000000000004</v>
      </c>
      <c r="U407" s="115">
        <v>0</v>
      </c>
      <c r="V407" s="115">
        <v>3.5700000000000003E-2</v>
      </c>
      <c r="W407" s="115">
        <v>2.98E-2</v>
      </c>
      <c r="X407" s="115">
        <v>6.0000000000000001E-3</v>
      </c>
      <c r="Y407" s="115">
        <v>0.48060000000000003</v>
      </c>
      <c r="Z407" s="115">
        <v>86.3095</v>
      </c>
      <c r="AA407" s="115">
        <v>5.2727000000000004</v>
      </c>
      <c r="AB407" s="115">
        <v>107.76</v>
      </c>
      <c r="AC407" s="115">
        <v>43.1</v>
      </c>
      <c r="AD407" s="115">
        <v>-2.1299999999999999E-2</v>
      </c>
      <c r="AE407" s="115">
        <v>-3.2300000000000002E-2</v>
      </c>
      <c r="AF407" s="115">
        <v>2.4299999999999999E-2</v>
      </c>
      <c r="AG407" s="115">
        <v>-3.3399999999999999E-2</v>
      </c>
      <c r="AH407" s="115">
        <v>7.0000000000000001E-3</v>
      </c>
      <c r="AI407" s="115">
        <v>3.56E-2</v>
      </c>
      <c r="AJ407" s="115">
        <v>3.0999999999999999E-3</v>
      </c>
      <c r="AK407" s="115">
        <v>7.6666999999999996</v>
      </c>
      <c r="AL407" s="115">
        <v>-1.3571</v>
      </c>
      <c r="AM407" s="115">
        <v>2</v>
      </c>
      <c r="AN407" s="115">
        <v>3</v>
      </c>
      <c r="AO407" s="115">
        <v>0</v>
      </c>
      <c r="AP407" s="115">
        <v>1</v>
      </c>
      <c r="AQ407" s="115">
        <v>3</v>
      </c>
      <c r="AR407" s="115">
        <v>0.33329999999999999</v>
      </c>
      <c r="AS407" s="115">
        <v>1.1999999999999999E-3</v>
      </c>
      <c r="AT407" s="115">
        <v>0.23880000000000001</v>
      </c>
      <c r="AU407" s="114" t="str">
        <f>IF(A407&lt;&gt;"",INDEX(Index!$B$1:$B$77,MATCH($A407,Index!$A$1:$A$77,0)),"")</f>
        <v>MIN</v>
      </c>
      <c r="AV407" s="123" t="str">
        <f>IF(B407&lt;&gt;"",INDEX(Index!$C$1:$C$77,MATCH($A407,Index!$A$1:$A$77,0)),"")</f>
        <v>Wentz</v>
      </c>
      <c r="AW407" s="123">
        <f t="shared" si="7"/>
        <v>16</v>
      </c>
      <c r="AX407" s="113">
        <v>11</v>
      </c>
    </row>
    <row r="408" spans="1:50" x14ac:dyDescent="0.25">
      <c r="A408" s="95" t="s">
        <v>572</v>
      </c>
      <c r="B408" s="96">
        <v>2025</v>
      </c>
      <c r="C408" s="96">
        <v>10</v>
      </c>
      <c r="D408" s="115">
        <v>-2.4554900000000002</v>
      </c>
      <c r="E408" s="115">
        <v>-0.22278400000000001</v>
      </c>
      <c r="F408" s="115">
        <v>-2.4443000000000001</v>
      </c>
      <c r="G408" s="115">
        <v>-32.6922</v>
      </c>
      <c r="H408" s="115">
        <v>-8.4500000000000006E-2</v>
      </c>
      <c r="I408" s="115">
        <v>205</v>
      </c>
      <c r="J408" s="115">
        <v>307</v>
      </c>
      <c r="K408" s="115">
        <v>0.66779999999999995</v>
      </c>
      <c r="L408" s="115">
        <v>-1.3071999999999999</v>
      </c>
      <c r="M408" s="115">
        <v>2082</v>
      </c>
      <c r="N408" s="115">
        <v>6.7817999999999996</v>
      </c>
      <c r="O408" s="115">
        <v>12</v>
      </c>
      <c r="P408" s="115">
        <v>13</v>
      </c>
      <c r="Q408" s="115">
        <v>31</v>
      </c>
      <c r="R408" s="115">
        <v>28</v>
      </c>
      <c r="S408" s="115">
        <v>107</v>
      </c>
      <c r="T408" s="115">
        <v>3.8214000000000001</v>
      </c>
      <c r="U408" s="115">
        <v>0</v>
      </c>
      <c r="V408" s="115">
        <v>3.9100000000000003E-2</v>
      </c>
      <c r="W408" s="115">
        <v>4.2299999999999997E-2</v>
      </c>
      <c r="X408" s="115">
        <v>-3.3E-3</v>
      </c>
      <c r="Y408" s="115">
        <v>0.45219999999999999</v>
      </c>
      <c r="Z408" s="115">
        <v>81.372100000000003</v>
      </c>
      <c r="AA408" s="115">
        <v>4.5058999999999996</v>
      </c>
      <c r="AB408" s="115">
        <v>71.177999999999997</v>
      </c>
      <c r="AC408" s="115">
        <v>32.6</v>
      </c>
      <c r="AD408" s="115">
        <v>-2.1399999999999999E-2</v>
      </c>
      <c r="AE408" s="115">
        <v>-4.1000000000000002E-2</v>
      </c>
      <c r="AF408" s="115">
        <v>3.8199999999999998E-2</v>
      </c>
      <c r="AG408" s="115">
        <v>-9.5500000000000002E-2</v>
      </c>
      <c r="AH408" s="115">
        <v>-0.12959999999999999</v>
      </c>
      <c r="AI408" s="115">
        <v>8.5699999999999998E-2</v>
      </c>
      <c r="AJ408" s="115">
        <v>-8.0000000000000004E-4</v>
      </c>
      <c r="AK408" s="115">
        <v>5.9771999999999998</v>
      </c>
      <c r="AL408" s="115">
        <v>-2.8534000000000002</v>
      </c>
      <c r="AM408" s="115">
        <v>2</v>
      </c>
      <c r="AN408" s="115">
        <v>8</v>
      </c>
      <c r="AO408" s="115">
        <v>0</v>
      </c>
      <c r="AP408" s="115">
        <v>0</v>
      </c>
      <c r="AQ408" s="115">
        <v>3</v>
      </c>
      <c r="AR408" s="115">
        <v>0</v>
      </c>
      <c r="AS408" s="115">
        <v>-1.4E-3</v>
      </c>
      <c r="AT408" s="115">
        <v>-0.52400000000000002</v>
      </c>
      <c r="AU408" s="114" t="str">
        <f>IF(A408&lt;&gt;"",INDEX(Index!$B$1:$B$77,MATCH($A408,Index!$A$1:$A$77,0)),"")</f>
        <v>LV</v>
      </c>
      <c r="AV408" s="123" t="str">
        <f>IF(B408&lt;&gt;"",INDEX(Index!$C$1:$C$77,MATCH($A408,Index!$A$1:$A$77,0)),"")</f>
        <v>Smith</v>
      </c>
      <c r="AW408" s="123">
        <f t="shared" si="7"/>
        <v>4</v>
      </c>
      <c r="AX408" s="113">
        <v>11</v>
      </c>
    </row>
    <row r="409" spans="1:50" x14ac:dyDescent="0.25">
      <c r="A409" s="95" t="s">
        <v>588</v>
      </c>
      <c r="B409" s="96">
        <v>2025</v>
      </c>
      <c r="C409" s="96">
        <v>2</v>
      </c>
      <c r="D409" s="115">
        <v>-2.4565899999999998</v>
      </c>
      <c r="E409" s="115">
        <v>-0.378133</v>
      </c>
      <c r="F409" s="115">
        <v>-0.79516200000000004</v>
      </c>
      <c r="G409" s="115">
        <v>-25.889299999999999</v>
      </c>
      <c r="H409" s="115">
        <v>-0.45419999999999999</v>
      </c>
      <c r="I409" s="115">
        <v>34</v>
      </c>
      <c r="J409" s="115">
        <v>52</v>
      </c>
      <c r="K409" s="115">
        <v>0.65380000000000005</v>
      </c>
      <c r="L409" s="115">
        <v>-1.9399</v>
      </c>
      <c r="M409" s="115">
        <v>303</v>
      </c>
      <c r="N409" s="115">
        <v>5.8269000000000002</v>
      </c>
      <c r="O409" s="115">
        <v>0</v>
      </c>
      <c r="P409" s="115">
        <v>4</v>
      </c>
      <c r="Q409" s="115">
        <v>1</v>
      </c>
      <c r="R409" s="115">
        <v>0</v>
      </c>
      <c r="S409" s="115">
        <v>0</v>
      </c>
      <c r="T409" s="115"/>
      <c r="U409" s="115">
        <v>0</v>
      </c>
      <c r="V409" s="115">
        <v>0</v>
      </c>
      <c r="W409" s="115">
        <v>7.6899999999999996E-2</v>
      </c>
      <c r="X409" s="115">
        <v>-7.6899999999999996E-2</v>
      </c>
      <c r="Y409" s="115">
        <v>0.42109999999999997</v>
      </c>
      <c r="Z409" s="115">
        <v>48.798099999999998</v>
      </c>
      <c r="AA409" s="115">
        <v>2.0188999999999999</v>
      </c>
      <c r="AB409" s="115">
        <v>12.234400000000001</v>
      </c>
      <c r="AC409" s="115"/>
      <c r="AD409" s="115">
        <v>-3.1199999999999999E-2</v>
      </c>
      <c r="AE409" s="115">
        <v>0.06</v>
      </c>
      <c r="AF409" s="115">
        <v>-5.4800000000000001E-2</v>
      </c>
      <c r="AG409" s="115">
        <v>-0.23019999999999999</v>
      </c>
      <c r="AH409" s="115">
        <v>-0.2205</v>
      </c>
      <c r="AI409" s="115">
        <v>-1.8700000000000001E-2</v>
      </c>
      <c r="AJ409" s="115">
        <v>-3.8800000000000001E-2</v>
      </c>
      <c r="AK409" s="115">
        <v>6.4423000000000004</v>
      </c>
      <c r="AL409" s="115">
        <v>-2.0577000000000001</v>
      </c>
      <c r="AM409" s="115">
        <v>0</v>
      </c>
      <c r="AN409" s="115">
        <v>3</v>
      </c>
      <c r="AO409" s="115">
        <v>0</v>
      </c>
      <c r="AP409" s="115">
        <v>0</v>
      </c>
      <c r="AQ409" s="115">
        <v>0</v>
      </c>
      <c r="AR409" s="115"/>
      <c r="AS409" s="115">
        <v>-6.8999999999999999E-3</v>
      </c>
      <c r="AT409" s="115">
        <v>-0.39179999999999998</v>
      </c>
      <c r="AU409" s="114" t="str">
        <f>IF(A409&lt;&gt;"",INDEX(Index!$B$1:$B$77,MATCH($A409,Index!$A$1:$A$77,0)),"")</f>
        <v>BAL</v>
      </c>
      <c r="AV409" s="123" t="str">
        <f>IF(B409&lt;&gt;"",INDEX(Index!$C$1:$C$77,MATCH($A409,Index!$A$1:$A$77,0)),"")</f>
        <v>Rush</v>
      </c>
      <c r="AW409" s="123">
        <f t="shared" si="7"/>
        <v>46</v>
      </c>
      <c r="AX409" s="113">
        <v>11</v>
      </c>
    </row>
    <row r="410" spans="1:50" x14ac:dyDescent="0.25">
      <c r="A410" s="95" t="s">
        <v>581</v>
      </c>
      <c r="B410" s="96">
        <v>2025</v>
      </c>
      <c r="C410" s="96">
        <v>8</v>
      </c>
      <c r="D410" s="115">
        <v>-2.5257900000000002</v>
      </c>
      <c r="E410" s="115">
        <v>-0.47380100000000003</v>
      </c>
      <c r="F410" s="115">
        <v>0.738784</v>
      </c>
      <c r="G410" s="115">
        <v>-17.053899999999999</v>
      </c>
      <c r="H410" s="115">
        <v>-5.28E-2</v>
      </c>
      <c r="I410" s="115">
        <v>174</v>
      </c>
      <c r="J410" s="115">
        <v>253</v>
      </c>
      <c r="K410" s="115">
        <v>0.68769999999999998</v>
      </c>
      <c r="L410" s="115">
        <v>2.3567999999999998</v>
      </c>
      <c r="M410" s="115">
        <v>1586</v>
      </c>
      <c r="N410" s="115">
        <v>6.2687999999999997</v>
      </c>
      <c r="O410" s="115">
        <v>8</v>
      </c>
      <c r="P410" s="115">
        <v>5</v>
      </c>
      <c r="Q410" s="115">
        <v>18</v>
      </c>
      <c r="R410" s="115">
        <v>30</v>
      </c>
      <c r="S410" s="115">
        <v>168</v>
      </c>
      <c r="T410" s="115">
        <v>5.6</v>
      </c>
      <c r="U410" s="115">
        <v>0</v>
      </c>
      <c r="V410" s="115">
        <v>3.1600000000000003E-2</v>
      </c>
      <c r="W410" s="115">
        <v>1.9800000000000002E-2</v>
      </c>
      <c r="X410" s="115">
        <v>1.1900000000000001E-2</v>
      </c>
      <c r="Y410" s="115">
        <v>0.47989999999999999</v>
      </c>
      <c r="Z410" s="115">
        <v>87.821100000000001</v>
      </c>
      <c r="AA410" s="115">
        <v>5.2287999999999997</v>
      </c>
      <c r="AB410" s="115">
        <v>139.14599999999999</v>
      </c>
      <c r="AC410" s="115">
        <v>49.1</v>
      </c>
      <c r="AD410" s="115">
        <v>-1.5E-3</v>
      </c>
      <c r="AE410" s="115">
        <v>1.0500000000000001E-2</v>
      </c>
      <c r="AF410" s="115">
        <v>2.41E-2</v>
      </c>
      <c r="AG410" s="115">
        <v>9.7000000000000003E-3</v>
      </c>
      <c r="AH410" s="115">
        <v>-5.0299999999999997E-2</v>
      </c>
      <c r="AI410" s="115">
        <v>-0.13</v>
      </c>
      <c r="AJ410" s="115">
        <v>4.7999999999999996E-3</v>
      </c>
      <c r="AK410" s="115">
        <v>8.0078999999999994</v>
      </c>
      <c r="AL410" s="115">
        <v>-1.1028</v>
      </c>
      <c r="AM410" s="115">
        <v>1</v>
      </c>
      <c r="AN410" s="115">
        <v>7</v>
      </c>
      <c r="AO410" s="115">
        <v>0</v>
      </c>
      <c r="AP410" s="115">
        <v>0</v>
      </c>
      <c r="AQ410" s="115">
        <v>4</v>
      </c>
      <c r="AR410" s="115">
        <v>0</v>
      </c>
      <c r="AS410" s="115">
        <v>-2.8E-3</v>
      </c>
      <c r="AT410" s="115">
        <v>-0.89029999999999998</v>
      </c>
      <c r="AU410" s="114" t="str">
        <f>IF(A410&lt;&gt;"",INDEX(Index!$B$1:$B$77,MATCH($A410,Index!$A$1:$A$77,0)),"")</f>
        <v>NO</v>
      </c>
      <c r="AV410" s="123" t="str">
        <f>IF(B410&lt;&gt;"",INDEX(Index!$C$1:$C$77,MATCH($A410,Index!$A$1:$A$77,0)),"")</f>
        <v>Rattler</v>
      </c>
      <c r="AW410" s="123">
        <f t="shared" si="7"/>
        <v>19</v>
      </c>
      <c r="AX410" s="113">
        <v>11</v>
      </c>
    </row>
    <row r="411" spans="1:50" x14ac:dyDescent="0.25">
      <c r="A411" s="95" t="s">
        <v>580</v>
      </c>
      <c r="B411" s="96">
        <v>2025</v>
      </c>
      <c r="C411" s="96">
        <v>5</v>
      </c>
      <c r="D411" s="115">
        <v>-3.16479</v>
      </c>
      <c r="E411" s="115">
        <v>-0.38831500000000002</v>
      </c>
      <c r="F411" s="115">
        <v>-1.59365</v>
      </c>
      <c r="G411" s="115">
        <v>-38.817100000000003</v>
      </c>
      <c r="H411" s="115">
        <v>-0.21690000000000001</v>
      </c>
      <c r="I411" s="115">
        <v>74</v>
      </c>
      <c r="J411" s="115">
        <v>140</v>
      </c>
      <c r="K411" s="115">
        <v>0.52859999999999996</v>
      </c>
      <c r="L411" s="115">
        <v>-9.2402999999999995</v>
      </c>
      <c r="M411" s="115">
        <v>842</v>
      </c>
      <c r="N411" s="115">
        <v>6.0143000000000004</v>
      </c>
      <c r="O411" s="115">
        <v>6</v>
      </c>
      <c r="P411" s="115">
        <v>8</v>
      </c>
      <c r="Q411" s="115">
        <v>15</v>
      </c>
      <c r="R411" s="115">
        <v>15</v>
      </c>
      <c r="S411" s="115">
        <v>115</v>
      </c>
      <c r="T411" s="115">
        <v>7.6666999999999996</v>
      </c>
      <c r="U411" s="115">
        <v>2</v>
      </c>
      <c r="V411" s="115">
        <v>4.2900000000000001E-2</v>
      </c>
      <c r="W411" s="115">
        <v>5.7099999999999998E-2</v>
      </c>
      <c r="X411" s="115">
        <v>-1.43E-2</v>
      </c>
      <c r="Y411" s="115">
        <v>0.39660000000000001</v>
      </c>
      <c r="Z411" s="115">
        <v>61.666699999999999</v>
      </c>
      <c r="AA411" s="115">
        <v>3.3871000000000002</v>
      </c>
      <c r="AB411" s="115">
        <v>22.626300000000001</v>
      </c>
      <c r="AC411" s="115"/>
      <c r="AD411" s="115">
        <v>1.23E-2</v>
      </c>
      <c r="AE411" s="115">
        <v>-5.2299999999999999E-2</v>
      </c>
      <c r="AF411" s="115">
        <v>-0.1152</v>
      </c>
      <c r="AG411" s="115">
        <v>-0.12720000000000001</v>
      </c>
      <c r="AH411" s="115">
        <v>6.08E-2</v>
      </c>
      <c r="AI411" s="115">
        <v>-0.111</v>
      </c>
      <c r="AJ411" s="115">
        <v>3.5700000000000003E-2</v>
      </c>
      <c r="AK411" s="115">
        <v>9.9571000000000005</v>
      </c>
      <c r="AL411" s="115">
        <v>1.5713999999999999</v>
      </c>
      <c r="AM411" s="115">
        <v>2</v>
      </c>
      <c r="AN411" s="115">
        <v>3</v>
      </c>
      <c r="AO411" s="115">
        <v>0</v>
      </c>
      <c r="AP411" s="115">
        <v>1</v>
      </c>
      <c r="AQ411" s="115">
        <v>4</v>
      </c>
      <c r="AR411" s="115">
        <v>0.25</v>
      </c>
      <c r="AS411" s="115">
        <v>-1.5E-3</v>
      </c>
      <c r="AT411" s="115">
        <v>-0.26540000000000002</v>
      </c>
      <c r="AU411" s="114" t="str">
        <f>IF(A411&lt;&gt;"",INDEX(Index!$B$1:$B$77,MATCH($A411,Index!$A$1:$A$77,0)),"")</f>
        <v>MIN</v>
      </c>
      <c r="AV411" s="123" t="str">
        <f>IF(B411&lt;&gt;"",INDEX(Index!$C$1:$C$77,MATCH($A411,Index!$A$1:$A$77,0)),"")</f>
        <v>McCarthy</v>
      </c>
      <c r="AW411" s="123">
        <f t="shared" si="7"/>
        <v>30</v>
      </c>
      <c r="AX411" s="113">
        <v>11</v>
      </c>
    </row>
    <row r="412" spans="1:50" x14ac:dyDescent="0.25">
      <c r="A412" s="95" t="s">
        <v>582</v>
      </c>
      <c r="B412" s="96">
        <v>2025</v>
      </c>
      <c r="C412" s="96">
        <v>10</v>
      </c>
      <c r="D412" s="115">
        <v>-3.6945399999999999</v>
      </c>
      <c r="E412" s="115">
        <v>0.49219600000000002</v>
      </c>
      <c r="F412" s="115">
        <v>-2.2532100000000002</v>
      </c>
      <c r="G412" s="115">
        <v>-73.446200000000005</v>
      </c>
      <c r="H412" s="115">
        <v>-0.1787</v>
      </c>
      <c r="I412" s="115">
        <v>194</v>
      </c>
      <c r="J412" s="115">
        <v>329</v>
      </c>
      <c r="K412" s="115">
        <v>0.5897</v>
      </c>
      <c r="L412" s="115">
        <v>-5.2003000000000004</v>
      </c>
      <c r="M412" s="115">
        <v>1954</v>
      </c>
      <c r="N412" s="115">
        <v>5.9391999999999996</v>
      </c>
      <c r="O412" s="115">
        <v>6</v>
      </c>
      <c r="P412" s="115">
        <v>6</v>
      </c>
      <c r="Q412" s="115">
        <v>41</v>
      </c>
      <c r="R412" s="115">
        <v>16</v>
      </c>
      <c r="S412" s="115">
        <v>87</v>
      </c>
      <c r="T412" s="115">
        <v>5.4375</v>
      </c>
      <c r="U412" s="115">
        <v>0</v>
      </c>
      <c r="V412" s="115">
        <v>1.8200000000000001E-2</v>
      </c>
      <c r="W412" s="115">
        <v>1.8200000000000001E-2</v>
      </c>
      <c r="X412" s="115">
        <v>0</v>
      </c>
      <c r="Y412" s="115">
        <v>0.40629999999999999</v>
      </c>
      <c r="Z412" s="115">
        <v>74.449100000000001</v>
      </c>
      <c r="AA412" s="115">
        <v>4.0162000000000004</v>
      </c>
      <c r="AB412" s="115">
        <v>26.6403</v>
      </c>
      <c r="AC412" s="115">
        <v>28.1</v>
      </c>
      <c r="AD412" s="115">
        <v>-1.9400000000000001E-2</v>
      </c>
      <c r="AE412" s="115">
        <v>-0.11310000000000001</v>
      </c>
      <c r="AF412" s="115">
        <v>-2.75E-2</v>
      </c>
      <c r="AG412" s="115">
        <v>1.9800000000000002E-2</v>
      </c>
      <c r="AH412" s="115">
        <v>-6.25E-2</v>
      </c>
      <c r="AI412" s="115">
        <v>-5.2200000000000003E-2</v>
      </c>
      <c r="AJ412" s="115">
        <v>-3.8E-3</v>
      </c>
      <c r="AK412" s="115">
        <v>7.7964000000000002</v>
      </c>
      <c r="AL412" s="115">
        <v>-1.5349999999999999</v>
      </c>
      <c r="AM412" s="115">
        <v>1</v>
      </c>
      <c r="AN412" s="115">
        <v>9</v>
      </c>
      <c r="AO412" s="115">
        <v>0</v>
      </c>
      <c r="AP412" s="115">
        <v>1</v>
      </c>
      <c r="AQ412" s="115">
        <v>4</v>
      </c>
      <c r="AR412" s="115">
        <v>0.25</v>
      </c>
      <c r="AS412" s="115">
        <v>-3.5000000000000001E-3</v>
      </c>
      <c r="AT412" s="115">
        <v>-1.4262999999999999</v>
      </c>
      <c r="AU412" s="114" t="str">
        <f>IF(A412&lt;&gt;"",INDEX(Index!$B$1:$B$77,MATCH($A412,Index!$A$1:$A$77,0)),"")</f>
        <v>TEN</v>
      </c>
      <c r="AV412" s="123" t="str">
        <f>IF(B412&lt;&gt;"",INDEX(Index!$C$1:$C$77,MATCH($A412,Index!$A$1:$A$77,0)),"")</f>
        <v>Ward</v>
      </c>
      <c r="AW412" s="123">
        <f t="shared" si="7"/>
        <v>1</v>
      </c>
      <c r="AX412" s="113">
        <v>11</v>
      </c>
    </row>
    <row r="413" spans="1:50" ht="15.75" thickBot="1" x14ac:dyDescent="0.3">
      <c r="A413" s="95" t="s">
        <v>589</v>
      </c>
      <c r="B413" s="96">
        <v>2025</v>
      </c>
      <c r="C413" s="96">
        <v>6</v>
      </c>
      <c r="D413" s="115">
        <v>-3.84598</v>
      </c>
      <c r="E413" s="115">
        <v>-8.9766799999999994E-2</v>
      </c>
      <c r="F413" s="115">
        <v>-0.13372500000000001</v>
      </c>
      <c r="G413" s="115">
        <v>-25.683199999999999</v>
      </c>
      <c r="H413" s="115">
        <v>-0.11260000000000001</v>
      </c>
      <c r="I413" s="115">
        <v>109</v>
      </c>
      <c r="J413" s="115">
        <v>183</v>
      </c>
      <c r="K413" s="115">
        <v>0.59560000000000002</v>
      </c>
      <c r="L413" s="115">
        <v>-7.6803999999999997</v>
      </c>
      <c r="M413" s="115">
        <v>937</v>
      </c>
      <c r="N413" s="115">
        <v>5.1201999999999996</v>
      </c>
      <c r="O413" s="115">
        <v>7</v>
      </c>
      <c r="P413" s="115">
        <v>2</v>
      </c>
      <c r="Q413" s="115">
        <v>18</v>
      </c>
      <c r="R413" s="115">
        <v>13</v>
      </c>
      <c r="S413" s="115">
        <v>87</v>
      </c>
      <c r="T413" s="115">
        <v>6.6923000000000004</v>
      </c>
      <c r="U413" s="115">
        <v>0</v>
      </c>
      <c r="V413" s="115">
        <v>3.8300000000000001E-2</v>
      </c>
      <c r="W413" s="115">
        <v>1.09E-2</v>
      </c>
      <c r="X413" s="115">
        <v>2.7300000000000001E-2</v>
      </c>
      <c r="Y413" s="115">
        <v>0.3553</v>
      </c>
      <c r="Z413" s="115">
        <v>81.25</v>
      </c>
      <c r="AA413" s="115">
        <v>4.2885999999999997</v>
      </c>
      <c r="AB413" s="115">
        <v>72.512900000000002</v>
      </c>
      <c r="AC413" s="115">
        <v>30.9</v>
      </c>
      <c r="AD413" s="115">
        <v>-2.01E-2</v>
      </c>
      <c r="AE413" s="115">
        <v>-2.0899999999999998E-2</v>
      </c>
      <c r="AF413" s="115">
        <v>-4.2500000000000003E-2</v>
      </c>
      <c r="AG413" s="115">
        <v>3.9300000000000002E-2</v>
      </c>
      <c r="AH413" s="115">
        <v>-0.15529999999999999</v>
      </c>
      <c r="AI413" s="115">
        <v>-2.9000000000000001E-2</v>
      </c>
      <c r="AJ413" s="115">
        <v>3.61E-2</v>
      </c>
      <c r="AK413" s="115">
        <v>5.8906999999999998</v>
      </c>
      <c r="AL413" s="115">
        <v>-3.9180000000000001</v>
      </c>
      <c r="AM413" s="115">
        <v>1</v>
      </c>
      <c r="AN413" s="115">
        <v>7</v>
      </c>
      <c r="AO413" s="115">
        <v>0</v>
      </c>
      <c r="AP413" s="115">
        <v>0</v>
      </c>
      <c r="AQ413" s="115">
        <v>2</v>
      </c>
      <c r="AR413" s="115">
        <v>0</v>
      </c>
      <c r="AS413" s="115">
        <v>-2.8999999999999998E-3</v>
      </c>
      <c r="AT413" s="115">
        <v>-0.6512</v>
      </c>
      <c r="AU413" s="114" t="str">
        <f>IF(A413&lt;&gt;"",INDEX(Index!$B$1:$B$77,MATCH($A413,Index!$A$1:$A$77,0)),"")</f>
        <v>CLE</v>
      </c>
      <c r="AV413" s="123" t="str">
        <f>IF(B413&lt;&gt;"",INDEX(Index!$C$1:$C$77,MATCH($A413,Index!$A$1:$A$77,0)),"")</f>
        <v>Gabriel</v>
      </c>
      <c r="AW413" s="123">
        <f t="shared" si="7"/>
        <v>19</v>
      </c>
      <c r="AX413" s="113">
        <v>11</v>
      </c>
    </row>
    <row r="414" spans="1:50" x14ac:dyDescent="0.25">
      <c r="A414" s="117" t="s">
        <v>551</v>
      </c>
      <c r="B414" s="118">
        <v>2025</v>
      </c>
      <c r="C414" s="118">
        <v>11</v>
      </c>
      <c r="D414" s="119">
        <v>2.9317299999999999</v>
      </c>
      <c r="E414" s="119">
        <v>-1.02576</v>
      </c>
      <c r="F414" s="119">
        <v>-0.53751099999999996</v>
      </c>
      <c r="G414" s="119">
        <v>100.688</v>
      </c>
      <c r="H414" s="119">
        <v>0.23250000000000001</v>
      </c>
      <c r="I414" s="119">
        <v>228</v>
      </c>
      <c r="J414" s="119">
        <v>326</v>
      </c>
      <c r="K414" s="119">
        <v>0.69940000000000002</v>
      </c>
      <c r="L414" s="119">
        <v>3.7130000000000001</v>
      </c>
      <c r="M414" s="119">
        <v>2709</v>
      </c>
      <c r="N414" s="119">
        <v>8.3097999999999992</v>
      </c>
      <c r="O414" s="119">
        <v>18</v>
      </c>
      <c r="P414" s="119">
        <v>9</v>
      </c>
      <c r="Q414" s="119">
        <v>28</v>
      </c>
      <c r="R414" s="119">
        <v>58</v>
      </c>
      <c r="S414" s="119">
        <v>382</v>
      </c>
      <c r="T414" s="119">
        <v>6.5861999999999998</v>
      </c>
      <c r="U414" s="119">
        <v>10</v>
      </c>
      <c r="V414" s="119">
        <v>5.5199999999999999E-2</v>
      </c>
      <c r="W414" s="119">
        <v>2.76E-2</v>
      </c>
      <c r="X414" s="119">
        <v>2.76E-2</v>
      </c>
      <c r="Y414" s="119">
        <v>0.51500000000000001</v>
      </c>
      <c r="Z414" s="119">
        <v>101.892</v>
      </c>
      <c r="AA414" s="119">
        <v>7.0113000000000003</v>
      </c>
      <c r="AB414" s="119">
        <v>249.995</v>
      </c>
      <c r="AC414" s="119">
        <v>58.1</v>
      </c>
      <c r="AD414" s="119">
        <v>5.2900000000000003E-2</v>
      </c>
      <c r="AE414" s="119">
        <v>2.01E-2</v>
      </c>
      <c r="AF414" s="119">
        <v>5.1700000000000003E-2</v>
      </c>
      <c r="AG414" s="119">
        <v>5.1000000000000004E-3</v>
      </c>
      <c r="AH414" s="119">
        <v>-5.74E-2</v>
      </c>
      <c r="AI414" s="119">
        <v>8.5800000000000001E-2</v>
      </c>
      <c r="AJ414" s="119">
        <v>3.5999999999999999E-3</v>
      </c>
      <c r="AK414" s="119">
        <v>7.819</v>
      </c>
      <c r="AL414" s="119">
        <v>-0.61960000000000004</v>
      </c>
      <c r="AM414" s="119">
        <v>7</v>
      </c>
      <c r="AN414" s="119">
        <v>4</v>
      </c>
      <c r="AO414" s="119">
        <v>0</v>
      </c>
      <c r="AP414" s="119">
        <v>2</v>
      </c>
      <c r="AQ414" s="119">
        <v>5</v>
      </c>
      <c r="AR414" s="119">
        <v>0.4</v>
      </c>
      <c r="AS414" s="119">
        <v>4.7000000000000002E-3</v>
      </c>
      <c r="AT414" s="119">
        <v>2.0295999999999998</v>
      </c>
      <c r="AU414" s="121" t="str">
        <f>IF(A414&lt;&gt;"",INDEX(Index!$B$1:$B$77,MATCH($A414,Index!$A$1:$A$77,0)),"")</f>
        <v>BUF</v>
      </c>
      <c r="AV414" s="124" t="str">
        <f>IF(B414&lt;&gt;"",INDEX(Index!$C$1:$C$77,MATCH($A414,Index!$A$1:$A$77,0)),"")</f>
        <v>Allen</v>
      </c>
      <c r="AW414" s="124">
        <f t="shared" ref="AW414:AW462" si="8">IF(AT414&lt;&gt;"",COUNTIFS($AX$2:$AX$994,AX414,$Q$2:$Q$994,"&gt;"&amp;$Q414)+1,"")</f>
        <v>6</v>
      </c>
      <c r="AX414" s="120">
        <v>12</v>
      </c>
    </row>
    <row r="415" spans="1:50" x14ac:dyDescent="0.25">
      <c r="A415" s="95" t="s">
        <v>555</v>
      </c>
      <c r="B415" s="96">
        <v>2025</v>
      </c>
      <c r="C415" s="96">
        <v>11</v>
      </c>
      <c r="D415" s="115">
        <v>2.4689399999999999</v>
      </c>
      <c r="E415" s="115">
        <v>0.36486800000000003</v>
      </c>
      <c r="F415" s="115">
        <v>1.21387</v>
      </c>
      <c r="G415" s="115">
        <v>95.418099999999995</v>
      </c>
      <c r="H415" s="115">
        <v>0.2039</v>
      </c>
      <c r="I415" s="115">
        <v>276</v>
      </c>
      <c r="J415" s="115">
        <v>395</v>
      </c>
      <c r="K415" s="115">
        <v>0.69869999999999999</v>
      </c>
      <c r="L415" s="115">
        <v>3.8469000000000002</v>
      </c>
      <c r="M415" s="115">
        <v>2941</v>
      </c>
      <c r="N415" s="115">
        <v>7.4455999999999998</v>
      </c>
      <c r="O415" s="115">
        <v>23</v>
      </c>
      <c r="P415" s="115">
        <v>7</v>
      </c>
      <c r="Q415" s="115">
        <v>17</v>
      </c>
      <c r="R415" s="115">
        <v>23</v>
      </c>
      <c r="S415" s="115">
        <v>135</v>
      </c>
      <c r="T415" s="115">
        <v>5.8696000000000002</v>
      </c>
      <c r="U415" s="115">
        <v>2</v>
      </c>
      <c r="V415" s="115">
        <v>5.8200000000000002E-2</v>
      </c>
      <c r="W415" s="115">
        <v>1.77E-2</v>
      </c>
      <c r="X415" s="115">
        <v>4.0500000000000001E-2</v>
      </c>
      <c r="Y415" s="115">
        <v>0.49790000000000001</v>
      </c>
      <c r="Z415" s="115">
        <v>103.36</v>
      </c>
      <c r="AA415" s="115">
        <v>7.2354000000000003</v>
      </c>
      <c r="AB415" s="115">
        <v>252.28</v>
      </c>
      <c r="AC415" s="115">
        <v>74</v>
      </c>
      <c r="AD415" s="115">
        <v>-1.14E-2</v>
      </c>
      <c r="AE415" s="115">
        <v>3.8600000000000002E-2</v>
      </c>
      <c r="AF415" s="115">
        <v>2.2000000000000001E-3</v>
      </c>
      <c r="AG415" s="115">
        <v>1.6299999999999999E-2</v>
      </c>
      <c r="AH415" s="115">
        <v>7.3300000000000004E-2</v>
      </c>
      <c r="AI415" s="115">
        <v>-5.7999999999999996E-3</v>
      </c>
      <c r="AJ415" s="115">
        <v>1.9800000000000002E-2</v>
      </c>
      <c r="AK415" s="115">
        <v>7.7342000000000004</v>
      </c>
      <c r="AL415" s="115">
        <v>-0.71650000000000003</v>
      </c>
      <c r="AM415" s="115">
        <v>5</v>
      </c>
      <c r="AN415" s="115">
        <v>5</v>
      </c>
      <c r="AO415" s="115">
        <v>1</v>
      </c>
      <c r="AP415" s="115">
        <v>2</v>
      </c>
      <c r="AQ415" s="115">
        <v>5</v>
      </c>
      <c r="AR415" s="115">
        <v>0.4</v>
      </c>
      <c r="AS415" s="115">
        <v>9.1999999999999998E-3</v>
      </c>
      <c r="AT415" s="115">
        <v>4.3155000000000001</v>
      </c>
      <c r="AU415" s="114" t="str">
        <f>IF(A415&lt;&gt;"",INDEX(Index!$B$1:$B$77,MATCH($A415,Index!$A$1:$A$77,0)),"")</f>
        <v>DAL</v>
      </c>
      <c r="AV415" s="123" t="str">
        <f>IF(B415&lt;&gt;"",INDEX(Index!$C$1:$C$77,MATCH($A415,Index!$A$1:$A$77,0)),"")</f>
        <v>Prescott</v>
      </c>
      <c r="AW415" s="123">
        <f t="shared" si="8"/>
        <v>24</v>
      </c>
      <c r="AX415" s="113">
        <v>12</v>
      </c>
    </row>
    <row r="416" spans="1:50" x14ac:dyDescent="0.25">
      <c r="A416" s="95" t="s">
        <v>552</v>
      </c>
      <c r="B416" s="96">
        <v>2025</v>
      </c>
      <c r="C416" s="96">
        <v>11</v>
      </c>
      <c r="D416" s="115">
        <v>2.1679200000000001</v>
      </c>
      <c r="E416" s="115">
        <v>-0.33044899999999999</v>
      </c>
      <c r="F416" s="115">
        <v>-4.5568200000000003E-2</v>
      </c>
      <c r="G416" s="115">
        <v>118.70099999999999</v>
      </c>
      <c r="H416" s="115">
        <v>0.2351</v>
      </c>
      <c r="I416" s="115">
        <v>262</v>
      </c>
      <c r="J416" s="115">
        <v>406</v>
      </c>
      <c r="K416" s="115">
        <v>0.64529999999999998</v>
      </c>
      <c r="L416" s="115">
        <v>1.4923999999999999</v>
      </c>
      <c r="M416" s="115">
        <v>2977</v>
      </c>
      <c r="N416" s="115">
        <v>7.3324999999999996</v>
      </c>
      <c r="O416" s="115">
        <v>18</v>
      </c>
      <c r="P416" s="115">
        <v>7</v>
      </c>
      <c r="Q416" s="115">
        <v>24</v>
      </c>
      <c r="R416" s="115">
        <v>44</v>
      </c>
      <c r="S416" s="115">
        <v>325</v>
      </c>
      <c r="T416" s="115">
        <v>7.3864000000000001</v>
      </c>
      <c r="U416" s="115">
        <v>4</v>
      </c>
      <c r="V416" s="115">
        <v>4.4299999999999999E-2</v>
      </c>
      <c r="W416" s="115">
        <v>1.72E-2</v>
      </c>
      <c r="X416" s="115">
        <v>2.7099999999999999E-2</v>
      </c>
      <c r="Y416" s="115">
        <v>0.51490000000000002</v>
      </c>
      <c r="Z416" s="115">
        <v>94.006600000000006</v>
      </c>
      <c r="AA416" s="115">
        <v>6.6977000000000002</v>
      </c>
      <c r="AB416" s="115">
        <v>240.99600000000001</v>
      </c>
      <c r="AC416" s="115">
        <v>71.900000000000006</v>
      </c>
      <c r="AD416" s="115">
        <v>1.11E-2</v>
      </c>
      <c r="AE416" s="115">
        <v>5.3499999999999999E-2</v>
      </c>
      <c r="AF416" s="115">
        <v>1.7399999999999999E-2</v>
      </c>
      <c r="AG416" s="115">
        <v>2.3999999999999998E-3</v>
      </c>
      <c r="AH416" s="115">
        <v>-1.72E-2</v>
      </c>
      <c r="AI416" s="115">
        <v>8.5099999999999995E-2</v>
      </c>
      <c r="AJ416" s="115">
        <v>1.2200000000000001E-2</v>
      </c>
      <c r="AK416" s="115">
        <v>8.1453000000000007</v>
      </c>
      <c r="AL416" s="115">
        <v>-0.45069999999999999</v>
      </c>
      <c r="AM416" s="115">
        <v>6</v>
      </c>
      <c r="AN416" s="115">
        <v>5</v>
      </c>
      <c r="AO416" s="115">
        <v>0</v>
      </c>
      <c r="AP416" s="115">
        <v>1</v>
      </c>
      <c r="AQ416" s="115">
        <v>6</v>
      </c>
      <c r="AR416" s="115">
        <v>0.16669999999999999</v>
      </c>
      <c r="AS416" s="115">
        <v>5.3E-3</v>
      </c>
      <c r="AT416" s="115">
        <v>2.6753999999999998</v>
      </c>
      <c r="AU416" s="114" t="str">
        <f>IF(A416&lt;&gt;"",INDEX(Index!$B$1:$B$77,MATCH($A416,Index!$A$1:$A$77,0)),"")</f>
        <v>KC</v>
      </c>
      <c r="AV416" s="123" t="str">
        <f>IF(B416&lt;&gt;"",INDEX(Index!$C$1:$C$77,MATCH($A416,Index!$A$1:$A$77,0)),"")</f>
        <v>Mahomes</v>
      </c>
      <c r="AW416" s="123">
        <f t="shared" si="8"/>
        <v>9</v>
      </c>
      <c r="AX416" s="113">
        <v>12</v>
      </c>
    </row>
    <row r="417" spans="1:50" x14ac:dyDescent="0.25">
      <c r="A417" s="95" t="s">
        <v>567</v>
      </c>
      <c r="B417" s="96">
        <v>2025</v>
      </c>
      <c r="C417" s="96">
        <v>11</v>
      </c>
      <c r="D417" s="115">
        <v>2.0496300000000001</v>
      </c>
      <c r="E417" s="115">
        <v>0.26077</v>
      </c>
      <c r="F417" s="115">
        <v>1.9984500000000001</v>
      </c>
      <c r="G417" s="115">
        <v>91.605900000000005</v>
      </c>
      <c r="H417" s="115">
        <v>0.22070000000000001</v>
      </c>
      <c r="I417" s="115">
        <v>248</v>
      </c>
      <c r="J417" s="115">
        <v>371</v>
      </c>
      <c r="K417" s="115">
        <v>0.66849999999999998</v>
      </c>
      <c r="L417" s="115">
        <v>2.8563999999999998</v>
      </c>
      <c r="M417" s="115">
        <v>2830</v>
      </c>
      <c r="N417" s="115">
        <v>7.6280000000000001</v>
      </c>
      <c r="O417" s="115">
        <v>30</v>
      </c>
      <c r="P417" s="115">
        <v>2</v>
      </c>
      <c r="Q417" s="115">
        <v>15</v>
      </c>
      <c r="R417" s="115">
        <v>5</v>
      </c>
      <c r="S417" s="115">
        <v>11</v>
      </c>
      <c r="T417" s="115">
        <v>2.2000000000000002</v>
      </c>
      <c r="U417" s="115">
        <v>0</v>
      </c>
      <c r="V417" s="115">
        <v>8.09E-2</v>
      </c>
      <c r="W417" s="115">
        <v>5.4000000000000003E-3</v>
      </c>
      <c r="X417" s="115">
        <v>7.5499999999999998E-2</v>
      </c>
      <c r="Y417" s="115">
        <v>0.53490000000000004</v>
      </c>
      <c r="Z417" s="115">
        <v>114.28</v>
      </c>
      <c r="AA417" s="115">
        <v>8.3989999999999991</v>
      </c>
      <c r="AB417" s="115">
        <v>247.88300000000001</v>
      </c>
      <c r="AC417" s="115">
        <v>69.7</v>
      </c>
      <c r="AD417" s="115">
        <v>-4.4699999999999997E-2</v>
      </c>
      <c r="AE417" s="115">
        <v>2.75E-2</v>
      </c>
      <c r="AF417" s="115">
        <v>-4.0399999999999998E-2</v>
      </c>
      <c r="AG417" s="115">
        <v>5.8299999999999998E-2</v>
      </c>
      <c r="AH417" s="115">
        <v>0.14460000000000001</v>
      </c>
      <c r="AI417" s="115">
        <v>-7.4000000000000003E-3</v>
      </c>
      <c r="AJ417" s="115">
        <v>1.2200000000000001E-2</v>
      </c>
      <c r="AK417" s="115">
        <v>8.5282999999999998</v>
      </c>
      <c r="AL417" s="115">
        <v>0.46089999999999998</v>
      </c>
      <c r="AM417" s="115">
        <v>9</v>
      </c>
      <c r="AN417" s="115">
        <v>2</v>
      </c>
      <c r="AO417" s="115">
        <v>0</v>
      </c>
      <c r="AP417" s="115">
        <v>1</v>
      </c>
      <c r="AQ417" s="115">
        <v>3</v>
      </c>
      <c r="AR417" s="115">
        <v>0.33329999999999999</v>
      </c>
      <c r="AS417" s="115">
        <v>7.1999999999999998E-3</v>
      </c>
      <c r="AT417" s="115">
        <v>2.9786000000000001</v>
      </c>
      <c r="AU417" s="114" t="str">
        <f>IF(A417&lt;&gt;"",INDEX(Index!$B$1:$B$77,MATCH($A417,Index!$A$1:$A$77,0)),"")</f>
        <v>LAR</v>
      </c>
      <c r="AV417" s="123" t="str">
        <f>IF(B417&lt;&gt;"",INDEX(Index!$C$1:$C$77,MATCH($A417,Index!$A$1:$A$77,0)),"")</f>
        <v>Stafford</v>
      </c>
      <c r="AW417" s="123">
        <f t="shared" si="8"/>
        <v>31</v>
      </c>
      <c r="AX417" s="113">
        <v>12</v>
      </c>
    </row>
    <row r="418" spans="1:50" x14ac:dyDescent="0.25">
      <c r="A418" s="95" t="s">
        <v>554</v>
      </c>
      <c r="B418" s="96">
        <v>2025</v>
      </c>
      <c r="C418" s="96">
        <v>11</v>
      </c>
      <c r="D418" s="115">
        <v>1.73908</v>
      </c>
      <c r="E418" s="115">
        <v>0.57634300000000005</v>
      </c>
      <c r="F418" s="115">
        <v>0.30421399999999998</v>
      </c>
      <c r="G418" s="115">
        <v>52.241199999999999</v>
      </c>
      <c r="H418" s="115">
        <v>0.1235</v>
      </c>
      <c r="I418" s="115">
        <v>207</v>
      </c>
      <c r="J418" s="115">
        <v>308</v>
      </c>
      <c r="K418" s="115">
        <v>0.67210000000000003</v>
      </c>
      <c r="L418" s="115">
        <v>4.6391999999999998</v>
      </c>
      <c r="M418" s="115">
        <v>2284</v>
      </c>
      <c r="N418" s="115">
        <v>7.4156000000000004</v>
      </c>
      <c r="O418" s="115">
        <v>17</v>
      </c>
      <c r="P418" s="115">
        <v>1</v>
      </c>
      <c r="Q418" s="115">
        <v>27</v>
      </c>
      <c r="R418" s="115">
        <v>69</v>
      </c>
      <c r="S418" s="115">
        <v>311</v>
      </c>
      <c r="T418" s="115">
        <v>4.5072000000000001</v>
      </c>
      <c r="U418" s="115">
        <v>8</v>
      </c>
      <c r="V418" s="115">
        <v>5.5199999999999999E-2</v>
      </c>
      <c r="W418" s="115">
        <v>3.2000000000000002E-3</v>
      </c>
      <c r="X418" s="115">
        <v>5.1900000000000002E-2</v>
      </c>
      <c r="Y418" s="115">
        <v>0.46100000000000002</v>
      </c>
      <c r="Z418" s="115">
        <v>106.03400000000001</v>
      </c>
      <c r="AA418" s="115">
        <v>7.2239000000000004</v>
      </c>
      <c r="AB418" s="115">
        <v>217.30600000000001</v>
      </c>
      <c r="AC418" s="115">
        <v>58.8</v>
      </c>
      <c r="AD418" s="115">
        <v>1.8599999999999998E-2</v>
      </c>
      <c r="AE418" s="115">
        <v>5.9999999999999995E-4</v>
      </c>
      <c r="AF418" s="115">
        <v>4.0899999999999999E-2</v>
      </c>
      <c r="AG418" s="115">
        <v>5.45E-2</v>
      </c>
      <c r="AH418" s="115">
        <v>3.3300000000000003E-2</v>
      </c>
      <c r="AI418" s="115">
        <v>-8.5099999999999995E-2</v>
      </c>
      <c r="AJ418" s="115">
        <v>-0.01</v>
      </c>
      <c r="AK418" s="115">
        <v>8.9838000000000005</v>
      </c>
      <c r="AL418" s="115">
        <v>9.0899999999999995E-2</v>
      </c>
      <c r="AM418" s="115">
        <v>8</v>
      </c>
      <c r="AN418" s="115">
        <v>3</v>
      </c>
      <c r="AO418" s="115">
        <v>0</v>
      </c>
      <c r="AP418" s="115">
        <v>1</v>
      </c>
      <c r="AQ418" s="115">
        <v>2</v>
      </c>
      <c r="AR418" s="115">
        <v>0.5</v>
      </c>
      <c r="AS418" s="115">
        <v>3.5999999999999999E-3</v>
      </c>
      <c r="AT418" s="115">
        <v>1.5092000000000001</v>
      </c>
      <c r="AU418" s="114" t="str">
        <f>IF(A418&lt;&gt;"",INDEX(Index!$B$1:$B$77,MATCH($A418,Index!$A$1:$A$77,0)),"")</f>
        <v>PHI</v>
      </c>
      <c r="AV418" s="123" t="str">
        <f>IF(B418&lt;&gt;"",INDEX(Index!$C$1:$C$77,MATCH($A418,Index!$A$1:$A$77,0)),"")</f>
        <v>Hurts</v>
      </c>
      <c r="AW418" s="123">
        <f t="shared" si="8"/>
        <v>7</v>
      </c>
      <c r="AX418" s="113">
        <v>12</v>
      </c>
    </row>
    <row r="419" spans="1:50" x14ac:dyDescent="0.25">
      <c r="A419" s="95" t="s">
        <v>550</v>
      </c>
      <c r="B419" s="96">
        <v>2025</v>
      </c>
      <c r="C419" s="96">
        <v>8</v>
      </c>
      <c r="D419" s="115">
        <v>1.39977</v>
      </c>
      <c r="E419" s="115">
        <v>-0.55285899999999999</v>
      </c>
      <c r="F419" s="115">
        <v>-2.1890900000000002</v>
      </c>
      <c r="G419" s="115">
        <v>44.623699999999999</v>
      </c>
      <c r="H419" s="115">
        <v>0.16470000000000001</v>
      </c>
      <c r="I419" s="115">
        <v>130</v>
      </c>
      <c r="J419" s="115">
        <v>195</v>
      </c>
      <c r="K419" s="115">
        <v>0.66669999999999996</v>
      </c>
      <c r="L419" s="115">
        <v>3.6030000000000002</v>
      </c>
      <c r="M419" s="115">
        <v>1595</v>
      </c>
      <c r="N419" s="115">
        <v>8.1795000000000009</v>
      </c>
      <c r="O419" s="115">
        <v>15</v>
      </c>
      <c r="P419" s="115">
        <v>3</v>
      </c>
      <c r="Q419" s="115">
        <v>24</v>
      </c>
      <c r="R419" s="115">
        <v>39</v>
      </c>
      <c r="S419" s="115">
        <v>244</v>
      </c>
      <c r="T419" s="115">
        <v>6.2564000000000002</v>
      </c>
      <c r="U419" s="115">
        <v>1</v>
      </c>
      <c r="V419" s="115">
        <v>7.6899999999999996E-2</v>
      </c>
      <c r="W419" s="115">
        <v>1.54E-2</v>
      </c>
      <c r="X419" s="115">
        <v>6.1499999999999999E-2</v>
      </c>
      <c r="Y419" s="115">
        <v>0.49819999999999998</v>
      </c>
      <c r="Z419" s="115">
        <v>110.95099999999999</v>
      </c>
      <c r="AA419" s="115">
        <v>7.2968000000000002</v>
      </c>
      <c r="AB419" s="115">
        <v>176.87899999999999</v>
      </c>
      <c r="AC419" s="115">
        <v>63.2</v>
      </c>
      <c r="AD419" s="115">
        <v>2.46E-2</v>
      </c>
      <c r="AE419" s="115">
        <v>-4.1200000000000001E-2</v>
      </c>
      <c r="AF419" s="115">
        <v>1.0800000000000001E-2</v>
      </c>
      <c r="AG419" s="115">
        <v>1.17E-2</v>
      </c>
      <c r="AH419" s="115">
        <v>8.3199999999999996E-2</v>
      </c>
      <c r="AI419" s="115">
        <v>-6.1999999999999998E-3</v>
      </c>
      <c r="AJ419" s="115">
        <v>1.0999999999999999E-2</v>
      </c>
      <c r="AK419" s="115">
        <v>8.1385000000000005</v>
      </c>
      <c r="AL419" s="115">
        <v>-0.90259999999999996</v>
      </c>
      <c r="AM419" s="115">
        <v>5</v>
      </c>
      <c r="AN419" s="115">
        <v>3</v>
      </c>
      <c r="AO419" s="115">
        <v>0</v>
      </c>
      <c r="AP419" s="115">
        <v>1</v>
      </c>
      <c r="AQ419" s="115">
        <v>2</v>
      </c>
      <c r="AR419" s="115">
        <v>0.5</v>
      </c>
      <c r="AS419" s="115">
        <v>4.0000000000000001E-3</v>
      </c>
      <c r="AT419" s="115">
        <v>1.0941000000000001</v>
      </c>
      <c r="AU419" s="114" t="str">
        <f>IF(A419&lt;&gt;"",INDEX(Index!$B$1:$B$77,MATCH($A419,Index!$A$1:$A$77,0)),"")</f>
        <v>BAL</v>
      </c>
      <c r="AV419" s="123" t="str">
        <f>IF(B419&lt;&gt;"",INDEX(Index!$C$1:$C$77,MATCH($A419,Index!$A$1:$A$77,0)),"")</f>
        <v>Jackson</v>
      </c>
      <c r="AW419" s="123">
        <f t="shared" si="8"/>
        <v>9</v>
      </c>
      <c r="AX419" s="113">
        <v>12</v>
      </c>
    </row>
    <row r="420" spans="1:50" x14ac:dyDescent="0.25">
      <c r="A420" s="95" t="s">
        <v>557</v>
      </c>
      <c r="B420" s="96">
        <v>2025</v>
      </c>
      <c r="C420" s="96">
        <v>2</v>
      </c>
      <c r="D420" s="115">
        <v>1.0322899999999999</v>
      </c>
      <c r="E420" s="115">
        <v>-0.72667099999999996</v>
      </c>
      <c r="F420" s="115">
        <v>-1.3634200000000001</v>
      </c>
      <c r="G420" s="115">
        <v>-0.90390000000000004</v>
      </c>
      <c r="H420" s="115">
        <v>-1.9599999999999999E-2</v>
      </c>
      <c r="I420" s="115">
        <v>21</v>
      </c>
      <c r="J420" s="115">
        <v>36</v>
      </c>
      <c r="K420" s="115">
        <v>0.58330000000000004</v>
      </c>
      <c r="L420" s="115">
        <v>-1.5459000000000001</v>
      </c>
      <c r="M420" s="115">
        <v>189</v>
      </c>
      <c r="N420" s="115">
        <v>5.25</v>
      </c>
      <c r="O420" s="115">
        <v>2</v>
      </c>
      <c r="P420" s="115">
        <v>0</v>
      </c>
      <c r="Q420" s="115">
        <v>5</v>
      </c>
      <c r="R420" s="115">
        <v>2</v>
      </c>
      <c r="S420" s="115">
        <v>3</v>
      </c>
      <c r="T420" s="115">
        <v>1.5</v>
      </c>
      <c r="U420" s="115">
        <v>0</v>
      </c>
      <c r="V420" s="115">
        <v>5.5599999999999997E-2</v>
      </c>
      <c r="W420" s="115">
        <v>0</v>
      </c>
      <c r="X420" s="115">
        <v>5.5599999999999997E-2</v>
      </c>
      <c r="Y420" s="115">
        <v>0.43480000000000002</v>
      </c>
      <c r="Z420" s="115">
        <v>91.087999999999994</v>
      </c>
      <c r="AA420" s="115">
        <v>4.9512</v>
      </c>
      <c r="AB420" s="115">
        <v>25.4618</v>
      </c>
      <c r="AC420" s="115">
        <v>61.3</v>
      </c>
      <c r="AD420" s="115">
        <v>-6.7500000000000004E-2</v>
      </c>
      <c r="AE420" s="115">
        <v>-4.2200000000000001E-2</v>
      </c>
      <c r="AF420" s="115">
        <v>-4.87E-2</v>
      </c>
      <c r="AG420" s="115">
        <v>7.5399999999999995E-2</v>
      </c>
      <c r="AH420" s="115">
        <v>0.2001</v>
      </c>
      <c r="AI420" s="115">
        <v>-0.2029</v>
      </c>
      <c r="AJ420" s="115">
        <v>-4.7000000000000002E-3</v>
      </c>
      <c r="AK420" s="115">
        <v>6.8611000000000004</v>
      </c>
      <c r="AL420" s="115">
        <v>-1.0832999999999999</v>
      </c>
      <c r="AM420" s="115">
        <v>2</v>
      </c>
      <c r="AN420" s="115">
        <v>0</v>
      </c>
      <c r="AO420" s="115">
        <v>0</v>
      </c>
      <c r="AP420" s="115">
        <v>0</v>
      </c>
      <c r="AQ420" s="115">
        <v>0</v>
      </c>
      <c r="AR420" s="115"/>
      <c r="AS420" s="115">
        <v>1.6000000000000001E-3</v>
      </c>
      <c r="AT420" s="115">
        <v>7.4800000000000005E-2</v>
      </c>
      <c r="AU420" s="114" t="str">
        <f>IF(A420&lt;&gt;"",INDEX(Index!$B$1:$B$77,MATCH($A420,Index!$A$1:$A$77,0)),"")</f>
        <v>CIN</v>
      </c>
      <c r="AV420" s="123" t="str">
        <f>IF(B420&lt;&gt;"",INDEX(Index!$C$1:$C$77,MATCH($A420,Index!$A$1:$A$77,0)),"")</f>
        <v>Burrow</v>
      </c>
      <c r="AW420" s="123">
        <f t="shared" si="8"/>
        <v>43</v>
      </c>
      <c r="AX420" s="113">
        <v>12</v>
      </c>
    </row>
    <row r="421" spans="1:50" x14ac:dyDescent="0.25">
      <c r="A421" s="95" t="s">
        <v>553</v>
      </c>
      <c r="B421" s="96">
        <v>2025</v>
      </c>
      <c r="C421" s="96">
        <v>11</v>
      </c>
      <c r="D421" s="115">
        <v>0.97623199999999999</v>
      </c>
      <c r="E421" s="115">
        <v>-0.18556900000000001</v>
      </c>
      <c r="F421" s="115">
        <v>-0.121494</v>
      </c>
      <c r="G421" s="115">
        <v>61.935400000000001</v>
      </c>
      <c r="H421" s="115">
        <v>0.15759999999999999</v>
      </c>
      <c r="I421" s="115">
        <v>244</v>
      </c>
      <c r="J421" s="115">
        <v>350</v>
      </c>
      <c r="K421" s="115">
        <v>0.69710000000000005</v>
      </c>
      <c r="L421" s="115">
        <v>3.0644999999999998</v>
      </c>
      <c r="M421" s="115">
        <v>2769</v>
      </c>
      <c r="N421" s="115">
        <v>7.9114000000000004</v>
      </c>
      <c r="O421" s="115">
        <v>23</v>
      </c>
      <c r="P421" s="115">
        <v>5</v>
      </c>
      <c r="Q421" s="115">
        <v>23</v>
      </c>
      <c r="R421" s="115">
        <v>6</v>
      </c>
      <c r="S421" s="115">
        <v>27</v>
      </c>
      <c r="T421" s="115">
        <v>4.5</v>
      </c>
      <c r="U421" s="115">
        <v>0</v>
      </c>
      <c r="V421" s="115">
        <v>6.5699999999999995E-2</v>
      </c>
      <c r="W421" s="115">
        <v>1.43E-2</v>
      </c>
      <c r="X421" s="115">
        <v>5.1400000000000001E-2</v>
      </c>
      <c r="Y421" s="115">
        <v>0.50380000000000003</v>
      </c>
      <c r="Z421" s="115">
        <v>109.095</v>
      </c>
      <c r="AA421" s="115">
        <v>7.6595000000000004</v>
      </c>
      <c r="AB421" s="115">
        <v>207.554</v>
      </c>
      <c r="AC421" s="115">
        <v>54.8</v>
      </c>
      <c r="AD421" s="115">
        <v>-2.76E-2</v>
      </c>
      <c r="AE421" s="115">
        <v>-1.5599999999999999E-2</v>
      </c>
      <c r="AF421" s="115">
        <v>-2.2700000000000001E-2</v>
      </c>
      <c r="AG421" s="115">
        <v>2.4400000000000002E-2</v>
      </c>
      <c r="AH421" s="115">
        <v>-3.9199999999999999E-2</v>
      </c>
      <c r="AI421" s="115">
        <v>0.18390000000000001</v>
      </c>
      <c r="AJ421" s="115">
        <v>-1.6500000000000001E-2</v>
      </c>
      <c r="AK421" s="115">
        <v>6.3170999999999999</v>
      </c>
      <c r="AL421" s="115">
        <v>-2.0686</v>
      </c>
      <c r="AM421" s="115">
        <v>7</v>
      </c>
      <c r="AN421" s="115">
        <v>4</v>
      </c>
      <c r="AO421" s="115">
        <v>0</v>
      </c>
      <c r="AP421" s="115">
        <v>1</v>
      </c>
      <c r="AQ421" s="115">
        <v>2</v>
      </c>
      <c r="AR421" s="115">
        <v>0.5</v>
      </c>
      <c r="AS421" s="115">
        <v>2.8E-3</v>
      </c>
      <c r="AT421" s="115">
        <v>1.0953999999999999</v>
      </c>
      <c r="AU421" s="114" t="str">
        <f>IF(A421&lt;&gt;"",INDEX(Index!$B$1:$B$77,MATCH($A421,Index!$A$1:$A$77,0)),"")</f>
        <v>DET</v>
      </c>
      <c r="AV421" s="123" t="str">
        <f>IF(B421&lt;&gt;"",INDEX(Index!$C$1:$C$77,MATCH($A421,Index!$A$1:$A$77,0)),"")</f>
        <v>Goff</v>
      </c>
      <c r="AW421" s="123">
        <f t="shared" si="8"/>
        <v>12</v>
      </c>
      <c r="AX421" s="113">
        <v>12</v>
      </c>
    </row>
    <row r="422" spans="1:50" x14ac:dyDescent="0.25">
      <c r="A422" s="95" t="s">
        <v>561</v>
      </c>
      <c r="B422" s="96">
        <v>2025</v>
      </c>
      <c r="C422" s="96">
        <v>11</v>
      </c>
      <c r="D422" s="115">
        <v>0.65989900000000001</v>
      </c>
      <c r="E422" s="115">
        <v>-5.8454600000000002E-2</v>
      </c>
      <c r="F422" s="115">
        <v>-0.37991900000000001</v>
      </c>
      <c r="G422" s="115">
        <v>29.265599999999999</v>
      </c>
      <c r="H422" s="115">
        <v>6.3100000000000003E-2</v>
      </c>
      <c r="I422" s="115">
        <v>237</v>
      </c>
      <c r="J422" s="115">
        <v>386</v>
      </c>
      <c r="K422" s="115">
        <v>0.61399999999999999</v>
      </c>
      <c r="L422" s="115">
        <v>-2.4373</v>
      </c>
      <c r="M422" s="115">
        <v>2421</v>
      </c>
      <c r="N422" s="115">
        <v>6.2720000000000002</v>
      </c>
      <c r="O422" s="115">
        <v>18</v>
      </c>
      <c r="P422" s="115">
        <v>8</v>
      </c>
      <c r="Q422" s="115">
        <v>12</v>
      </c>
      <c r="R422" s="115">
        <v>38</v>
      </c>
      <c r="S422" s="115">
        <v>225</v>
      </c>
      <c r="T422" s="115">
        <v>5.9211</v>
      </c>
      <c r="U422" s="115">
        <v>3</v>
      </c>
      <c r="V422" s="115">
        <v>4.6600000000000003E-2</v>
      </c>
      <c r="W422" s="115">
        <v>2.07E-2</v>
      </c>
      <c r="X422" s="115">
        <v>2.5899999999999999E-2</v>
      </c>
      <c r="Y422" s="115">
        <v>0.42030000000000001</v>
      </c>
      <c r="Z422" s="115">
        <v>86.290999999999997</v>
      </c>
      <c r="AA422" s="115">
        <v>5.8994999999999997</v>
      </c>
      <c r="AB422" s="115">
        <v>188.98500000000001</v>
      </c>
      <c r="AC422" s="115">
        <v>53.5</v>
      </c>
      <c r="AD422" s="115">
        <v>-1.0200000000000001E-2</v>
      </c>
      <c r="AE422" s="115">
        <v>6.2799999999999995E-2</v>
      </c>
      <c r="AF422" s="115">
        <v>-2.1899999999999999E-2</v>
      </c>
      <c r="AG422" s="115">
        <v>1.32E-2</v>
      </c>
      <c r="AH422" s="115">
        <v>-6.3399999999999998E-2</v>
      </c>
      <c r="AI422" s="115">
        <v>3.9100000000000003E-2</v>
      </c>
      <c r="AJ422" s="115">
        <v>-2.7199999999999998E-2</v>
      </c>
      <c r="AK422" s="115">
        <v>7.9741</v>
      </c>
      <c r="AL422" s="115">
        <v>-1.272</v>
      </c>
      <c r="AM422" s="115">
        <v>9</v>
      </c>
      <c r="AN422" s="115">
        <v>2</v>
      </c>
      <c r="AO422" s="115">
        <v>0</v>
      </c>
      <c r="AP422" s="115">
        <v>5</v>
      </c>
      <c r="AQ422" s="115">
        <v>5</v>
      </c>
      <c r="AR422" s="115">
        <v>1</v>
      </c>
      <c r="AS422" s="115">
        <v>2.3999999999999998E-3</v>
      </c>
      <c r="AT422" s="115">
        <v>1.1012</v>
      </c>
      <c r="AU422" s="114" t="str">
        <f>IF(A422&lt;&gt;"",INDEX(Index!$B$1:$B$77,MATCH($A422,Index!$A$1:$A$77,0)),"")</f>
        <v>DEN</v>
      </c>
      <c r="AV422" s="123" t="str">
        <f>IF(B422&lt;&gt;"",INDEX(Index!$C$1:$C$77,MATCH($A422,Index!$A$1:$A$77,0)),"")</f>
        <v>Nix</v>
      </c>
      <c r="AW422" s="123">
        <f t="shared" si="8"/>
        <v>33</v>
      </c>
      <c r="AX422" s="113">
        <v>12</v>
      </c>
    </row>
    <row r="423" spans="1:50" x14ac:dyDescent="0.25">
      <c r="A423" s="95" t="s">
        <v>570</v>
      </c>
      <c r="B423" s="96">
        <v>2025</v>
      </c>
      <c r="C423" s="96">
        <v>12</v>
      </c>
      <c r="D423" s="115">
        <v>0.64839000000000002</v>
      </c>
      <c r="E423" s="115">
        <v>-4.3425900000000003E-2</v>
      </c>
      <c r="F423" s="115">
        <v>1.3171600000000001</v>
      </c>
      <c r="G423" s="115">
        <v>122.304</v>
      </c>
      <c r="H423" s="115">
        <v>0.25750000000000001</v>
      </c>
      <c r="I423" s="115">
        <v>252</v>
      </c>
      <c r="J423" s="115">
        <v>355</v>
      </c>
      <c r="K423" s="115">
        <v>0.70989999999999998</v>
      </c>
      <c r="L423" s="115">
        <v>9.0816999999999997</v>
      </c>
      <c r="M423" s="115">
        <v>3130</v>
      </c>
      <c r="N423" s="115">
        <v>8.8169000000000004</v>
      </c>
      <c r="O423" s="115">
        <v>21</v>
      </c>
      <c r="P423" s="115">
        <v>6</v>
      </c>
      <c r="Q423" s="115">
        <v>37</v>
      </c>
      <c r="R423" s="115">
        <v>57</v>
      </c>
      <c r="S423" s="115">
        <v>325</v>
      </c>
      <c r="T423" s="115">
        <v>5.7018000000000004</v>
      </c>
      <c r="U423" s="115">
        <v>2</v>
      </c>
      <c r="V423" s="115">
        <v>5.9200000000000003E-2</v>
      </c>
      <c r="W423" s="115">
        <v>1.6899999999999998E-2</v>
      </c>
      <c r="X423" s="115">
        <v>4.2299999999999997E-2</v>
      </c>
      <c r="Y423" s="115">
        <v>0.52629999999999999</v>
      </c>
      <c r="Z423" s="115">
        <v>110.651</v>
      </c>
      <c r="AA423" s="115">
        <v>7.9286000000000003</v>
      </c>
      <c r="AB423" s="115">
        <v>209.69900000000001</v>
      </c>
      <c r="AC423" s="115">
        <v>72.7</v>
      </c>
      <c r="AD423" s="115">
        <v>-7.0000000000000001E-3</v>
      </c>
      <c r="AE423" s="115">
        <v>-1.54E-2</v>
      </c>
      <c r="AF423" s="115">
        <v>5.4600000000000003E-2</v>
      </c>
      <c r="AG423" s="115">
        <v>1.23E-2</v>
      </c>
      <c r="AH423" s="115">
        <v>0.1774</v>
      </c>
      <c r="AI423" s="115">
        <v>-3.5700000000000003E-2</v>
      </c>
      <c r="AJ423" s="115">
        <v>5.0000000000000001E-4</v>
      </c>
      <c r="AK423" s="115">
        <v>8.8506999999999998</v>
      </c>
      <c r="AL423" s="115">
        <v>-0.1042</v>
      </c>
      <c r="AM423" s="115">
        <v>10</v>
      </c>
      <c r="AN423" s="115">
        <v>2</v>
      </c>
      <c r="AO423" s="115">
        <v>0</v>
      </c>
      <c r="AP423" s="115">
        <v>0</v>
      </c>
      <c r="AQ423" s="115">
        <v>2</v>
      </c>
      <c r="AR423" s="115">
        <v>0</v>
      </c>
      <c r="AS423" s="115">
        <v>7.9000000000000008E-3</v>
      </c>
      <c r="AT423" s="115">
        <v>3.7536999999999998</v>
      </c>
      <c r="AU423" s="114" t="str">
        <f>IF(A423&lt;&gt;"",INDEX(Index!$B$1:$B$77,MATCH($A423,Index!$A$1:$A$77,0)),"")</f>
        <v>NE</v>
      </c>
      <c r="AV423" s="123" t="str">
        <f>IF(B423&lt;&gt;"",INDEX(Index!$C$1:$C$77,MATCH($A423,Index!$A$1:$A$77,0)),"")</f>
        <v>Maye</v>
      </c>
      <c r="AW423" s="123">
        <f t="shared" si="8"/>
        <v>3</v>
      </c>
      <c r="AX423" s="113">
        <v>12</v>
      </c>
    </row>
    <row r="424" spans="1:50" x14ac:dyDescent="0.25">
      <c r="A424" s="95" t="s">
        <v>562</v>
      </c>
      <c r="B424" s="96">
        <v>2025</v>
      </c>
      <c r="C424" s="96">
        <v>6</v>
      </c>
      <c r="D424" s="115">
        <v>0.58404</v>
      </c>
      <c r="E424" s="115">
        <v>-0.27734900000000001</v>
      </c>
      <c r="F424" s="115">
        <v>-0.58660000000000001</v>
      </c>
      <c r="G424" s="115">
        <v>21.349</v>
      </c>
      <c r="H424" s="115">
        <v>8.5400000000000004E-2</v>
      </c>
      <c r="I424" s="115">
        <v>105</v>
      </c>
      <c r="J424" s="115">
        <v>166</v>
      </c>
      <c r="K424" s="115">
        <v>0.63249999999999995</v>
      </c>
      <c r="L424" s="115">
        <v>-1.2165999999999999</v>
      </c>
      <c r="M424" s="115">
        <v>1184</v>
      </c>
      <c r="N424" s="115">
        <v>7.1325000000000003</v>
      </c>
      <c r="O424" s="115">
        <v>8</v>
      </c>
      <c r="P424" s="115">
        <v>2</v>
      </c>
      <c r="Q424" s="115">
        <v>17</v>
      </c>
      <c r="R424" s="115">
        <v>48</v>
      </c>
      <c r="S424" s="115">
        <v>267</v>
      </c>
      <c r="T424" s="115">
        <v>5.5625</v>
      </c>
      <c r="U424" s="115">
        <v>2</v>
      </c>
      <c r="V424" s="115">
        <v>4.82E-2</v>
      </c>
      <c r="W424" s="115">
        <v>1.2E-2</v>
      </c>
      <c r="X424" s="115">
        <v>3.61E-2</v>
      </c>
      <c r="Y424" s="115">
        <v>0.48399999999999999</v>
      </c>
      <c r="Z424" s="115">
        <v>95.557199999999995</v>
      </c>
      <c r="AA424" s="115">
        <v>6.4261999999999997</v>
      </c>
      <c r="AB424" s="115">
        <v>169.989</v>
      </c>
      <c r="AC424" s="115">
        <v>51.2</v>
      </c>
      <c r="AD424" s="115">
        <v>8.0999999999999996E-3</v>
      </c>
      <c r="AE424" s="115">
        <v>-2.3E-3</v>
      </c>
      <c r="AF424" s="115">
        <v>-1.9E-2</v>
      </c>
      <c r="AG424" s="115">
        <v>4.1599999999999998E-2</v>
      </c>
      <c r="AH424" s="115">
        <v>1.7500000000000002E-2</v>
      </c>
      <c r="AI424" s="115">
        <v>-3.1399999999999997E-2</v>
      </c>
      <c r="AJ424" s="115">
        <v>2.9999999999999997E-4</v>
      </c>
      <c r="AK424" s="115">
        <v>8.0060000000000002</v>
      </c>
      <c r="AL424" s="115">
        <v>-0.87949999999999995</v>
      </c>
      <c r="AM424" s="115">
        <v>2</v>
      </c>
      <c r="AN424" s="115">
        <v>4</v>
      </c>
      <c r="AO424" s="115">
        <v>0</v>
      </c>
      <c r="AP424" s="115">
        <v>0</v>
      </c>
      <c r="AQ424" s="115">
        <v>0</v>
      </c>
      <c r="AR424" s="115"/>
      <c r="AS424" s="115">
        <v>2.8999999999999998E-3</v>
      </c>
      <c r="AT424" s="115">
        <v>0.72760000000000002</v>
      </c>
      <c r="AU424" s="114" t="str">
        <f>IF(A424&lt;&gt;"",INDEX(Index!$B$1:$B$77,MATCH($A424,Index!$A$1:$A$77,0)),"")</f>
        <v>WAS</v>
      </c>
      <c r="AV424" s="123" t="str">
        <f>IF(B424&lt;&gt;"",INDEX(Index!$C$1:$C$77,MATCH($A424,Index!$A$1:$A$77,0)),"")</f>
        <v>Daniels</v>
      </c>
      <c r="AW424" s="123">
        <f t="shared" si="8"/>
        <v>24</v>
      </c>
      <c r="AX424" s="113">
        <v>12</v>
      </c>
    </row>
    <row r="425" spans="1:50" x14ac:dyDescent="0.25">
      <c r="A425" s="95" t="s">
        <v>556</v>
      </c>
      <c r="B425" s="96">
        <v>2025</v>
      </c>
      <c r="C425" s="96">
        <v>5</v>
      </c>
      <c r="D425" s="115">
        <v>0.576013</v>
      </c>
      <c r="E425" s="115">
        <v>3.6627199999999999E-2</v>
      </c>
      <c r="F425" s="115">
        <v>-0.83574700000000002</v>
      </c>
      <c r="G425" s="115">
        <v>23.545000000000002</v>
      </c>
      <c r="H425" s="115">
        <v>0.107</v>
      </c>
      <c r="I425" s="115">
        <v>110</v>
      </c>
      <c r="J425" s="115">
        <v>161</v>
      </c>
      <c r="K425" s="115">
        <v>0.68320000000000003</v>
      </c>
      <c r="L425" s="115">
        <v>-0.52880000000000005</v>
      </c>
      <c r="M425" s="115">
        <v>962</v>
      </c>
      <c r="N425" s="115">
        <v>5.9752000000000001</v>
      </c>
      <c r="O425" s="115">
        <v>6</v>
      </c>
      <c r="P425" s="115">
        <v>3</v>
      </c>
      <c r="Q425" s="115">
        <v>16</v>
      </c>
      <c r="R425" s="115">
        <v>27</v>
      </c>
      <c r="S425" s="115">
        <v>175</v>
      </c>
      <c r="T425" s="115">
        <v>6.4814999999999996</v>
      </c>
      <c r="U425" s="115">
        <v>1</v>
      </c>
      <c r="V425" s="115">
        <v>3.73E-2</v>
      </c>
      <c r="W425" s="115">
        <v>1.8599999999999998E-2</v>
      </c>
      <c r="X425" s="115">
        <v>1.8599999999999998E-2</v>
      </c>
      <c r="Y425" s="115">
        <v>0.45</v>
      </c>
      <c r="Z425" s="115">
        <v>88.573999999999998</v>
      </c>
      <c r="AA425" s="115">
        <v>4.7232000000000003</v>
      </c>
      <c r="AB425" s="115">
        <v>151.27199999999999</v>
      </c>
      <c r="AC425" s="115">
        <v>44.8</v>
      </c>
      <c r="AD425" s="115">
        <v>7.1999999999999998E-3</v>
      </c>
      <c r="AE425" s="115">
        <v>2.0999999999999999E-3</v>
      </c>
      <c r="AF425" s="115">
        <v>4.7E-2</v>
      </c>
      <c r="AG425" s="115">
        <v>3.3700000000000001E-2</v>
      </c>
      <c r="AH425" s="115">
        <v>-9.1999999999999998E-2</v>
      </c>
      <c r="AI425" s="115">
        <v>0.02</v>
      </c>
      <c r="AJ425" s="115">
        <v>1.8599999999999998E-2</v>
      </c>
      <c r="AK425" s="115">
        <v>5.8446999999999996</v>
      </c>
      <c r="AL425" s="115">
        <v>-3.0682999999999998</v>
      </c>
      <c r="AM425" s="115">
        <v>2</v>
      </c>
      <c r="AN425" s="115">
        <v>3</v>
      </c>
      <c r="AO425" s="115">
        <v>0</v>
      </c>
      <c r="AP425" s="115">
        <v>0</v>
      </c>
      <c r="AQ425" s="115">
        <v>2</v>
      </c>
      <c r="AR425" s="115">
        <v>0</v>
      </c>
      <c r="AS425" s="115">
        <v>4.1999999999999997E-3</v>
      </c>
      <c r="AT425" s="115">
        <v>0.92720000000000002</v>
      </c>
      <c r="AU425" s="114" t="str">
        <f>IF(A425&lt;&gt;"",INDEX(Index!$B$1:$B$77,MATCH($A425,Index!$A$1:$A$77,0)),"")</f>
        <v>ARI</v>
      </c>
      <c r="AV425" s="123" t="str">
        <f>IF(B425&lt;&gt;"",INDEX(Index!$C$1:$C$77,MATCH($A425,Index!$A$1:$A$77,0)),"")</f>
        <v>Murray</v>
      </c>
      <c r="AW425" s="123">
        <f t="shared" si="8"/>
        <v>29</v>
      </c>
      <c r="AX425" s="113">
        <v>12</v>
      </c>
    </row>
    <row r="426" spans="1:50" x14ac:dyDescent="0.25">
      <c r="A426" s="95" t="s">
        <v>560</v>
      </c>
      <c r="B426" s="96">
        <v>2025</v>
      </c>
      <c r="C426" s="96">
        <v>4</v>
      </c>
      <c r="D426" s="115">
        <v>0.43864900000000001</v>
      </c>
      <c r="E426" s="115">
        <v>-0.42743900000000001</v>
      </c>
      <c r="F426" s="115">
        <v>-0.27992699999999998</v>
      </c>
      <c r="G426" s="115">
        <v>27.012499999999999</v>
      </c>
      <c r="H426" s="115">
        <v>0.1789</v>
      </c>
      <c r="I426" s="115">
        <v>90</v>
      </c>
      <c r="J426" s="115">
        <v>131</v>
      </c>
      <c r="K426" s="115">
        <v>0.68700000000000006</v>
      </c>
      <c r="L426" s="115">
        <v>4.0015000000000001</v>
      </c>
      <c r="M426" s="115">
        <v>979</v>
      </c>
      <c r="N426" s="115">
        <v>7.4733000000000001</v>
      </c>
      <c r="O426" s="115">
        <v>8</v>
      </c>
      <c r="P426" s="115">
        <v>7</v>
      </c>
      <c r="Q426" s="115">
        <v>3</v>
      </c>
      <c r="R426" s="115">
        <v>10</v>
      </c>
      <c r="S426" s="115">
        <v>43</v>
      </c>
      <c r="T426" s="115">
        <v>4.3</v>
      </c>
      <c r="U426" s="115">
        <v>0</v>
      </c>
      <c r="V426" s="115">
        <v>6.1100000000000002E-2</v>
      </c>
      <c r="W426" s="115">
        <v>5.3400000000000003E-2</v>
      </c>
      <c r="X426" s="115">
        <v>7.6E-3</v>
      </c>
      <c r="Y426" s="115">
        <v>0.55630000000000002</v>
      </c>
      <c r="Z426" s="115">
        <v>88.5655</v>
      </c>
      <c r="AA426" s="115">
        <v>5.9328000000000003</v>
      </c>
      <c r="AB426" s="115">
        <v>172.05099999999999</v>
      </c>
      <c r="AC426" s="115">
        <v>65.3</v>
      </c>
      <c r="AD426" s="115">
        <v>7.6E-3</v>
      </c>
      <c r="AE426" s="115">
        <v>4.6800000000000001E-2</v>
      </c>
      <c r="AF426" s="115">
        <v>4.2900000000000001E-2</v>
      </c>
      <c r="AG426" s="115">
        <v>-0.12230000000000001</v>
      </c>
      <c r="AH426" s="115">
        <v>7.0099999999999996E-2</v>
      </c>
      <c r="AI426" s="115">
        <v>5.9200000000000003E-2</v>
      </c>
      <c r="AJ426" s="115">
        <v>3.8999999999999998E-3</v>
      </c>
      <c r="AK426" s="115">
        <v>7.2443</v>
      </c>
      <c r="AL426" s="115">
        <v>-0.95420000000000005</v>
      </c>
      <c r="AM426" s="115">
        <v>3</v>
      </c>
      <c r="AN426" s="115">
        <v>1</v>
      </c>
      <c r="AO426" s="115">
        <v>0</v>
      </c>
      <c r="AP426" s="115">
        <v>1</v>
      </c>
      <c r="AQ426" s="115">
        <v>2</v>
      </c>
      <c r="AR426" s="115">
        <v>0.5</v>
      </c>
      <c r="AS426" s="115">
        <v>5.4000000000000003E-3</v>
      </c>
      <c r="AT426" s="115">
        <v>0.8155</v>
      </c>
      <c r="AU426" s="114" t="str">
        <f>IF(A426&lt;&gt;"",INDEX(Index!$B$1:$B$77,MATCH($A426,Index!$A$1:$A$77,0)),"")</f>
        <v>SF</v>
      </c>
      <c r="AV426" s="123" t="str">
        <f>IF(B426&lt;&gt;"",INDEX(Index!$C$1:$C$77,MATCH($A426,Index!$A$1:$A$77,0)),"")</f>
        <v>Purdy</v>
      </c>
      <c r="AW426" s="123">
        <f t="shared" si="8"/>
        <v>45</v>
      </c>
      <c r="AX426" s="113">
        <v>12</v>
      </c>
    </row>
    <row r="427" spans="1:50" x14ac:dyDescent="0.25">
      <c r="A427" s="95" t="s">
        <v>566</v>
      </c>
      <c r="B427" s="96">
        <v>2025</v>
      </c>
      <c r="C427" s="96">
        <v>11</v>
      </c>
      <c r="D427" s="115">
        <v>0.32875300000000002</v>
      </c>
      <c r="E427" s="115">
        <v>-0.25108000000000003</v>
      </c>
      <c r="F427" s="115">
        <v>0.49240200000000001</v>
      </c>
      <c r="G427" s="115">
        <v>114.413</v>
      </c>
      <c r="H427" s="115">
        <v>0.29039999999999999</v>
      </c>
      <c r="I427" s="115">
        <v>224</v>
      </c>
      <c r="J427" s="115">
        <v>330</v>
      </c>
      <c r="K427" s="115">
        <v>0.67879999999999996</v>
      </c>
      <c r="L427" s="115">
        <v>5.6627000000000001</v>
      </c>
      <c r="M427" s="115">
        <v>2560</v>
      </c>
      <c r="N427" s="115">
        <v>7.7576000000000001</v>
      </c>
      <c r="O427" s="115">
        <v>15</v>
      </c>
      <c r="P427" s="115">
        <v>3</v>
      </c>
      <c r="Q427" s="115">
        <v>17</v>
      </c>
      <c r="R427" s="115">
        <v>26</v>
      </c>
      <c r="S427" s="115">
        <v>168</v>
      </c>
      <c r="T427" s="115">
        <v>6.4615</v>
      </c>
      <c r="U427" s="115">
        <v>0</v>
      </c>
      <c r="V427" s="115">
        <v>4.5499999999999999E-2</v>
      </c>
      <c r="W427" s="115">
        <v>9.1000000000000004E-3</v>
      </c>
      <c r="X427" s="115">
        <v>3.6400000000000002E-2</v>
      </c>
      <c r="Y427" s="115">
        <v>0.51780000000000004</v>
      </c>
      <c r="Z427" s="115">
        <v>102.336</v>
      </c>
      <c r="AA427" s="115">
        <v>7.4898999999999996</v>
      </c>
      <c r="AB427" s="115">
        <v>200.35499999999999</v>
      </c>
      <c r="AC427" s="115">
        <v>70</v>
      </c>
      <c r="AD427" s="115">
        <v>9.4000000000000004E-3</v>
      </c>
      <c r="AE427" s="115">
        <v>3.3099999999999997E-2</v>
      </c>
      <c r="AF427" s="115">
        <v>3.8E-3</v>
      </c>
      <c r="AG427" s="115">
        <v>3.49E-2</v>
      </c>
      <c r="AH427" s="115">
        <v>4.9000000000000002E-2</v>
      </c>
      <c r="AI427" s="115">
        <v>7.8899999999999998E-2</v>
      </c>
      <c r="AJ427" s="115">
        <v>1.0699999999999999E-2</v>
      </c>
      <c r="AK427" s="115">
        <v>8.1485000000000003</v>
      </c>
      <c r="AL427" s="115">
        <v>-0.60299999999999998</v>
      </c>
      <c r="AM427" s="115">
        <v>7</v>
      </c>
      <c r="AN427" s="115">
        <v>3</v>
      </c>
      <c r="AO427" s="115">
        <v>1</v>
      </c>
      <c r="AP427" s="115">
        <v>2</v>
      </c>
      <c r="AQ427" s="115">
        <v>5</v>
      </c>
      <c r="AR427" s="115">
        <v>0.4</v>
      </c>
      <c r="AS427" s="115">
        <v>1.14E-2</v>
      </c>
      <c r="AT427" s="115">
        <v>4.4942000000000002</v>
      </c>
      <c r="AU427" s="114" t="str">
        <f>IF(A427&lt;&gt;"",INDEX(Index!$B$1:$B$77,MATCH($A427,Index!$A$1:$A$77,0)),"")</f>
        <v>GB</v>
      </c>
      <c r="AV427" s="123" t="str">
        <f>IF(B427&lt;&gt;"",INDEX(Index!$C$1:$C$77,MATCH($A427,Index!$A$1:$A$77,0)),"")</f>
        <v>Love</v>
      </c>
      <c r="AW427" s="123">
        <f t="shared" si="8"/>
        <v>24</v>
      </c>
      <c r="AX427" s="113">
        <v>12</v>
      </c>
    </row>
    <row r="428" spans="1:50" x14ac:dyDescent="0.25">
      <c r="A428" s="95" t="s">
        <v>568</v>
      </c>
      <c r="B428" s="96">
        <v>2025</v>
      </c>
      <c r="C428" s="96">
        <v>11</v>
      </c>
      <c r="D428" s="115">
        <v>0.27345000000000003</v>
      </c>
      <c r="E428" s="115">
        <v>0.17544699999999999</v>
      </c>
      <c r="F428" s="115">
        <v>1.88832</v>
      </c>
      <c r="G428" s="115">
        <v>84.557900000000004</v>
      </c>
      <c r="H428" s="115">
        <v>0.19989999999999999</v>
      </c>
      <c r="I428" s="115">
        <v>242</v>
      </c>
      <c r="J428" s="115">
        <v>348</v>
      </c>
      <c r="K428" s="115">
        <v>0.69540000000000002</v>
      </c>
      <c r="L428" s="115">
        <v>3.0451000000000001</v>
      </c>
      <c r="M428" s="115">
        <v>2840</v>
      </c>
      <c r="N428" s="115">
        <v>8.1608999999999998</v>
      </c>
      <c r="O428" s="115">
        <v>17</v>
      </c>
      <c r="P428" s="115">
        <v>7</v>
      </c>
      <c r="Q428" s="115">
        <v>21</v>
      </c>
      <c r="R428" s="115">
        <v>35</v>
      </c>
      <c r="S428" s="115">
        <v>163</v>
      </c>
      <c r="T428" s="115">
        <v>4.6570999999999998</v>
      </c>
      <c r="U428" s="115">
        <v>5</v>
      </c>
      <c r="V428" s="115">
        <v>4.8899999999999999E-2</v>
      </c>
      <c r="W428" s="115">
        <v>2.01E-2</v>
      </c>
      <c r="X428" s="115">
        <v>2.87E-2</v>
      </c>
      <c r="Y428" s="115">
        <v>0.52480000000000004</v>
      </c>
      <c r="Z428" s="115">
        <v>101.94</v>
      </c>
      <c r="AA428" s="115">
        <v>7.3522999999999996</v>
      </c>
      <c r="AB428" s="115">
        <v>222.47300000000001</v>
      </c>
      <c r="AC428" s="115">
        <v>65.900000000000006</v>
      </c>
      <c r="AD428" s="115">
        <v>1.6400000000000001E-2</v>
      </c>
      <c r="AE428" s="115">
        <v>6.1000000000000004E-3</v>
      </c>
      <c r="AF428" s="115">
        <v>4.4299999999999999E-2</v>
      </c>
      <c r="AG428" s="115">
        <v>8.6999999999999994E-3</v>
      </c>
      <c r="AH428" s="115">
        <v>2.29E-2</v>
      </c>
      <c r="AI428" s="115">
        <v>4.53E-2</v>
      </c>
      <c r="AJ428" s="115">
        <v>-1.46E-2</v>
      </c>
      <c r="AK428" s="115">
        <v>8.0891000000000002</v>
      </c>
      <c r="AL428" s="115">
        <v>-0.72699999999999998</v>
      </c>
      <c r="AM428" s="115">
        <v>8</v>
      </c>
      <c r="AN428" s="115">
        <v>3</v>
      </c>
      <c r="AO428" s="115">
        <v>0</v>
      </c>
      <c r="AP428" s="115">
        <v>3</v>
      </c>
      <c r="AQ428" s="115">
        <v>4</v>
      </c>
      <c r="AR428" s="115">
        <v>0.75</v>
      </c>
      <c r="AS428" s="115">
        <v>4.1999999999999997E-3</v>
      </c>
      <c r="AT428" s="115">
        <v>1.7645</v>
      </c>
      <c r="AU428" s="114" t="str">
        <f>IF(A428&lt;&gt;"",INDEX(Index!$B$1:$B$77,MATCH($A428,Index!$A$1:$A$77,0)),"")</f>
        <v>IND</v>
      </c>
      <c r="AV428" s="123" t="str">
        <f>IF(B428&lt;&gt;"",INDEX(Index!$C$1:$C$77,MATCH($A428,Index!$A$1:$A$77,0)),"")</f>
        <v>Jones</v>
      </c>
      <c r="AW428" s="123">
        <f t="shared" si="8"/>
        <v>14</v>
      </c>
      <c r="AX428" s="113">
        <v>12</v>
      </c>
    </row>
    <row r="429" spans="1:50" x14ac:dyDescent="0.25">
      <c r="A429" s="95" t="s">
        <v>559</v>
      </c>
      <c r="B429" s="96">
        <v>2025</v>
      </c>
      <c r="C429" s="96">
        <v>11</v>
      </c>
      <c r="D429" s="115">
        <v>0.16028000000000001</v>
      </c>
      <c r="E429" s="115">
        <v>-0.95301000000000002</v>
      </c>
      <c r="F429" s="115">
        <v>-0.54108999999999996</v>
      </c>
      <c r="G429" s="115">
        <v>33.350900000000003</v>
      </c>
      <c r="H429" s="115">
        <v>7.7700000000000005E-2</v>
      </c>
      <c r="I429" s="115">
        <v>225</v>
      </c>
      <c r="J429" s="115">
        <v>358</v>
      </c>
      <c r="K429" s="115">
        <v>0.62849999999999995</v>
      </c>
      <c r="L429" s="115">
        <v>-3.3328000000000002</v>
      </c>
      <c r="M429" s="115">
        <v>2406</v>
      </c>
      <c r="N429" s="115">
        <v>6.7206999999999999</v>
      </c>
      <c r="O429" s="115">
        <v>18</v>
      </c>
      <c r="P429" s="115">
        <v>5</v>
      </c>
      <c r="Q429" s="115">
        <v>22</v>
      </c>
      <c r="R429" s="115">
        <v>25</v>
      </c>
      <c r="S429" s="115">
        <v>220</v>
      </c>
      <c r="T429" s="115">
        <v>8.8000000000000007</v>
      </c>
      <c r="U429" s="115">
        <v>1</v>
      </c>
      <c r="V429" s="115">
        <v>5.0299999999999997E-2</v>
      </c>
      <c r="W429" s="115">
        <v>1.4E-2</v>
      </c>
      <c r="X429" s="115">
        <v>3.6299999999999999E-2</v>
      </c>
      <c r="Y429" s="115">
        <v>0.44990000000000002</v>
      </c>
      <c r="Z429" s="115">
        <v>93.400800000000004</v>
      </c>
      <c r="AA429" s="115">
        <v>6.2789000000000001</v>
      </c>
      <c r="AB429" s="115">
        <v>186.773</v>
      </c>
      <c r="AC429" s="115">
        <v>60.9</v>
      </c>
      <c r="AD429" s="115">
        <v>3.9600000000000003E-2</v>
      </c>
      <c r="AE429" s="115">
        <v>1.2999999999999999E-2</v>
      </c>
      <c r="AF429" s="115">
        <v>-2.7400000000000001E-2</v>
      </c>
      <c r="AG429" s="115">
        <v>2.01E-2</v>
      </c>
      <c r="AH429" s="115">
        <v>-6.0499999999999998E-2</v>
      </c>
      <c r="AI429" s="115">
        <v>2.01E-2</v>
      </c>
      <c r="AJ429" s="115">
        <v>2.0999999999999999E-3</v>
      </c>
      <c r="AK429" s="115">
        <v>8.2569999999999997</v>
      </c>
      <c r="AL429" s="115">
        <v>-0.55589999999999995</v>
      </c>
      <c r="AM429" s="115">
        <v>6</v>
      </c>
      <c r="AN429" s="115">
        <v>5</v>
      </c>
      <c r="AO429" s="115">
        <v>0</v>
      </c>
      <c r="AP429" s="115">
        <v>4</v>
      </c>
      <c r="AQ429" s="115">
        <v>7</v>
      </c>
      <c r="AR429" s="115">
        <v>0.57140000000000002</v>
      </c>
      <c r="AS429" s="115">
        <v>3.5999999999999999E-3</v>
      </c>
      <c r="AT429" s="115">
        <v>1.5374000000000001</v>
      </c>
      <c r="AU429" s="114" t="str">
        <f>IF(A429&lt;&gt;"",INDEX(Index!$B$1:$B$77,MATCH($A429,Index!$A$1:$A$77,0)),"")</f>
        <v>TB</v>
      </c>
      <c r="AV429" s="123" t="str">
        <f>IF(B429&lt;&gt;"",INDEX(Index!$C$1:$C$77,MATCH($A429,Index!$A$1:$A$77,0)),"")</f>
        <v>Mayfield</v>
      </c>
      <c r="AW429" s="123">
        <f t="shared" si="8"/>
        <v>13</v>
      </c>
      <c r="AX429" s="113">
        <v>12</v>
      </c>
    </row>
    <row r="430" spans="1:50" x14ac:dyDescent="0.25">
      <c r="A430" s="95" t="s">
        <v>573</v>
      </c>
      <c r="B430" s="96">
        <v>2025</v>
      </c>
      <c r="C430" s="96">
        <v>11</v>
      </c>
      <c r="D430" s="115">
        <v>8.0031099999999994E-2</v>
      </c>
      <c r="E430" s="115">
        <v>7.4559299999999995E-2</v>
      </c>
      <c r="F430" s="115">
        <v>1.0256099999999999</v>
      </c>
      <c r="G430" s="115">
        <v>83.397999999999996</v>
      </c>
      <c r="H430" s="115">
        <v>0.2475</v>
      </c>
      <c r="I430" s="115">
        <v>207</v>
      </c>
      <c r="J430" s="115">
        <v>297</v>
      </c>
      <c r="K430" s="115">
        <v>0.69699999999999995</v>
      </c>
      <c r="L430" s="115">
        <v>8.7856000000000005</v>
      </c>
      <c r="M430" s="115">
        <v>2785</v>
      </c>
      <c r="N430" s="115">
        <v>9.3771000000000004</v>
      </c>
      <c r="O430" s="115">
        <v>19</v>
      </c>
      <c r="P430" s="115">
        <v>10</v>
      </c>
      <c r="Q430" s="115">
        <v>11</v>
      </c>
      <c r="R430" s="115">
        <v>7</v>
      </c>
      <c r="S430" s="115">
        <v>58</v>
      </c>
      <c r="T430" s="115">
        <v>8.2857000000000003</v>
      </c>
      <c r="U430" s="115">
        <v>0</v>
      </c>
      <c r="V430" s="115">
        <v>6.4000000000000001E-2</v>
      </c>
      <c r="W430" s="115">
        <v>3.3700000000000001E-2</v>
      </c>
      <c r="X430" s="115">
        <v>3.0300000000000001E-2</v>
      </c>
      <c r="Y430" s="115">
        <v>0.54900000000000004</v>
      </c>
      <c r="Z430" s="115">
        <v>106.53100000000001</v>
      </c>
      <c r="AA430" s="115">
        <v>8.5974000000000004</v>
      </c>
      <c r="AB430" s="115">
        <v>195.959</v>
      </c>
      <c r="AC430" s="115">
        <v>69.2</v>
      </c>
      <c r="AD430" s="115">
        <v>-1.37E-2</v>
      </c>
      <c r="AE430" s="115">
        <v>1.8100000000000002E-2</v>
      </c>
      <c r="AF430" s="115">
        <v>5.8999999999999997E-2</v>
      </c>
      <c r="AG430" s="115">
        <v>-7.4399999999999994E-2</v>
      </c>
      <c r="AH430" s="115">
        <v>0.17399999999999999</v>
      </c>
      <c r="AI430" s="115">
        <v>6.7000000000000002E-3</v>
      </c>
      <c r="AJ430" s="115">
        <v>8.0000000000000002E-3</v>
      </c>
      <c r="AK430" s="115">
        <v>9.0437999999999992</v>
      </c>
      <c r="AL430" s="115">
        <v>4.7100000000000003E-2</v>
      </c>
      <c r="AM430" s="115">
        <v>8</v>
      </c>
      <c r="AN430" s="115">
        <v>3</v>
      </c>
      <c r="AO430" s="115">
        <v>0</v>
      </c>
      <c r="AP430" s="115">
        <v>0</v>
      </c>
      <c r="AQ430" s="115">
        <v>3</v>
      </c>
      <c r="AR430" s="115">
        <v>0</v>
      </c>
      <c r="AS430" s="115">
        <v>5.1000000000000004E-3</v>
      </c>
      <c r="AT430" s="115">
        <v>1.7195</v>
      </c>
      <c r="AU430" s="114" t="str">
        <f>IF(A430&lt;&gt;"",INDEX(Index!$B$1:$B$77,MATCH($A430,Index!$A$1:$A$77,0)),"")</f>
        <v>SEA</v>
      </c>
      <c r="AV430" s="123" t="str">
        <f>IF(B430&lt;&gt;"",INDEX(Index!$C$1:$C$77,MATCH($A430,Index!$A$1:$A$77,0)),"")</f>
        <v>Darnold</v>
      </c>
      <c r="AW430" s="123">
        <f t="shared" si="8"/>
        <v>35</v>
      </c>
      <c r="AX430" s="113">
        <v>12</v>
      </c>
    </row>
    <row r="431" spans="1:50" x14ac:dyDescent="0.25">
      <c r="A431" s="95" t="s">
        <v>591</v>
      </c>
      <c r="B431" s="96">
        <v>2025</v>
      </c>
      <c r="C431" s="96">
        <v>2</v>
      </c>
      <c r="D431" s="115">
        <v>6.5429699999999997E-4</v>
      </c>
      <c r="E431" s="115">
        <v>-0.235425</v>
      </c>
      <c r="F431" s="115">
        <v>-0.56469800000000003</v>
      </c>
      <c r="G431" s="115">
        <v>-12.527100000000001</v>
      </c>
      <c r="H431" s="115">
        <v>-0.14910000000000001</v>
      </c>
      <c r="I431" s="115">
        <v>48</v>
      </c>
      <c r="J431" s="115">
        <v>74</v>
      </c>
      <c r="K431" s="115">
        <v>0.64859999999999995</v>
      </c>
      <c r="L431" s="115">
        <v>-3.1646000000000001</v>
      </c>
      <c r="M431" s="115">
        <v>449</v>
      </c>
      <c r="N431" s="115">
        <v>6.0675999999999997</v>
      </c>
      <c r="O431" s="115">
        <v>2</v>
      </c>
      <c r="P431" s="115">
        <v>1</v>
      </c>
      <c r="Q431" s="115">
        <v>4</v>
      </c>
      <c r="R431" s="115">
        <v>3</v>
      </c>
      <c r="S431" s="115">
        <v>11</v>
      </c>
      <c r="T431" s="115">
        <v>3.6667000000000001</v>
      </c>
      <c r="U431" s="115">
        <v>0</v>
      </c>
      <c r="V431" s="115">
        <v>2.7E-2</v>
      </c>
      <c r="W431" s="115">
        <v>1.35E-2</v>
      </c>
      <c r="X431" s="115">
        <v>1.35E-2</v>
      </c>
      <c r="Y431" s="115">
        <v>0.42859999999999998</v>
      </c>
      <c r="Z431" s="115">
        <v>84.797300000000007</v>
      </c>
      <c r="AA431" s="115">
        <v>5.3974000000000002</v>
      </c>
      <c r="AB431" s="115">
        <v>102.026</v>
      </c>
      <c r="AC431" s="115"/>
      <c r="AD431" s="115">
        <v>-2.4799999999999999E-2</v>
      </c>
      <c r="AE431" s="115">
        <v>1.7500000000000002E-2</v>
      </c>
      <c r="AF431" s="115">
        <v>-9.0800000000000006E-2</v>
      </c>
      <c r="AG431" s="115">
        <v>-2.5399999999999999E-2</v>
      </c>
      <c r="AH431" s="115">
        <v>-5.2499999999999998E-2</v>
      </c>
      <c r="AI431" s="115">
        <v>-6.25E-2</v>
      </c>
      <c r="AJ431" s="115">
        <v>1.8599999999999998E-2</v>
      </c>
      <c r="AK431" s="115">
        <v>7.9729999999999999</v>
      </c>
      <c r="AL431" s="115">
        <v>-0.97299999999999998</v>
      </c>
      <c r="AM431" s="115">
        <v>1</v>
      </c>
      <c r="AN431" s="115">
        <v>3</v>
      </c>
      <c r="AO431" s="115">
        <v>0</v>
      </c>
      <c r="AP431" s="115">
        <v>0</v>
      </c>
      <c r="AQ431" s="115">
        <v>1</v>
      </c>
      <c r="AR431" s="115">
        <v>0</v>
      </c>
      <c r="AS431" s="115">
        <v>-6.0000000000000001E-3</v>
      </c>
      <c r="AT431" s="115">
        <v>-0.50570000000000004</v>
      </c>
      <c r="AU431" s="114" t="str">
        <f>IF(A431&lt;&gt;"",INDEX(Index!$B$1:$B$77,MATCH($A431,Index!$A$1:$A$77,0)),"")</f>
        <v>ATL</v>
      </c>
      <c r="AV431" s="123" t="str">
        <f>IF(B431&lt;&gt;"",INDEX(Index!$C$1:$C$77,MATCH($A431,Index!$A$1:$A$77,0)),"")</f>
        <v>Cousins</v>
      </c>
      <c r="AW431" s="123">
        <f t="shared" si="8"/>
        <v>44</v>
      </c>
      <c r="AX431" s="113">
        <v>12</v>
      </c>
    </row>
    <row r="432" spans="1:50" x14ac:dyDescent="0.25">
      <c r="A432" s="95" t="s">
        <v>574</v>
      </c>
      <c r="B432" s="96">
        <v>2025</v>
      </c>
      <c r="C432" s="96">
        <v>11</v>
      </c>
      <c r="D432" s="115">
        <v>-6.5429699999999997E-4</v>
      </c>
      <c r="E432" s="115">
        <v>0.299877</v>
      </c>
      <c r="F432" s="115">
        <v>1.4735799999999999</v>
      </c>
      <c r="G432" s="115">
        <v>41.171599999999998</v>
      </c>
      <c r="H432" s="115">
        <v>9.2299999999999993E-2</v>
      </c>
      <c r="I432" s="115">
        <v>213</v>
      </c>
      <c r="J432" s="115">
        <v>359</v>
      </c>
      <c r="K432" s="115">
        <v>0.59330000000000005</v>
      </c>
      <c r="L432" s="115">
        <v>-4.2407000000000004</v>
      </c>
      <c r="M432" s="115">
        <v>2568</v>
      </c>
      <c r="N432" s="115">
        <v>7.1532</v>
      </c>
      <c r="O432" s="115">
        <v>16</v>
      </c>
      <c r="P432" s="115">
        <v>4</v>
      </c>
      <c r="Q432" s="115">
        <v>17</v>
      </c>
      <c r="R432" s="115">
        <v>43</v>
      </c>
      <c r="S432" s="115">
        <v>303</v>
      </c>
      <c r="T432" s="115">
        <v>7.0465</v>
      </c>
      <c r="U432" s="115">
        <v>3</v>
      </c>
      <c r="V432" s="115">
        <v>4.4600000000000001E-2</v>
      </c>
      <c r="W432" s="115">
        <v>1.11E-2</v>
      </c>
      <c r="X432" s="115">
        <v>3.3399999999999999E-2</v>
      </c>
      <c r="Y432" s="115">
        <v>0.45290000000000002</v>
      </c>
      <c r="Z432" s="115">
        <v>91.544799999999995</v>
      </c>
      <c r="AA432" s="115">
        <v>6.8936000000000002</v>
      </c>
      <c r="AB432" s="115">
        <v>193.053</v>
      </c>
      <c r="AC432" s="115">
        <v>55.3</v>
      </c>
      <c r="AD432" s="115">
        <v>-2.3E-3</v>
      </c>
      <c r="AE432" s="115">
        <v>3.5700000000000003E-2</v>
      </c>
      <c r="AF432" s="115">
        <v>-4.1099999999999998E-2</v>
      </c>
      <c r="AG432" s="115">
        <v>0.04</v>
      </c>
      <c r="AH432" s="115">
        <v>-1.38E-2</v>
      </c>
      <c r="AI432" s="115">
        <v>2.18E-2</v>
      </c>
      <c r="AJ432" s="115">
        <v>-1.8800000000000001E-2</v>
      </c>
      <c r="AK432" s="115">
        <v>8.8606999999999996</v>
      </c>
      <c r="AL432" s="115">
        <v>-0.49580000000000002</v>
      </c>
      <c r="AM432" s="115">
        <v>8</v>
      </c>
      <c r="AN432" s="115">
        <v>3</v>
      </c>
      <c r="AO432" s="115">
        <v>0</v>
      </c>
      <c r="AP432" s="115">
        <v>4</v>
      </c>
      <c r="AQ432" s="115">
        <v>6</v>
      </c>
      <c r="AR432" s="115">
        <v>0.66669999999999996</v>
      </c>
      <c r="AS432" s="115">
        <v>4.1999999999999997E-3</v>
      </c>
      <c r="AT432" s="115">
        <v>1.8827</v>
      </c>
      <c r="AU432" s="114" t="str">
        <f>IF(A432&lt;&gt;"",INDEX(Index!$B$1:$B$77,MATCH($A432,Index!$A$1:$A$77,0)),"")</f>
        <v>CHI</v>
      </c>
      <c r="AV432" s="123" t="str">
        <f>IF(B432&lt;&gt;"",INDEX(Index!$C$1:$C$77,MATCH($A432,Index!$A$1:$A$77,0)),"")</f>
        <v>Williams</v>
      </c>
      <c r="AW432" s="123">
        <f t="shared" si="8"/>
        <v>24</v>
      </c>
      <c r="AX432" s="113">
        <v>12</v>
      </c>
    </row>
    <row r="433" spans="1:50" x14ac:dyDescent="0.25">
      <c r="A433" s="95" t="s">
        <v>564</v>
      </c>
      <c r="B433" s="96">
        <v>2025</v>
      </c>
      <c r="C433" s="96">
        <v>3</v>
      </c>
      <c r="D433" s="115">
        <v>-6.4974400000000002E-2</v>
      </c>
      <c r="E433" s="115">
        <v>-0.72087800000000002</v>
      </c>
      <c r="F433" s="115">
        <v>-0.42435</v>
      </c>
      <c r="G433" s="115">
        <v>-4.0004</v>
      </c>
      <c r="H433" s="115">
        <v>-2.53E-2</v>
      </c>
      <c r="I433" s="115">
        <v>69</v>
      </c>
      <c r="J433" s="115">
        <v>119</v>
      </c>
      <c r="K433" s="115">
        <v>0.57979999999999998</v>
      </c>
      <c r="L433" s="115">
        <v>-1.48</v>
      </c>
      <c r="M433" s="115">
        <v>831</v>
      </c>
      <c r="N433" s="115">
        <v>6.9832000000000001</v>
      </c>
      <c r="O433" s="115">
        <v>3</v>
      </c>
      <c r="P433" s="115">
        <v>3</v>
      </c>
      <c r="Q433" s="115">
        <v>10</v>
      </c>
      <c r="R433" s="115">
        <v>18</v>
      </c>
      <c r="S433" s="115">
        <v>106</v>
      </c>
      <c r="T433" s="115">
        <v>5.8888999999999996</v>
      </c>
      <c r="U433" s="115">
        <v>0</v>
      </c>
      <c r="V433" s="115">
        <v>2.52E-2</v>
      </c>
      <c r="W433" s="115">
        <v>2.52E-2</v>
      </c>
      <c r="X433" s="115">
        <v>0</v>
      </c>
      <c r="Y433" s="115">
        <v>0.40510000000000002</v>
      </c>
      <c r="Z433" s="115">
        <v>77.398499999999999</v>
      </c>
      <c r="AA433" s="115">
        <v>5.3487999999999998</v>
      </c>
      <c r="AB433" s="115">
        <v>140.05699999999999</v>
      </c>
      <c r="AC433" s="115"/>
      <c r="AD433" s="115">
        <v>-3.9899999999999998E-2</v>
      </c>
      <c r="AE433" s="115">
        <v>1.3599999999999999E-2</v>
      </c>
      <c r="AF433" s="115">
        <v>-9.7000000000000003E-2</v>
      </c>
      <c r="AG433" s="115">
        <v>1.9599999999999999E-2</v>
      </c>
      <c r="AH433" s="115">
        <v>1.5800000000000002E-2</v>
      </c>
      <c r="AI433" s="115">
        <v>-6.6299999999999998E-2</v>
      </c>
      <c r="AJ433" s="115">
        <v>5.8200000000000002E-2</v>
      </c>
      <c r="AK433" s="115">
        <v>8.8908000000000005</v>
      </c>
      <c r="AL433" s="115">
        <v>-0.10920000000000001</v>
      </c>
      <c r="AM433" s="115">
        <v>2</v>
      </c>
      <c r="AN433" s="115">
        <v>4</v>
      </c>
      <c r="AO433" s="115">
        <v>0</v>
      </c>
      <c r="AP433" s="115">
        <v>0</v>
      </c>
      <c r="AQ433" s="115">
        <v>3</v>
      </c>
      <c r="AR433" s="115">
        <v>0</v>
      </c>
      <c r="AS433" s="115">
        <v>4.8999999999999998E-3</v>
      </c>
      <c r="AT433" s="115">
        <v>0.77270000000000005</v>
      </c>
      <c r="AU433" s="114" t="str">
        <f>IF(A433&lt;&gt;"",INDEX(Index!$B$1:$B$77,MATCH($A433,Index!$A$1:$A$77,0)),"")</f>
        <v>NYG</v>
      </c>
      <c r="AV433" s="123" t="str">
        <f>IF(B433&lt;&gt;"",INDEX(Index!$C$1:$C$77,MATCH($A433,Index!$A$1:$A$77,0)),"")</f>
        <v>Wilson</v>
      </c>
      <c r="AW433" s="123">
        <f t="shared" si="8"/>
        <v>36</v>
      </c>
      <c r="AX433" s="113">
        <v>12</v>
      </c>
    </row>
    <row r="434" spans="1:50" x14ac:dyDescent="0.25">
      <c r="A434" s="95" t="s">
        <v>575</v>
      </c>
      <c r="B434" s="96">
        <v>2025</v>
      </c>
      <c r="C434" s="96">
        <v>8</v>
      </c>
      <c r="D434" s="115">
        <v>-0.22145999999999999</v>
      </c>
      <c r="E434" s="115">
        <v>0.88405599999999995</v>
      </c>
      <c r="F434" s="115">
        <v>1.54932</v>
      </c>
      <c r="G434" s="115">
        <v>47.140999999999998</v>
      </c>
      <c r="H434" s="115">
        <v>0.14069999999999999</v>
      </c>
      <c r="I434" s="115">
        <v>201</v>
      </c>
      <c r="J434" s="115">
        <v>286</v>
      </c>
      <c r="K434" s="115">
        <v>0.70279999999999998</v>
      </c>
      <c r="L434" s="115">
        <v>3.6785999999999999</v>
      </c>
      <c r="M434" s="115">
        <v>2151</v>
      </c>
      <c r="N434" s="115">
        <v>7.5209999999999999</v>
      </c>
      <c r="O434" s="115">
        <v>13</v>
      </c>
      <c r="P434" s="115">
        <v>6</v>
      </c>
      <c r="Q434" s="115">
        <v>16</v>
      </c>
      <c r="R434" s="115">
        <v>21</v>
      </c>
      <c r="S434" s="115">
        <v>71</v>
      </c>
      <c r="T434" s="115">
        <v>3.3809999999999998</v>
      </c>
      <c r="U434" s="115">
        <v>0</v>
      </c>
      <c r="V434" s="115">
        <v>4.5499999999999999E-2</v>
      </c>
      <c r="W434" s="115">
        <v>2.1000000000000001E-2</v>
      </c>
      <c r="X434" s="115">
        <v>2.4500000000000001E-2</v>
      </c>
      <c r="Y434" s="115">
        <v>0.52839999999999998</v>
      </c>
      <c r="Z434" s="115">
        <v>98.397400000000005</v>
      </c>
      <c r="AA434" s="115">
        <v>6.7317999999999998</v>
      </c>
      <c r="AB434" s="115">
        <v>197.37700000000001</v>
      </c>
      <c r="AC434" s="115">
        <v>64.599999999999994</v>
      </c>
      <c r="AD434" s="115">
        <v>-9.5999999999999992E-3</v>
      </c>
      <c r="AE434" s="115">
        <v>1.3299999999999999E-2</v>
      </c>
      <c r="AF434" s="115">
        <v>2.9100000000000001E-2</v>
      </c>
      <c r="AG434" s="115">
        <v>3.7000000000000002E-3</v>
      </c>
      <c r="AH434" s="115">
        <v>5.7200000000000001E-2</v>
      </c>
      <c r="AI434" s="115">
        <v>-3.8E-3</v>
      </c>
      <c r="AJ434" s="115">
        <v>-1.9900000000000001E-2</v>
      </c>
      <c r="AK434" s="115">
        <v>7.4265999999999996</v>
      </c>
      <c r="AL434" s="115">
        <v>-1.6608000000000001</v>
      </c>
      <c r="AM434" s="115">
        <v>5</v>
      </c>
      <c r="AN434" s="115">
        <v>3</v>
      </c>
      <c r="AO434" s="115">
        <v>0</v>
      </c>
      <c r="AP434" s="115">
        <v>1</v>
      </c>
      <c r="AQ434" s="115">
        <v>2</v>
      </c>
      <c r="AR434" s="115">
        <v>0.5</v>
      </c>
      <c r="AS434" s="115">
        <v>4.1999999999999997E-3</v>
      </c>
      <c r="AT434" s="115">
        <v>1.4128000000000001</v>
      </c>
      <c r="AU434" s="114" t="str">
        <f>IF(A434&lt;&gt;"",INDEX(Index!$B$1:$B$77,MATCH($A434,Index!$A$1:$A$77,0)),"")</f>
        <v>SF</v>
      </c>
      <c r="AV434" s="123" t="str">
        <f>IF(B434&lt;&gt;"",INDEX(Index!$C$1:$C$77,MATCH($A434,Index!$A$1:$A$77,0)),"")</f>
        <v>Jones</v>
      </c>
      <c r="AW434" s="123">
        <f t="shared" si="8"/>
        <v>29</v>
      </c>
      <c r="AX434" s="113">
        <v>12</v>
      </c>
    </row>
    <row r="435" spans="1:50" x14ac:dyDescent="0.25">
      <c r="A435" s="95" t="s">
        <v>587</v>
      </c>
      <c r="B435" s="96">
        <v>2025</v>
      </c>
      <c r="C435" s="96">
        <v>7</v>
      </c>
      <c r="D435" s="115">
        <v>-0.24191299999999999</v>
      </c>
      <c r="E435" s="115">
        <v>0.65627400000000002</v>
      </c>
      <c r="F435" s="115">
        <v>2.2668200000000001</v>
      </c>
      <c r="G435" s="115">
        <v>47.185699999999997</v>
      </c>
      <c r="H435" s="115">
        <v>0.1605</v>
      </c>
      <c r="I435" s="115">
        <v>128</v>
      </c>
      <c r="J435" s="115">
        <v>203</v>
      </c>
      <c r="K435" s="115">
        <v>0.63049999999999995</v>
      </c>
      <c r="L435" s="115">
        <v>-0.64970000000000006</v>
      </c>
      <c r="M435" s="115">
        <v>1417</v>
      </c>
      <c r="N435" s="115">
        <v>6.9802999999999997</v>
      </c>
      <c r="O435" s="115">
        <v>10</v>
      </c>
      <c r="P435" s="115">
        <v>3</v>
      </c>
      <c r="Q435" s="115">
        <v>21</v>
      </c>
      <c r="R435" s="115">
        <v>52</v>
      </c>
      <c r="S435" s="115">
        <v>320</v>
      </c>
      <c r="T435" s="115">
        <v>6.1538000000000004</v>
      </c>
      <c r="U435" s="115">
        <v>7</v>
      </c>
      <c r="V435" s="115">
        <v>4.9299999999999997E-2</v>
      </c>
      <c r="W435" s="115">
        <v>1.4800000000000001E-2</v>
      </c>
      <c r="X435" s="115">
        <v>3.4500000000000003E-2</v>
      </c>
      <c r="Y435" s="115">
        <v>0.48299999999999998</v>
      </c>
      <c r="Z435" s="115">
        <v>93.975800000000007</v>
      </c>
      <c r="AA435" s="115">
        <v>6.2454999999999998</v>
      </c>
      <c r="AB435" s="115">
        <v>221.684</v>
      </c>
      <c r="AC435" s="115">
        <v>64.7</v>
      </c>
      <c r="AD435" s="115">
        <v>7.0499999999999993E-2</v>
      </c>
      <c r="AE435" s="115">
        <v>-4.4000000000000003E-3</v>
      </c>
      <c r="AF435" s="115">
        <v>3.1399999999999997E-2</v>
      </c>
      <c r="AG435" s="115">
        <v>4.2999999999999997E-2</v>
      </c>
      <c r="AH435" s="115">
        <v>-6.3100000000000003E-2</v>
      </c>
      <c r="AI435" s="115">
        <v>-1.29E-2</v>
      </c>
      <c r="AJ435" s="115">
        <v>2.53E-2</v>
      </c>
      <c r="AK435" s="115">
        <v>8.6107999999999993</v>
      </c>
      <c r="AL435" s="115">
        <v>-0.61080000000000001</v>
      </c>
      <c r="AM435" s="115">
        <v>2</v>
      </c>
      <c r="AN435" s="115">
        <v>7</v>
      </c>
      <c r="AO435" s="115">
        <v>0</v>
      </c>
      <c r="AP435" s="115">
        <v>0</v>
      </c>
      <c r="AQ435" s="115">
        <v>2</v>
      </c>
      <c r="AR435" s="115">
        <v>0</v>
      </c>
      <c r="AS435" s="115">
        <v>4.1000000000000003E-3</v>
      </c>
      <c r="AT435" s="115">
        <v>1.2171000000000001</v>
      </c>
      <c r="AU435" s="114" t="str">
        <f>IF(A435&lt;&gt;"",INDEX(Index!$B$1:$B$77,MATCH($A435,Index!$A$1:$A$77,0)),"")</f>
        <v>NYG</v>
      </c>
      <c r="AV435" s="123" t="str">
        <f>IF(B435&lt;&gt;"",INDEX(Index!$C$1:$C$77,MATCH($A435,Index!$A$1:$A$77,0)),"")</f>
        <v>Dart</v>
      </c>
      <c r="AW435" s="123">
        <f t="shared" si="8"/>
        <v>14</v>
      </c>
      <c r="AX435" s="113">
        <v>12</v>
      </c>
    </row>
    <row r="436" spans="1:50" x14ac:dyDescent="0.25">
      <c r="A436" s="95" t="s">
        <v>558</v>
      </c>
      <c r="B436" s="96">
        <v>2025</v>
      </c>
      <c r="C436" s="96">
        <v>10</v>
      </c>
      <c r="D436" s="115">
        <v>-0.25888699999999998</v>
      </c>
      <c r="E436" s="115">
        <v>-0.26036999999999999</v>
      </c>
      <c r="F436" s="115">
        <v>-1.70709</v>
      </c>
      <c r="G436" s="115">
        <v>14.286199999999999</v>
      </c>
      <c r="H436" s="115">
        <v>4.2799999999999998E-2</v>
      </c>
      <c r="I436" s="115">
        <v>192</v>
      </c>
      <c r="J436" s="115">
        <v>289</v>
      </c>
      <c r="K436" s="115">
        <v>0.66439999999999999</v>
      </c>
      <c r="L436" s="115">
        <v>1.1494</v>
      </c>
      <c r="M436" s="115">
        <v>1969</v>
      </c>
      <c r="N436" s="115">
        <v>6.8131000000000004</v>
      </c>
      <c r="O436" s="115">
        <v>19</v>
      </c>
      <c r="P436" s="115">
        <v>7</v>
      </c>
      <c r="Q436" s="115">
        <v>19</v>
      </c>
      <c r="R436" s="115">
        <v>7</v>
      </c>
      <c r="S436" s="115">
        <v>32</v>
      </c>
      <c r="T436" s="115">
        <v>4.5713999999999997</v>
      </c>
      <c r="U436" s="115">
        <v>0</v>
      </c>
      <c r="V436" s="115">
        <v>6.5699999999999995E-2</v>
      </c>
      <c r="W436" s="115">
        <v>2.4199999999999999E-2</v>
      </c>
      <c r="X436" s="115">
        <v>4.1500000000000002E-2</v>
      </c>
      <c r="Y436" s="115">
        <v>0.4461</v>
      </c>
      <c r="Z436" s="115">
        <v>97.657200000000003</v>
      </c>
      <c r="AA436" s="115">
        <v>6.2110000000000003</v>
      </c>
      <c r="AB436" s="115">
        <v>146.65600000000001</v>
      </c>
      <c r="AC436" s="115">
        <v>43.8</v>
      </c>
      <c r="AD436" s="115">
        <v>-2.8400000000000002E-2</v>
      </c>
      <c r="AE436" s="115">
        <v>2.5000000000000001E-2</v>
      </c>
      <c r="AF436" s="115">
        <v>-5.7000000000000002E-3</v>
      </c>
      <c r="AG436" s="115">
        <v>-5.4000000000000003E-3</v>
      </c>
      <c r="AH436" s="115">
        <v>-0.1479</v>
      </c>
      <c r="AI436" s="115">
        <v>0.121</v>
      </c>
      <c r="AJ436" s="115">
        <v>1.34E-2</v>
      </c>
      <c r="AK436" s="115">
        <v>5.9619</v>
      </c>
      <c r="AL436" s="115">
        <v>-3.2075999999999998</v>
      </c>
      <c r="AM436" s="115">
        <v>6</v>
      </c>
      <c r="AN436" s="115">
        <v>4</v>
      </c>
      <c r="AO436" s="115">
        <v>0</v>
      </c>
      <c r="AP436" s="115">
        <v>1</v>
      </c>
      <c r="AQ436" s="115">
        <v>3</v>
      </c>
      <c r="AR436" s="115">
        <v>0.33329999999999999</v>
      </c>
      <c r="AS436" s="115">
        <v>8.0000000000000004E-4</v>
      </c>
      <c r="AT436" s="115">
        <v>0.26519999999999999</v>
      </c>
      <c r="AU436" s="114" t="str">
        <f>IF(A436&lt;&gt;"",INDEX(Index!$B$1:$B$77,MATCH($A436,Index!$A$1:$A$77,0)),"")</f>
        <v>GB</v>
      </c>
      <c r="AV436" s="123" t="str">
        <f>IF(B436&lt;&gt;"",INDEX(Index!$C$1:$C$77,MATCH($A436,Index!$A$1:$A$77,0)),"")</f>
        <v>Rodgers</v>
      </c>
      <c r="AW436" s="123">
        <f t="shared" si="8"/>
        <v>19</v>
      </c>
      <c r="AX436" s="113">
        <v>12</v>
      </c>
    </row>
    <row r="437" spans="1:50" x14ac:dyDescent="0.25">
      <c r="A437" s="95" t="s">
        <v>563</v>
      </c>
      <c r="B437" s="96">
        <v>2025</v>
      </c>
      <c r="C437" s="96">
        <v>11</v>
      </c>
      <c r="D437" s="115">
        <v>-0.32435900000000001</v>
      </c>
      <c r="E437" s="115">
        <v>-0.80465600000000004</v>
      </c>
      <c r="F437" s="115">
        <v>-0.31842500000000001</v>
      </c>
      <c r="G437" s="115">
        <v>37.0916</v>
      </c>
      <c r="H437" s="115">
        <v>7.7799999999999994E-2</v>
      </c>
      <c r="I437" s="115">
        <v>250</v>
      </c>
      <c r="J437" s="115">
        <v>376</v>
      </c>
      <c r="K437" s="115">
        <v>0.66490000000000005</v>
      </c>
      <c r="L437" s="115">
        <v>0.56399999999999995</v>
      </c>
      <c r="M437" s="115">
        <v>2691</v>
      </c>
      <c r="N437" s="115">
        <v>7.1569000000000003</v>
      </c>
      <c r="O437" s="115">
        <v>19</v>
      </c>
      <c r="P437" s="115">
        <v>9</v>
      </c>
      <c r="Q437" s="115">
        <v>35</v>
      </c>
      <c r="R437" s="115">
        <v>44</v>
      </c>
      <c r="S437" s="115">
        <v>354</v>
      </c>
      <c r="T437" s="115">
        <v>8.0455000000000005</v>
      </c>
      <c r="U437" s="115">
        <v>1</v>
      </c>
      <c r="V437" s="115">
        <v>5.0500000000000003E-2</v>
      </c>
      <c r="W437" s="115">
        <v>2.3900000000000001E-2</v>
      </c>
      <c r="X437" s="115">
        <v>2.6599999999999999E-2</v>
      </c>
      <c r="Y437" s="115">
        <v>0.49480000000000002</v>
      </c>
      <c r="Z437" s="115">
        <v>94.182199999999995</v>
      </c>
      <c r="AA437" s="115">
        <v>5.9683999999999999</v>
      </c>
      <c r="AB437" s="115">
        <v>173.83099999999999</v>
      </c>
      <c r="AC437" s="115">
        <v>60.4</v>
      </c>
      <c r="AD437" s="115">
        <v>3.5700000000000003E-2</v>
      </c>
      <c r="AE437" s="115">
        <v>-8.6999999999999994E-3</v>
      </c>
      <c r="AF437" s="115">
        <v>1.2E-2</v>
      </c>
      <c r="AG437" s="115">
        <v>-3.0700000000000002E-2</v>
      </c>
      <c r="AH437" s="115">
        <v>1.5699999999999999E-2</v>
      </c>
      <c r="AI437" s="115">
        <v>-8.6999999999999994E-3</v>
      </c>
      <c r="AJ437" s="115">
        <v>-8.2000000000000007E-3</v>
      </c>
      <c r="AK437" s="115">
        <v>7.4520999999999997</v>
      </c>
      <c r="AL437" s="115">
        <v>-1.5824</v>
      </c>
      <c r="AM437" s="115">
        <v>7</v>
      </c>
      <c r="AN437" s="115">
        <v>4</v>
      </c>
      <c r="AO437" s="115">
        <v>0</v>
      </c>
      <c r="AP437" s="115">
        <v>2</v>
      </c>
      <c r="AQ437" s="115">
        <v>3</v>
      </c>
      <c r="AR437" s="115">
        <v>0.66669999999999996</v>
      </c>
      <c r="AS437" s="115">
        <v>2.5999999999999999E-3</v>
      </c>
      <c r="AT437" s="115">
        <v>1.2458</v>
      </c>
      <c r="AU437" s="114" t="str">
        <f>IF(A437&lt;&gt;"",INDEX(Index!$B$1:$B$77,MATCH($A437,Index!$A$1:$A$77,0)),"")</f>
        <v>LAC</v>
      </c>
      <c r="AV437" s="123" t="str">
        <f>IF(B437&lt;&gt;"",INDEX(Index!$C$1:$C$77,MATCH($A437,Index!$A$1:$A$77,0)),"")</f>
        <v>Herbert</v>
      </c>
      <c r="AW437" s="123">
        <f t="shared" si="8"/>
        <v>4</v>
      </c>
      <c r="AX437" s="113">
        <v>12</v>
      </c>
    </row>
    <row r="438" spans="1:50" x14ac:dyDescent="0.25">
      <c r="A438" s="95" t="s">
        <v>590</v>
      </c>
      <c r="B438" s="96">
        <v>2025</v>
      </c>
      <c r="C438" s="96">
        <v>6</v>
      </c>
      <c r="D438" s="115">
        <v>-0.70060100000000003</v>
      </c>
      <c r="E438" s="115">
        <v>-6.24457E-2</v>
      </c>
      <c r="F438" s="115">
        <v>1.42953</v>
      </c>
      <c r="G438" s="115">
        <v>10.0352</v>
      </c>
      <c r="H438" s="115">
        <v>3.0800000000000001E-2</v>
      </c>
      <c r="I438" s="115">
        <v>175</v>
      </c>
      <c r="J438" s="115">
        <v>262</v>
      </c>
      <c r="K438" s="115">
        <v>0.66790000000000005</v>
      </c>
      <c r="L438" s="115">
        <v>3.641</v>
      </c>
      <c r="M438" s="115">
        <v>1887</v>
      </c>
      <c r="N438" s="115">
        <v>7.2023000000000001</v>
      </c>
      <c r="O438" s="115">
        <v>11</v>
      </c>
      <c r="P438" s="115">
        <v>3</v>
      </c>
      <c r="Q438" s="115">
        <v>24</v>
      </c>
      <c r="R438" s="115">
        <v>21</v>
      </c>
      <c r="S438" s="115">
        <v>101</v>
      </c>
      <c r="T438" s="115">
        <v>4.8094999999999999</v>
      </c>
      <c r="U438" s="115">
        <v>1</v>
      </c>
      <c r="V438" s="115">
        <v>4.2000000000000003E-2</v>
      </c>
      <c r="W438" s="115">
        <v>1.15E-2</v>
      </c>
      <c r="X438" s="115">
        <v>3.0499999999999999E-2</v>
      </c>
      <c r="Y438" s="115">
        <v>0.47549999999999998</v>
      </c>
      <c r="Z438" s="115">
        <v>96.978399999999993</v>
      </c>
      <c r="AA438" s="115">
        <v>6.2412999999999998</v>
      </c>
      <c r="AB438" s="115">
        <v>203.37299999999999</v>
      </c>
      <c r="AC438" s="115">
        <v>40</v>
      </c>
      <c r="AD438" s="115">
        <v>-1.09E-2</v>
      </c>
      <c r="AE438" s="115">
        <v>-6.5000000000000002E-2</v>
      </c>
      <c r="AF438" s="115">
        <v>1.17E-2</v>
      </c>
      <c r="AG438" s="115">
        <v>2.7099999999999999E-2</v>
      </c>
      <c r="AH438" s="115">
        <v>-1.8100000000000002E-2</v>
      </c>
      <c r="AI438" s="115">
        <v>2.7400000000000001E-2</v>
      </c>
      <c r="AJ438" s="115">
        <v>-1.21E-2</v>
      </c>
      <c r="AK438" s="115">
        <v>7.8434999999999997</v>
      </c>
      <c r="AL438" s="115">
        <v>-1.5725</v>
      </c>
      <c r="AM438" s="115">
        <v>2</v>
      </c>
      <c r="AN438" s="115">
        <v>6</v>
      </c>
      <c r="AO438" s="115">
        <v>0</v>
      </c>
      <c r="AP438" s="115">
        <v>0</v>
      </c>
      <c r="AQ438" s="115">
        <v>3</v>
      </c>
      <c r="AR438" s="115">
        <v>0</v>
      </c>
      <c r="AS438" s="115">
        <v>-1.9E-3</v>
      </c>
      <c r="AT438" s="115">
        <v>-0.61270000000000002</v>
      </c>
      <c r="AU438" s="114" t="str">
        <f>IF(A438&lt;&gt;"",INDEX(Index!$B$1:$B$77,MATCH($A438,Index!$A$1:$A$77,0)),"")</f>
        <v>ARI</v>
      </c>
      <c r="AV438" s="123" t="str">
        <f>IF(B438&lt;&gt;"",INDEX(Index!$C$1:$C$77,MATCH($A438,Index!$A$1:$A$77,0)),"")</f>
        <v>Brissett</v>
      </c>
      <c r="AW438" s="123">
        <f t="shared" si="8"/>
        <v>9</v>
      </c>
      <c r="AX438" s="113">
        <v>12</v>
      </c>
    </row>
    <row r="439" spans="1:50" x14ac:dyDescent="0.25">
      <c r="A439" s="95" t="s">
        <v>596</v>
      </c>
      <c r="B439" s="96">
        <v>2025</v>
      </c>
      <c r="C439" s="96">
        <v>2</v>
      </c>
      <c r="D439" s="115">
        <v>-0.75304599999999999</v>
      </c>
      <c r="E439" s="115">
        <v>0.24723500000000001</v>
      </c>
      <c r="F439" s="115">
        <v>0.20761199999999999</v>
      </c>
      <c r="G439" s="115">
        <v>25.662400000000002</v>
      </c>
      <c r="H439" s="115">
        <v>0.32479999999999998</v>
      </c>
      <c r="I439" s="115">
        <v>37</v>
      </c>
      <c r="J439" s="115">
        <v>65</v>
      </c>
      <c r="K439" s="115">
        <v>0.56920000000000004</v>
      </c>
      <c r="L439" s="115">
        <v>-2.6429</v>
      </c>
      <c r="M439" s="115">
        <v>567</v>
      </c>
      <c r="N439" s="115">
        <v>8.7231000000000005</v>
      </c>
      <c r="O439" s="115">
        <v>2</v>
      </c>
      <c r="P439" s="115">
        <v>2</v>
      </c>
      <c r="Q439" s="115">
        <v>3</v>
      </c>
      <c r="R439" s="115">
        <v>5</v>
      </c>
      <c r="S439" s="115">
        <v>25</v>
      </c>
      <c r="T439" s="115">
        <v>5</v>
      </c>
      <c r="U439" s="115">
        <v>1</v>
      </c>
      <c r="V439" s="115">
        <v>3.0800000000000001E-2</v>
      </c>
      <c r="W439" s="115">
        <v>3.0800000000000001E-2</v>
      </c>
      <c r="X439" s="115">
        <v>0</v>
      </c>
      <c r="Y439" s="115">
        <v>0.46839999999999998</v>
      </c>
      <c r="Z439" s="115">
        <v>83.301299999999998</v>
      </c>
      <c r="AA439" s="115">
        <v>7.4412000000000003</v>
      </c>
      <c r="AB439" s="115">
        <v>178.09</v>
      </c>
      <c r="AC439" s="115">
        <v>74.400000000000006</v>
      </c>
      <c r="AD439" s="115">
        <v>2.2599999999999999E-2</v>
      </c>
      <c r="AE439" s="115">
        <v>3.3300000000000003E-2</v>
      </c>
      <c r="AF439" s="115">
        <v>-7.51E-2</v>
      </c>
      <c r="AG439" s="115">
        <v>-3.61E-2</v>
      </c>
      <c r="AH439" s="115">
        <v>0.3054</v>
      </c>
      <c r="AI439" s="115">
        <v>-2.8500000000000001E-2</v>
      </c>
      <c r="AJ439" s="115">
        <v>3.2599999999999997E-2</v>
      </c>
      <c r="AK439" s="115">
        <v>9.4614999999999991</v>
      </c>
      <c r="AL439" s="115">
        <v>1.4154</v>
      </c>
      <c r="AM439" s="115">
        <v>0</v>
      </c>
      <c r="AN439" s="115">
        <v>2</v>
      </c>
      <c r="AO439" s="115">
        <v>0</v>
      </c>
      <c r="AP439" s="115">
        <v>0</v>
      </c>
      <c r="AQ439" s="115">
        <v>1</v>
      </c>
      <c r="AR439" s="115">
        <v>0</v>
      </c>
      <c r="AS439" s="115">
        <v>4.8999999999999998E-3</v>
      </c>
      <c r="AT439" s="115">
        <v>0.3836</v>
      </c>
      <c r="AU439" s="114" t="str">
        <f>IF(A439&lt;&gt;"",INDEX(Index!$B$1:$B$77,MATCH($A439,Index!$A$1:$A$77,0)),"")</f>
        <v>NYG</v>
      </c>
      <c r="AV439" s="123" t="str">
        <f>IF(B439&lt;&gt;"",INDEX(Index!$C$1:$C$77,MATCH($A439,Index!$A$1:$A$77,0)),"")</f>
        <v>Winston</v>
      </c>
      <c r="AW439" s="123">
        <f t="shared" si="8"/>
        <v>45</v>
      </c>
      <c r="AX439" s="113">
        <v>12</v>
      </c>
    </row>
    <row r="440" spans="1:50" x14ac:dyDescent="0.25">
      <c r="A440" s="95" t="s">
        <v>583</v>
      </c>
      <c r="B440" s="96">
        <v>2025</v>
      </c>
      <c r="C440" s="96">
        <v>5</v>
      </c>
      <c r="D440" s="115">
        <v>-0.78825699999999999</v>
      </c>
      <c r="E440" s="115">
        <v>0.15826000000000001</v>
      </c>
      <c r="F440" s="115">
        <v>0.62926300000000002</v>
      </c>
      <c r="G440" s="115">
        <v>16.459700000000002</v>
      </c>
      <c r="H440" s="115">
        <v>8.7999999999999995E-2</v>
      </c>
      <c r="I440" s="115">
        <v>92</v>
      </c>
      <c r="J440" s="115">
        <v>138</v>
      </c>
      <c r="K440" s="115">
        <v>0.66669999999999996</v>
      </c>
      <c r="L440" s="115">
        <v>4.3880999999999997</v>
      </c>
      <c r="M440" s="115">
        <v>1065</v>
      </c>
      <c r="N440" s="115">
        <v>7.7173999999999996</v>
      </c>
      <c r="O440" s="115">
        <v>7</v>
      </c>
      <c r="P440" s="115">
        <v>5</v>
      </c>
      <c r="Q440" s="115">
        <v>10</v>
      </c>
      <c r="R440" s="115">
        <v>26</v>
      </c>
      <c r="S440" s="115">
        <v>194</v>
      </c>
      <c r="T440" s="115">
        <v>7.4615</v>
      </c>
      <c r="U440" s="115">
        <v>1</v>
      </c>
      <c r="V440" s="115">
        <v>5.0700000000000002E-2</v>
      </c>
      <c r="W440" s="115">
        <v>3.6200000000000003E-2</v>
      </c>
      <c r="X440" s="115">
        <v>1.4500000000000001E-2</v>
      </c>
      <c r="Y440" s="115">
        <v>0.51339999999999997</v>
      </c>
      <c r="Z440" s="115">
        <v>91.606300000000005</v>
      </c>
      <c r="AA440" s="115">
        <v>6.1959</v>
      </c>
      <c r="AB440" s="115">
        <v>180.72900000000001</v>
      </c>
      <c r="AC440" s="115">
        <v>58.8</v>
      </c>
      <c r="AD440" s="115">
        <v>-2.8E-3</v>
      </c>
      <c r="AE440" s="115">
        <v>2.2100000000000002E-2</v>
      </c>
      <c r="AF440" s="115">
        <v>-8.9999999999999998E-4</v>
      </c>
      <c r="AG440" s="115">
        <v>-6.4500000000000002E-2</v>
      </c>
      <c r="AH440" s="115">
        <v>0.1011</v>
      </c>
      <c r="AI440" s="115">
        <v>-4.02E-2</v>
      </c>
      <c r="AJ440" s="115">
        <v>2.3E-3</v>
      </c>
      <c r="AK440" s="115">
        <v>8.9492999999999991</v>
      </c>
      <c r="AL440" s="115">
        <v>2.1700000000000001E-2</v>
      </c>
      <c r="AM440" s="115">
        <v>1</v>
      </c>
      <c r="AN440" s="115">
        <v>5</v>
      </c>
      <c r="AO440" s="115">
        <v>0</v>
      </c>
      <c r="AP440" s="115">
        <v>0</v>
      </c>
      <c r="AQ440" s="115">
        <v>0</v>
      </c>
      <c r="AR440" s="115"/>
      <c r="AS440" s="115">
        <v>8.9999999999999998E-4</v>
      </c>
      <c r="AT440" s="115">
        <v>0.17399999999999999</v>
      </c>
      <c r="AU440" s="114" t="str">
        <f>IF(A440&lt;&gt;"",INDEX(Index!$B$1:$B$77,MATCH($A440,Index!$A$1:$A$77,0)),"")</f>
        <v>WAS</v>
      </c>
      <c r="AV440" s="123" t="str">
        <f>IF(B440&lt;&gt;"",INDEX(Index!$C$1:$C$77,MATCH($A440,Index!$A$1:$A$77,0)),"")</f>
        <v>Mariota</v>
      </c>
      <c r="AW440" s="123">
        <f t="shared" si="8"/>
        <v>36</v>
      </c>
      <c r="AX440" s="113">
        <v>12</v>
      </c>
    </row>
    <row r="441" spans="1:50" x14ac:dyDescent="0.25">
      <c r="A441" s="95" t="s">
        <v>579</v>
      </c>
      <c r="B441" s="96">
        <v>2025</v>
      </c>
      <c r="C441" s="96">
        <v>8</v>
      </c>
      <c r="D441" s="115">
        <v>-0.86738499999999996</v>
      </c>
      <c r="E441" s="115">
        <v>-0.36142000000000002</v>
      </c>
      <c r="F441" s="115">
        <v>0.85229100000000002</v>
      </c>
      <c r="G441" s="115">
        <v>38.322099999999999</v>
      </c>
      <c r="H441" s="115">
        <v>0.12520000000000001</v>
      </c>
      <c r="I441" s="115">
        <v>161</v>
      </c>
      <c r="J441" s="115">
        <v>241</v>
      </c>
      <c r="K441" s="115">
        <v>0.66800000000000004</v>
      </c>
      <c r="L441" s="115">
        <v>0.62119999999999997</v>
      </c>
      <c r="M441" s="115">
        <v>1702</v>
      </c>
      <c r="N441" s="115">
        <v>7.0621999999999998</v>
      </c>
      <c r="O441" s="115">
        <v>11</v>
      </c>
      <c r="P441" s="115">
        <v>5</v>
      </c>
      <c r="Q441" s="115">
        <v>17</v>
      </c>
      <c r="R441" s="115">
        <v>26</v>
      </c>
      <c r="S441" s="115">
        <v>190</v>
      </c>
      <c r="T441" s="115">
        <v>7.3076999999999996</v>
      </c>
      <c r="U441" s="115">
        <v>0</v>
      </c>
      <c r="V441" s="115">
        <v>4.5600000000000002E-2</v>
      </c>
      <c r="W441" s="115">
        <v>2.07E-2</v>
      </c>
      <c r="X441" s="115">
        <v>2.4899999999999999E-2</v>
      </c>
      <c r="Y441" s="115">
        <v>0.49020000000000002</v>
      </c>
      <c r="Z441" s="115">
        <v>93.75</v>
      </c>
      <c r="AA441" s="115">
        <v>6.0038999999999998</v>
      </c>
      <c r="AB441" s="115">
        <v>167.54400000000001</v>
      </c>
      <c r="AC441" s="115">
        <v>65.599999999999994</v>
      </c>
      <c r="AD441" s="115">
        <v>4.2599999999999999E-2</v>
      </c>
      <c r="AE441" s="115">
        <v>2.5999999999999999E-3</v>
      </c>
      <c r="AF441" s="115">
        <v>2.5499999999999998E-2</v>
      </c>
      <c r="AG441" s="115">
        <v>2.47E-2</v>
      </c>
      <c r="AH441" s="115">
        <v>5.7000000000000002E-3</v>
      </c>
      <c r="AI441" s="115">
        <v>-1.9599999999999999E-2</v>
      </c>
      <c r="AJ441" s="115">
        <v>-2.7099999999999999E-2</v>
      </c>
      <c r="AK441" s="115">
        <v>7.8464999999999998</v>
      </c>
      <c r="AL441" s="115">
        <v>-1.1036999999999999</v>
      </c>
      <c r="AM441" s="115">
        <v>3</v>
      </c>
      <c r="AN441" s="115">
        <v>5</v>
      </c>
      <c r="AO441" s="115">
        <v>0</v>
      </c>
      <c r="AP441" s="115">
        <v>0</v>
      </c>
      <c r="AQ441" s="115">
        <v>3</v>
      </c>
      <c r="AR441" s="115">
        <v>0</v>
      </c>
      <c r="AS441" s="115">
        <v>1.1000000000000001E-3</v>
      </c>
      <c r="AT441" s="115">
        <v>0.35149999999999998</v>
      </c>
      <c r="AU441" s="114" t="str">
        <f>IF(A441&lt;&gt;"",INDEX(Index!$B$1:$B$77,MATCH($A441,Index!$A$1:$A$77,0)),"")</f>
        <v>HOU</v>
      </c>
      <c r="AV441" s="123" t="str">
        <f>IF(B441&lt;&gt;"",INDEX(Index!$C$1:$C$77,MATCH($A441,Index!$A$1:$A$77,0)),"")</f>
        <v>Stroud</v>
      </c>
      <c r="AW441" s="123">
        <f t="shared" si="8"/>
        <v>24</v>
      </c>
      <c r="AX441" s="113">
        <v>12</v>
      </c>
    </row>
    <row r="442" spans="1:50" x14ac:dyDescent="0.25">
      <c r="A442" s="95" t="s">
        <v>565</v>
      </c>
      <c r="B442" s="96">
        <v>2025</v>
      </c>
      <c r="C442" s="96">
        <v>11</v>
      </c>
      <c r="D442" s="115">
        <v>-0.937442</v>
      </c>
      <c r="E442" s="115">
        <v>-0.41537000000000002</v>
      </c>
      <c r="F442" s="115">
        <v>-2.27481</v>
      </c>
      <c r="G442" s="115">
        <v>8.0242000000000004</v>
      </c>
      <c r="H442" s="115">
        <v>2.2200000000000001E-2</v>
      </c>
      <c r="I442" s="115">
        <v>213</v>
      </c>
      <c r="J442" s="115">
        <v>311</v>
      </c>
      <c r="K442" s="115">
        <v>0.68489999999999995</v>
      </c>
      <c r="L442" s="115">
        <v>1.8565</v>
      </c>
      <c r="M442" s="115">
        <v>2123</v>
      </c>
      <c r="N442" s="115">
        <v>6.8263999999999996</v>
      </c>
      <c r="O442" s="115">
        <v>17</v>
      </c>
      <c r="P442" s="115">
        <v>13</v>
      </c>
      <c r="Q442" s="115">
        <v>21</v>
      </c>
      <c r="R442" s="115">
        <v>8</v>
      </c>
      <c r="S442" s="115">
        <v>37</v>
      </c>
      <c r="T442" s="115">
        <v>4.625</v>
      </c>
      <c r="U442" s="115">
        <v>0</v>
      </c>
      <c r="V442" s="115">
        <v>5.4699999999999999E-2</v>
      </c>
      <c r="W442" s="115">
        <v>4.1799999999999997E-2</v>
      </c>
      <c r="X442" s="115">
        <v>1.29E-2</v>
      </c>
      <c r="Y442" s="115">
        <v>0.44319999999999998</v>
      </c>
      <c r="Z442" s="115">
        <v>88.404300000000006</v>
      </c>
      <c r="AA442" s="115">
        <v>5.2560000000000002</v>
      </c>
      <c r="AB442" s="115">
        <v>118.227</v>
      </c>
      <c r="AC442" s="115">
        <v>43.5</v>
      </c>
      <c r="AD442" s="115">
        <v>-2.7199999999999998E-2</v>
      </c>
      <c r="AE442" s="115">
        <v>9.9000000000000008E-3</v>
      </c>
      <c r="AF442" s="115">
        <v>2.4400000000000002E-2</v>
      </c>
      <c r="AG442" s="115">
        <v>-4.3400000000000001E-2</v>
      </c>
      <c r="AH442" s="115">
        <v>-1.9199999999999998E-2</v>
      </c>
      <c r="AI442" s="115">
        <v>4.3400000000000001E-2</v>
      </c>
      <c r="AJ442" s="115">
        <v>-3.6400000000000002E-2</v>
      </c>
      <c r="AK442" s="115">
        <v>6.8006000000000002</v>
      </c>
      <c r="AL442" s="115">
        <v>-2.1124999999999998</v>
      </c>
      <c r="AM442" s="115">
        <v>4</v>
      </c>
      <c r="AN442" s="115">
        <v>7</v>
      </c>
      <c r="AO442" s="115">
        <v>0</v>
      </c>
      <c r="AP442" s="115">
        <v>1</v>
      </c>
      <c r="AQ442" s="115">
        <v>5</v>
      </c>
      <c r="AR442" s="115">
        <v>0.2</v>
      </c>
      <c r="AS442" s="115">
        <v>2.0000000000000001E-4</v>
      </c>
      <c r="AT442" s="115">
        <v>7.7200000000000005E-2</v>
      </c>
      <c r="AU442" s="114" t="str">
        <f>IF(A442&lt;&gt;"",INDEX(Index!$B$1:$B$77,MATCH($A442,Index!$A$1:$A$77,0)),"")</f>
        <v>MIA</v>
      </c>
      <c r="AV442" s="123" t="str">
        <f>IF(B442&lt;&gt;"",INDEX(Index!$C$1:$C$77,MATCH($A442,Index!$A$1:$A$77,0)),"")</f>
        <v>Tagovailoa</v>
      </c>
      <c r="AW442" s="123">
        <f t="shared" si="8"/>
        <v>14</v>
      </c>
      <c r="AX442" s="113">
        <v>12</v>
      </c>
    </row>
    <row r="443" spans="1:50" x14ac:dyDescent="0.25">
      <c r="A443" s="95" t="s">
        <v>577</v>
      </c>
      <c r="B443" s="96">
        <v>2025</v>
      </c>
      <c r="C443" s="96">
        <v>10</v>
      </c>
      <c r="D443" s="115">
        <v>-1.0954600000000001</v>
      </c>
      <c r="E443" s="115">
        <v>-0.397565</v>
      </c>
      <c r="F443" s="115">
        <v>5.2841800000000001E-2</v>
      </c>
      <c r="G443" s="115">
        <v>-35.308</v>
      </c>
      <c r="H443" s="115">
        <v>-7.6799999999999993E-2</v>
      </c>
      <c r="I443" s="115">
        <v>247</v>
      </c>
      <c r="J443" s="115">
        <v>406</v>
      </c>
      <c r="K443" s="115">
        <v>0.60840000000000005</v>
      </c>
      <c r="L443" s="115">
        <v>-2.9264999999999999</v>
      </c>
      <c r="M443" s="115">
        <v>2451</v>
      </c>
      <c r="N443" s="115">
        <v>6.0369000000000002</v>
      </c>
      <c r="O443" s="115">
        <v>15</v>
      </c>
      <c r="P443" s="115">
        <v>10</v>
      </c>
      <c r="Q443" s="115">
        <v>18</v>
      </c>
      <c r="R443" s="115">
        <v>10</v>
      </c>
      <c r="S443" s="115">
        <v>45</v>
      </c>
      <c r="T443" s="115">
        <v>4.5</v>
      </c>
      <c r="U443" s="115">
        <v>1</v>
      </c>
      <c r="V443" s="115">
        <v>3.6900000000000002E-2</v>
      </c>
      <c r="W443" s="115">
        <v>2.46E-2</v>
      </c>
      <c r="X443" s="115">
        <v>1.23E-2</v>
      </c>
      <c r="Y443" s="115">
        <v>0.42609999999999998</v>
      </c>
      <c r="Z443" s="115">
        <v>79.987700000000004</v>
      </c>
      <c r="AA443" s="115">
        <v>5.1486000000000001</v>
      </c>
      <c r="AB443" s="115">
        <v>138.00299999999999</v>
      </c>
      <c r="AC443" s="115">
        <v>42.9</v>
      </c>
      <c r="AD443" s="115">
        <v>-1.89E-2</v>
      </c>
      <c r="AE443" s="115">
        <v>9.7999999999999997E-3</v>
      </c>
      <c r="AF443" s="115">
        <v>-4.19E-2</v>
      </c>
      <c r="AG443" s="115">
        <v>-3.1399999999999997E-2</v>
      </c>
      <c r="AH443" s="115">
        <v>-4.7500000000000001E-2</v>
      </c>
      <c r="AI443" s="115">
        <v>-1.26E-2</v>
      </c>
      <c r="AJ443" s="115">
        <v>-5.1000000000000004E-3</v>
      </c>
      <c r="AK443" s="115">
        <v>7.4606000000000003</v>
      </c>
      <c r="AL443" s="115">
        <v>-1.5048999999999999</v>
      </c>
      <c r="AM443" s="115">
        <v>2</v>
      </c>
      <c r="AN443" s="115">
        <v>8</v>
      </c>
      <c r="AO443" s="115">
        <v>0</v>
      </c>
      <c r="AP443" s="115">
        <v>2</v>
      </c>
      <c r="AQ443" s="115">
        <v>6</v>
      </c>
      <c r="AR443" s="115">
        <v>0.33329999999999999</v>
      </c>
      <c r="AS443" s="115">
        <v>-2.0999999999999999E-3</v>
      </c>
      <c r="AT443" s="115">
        <v>-0.9879</v>
      </c>
      <c r="AU443" s="114" t="str">
        <f>IF(A443&lt;&gt;"",INDEX(Index!$B$1:$B$77,MATCH($A443,Index!$A$1:$A$77,0)),"")</f>
        <v>CIN</v>
      </c>
      <c r="AV443" s="123" t="str">
        <f>IF(B443&lt;&gt;"",INDEX(Index!$C$1:$C$77,MATCH($A443,Index!$A$1:$A$77,0)),"")</f>
        <v>Flacco</v>
      </c>
      <c r="AW443" s="123">
        <f t="shared" si="8"/>
        <v>21</v>
      </c>
      <c r="AX443" s="113">
        <v>12</v>
      </c>
    </row>
    <row r="444" spans="1:50" x14ac:dyDescent="0.25">
      <c r="A444" s="95" t="s">
        <v>571</v>
      </c>
      <c r="B444" s="96">
        <v>2025</v>
      </c>
      <c r="C444" s="96">
        <v>11</v>
      </c>
      <c r="D444" s="115">
        <v>-1.2648699999999999</v>
      </c>
      <c r="E444" s="115">
        <v>-0.18053</v>
      </c>
      <c r="F444" s="115">
        <v>-0.90000199999999997</v>
      </c>
      <c r="G444" s="115">
        <v>0.28510000000000002</v>
      </c>
      <c r="H444" s="115">
        <v>5.9999999999999995E-4</v>
      </c>
      <c r="I444" s="115">
        <v>220</v>
      </c>
      <c r="J444" s="115">
        <v>365</v>
      </c>
      <c r="K444" s="115">
        <v>0.60270000000000001</v>
      </c>
      <c r="L444" s="115">
        <v>-5.2030000000000003</v>
      </c>
      <c r="M444" s="115">
        <v>2407</v>
      </c>
      <c r="N444" s="115">
        <v>6.5945</v>
      </c>
      <c r="O444" s="115">
        <v>14</v>
      </c>
      <c r="P444" s="115">
        <v>11</v>
      </c>
      <c r="Q444" s="115">
        <v>29</v>
      </c>
      <c r="R444" s="115">
        <v>45</v>
      </c>
      <c r="S444" s="115">
        <v>219</v>
      </c>
      <c r="T444" s="115">
        <v>4.8666999999999998</v>
      </c>
      <c r="U444" s="115">
        <v>5</v>
      </c>
      <c r="V444" s="115">
        <v>3.8399999999999997E-2</v>
      </c>
      <c r="W444" s="115">
        <v>3.0099999999999998E-2</v>
      </c>
      <c r="X444" s="115">
        <v>8.2000000000000007E-3</v>
      </c>
      <c r="Y444" s="115">
        <v>0.4657</v>
      </c>
      <c r="Z444" s="115">
        <v>80.017099999999999</v>
      </c>
      <c r="AA444" s="115">
        <v>5.1167999999999996</v>
      </c>
      <c r="AB444" s="115">
        <v>130.21</v>
      </c>
      <c r="AC444" s="115">
        <v>42.9</v>
      </c>
      <c r="AD444" s="115">
        <v>-4.7999999999999996E-3</v>
      </c>
      <c r="AE444" s="115">
        <v>6.4999999999999997E-3</v>
      </c>
      <c r="AF444" s="115">
        <v>-3.2500000000000001E-2</v>
      </c>
      <c r="AG444" s="115">
        <v>-2.7300000000000001E-2</v>
      </c>
      <c r="AH444" s="115">
        <v>3.1099999999999999E-2</v>
      </c>
      <c r="AI444" s="115">
        <v>-4.8099999999999997E-2</v>
      </c>
      <c r="AJ444" s="115">
        <v>5.0000000000000001E-3</v>
      </c>
      <c r="AK444" s="115">
        <v>8.1999999999999993</v>
      </c>
      <c r="AL444" s="115">
        <v>-0.95069999999999999</v>
      </c>
      <c r="AM444" s="115">
        <v>7</v>
      </c>
      <c r="AN444" s="115">
        <v>4</v>
      </c>
      <c r="AO444" s="115">
        <v>0</v>
      </c>
      <c r="AP444" s="115">
        <v>3</v>
      </c>
      <c r="AQ444" s="115">
        <v>6</v>
      </c>
      <c r="AR444" s="115">
        <v>0.5</v>
      </c>
      <c r="AS444" s="115">
        <v>6.9999999999999999E-4</v>
      </c>
      <c r="AT444" s="115">
        <v>0.33100000000000002</v>
      </c>
      <c r="AU444" s="114" t="str">
        <f>IF(A444&lt;&gt;"",INDEX(Index!$B$1:$B$77,MATCH($A444,Index!$A$1:$A$77,0)),"")</f>
        <v>JAX</v>
      </c>
      <c r="AV444" s="123" t="str">
        <f>IF(B444&lt;&gt;"",INDEX(Index!$C$1:$C$77,MATCH($A444,Index!$A$1:$A$77,0)),"")</f>
        <v>Lawrence</v>
      </c>
      <c r="AW444" s="123">
        <f t="shared" si="8"/>
        <v>5</v>
      </c>
      <c r="AX444" s="113">
        <v>12</v>
      </c>
    </row>
    <row r="445" spans="1:50" x14ac:dyDescent="0.25">
      <c r="A445" s="95" t="s">
        <v>569</v>
      </c>
      <c r="B445" s="96">
        <v>2025</v>
      </c>
      <c r="C445" s="96">
        <v>9</v>
      </c>
      <c r="D445" s="115">
        <v>-1.32822</v>
      </c>
      <c r="E445" s="115">
        <v>0.21746399999999999</v>
      </c>
      <c r="F445" s="115">
        <v>-1.01745</v>
      </c>
      <c r="G445" s="115">
        <v>-10.984999999999999</v>
      </c>
      <c r="H445" s="115">
        <v>-3.5999999999999997E-2</v>
      </c>
      <c r="I445" s="115">
        <v>128</v>
      </c>
      <c r="J445" s="115">
        <v>202</v>
      </c>
      <c r="K445" s="115">
        <v>0.63370000000000004</v>
      </c>
      <c r="L445" s="115">
        <v>-1.8688</v>
      </c>
      <c r="M445" s="115">
        <v>1242</v>
      </c>
      <c r="N445" s="115">
        <v>6.1485000000000003</v>
      </c>
      <c r="O445" s="115">
        <v>7</v>
      </c>
      <c r="P445" s="115">
        <v>1</v>
      </c>
      <c r="Q445" s="115">
        <v>27</v>
      </c>
      <c r="R445" s="115">
        <v>65</v>
      </c>
      <c r="S445" s="115">
        <v>387</v>
      </c>
      <c r="T445" s="115">
        <v>5.9538000000000002</v>
      </c>
      <c r="U445" s="115">
        <v>4</v>
      </c>
      <c r="V445" s="115">
        <v>3.4700000000000002E-2</v>
      </c>
      <c r="W445" s="115">
        <v>5.0000000000000001E-3</v>
      </c>
      <c r="X445" s="115">
        <v>2.9700000000000001E-2</v>
      </c>
      <c r="Y445" s="115">
        <v>0.44919999999999999</v>
      </c>
      <c r="Z445" s="115">
        <v>89.995900000000006</v>
      </c>
      <c r="AA445" s="115">
        <v>5</v>
      </c>
      <c r="AB445" s="115">
        <v>128.06</v>
      </c>
      <c r="AC445" s="115">
        <v>38.1</v>
      </c>
      <c r="AD445" s="115">
        <v>1.7999999999999999E-2</v>
      </c>
      <c r="AE445" s="115">
        <v>-3.2899999999999999E-2</v>
      </c>
      <c r="AF445" s="115">
        <v>3.1099999999999999E-2</v>
      </c>
      <c r="AG445" s="115">
        <v>5.7700000000000001E-2</v>
      </c>
      <c r="AH445" s="115">
        <v>-4.2000000000000003E-2</v>
      </c>
      <c r="AI445" s="115">
        <v>-0.1076</v>
      </c>
      <c r="AJ445" s="115">
        <v>-3.1E-2</v>
      </c>
      <c r="AK445" s="115">
        <v>6.8266999999999998</v>
      </c>
      <c r="AL445" s="115">
        <v>-2.1484999999999999</v>
      </c>
      <c r="AM445" s="115">
        <v>2</v>
      </c>
      <c r="AN445" s="115">
        <v>7</v>
      </c>
      <c r="AO445" s="115">
        <v>0</v>
      </c>
      <c r="AP445" s="115">
        <v>1</v>
      </c>
      <c r="AQ445" s="115">
        <v>4</v>
      </c>
      <c r="AR445" s="115">
        <v>0.25</v>
      </c>
      <c r="AS445" s="115">
        <v>-4.0000000000000001E-3</v>
      </c>
      <c r="AT445" s="115">
        <v>-1.2298</v>
      </c>
      <c r="AU445" s="114" t="str">
        <f>IF(A445&lt;&gt;"",INDEX(Index!$B$1:$B$77,MATCH($A445,Index!$A$1:$A$77,0)),"")</f>
        <v>NYJ</v>
      </c>
      <c r="AV445" s="123" t="str">
        <f>IF(B445&lt;&gt;"",INDEX(Index!$C$1:$C$77,MATCH($A445,Index!$A$1:$A$77,0)),"")</f>
        <v>Fields</v>
      </c>
      <c r="AW445" s="123">
        <f t="shared" si="8"/>
        <v>7</v>
      </c>
      <c r="AX445" s="113">
        <v>12</v>
      </c>
    </row>
    <row r="446" spans="1:50" x14ac:dyDescent="0.25">
      <c r="A446" s="95" t="s">
        <v>592</v>
      </c>
      <c r="B446" s="96">
        <v>2025</v>
      </c>
      <c r="C446" s="96">
        <v>1</v>
      </c>
      <c r="D446" s="115">
        <v>-1.4407799999999999</v>
      </c>
      <c r="E446" s="115">
        <v>0.366983</v>
      </c>
      <c r="F446" s="115">
        <v>0.366983</v>
      </c>
      <c r="G446" s="115">
        <v>7.5486000000000004</v>
      </c>
      <c r="H446" s="115">
        <v>0.13719999999999999</v>
      </c>
      <c r="I446" s="115">
        <v>27</v>
      </c>
      <c r="J446" s="115">
        <v>36</v>
      </c>
      <c r="K446" s="115">
        <v>0.75</v>
      </c>
      <c r="L446" s="115">
        <v>10.9704</v>
      </c>
      <c r="M446" s="115">
        <v>254</v>
      </c>
      <c r="N446" s="115">
        <v>7.0556000000000001</v>
      </c>
      <c r="O446" s="115">
        <v>1</v>
      </c>
      <c r="P446" s="115">
        <v>0</v>
      </c>
      <c r="Q446" s="115">
        <v>6</v>
      </c>
      <c r="R446" s="115">
        <v>11</v>
      </c>
      <c r="S446" s="115">
        <v>92</v>
      </c>
      <c r="T446" s="115">
        <v>8.3635999999999999</v>
      </c>
      <c r="U446" s="115">
        <v>0</v>
      </c>
      <c r="V446" s="115">
        <v>2.7799999999999998E-2</v>
      </c>
      <c r="W446" s="115">
        <v>0</v>
      </c>
      <c r="X446" s="115">
        <v>2.7799999999999998E-2</v>
      </c>
      <c r="Y446" s="115">
        <v>0.5091</v>
      </c>
      <c r="Z446" s="115">
        <v>103.241</v>
      </c>
      <c r="AA446" s="115">
        <v>5.7857000000000003</v>
      </c>
      <c r="AB446" s="115">
        <v>232.892</v>
      </c>
      <c r="AC446" s="115">
        <v>84.5</v>
      </c>
      <c r="AD446" s="115">
        <v>0.13239999999999999</v>
      </c>
      <c r="AE446" s="115">
        <v>-1.61E-2</v>
      </c>
      <c r="AF446" s="115">
        <v>3.3099999999999997E-2</v>
      </c>
      <c r="AG446" s="115">
        <v>7.5399999999999995E-2</v>
      </c>
      <c r="AH446" s="115">
        <v>-6.9999999999999999E-4</v>
      </c>
      <c r="AI446" s="115">
        <v>-0.14050000000000001</v>
      </c>
      <c r="AJ446" s="115">
        <v>-1.7100000000000001E-2</v>
      </c>
      <c r="AK446" s="115">
        <v>8.1943999999999999</v>
      </c>
      <c r="AL446" s="115">
        <v>-1.4443999999999999</v>
      </c>
      <c r="AM446" s="115">
        <v>1</v>
      </c>
      <c r="AN446" s="115">
        <v>1</v>
      </c>
      <c r="AO446" s="115">
        <v>0</v>
      </c>
      <c r="AP446" s="115">
        <v>0</v>
      </c>
      <c r="AQ446" s="115">
        <v>0</v>
      </c>
      <c r="AR446" s="115"/>
      <c r="AS446" s="115">
        <v>3.8E-3</v>
      </c>
      <c r="AT446" s="115">
        <v>0.21</v>
      </c>
      <c r="AU446" s="114" t="str">
        <f>IF(A446&lt;&gt;"",INDEX(Index!$B$1:$B$77,MATCH($A446,Index!$A$1:$A$77,0)),"")</f>
        <v>BAL</v>
      </c>
      <c r="AV446" s="123" t="str">
        <f>IF(B446&lt;&gt;"",INDEX(Index!$C$1:$C$77,MATCH($A446,Index!$A$1:$A$77,0)),"")</f>
        <v>Huntley</v>
      </c>
      <c r="AW446" s="123">
        <f t="shared" si="8"/>
        <v>42</v>
      </c>
      <c r="AX446" s="113">
        <v>12</v>
      </c>
    </row>
    <row r="447" spans="1:50" x14ac:dyDescent="0.25">
      <c r="A447" s="95" t="s">
        <v>595</v>
      </c>
      <c r="B447" s="96">
        <v>2025</v>
      </c>
      <c r="C447" s="96">
        <v>3</v>
      </c>
      <c r="D447" s="115">
        <v>-1.5135000000000001</v>
      </c>
      <c r="E447" s="115">
        <v>0.156083</v>
      </c>
      <c r="F447" s="115">
        <v>0.53834000000000004</v>
      </c>
      <c r="G447" s="115">
        <v>-5.3174000000000001</v>
      </c>
      <c r="H447" s="115">
        <v>-3.0700000000000002E-2</v>
      </c>
      <c r="I447" s="115">
        <v>88</v>
      </c>
      <c r="J447" s="115">
        <v>150</v>
      </c>
      <c r="K447" s="115">
        <v>0.5867</v>
      </c>
      <c r="L447" s="115">
        <v>-5.2324999999999999</v>
      </c>
      <c r="M447" s="115">
        <v>879</v>
      </c>
      <c r="N447" s="115">
        <v>5.86</v>
      </c>
      <c r="O447" s="115">
        <v>5</v>
      </c>
      <c r="P447" s="115">
        <v>1</v>
      </c>
      <c r="Q447" s="115">
        <v>8</v>
      </c>
      <c r="R447" s="115">
        <v>8</v>
      </c>
      <c r="S447" s="115">
        <v>51</v>
      </c>
      <c r="T447" s="115">
        <v>6.375</v>
      </c>
      <c r="U447" s="115">
        <v>1</v>
      </c>
      <c r="V447" s="115">
        <v>3.3300000000000003E-2</v>
      </c>
      <c r="W447" s="115">
        <v>6.7000000000000002E-3</v>
      </c>
      <c r="X447" s="115">
        <v>2.6700000000000002E-2</v>
      </c>
      <c r="Y447" s="115">
        <v>0.41620000000000001</v>
      </c>
      <c r="Z447" s="115">
        <v>83.722200000000001</v>
      </c>
      <c r="AA447" s="115">
        <v>5.5316000000000001</v>
      </c>
      <c r="AB447" s="115">
        <v>178.798</v>
      </c>
      <c r="AC447" s="115"/>
      <c r="AD447" s="115">
        <v>-1.0200000000000001E-2</v>
      </c>
      <c r="AE447" s="115">
        <v>1.49E-2</v>
      </c>
      <c r="AF447" s="115">
        <v>-6.7199999999999996E-2</v>
      </c>
      <c r="AG447" s="115">
        <v>4.3400000000000001E-2</v>
      </c>
      <c r="AH447" s="115">
        <v>0.113</v>
      </c>
      <c r="AI447" s="115">
        <v>-0.18179999999999999</v>
      </c>
      <c r="AJ447" s="115">
        <v>-1.3599999999999999E-2</v>
      </c>
      <c r="AK447" s="115">
        <v>8.7066999999999997</v>
      </c>
      <c r="AL447" s="115">
        <v>-0.16669999999999999</v>
      </c>
      <c r="AM447" s="115">
        <v>4</v>
      </c>
      <c r="AN447" s="115">
        <v>1</v>
      </c>
      <c r="AO447" s="115">
        <v>0</v>
      </c>
      <c r="AP447" s="115">
        <v>1</v>
      </c>
      <c r="AQ447" s="115">
        <v>1</v>
      </c>
      <c r="AR447" s="115">
        <v>1</v>
      </c>
      <c r="AS447" s="115">
        <v>8.0000000000000004E-4</v>
      </c>
      <c r="AT447" s="115">
        <v>0.1444</v>
      </c>
      <c r="AU447" s="114" t="str">
        <f>IF(A447&lt;&gt;"",INDEX(Index!$B$1:$B$77,MATCH($A447,Index!$A$1:$A$77,0)),"")</f>
        <v>HOU</v>
      </c>
      <c r="AV447" s="123" t="str">
        <f>IF(B447&lt;&gt;"",INDEX(Index!$C$1:$C$77,MATCH($A447,Index!$A$1:$A$77,0)),"")</f>
        <v>Mills</v>
      </c>
      <c r="AW447" s="123">
        <f t="shared" si="8"/>
        <v>40</v>
      </c>
      <c r="AX447" s="113">
        <v>12</v>
      </c>
    </row>
    <row r="448" spans="1:50" x14ac:dyDescent="0.25">
      <c r="A448" s="95" t="s">
        <v>597</v>
      </c>
      <c r="B448" s="96">
        <v>2025</v>
      </c>
      <c r="C448" s="96">
        <v>1</v>
      </c>
      <c r="D448" s="115">
        <v>-1.5237099999999999</v>
      </c>
      <c r="E448" s="115">
        <v>-9.4016100000000005E-2</v>
      </c>
      <c r="F448" s="115">
        <v>-9.4016100000000005E-2</v>
      </c>
      <c r="G448" s="115">
        <v>8.3925000000000001</v>
      </c>
      <c r="H448" s="115">
        <v>0.1447</v>
      </c>
      <c r="I448" s="115">
        <v>38</v>
      </c>
      <c r="J448" s="115">
        <v>49</v>
      </c>
      <c r="K448" s="115">
        <v>0.77549999999999997</v>
      </c>
      <c r="L448" s="115">
        <v>11.824299999999999</v>
      </c>
      <c r="M448" s="115">
        <v>310</v>
      </c>
      <c r="N448" s="115">
        <v>6.3265000000000002</v>
      </c>
      <c r="O448" s="115">
        <v>2</v>
      </c>
      <c r="P448" s="115">
        <v>1</v>
      </c>
      <c r="Q448" s="115">
        <v>2</v>
      </c>
      <c r="R448" s="115">
        <v>3</v>
      </c>
      <c r="S448" s="115">
        <v>7</v>
      </c>
      <c r="T448" s="115">
        <v>2.3332999999999999</v>
      </c>
      <c r="U448" s="115">
        <v>0</v>
      </c>
      <c r="V448" s="115">
        <v>4.0800000000000003E-2</v>
      </c>
      <c r="W448" s="115">
        <v>2.0400000000000001E-2</v>
      </c>
      <c r="X448" s="115">
        <v>2.0400000000000001E-2</v>
      </c>
      <c r="Y448" s="115">
        <v>0.53449999999999998</v>
      </c>
      <c r="Z448" s="115">
        <v>98.129300000000001</v>
      </c>
      <c r="AA448" s="115">
        <v>5.7450999999999999</v>
      </c>
      <c r="AB448" s="115">
        <v>110.53400000000001</v>
      </c>
      <c r="AC448" s="115">
        <v>46.5</v>
      </c>
      <c r="AD448" s="115">
        <v>-8.6E-3</v>
      </c>
      <c r="AE448" s="115">
        <v>-8.3999999999999995E-3</v>
      </c>
      <c r="AF448" s="115">
        <v>9.7000000000000003E-2</v>
      </c>
      <c r="AG448" s="115">
        <v>4.3E-3</v>
      </c>
      <c r="AH448" s="115">
        <v>-0.37240000000000001</v>
      </c>
      <c r="AI448" s="115">
        <v>0.34689999999999999</v>
      </c>
      <c r="AJ448" s="115">
        <v>1.5100000000000001E-2</v>
      </c>
      <c r="AK448" s="115">
        <v>4.9795999999999996</v>
      </c>
      <c r="AL448" s="115">
        <v>-3.1223999999999998</v>
      </c>
      <c r="AM448" s="115">
        <v>1</v>
      </c>
      <c r="AN448" s="115">
        <v>2</v>
      </c>
      <c r="AO448" s="115">
        <v>0</v>
      </c>
      <c r="AP448" s="115">
        <v>0</v>
      </c>
      <c r="AQ448" s="115">
        <v>1</v>
      </c>
      <c r="AR448" s="115">
        <v>0</v>
      </c>
      <c r="AS448" s="115">
        <v>-3.3E-3</v>
      </c>
      <c r="AT448" s="115">
        <v>-0.1888</v>
      </c>
      <c r="AU448" s="114" t="str">
        <f>IF(A448&lt;&gt;"",INDEX(Index!$B$1:$B$77,MATCH($A448,Index!$A$1:$A$77,0)),"")</f>
        <v>PIT</v>
      </c>
      <c r="AV448" s="123" t="str">
        <f>IF(B448&lt;&gt;"",INDEX(Index!$C$1:$C$77,MATCH($A448,Index!$A$1:$A$77,0)),"")</f>
        <v>Rudolph</v>
      </c>
      <c r="AW448" s="123">
        <f t="shared" si="8"/>
        <v>48</v>
      </c>
      <c r="AX448" s="113">
        <v>12</v>
      </c>
    </row>
    <row r="449" spans="1:50" x14ac:dyDescent="0.25">
      <c r="A449" s="95" t="s">
        <v>578</v>
      </c>
      <c r="B449" s="96">
        <v>2025</v>
      </c>
      <c r="C449" s="96">
        <v>9</v>
      </c>
      <c r="D449" s="115">
        <v>-1.59233</v>
      </c>
      <c r="E449" s="115">
        <v>0.10895100000000001</v>
      </c>
      <c r="F449" s="115">
        <v>0.26578200000000002</v>
      </c>
      <c r="G449" s="115">
        <v>19.752199999999998</v>
      </c>
      <c r="H449" s="115">
        <v>6.1199999999999997E-2</v>
      </c>
      <c r="I449" s="115">
        <v>166</v>
      </c>
      <c r="J449" s="115">
        <v>276</v>
      </c>
      <c r="K449" s="115">
        <v>0.60140000000000005</v>
      </c>
      <c r="L449" s="115">
        <v>-3.6196999999999999</v>
      </c>
      <c r="M449" s="115">
        <v>1982</v>
      </c>
      <c r="N449" s="115">
        <v>7.1811999999999996</v>
      </c>
      <c r="O449" s="115">
        <v>9</v>
      </c>
      <c r="P449" s="115">
        <v>3</v>
      </c>
      <c r="Q449" s="115">
        <v>13</v>
      </c>
      <c r="R449" s="115">
        <v>13</v>
      </c>
      <c r="S449" s="115">
        <v>77</v>
      </c>
      <c r="T449" s="115">
        <v>5.9230999999999998</v>
      </c>
      <c r="U449" s="115">
        <v>1</v>
      </c>
      <c r="V449" s="115">
        <v>3.2599999999999997E-2</v>
      </c>
      <c r="W449" s="115">
        <v>1.09E-2</v>
      </c>
      <c r="X449" s="115">
        <v>2.1700000000000001E-2</v>
      </c>
      <c r="Y449" s="115">
        <v>0.4768</v>
      </c>
      <c r="Z449" s="115">
        <v>88.466200000000001</v>
      </c>
      <c r="AA449" s="115">
        <v>6.6643999999999997</v>
      </c>
      <c r="AB449" s="115">
        <v>138.63399999999999</v>
      </c>
      <c r="AC449" s="115">
        <v>56.4</v>
      </c>
      <c r="AD449" s="115">
        <v>4.1000000000000003E-3</v>
      </c>
      <c r="AE449" s="115">
        <v>1.4999999999999999E-2</v>
      </c>
      <c r="AF449" s="115">
        <v>-7.1800000000000003E-2</v>
      </c>
      <c r="AG449" s="115">
        <v>1.7500000000000002E-2</v>
      </c>
      <c r="AH449" s="115">
        <v>7.3099999999999998E-2</v>
      </c>
      <c r="AI449" s="115">
        <v>-5.57E-2</v>
      </c>
      <c r="AJ449" s="115">
        <v>7.9000000000000008E-3</v>
      </c>
      <c r="AK449" s="115">
        <v>8.3332999999999995</v>
      </c>
      <c r="AL449" s="115">
        <v>-0.52900000000000003</v>
      </c>
      <c r="AM449" s="115">
        <v>3</v>
      </c>
      <c r="AN449" s="115">
        <v>6</v>
      </c>
      <c r="AO449" s="115">
        <v>0</v>
      </c>
      <c r="AP449" s="115">
        <v>0</v>
      </c>
      <c r="AQ449" s="115">
        <v>4</v>
      </c>
      <c r="AR449" s="115">
        <v>0</v>
      </c>
      <c r="AS449" s="115">
        <v>3.5000000000000001E-3</v>
      </c>
      <c r="AT449" s="115">
        <v>1.1247</v>
      </c>
      <c r="AU449" s="114" t="str">
        <f>IF(A449&lt;&gt;"",INDEX(Index!$B$1:$B$77,MATCH($A449,Index!$A$1:$A$77,0)),"")</f>
        <v>ATL</v>
      </c>
      <c r="AV449" s="123" t="str">
        <f>IF(B449&lt;&gt;"",INDEX(Index!$C$1:$C$77,MATCH($A449,Index!$A$1:$A$77,0)),"")</f>
        <v>Penix</v>
      </c>
      <c r="AW449" s="123">
        <f t="shared" si="8"/>
        <v>32</v>
      </c>
      <c r="AX449" s="113">
        <v>12</v>
      </c>
    </row>
    <row r="450" spans="1:50" x14ac:dyDescent="0.25">
      <c r="A450" s="95" t="s">
        <v>584</v>
      </c>
      <c r="B450" s="96">
        <v>2025</v>
      </c>
      <c r="C450" s="96">
        <v>2</v>
      </c>
      <c r="D450" s="115">
        <v>-1.7990699999999999</v>
      </c>
      <c r="E450" s="115">
        <v>-0.17100599999999999</v>
      </c>
      <c r="F450" s="115">
        <v>-0.11722100000000001</v>
      </c>
      <c r="G450" s="115">
        <v>-3.4411999999999998</v>
      </c>
      <c r="H450" s="115">
        <v>-2.6100000000000002E-2</v>
      </c>
      <c r="I450" s="115">
        <v>60</v>
      </c>
      <c r="J450" s="115">
        <v>96</v>
      </c>
      <c r="K450" s="115">
        <v>0.625</v>
      </c>
      <c r="L450" s="115">
        <v>0.67669999999999997</v>
      </c>
      <c r="M450" s="115">
        <v>601</v>
      </c>
      <c r="N450" s="115">
        <v>6.2603999999999997</v>
      </c>
      <c r="O450" s="115">
        <v>4</v>
      </c>
      <c r="P450" s="115">
        <v>4</v>
      </c>
      <c r="Q450" s="115">
        <v>12</v>
      </c>
      <c r="R450" s="115">
        <v>18</v>
      </c>
      <c r="S450" s="115">
        <v>100</v>
      </c>
      <c r="T450" s="115">
        <v>5.5556000000000001</v>
      </c>
      <c r="U450" s="115">
        <v>0</v>
      </c>
      <c r="V450" s="115">
        <v>4.1700000000000001E-2</v>
      </c>
      <c r="W450" s="115">
        <v>4.1700000000000001E-2</v>
      </c>
      <c r="X450" s="115">
        <v>0</v>
      </c>
      <c r="Y450" s="115">
        <v>0.44700000000000001</v>
      </c>
      <c r="Z450" s="115">
        <v>76.779499999999999</v>
      </c>
      <c r="AA450" s="115">
        <v>4</v>
      </c>
      <c r="AB450" s="115">
        <v>114.913</v>
      </c>
      <c r="AC450" s="115">
        <v>46.5</v>
      </c>
      <c r="AD450" s="115">
        <v>-2.1600000000000001E-2</v>
      </c>
      <c r="AE450" s="115">
        <v>-2.5700000000000001E-2</v>
      </c>
      <c r="AF450" s="115">
        <v>-1.8100000000000002E-2</v>
      </c>
      <c r="AG450" s="115">
        <v>-2.7099999999999999E-2</v>
      </c>
      <c r="AH450" s="115">
        <v>1.8200000000000001E-2</v>
      </c>
      <c r="AI450" s="115">
        <v>-6.8999999999999999E-3</v>
      </c>
      <c r="AJ450" s="115">
        <v>-1.5599999999999999E-2</v>
      </c>
      <c r="AK450" s="115">
        <v>8.4167000000000005</v>
      </c>
      <c r="AL450" s="115">
        <v>-0.66669999999999996</v>
      </c>
      <c r="AM450" s="115">
        <v>0</v>
      </c>
      <c r="AN450" s="115">
        <v>4</v>
      </c>
      <c r="AO450" s="115">
        <v>0</v>
      </c>
      <c r="AP450" s="115">
        <v>0</v>
      </c>
      <c r="AQ450" s="115">
        <v>1</v>
      </c>
      <c r="AR450" s="115">
        <v>0</v>
      </c>
      <c r="AS450" s="115">
        <v>-3.5000000000000001E-3</v>
      </c>
      <c r="AT450" s="115">
        <v>-0.46029999999999999</v>
      </c>
      <c r="AU450" s="114" t="str">
        <f>IF(A450&lt;&gt;"",INDEX(Index!$B$1:$B$77,MATCH($A450,Index!$A$1:$A$77,0)),"")</f>
        <v>NYJ</v>
      </c>
      <c r="AV450" s="123" t="str">
        <f>IF(B450&lt;&gt;"",INDEX(Index!$C$1:$C$77,MATCH($A450,Index!$A$1:$A$77,0)),"")</f>
        <v>Taylor</v>
      </c>
      <c r="AW450" s="123">
        <f t="shared" si="8"/>
        <v>33</v>
      </c>
      <c r="AX450" s="113">
        <v>12</v>
      </c>
    </row>
    <row r="451" spans="1:50" x14ac:dyDescent="0.25">
      <c r="A451" s="95" t="s">
        <v>585</v>
      </c>
      <c r="B451" s="96">
        <v>2025</v>
      </c>
      <c r="C451" s="96">
        <v>3</v>
      </c>
      <c r="D451" s="115">
        <v>-1.9170100000000001</v>
      </c>
      <c r="E451" s="115">
        <v>0.13401099999999999</v>
      </c>
      <c r="F451" s="115">
        <v>-0.76969699999999996</v>
      </c>
      <c r="G451" s="115">
        <v>-35.722200000000001</v>
      </c>
      <c r="H451" s="115">
        <v>-0.23200000000000001</v>
      </c>
      <c r="I451" s="115">
        <v>81</v>
      </c>
      <c r="J451" s="115">
        <v>125</v>
      </c>
      <c r="K451" s="115">
        <v>0.64800000000000002</v>
      </c>
      <c r="L451" s="115">
        <v>0.37569999999999998</v>
      </c>
      <c r="M451" s="115">
        <v>771</v>
      </c>
      <c r="N451" s="115">
        <v>6.1680000000000001</v>
      </c>
      <c r="O451" s="115">
        <v>6</v>
      </c>
      <c r="P451" s="115">
        <v>8</v>
      </c>
      <c r="Q451" s="115">
        <v>9</v>
      </c>
      <c r="R451" s="115">
        <v>8</v>
      </c>
      <c r="S451" s="115">
        <v>40</v>
      </c>
      <c r="T451" s="115">
        <v>5</v>
      </c>
      <c r="U451" s="115">
        <v>1</v>
      </c>
      <c r="V451" s="115">
        <v>4.8000000000000001E-2</v>
      </c>
      <c r="W451" s="115">
        <v>6.4000000000000001E-2</v>
      </c>
      <c r="X451" s="115">
        <v>-1.6E-2</v>
      </c>
      <c r="Y451" s="115">
        <v>0.43509999999999999</v>
      </c>
      <c r="Z451" s="115">
        <v>71.116699999999994</v>
      </c>
      <c r="AA451" s="115">
        <v>3.5148999999999999</v>
      </c>
      <c r="AB451" s="115">
        <v>58.973999999999997</v>
      </c>
      <c r="AC451" s="115"/>
      <c r="AD451" s="115">
        <v>1.24E-2</v>
      </c>
      <c r="AE451" s="115">
        <v>8.5000000000000006E-3</v>
      </c>
      <c r="AF451" s="115">
        <v>2.7400000000000001E-2</v>
      </c>
      <c r="AG451" s="115">
        <v>-0.17810000000000001</v>
      </c>
      <c r="AH451" s="115">
        <v>-7.9000000000000001E-2</v>
      </c>
      <c r="AI451" s="115">
        <v>-0.13730000000000001</v>
      </c>
      <c r="AJ451" s="115">
        <v>4.36E-2</v>
      </c>
      <c r="AK451" s="115">
        <v>7.6719999999999997</v>
      </c>
      <c r="AL451" s="115">
        <v>-1.528</v>
      </c>
      <c r="AM451" s="115">
        <v>1</v>
      </c>
      <c r="AN451" s="115">
        <v>4</v>
      </c>
      <c r="AO451" s="115">
        <v>0</v>
      </c>
      <c r="AP451" s="115">
        <v>1</v>
      </c>
      <c r="AQ451" s="115">
        <v>1</v>
      </c>
      <c r="AR451" s="115">
        <v>1</v>
      </c>
      <c r="AS451" s="115">
        <v>-4.0000000000000002E-4</v>
      </c>
      <c r="AT451" s="115">
        <v>-5.45E-2</v>
      </c>
      <c r="AU451" s="114" t="str">
        <f>IF(A451&lt;&gt;"",INDEX(Index!$B$1:$B$77,MATCH($A451,Index!$A$1:$A$77,0)),"")</f>
        <v>CIN</v>
      </c>
      <c r="AV451" s="123" t="str">
        <f>IF(B451&lt;&gt;"",INDEX(Index!$C$1:$C$77,MATCH($A451,Index!$A$1:$A$77,0)),"")</f>
        <v>Browning</v>
      </c>
      <c r="AW451" s="123">
        <f t="shared" si="8"/>
        <v>39</v>
      </c>
      <c r="AX451" s="113">
        <v>12</v>
      </c>
    </row>
    <row r="452" spans="1:50" x14ac:dyDescent="0.25">
      <c r="A452" s="95" t="s">
        <v>576</v>
      </c>
      <c r="B452" s="96">
        <v>2025</v>
      </c>
      <c r="C452" s="96">
        <v>11</v>
      </c>
      <c r="D452" s="115">
        <v>-2.0023</v>
      </c>
      <c r="E452" s="115">
        <v>-0.37885000000000002</v>
      </c>
      <c r="F452" s="115">
        <v>-0.69598800000000005</v>
      </c>
      <c r="G452" s="115">
        <v>-2.9619</v>
      </c>
      <c r="H452" s="115">
        <v>-7.1999999999999998E-3</v>
      </c>
      <c r="I452" s="115">
        <v>215</v>
      </c>
      <c r="J452" s="115">
        <v>342</v>
      </c>
      <c r="K452" s="115">
        <v>0.62870000000000004</v>
      </c>
      <c r="L452" s="115">
        <v>-0.84260000000000002</v>
      </c>
      <c r="M452" s="115">
        <v>2131</v>
      </c>
      <c r="N452" s="115">
        <v>6.2309999999999999</v>
      </c>
      <c r="O452" s="115">
        <v>15</v>
      </c>
      <c r="P452" s="115">
        <v>9</v>
      </c>
      <c r="Q452" s="115">
        <v>20</v>
      </c>
      <c r="R452" s="115">
        <v>19</v>
      </c>
      <c r="S452" s="115">
        <v>107</v>
      </c>
      <c r="T452" s="115">
        <v>5.6315999999999997</v>
      </c>
      <c r="U452" s="115">
        <v>1</v>
      </c>
      <c r="V452" s="115">
        <v>4.3900000000000002E-2</v>
      </c>
      <c r="W452" s="115">
        <v>2.63E-2</v>
      </c>
      <c r="X452" s="115">
        <v>1.7500000000000002E-2</v>
      </c>
      <c r="Y452" s="115">
        <v>0.47070000000000001</v>
      </c>
      <c r="Z452" s="115">
        <v>84.088700000000003</v>
      </c>
      <c r="AA452" s="115">
        <v>5.1822999999999997</v>
      </c>
      <c r="AB452" s="115">
        <v>113.03400000000001</v>
      </c>
      <c r="AC452" s="115">
        <v>42.8</v>
      </c>
      <c r="AD452" s="115">
        <v>-7.4000000000000003E-3</v>
      </c>
      <c r="AE452" s="115">
        <v>-1.3299999999999999E-2</v>
      </c>
      <c r="AF452" s="115">
        <v>-2.4799999999999999E-2</v>
      </c>
      <c r="AG452" s="115">
        <v>-3.0700000000000002E-2</v>
      </c>
      <c r="AH452" s="115">
        <v>-0.02</v>
      </c>
      <c r="AI452" s="115">
        <v>-4.5999999999999999E-3</v>
      </c>
      <c r="AJ452" s="115">
        <v>2.2800000000000001E-2</v>
      </c>
      <c r="AK452" s="115">
        <v>6.4063999999999997</v>
      </c>
      <c r="AL452" s="115">
        <v>-1.9591000000000001</v>
      </c>
      <c r="AM452" s="115">
        <v>6</v>
      </c>
      <c r="AN452" s="115">
        <v>5</v>
      </c>
      <c r="AO452" s="115">
        <v>0</v>
      </c>
      <c r="AP452" s="115">
        <v>3</v>
      </c>
      <c r="AQ452" s="115">
        <v>5</v>
      </c>
      <c r="AR452" s="115">
        <v>0.6</v>
      </c>
      <c r="AS452" s="115">
        <v>5.0000000000000001E-4</v>
      </c>
      <c r="AT452" s="115">
        <v>0.22</v>
      </c>
      <c r="AU452" s="114" t="str">
        <f>IF(A452&lt;&gt;"",INDEX(Index!$B$1:$B$77,MATCH($A452,Index!$A$1:$A$77,0)),"")</f>
        <v>CAR</v>
      </c>
      <c r="AV452" s="123" t="str">
        <f>IF(B452&lt;&gt;"",INDEX(Index!$C$1:$C$77,MATCH($A452,Index!$A$1:$A$77,0)),"")</f>
        <v>Young</v>
      </c>
      <c r="AW452" s="123">
        <f t="shared" si="8"/>
        <v>17</v>
      </c>
      <c r="AX452" s="113">
        <v>12</v>
      </c>
    </row>
    <row r="453" spans="1:50" x14ac:dyDescent="0.25">
      <c r="A453" s="95" t="s">
        <v>593</v>
      </c>
      <c r="B453" s="96">
        <v>2025</v>
      </c>
      <c r="C453" s="96">
        <v>1</v>
      </c>
      <c r="D453" s="115">
        <v>-2.2611300000000001</v>
      </c>
      <c r="E453" s="115">
        <v>-0.78385899999999997</v>
      </c>
      <c r="F453" s="115">
        <v>-0.78385899999999997</v>
      </c>
      <c r="G453" s="115">
        <v>-8.7080000000000002</v>
      </c>
      <c r="H453" s="115">
        <v>-0.18140000000000001</v>
      </c>
      <c r="I453" s="115">
        <v>25</v>
      </c>
      <c r="J453" s="115">
        <v>37</v>
      </c>
      <c r="K453" s="115">
        <v>0.67569999999999997</v>
      </c>
      <c r="L453" s="115">
        <v>6.5959000000000003</v>
      </c>
      <c r="M453" s="115">
        <v>293</v>
      </c>
      <c r="N453" s="115">
        <v>7.9188999999999998</v>
      </c>
      <c r="O453" s="115">
        <v>1</v>
      </c>
      <c r="P453" s="115">
        <v>1</v>
      </c>
      <c r="Q453" s="115">
        <v>8</v>
      </c>
      <c r="R453" s="115">
        <v>1</v>
      </c>
      <c r="S453" s="115">
        <v>1</v>
      </c>
      <c r="T453" s="115">
        <v>1</v>
      </c>
      <c r="U453" s="115">
        <v>0</v>
      </c>
      <c r="V453" s="115">
        <v>2.7E-2</v>
      </c>
      <c r="W453" s="115">
        <v>2.7E-2</v>
      </c>
      <c r="X453" s="115">
        <v>0</v>
      </c>
      <c r="Y453" s="115">
        <v>0.45829999999999999</v>
      </c>
      <c r="Z453" s="115">
        <v>89.132900000000006</v>
      </c>
      <c r="AA453" s="115">
        <v>4.7556000000000003</v>
      </c>
      <c r="AB453" s="115">
        <v>-93.4208</v>
      </c>
      <c r="AC453" s="115"/>
      <c r="AD453" s="115">
        <v>-0.1212</v>
      </c>
      <c r="AE453" s="115">
        <v>-0.27289999999999998</v>
      </c>
      <c r="AF453" s="115">
        <v>1.9599999999999999E-2</v>
      </c>
      <c r="AG453" s="115">
        <v>-7.7100000000000002E-2</v>
      </c>
      <c r="AH453" s="115">
        <v>0.2893</v>
      </c>
      <c r="AI453" s="115">
        <v>-9.2100000000000001E-2</v>
      </c>
      <c r="AJ453" s="115">
        <v>2.2000000000000001E-3</v>
      </c>
      <c r="AK453" s="115">
        <v>9.4054000000000002</v>
      </c>
      <c r="AL453" s="115">
        <v>1.5405</v>
      </c>
      <c r="AM453" s="115">
        <v>1</v>
      </c>
      <c r="AN453" s="115">
        <v>2</v>
      </c>
      <c r="AO453" s="115">
        <v>0</v>
      </c>
      <c r="AP453" s="115">
        <v>0</v>
      </c>
      <c r="AQ453" s="115">
        <v>0</v>
      </c>
      <c r="AR453" s="115"/>
      <c r="AS453" s="115">
        <v>-8.2000000000000007E-3</v>
      </c>
      <c r="AT453" s="115">
        <v>-0.39529999999999998</v>
      </c>
      <c r="AU453" s="114" t="str">
        <f>IF(A453&lt;&gt;"",INDEX(Index!$B$1:$B$77,MATCH($A453,Index!$A$1:$A$77,0)),"")</f>
        <v>CAR</v>
      </c>
      <c r="AV453" s="123" t="str">
        <f>IF(B453&lt;&gt;"",INDEX(Index!$C$1:$C$77,MATCH($A453,Index!$A$1:$A$77,0)),"")</f>
        <v>Dalton</v>
      </c>
      <c r="AW453" s="123">
        <f t="shared" si="8"/>
        <v>40</v>
      </c>
      <c r="AX453" s="113">
        <v>12</v>
      </c>
    </row>
    <row r="454" spans="1:50" x14ac:dyDescent="0.25">
      <c r="A454" s="95" t="s">
        <v>586</v>
      </c>
      <c r="B454" s="96">
        <v>2025</v>
      </c>
      <c r="C454" s="96">
        <v>5</v>
      </c>
      <c r="D454" s="115">
        <v>-2.4382999999999999</v>
      </c>
      <c r="E454" s="115">
        <v>-0.60543899999999995</v>
      </c>
      <c r="F454" s="115">
        <v>-0.248695</v>
      </c>
      <c r="G454" s="115">
        <v>12.968299999999999</v>
      </c>
      <c r="H454" s="115">
        <v>6.3E-2</v>
      </c>
      <c r="I454" s="115">
        <v>110</v>
      </c>
      <c r="J454" s="115">
        <v>168</v>
      </c>
      <c r="K454" s="115">
        <v>0.65480000000000005</v>
      </c>
      <c r="L454" s="115">
        <v>1.1112</v>
      </c>
      <c r="M454" s="115">
        <v>1216</v>
      </c>
      <c r="N454" s="115">
        <v>7.2381000000000002</v>
      </c>
      <c r="O454" s="115">
        <v>6</v>
      </c>
      <c r="P454" s="115">
        <v>5</v>
      </c>
      <c r="Q454" s="115">
        <v>19</v>
      </c>
      <c r="R454" s="115">
        <v>9</v>
      </c>
      <c r="S454" s="115">
        <v>57</v>
      </c>
      <c r="T454" s="115">
        <v>6.3333000000000004</v>
      </c>
      <c r="U454" s="115">
        <v>0</v>
      </c>
      <c r="V454" s="115">
        <v>3.5700000000000003E-2</v>
      </c>
      <c r="W454" s="115">
        <v>2.98E-2</v>
      </c>
      <c r="X454" s="115">
        <v>6.0000000000000001E-3</v>
      </c>
      <c r="Y454" s="115">
        <v>0.48060000000000003</v>
      </c>
      <c r="Z454" s="115">
        <v>86.3095</v>
      </c>
      <c r="AA454" s="115">
        <v>5.2727000000000004</v>
      </c>
      <c r="AB454" s="115">
        <v>107.76</v>
      </c>
      <c r="AC454" s="115"/>
      <c r="AD454" s="115">
        <v>-2.18E-2</v>
      </c>
      <c r="AE454" s="115">
        <v>-3.09E-2</v>
      </c>
      <c r="AF454" s="115">
        <v>2.5499999999999998E-2</v>
      </c>
      <c r="AG454" s="115">
        <v>-3.09E-2</v>
      </c>
      <c r="AH454" s="115">
        <v>1.17E-2</v>
      </c>
      <c r="AI454" s="115">
        <v>3.5299999999999998E-2</v>
      </c>
      <c r="AJ454" s="115">
        <v>3.3999999999999998E-3</v>
      </c>
      <c r="AK454" s="115">
        <v>7.6666999999999996</v>
      </c>
      <c r="AL454" s="115">
        <v>-1.3571</v>
      </c>
      <c r="AM454" s="115">
        <v>2</v>
      </c>
      <c r="AN454" s="115">
        <v>3</v>
      </c>
      <c r="AO454" s="115">
        <v>0</v>
      </c>
      <c r="AP454" s="115">
        <v>1</v>
      </c>
      <c r="AQ454" s="115">
        <v>3</v>
      </c>
      <c r="AR454" s="115">
        <v>0.33329999999999999</v>
      </c>
      <c r="AS454" s="115">
        <v>1.1999999999999999E-3</v>
      </c>
      <c r="AT454" s="115">
        <v>0.23880000000000001</v>
      </c>
      <c r="AU454" s="114" t="str">
        <f>IF(A454&lt;&gt;"",INDEX(Index!$B$1:$B$77,MATCH($A454,Index!$A$1:$A$77,0)),"")</f>
        <v>MIN</v>
      </c>
      <c r="AV454" s="123" t="str">
        <f>IF(B454&lt;&gt;"",INDEX(Index!$C$1:$C$77,MATCH($A454,Index!$A$1:$A$77,0)),"")</f>
        <v>Wentz</v>
      </c>
      <c r="AW454" s="123">
        <f t="shared" si="8"/>
        <v>19</v>
      </c>
      <c r="AX454" s="113">
        <v>12</v>
      </c>
    </row>
    <row r="455" spans="1:50" x14ac:dyDescent="0.25">
      <c r="A455" s="95" t="s">
        <v>594</v>
      </c>
      <c r="B455" s="96">
        <v>2025</v>
      </c>
      <c r="C455" s="96">
        <v>3</v>
      </c>
      <c r="D455" s="115">
        <v>-2.4672399999999999</v>
      </c>
      <c r="E455" s="115">
        <v>-0.24174200000000001</v>
      </c>
      <c r="F455" s="115">
        <v>0.18013699999999999</v>
      </c>
      <c r="G455" s="115">
        <v>-11.9222</v>
      </c>
      <c r="H455" s="115">
        <v>-7.9500000000000001E-2</v>
      </c>
      <c r="I455" s="115">
        <v>81</v>
      </c>
      <c r="J455" s="115">
        <v>125</v>
      </c>
      <c r="K455" s="115">
        <v>0.64800000000000002</v>
      </c>
      <c r="L455" s="115">
        <v>-2.5619999999999998</v>
      </c>
      <c r="M455" s="115">
        <v>829</v>
      </c>
      <c r="N455" s="115">
        <v>6.6319999999999997</v>
      </c>
      <c r="O455" s="115">
        <v>3</v>
      </c>
      <c r="P455" s="115">
        <v>3</v>
      </c>
      <c r="Q455" s="115">
        <v>10</v>
      </c>
      <c r="R455" s="115">
        <v>11</v>
      </c>
      <c r="S455" s="115">
        <v>39</v>
      </c>
      <c r="T455" s="115">
        <v>3.5455000000000001</v>
      </c>
      <c r="U455" s="115">
        <v>0</v>
      </c>
      <c r="V455" s="115">
        <v>2.4E-2</v>
      </c>
      <c r="W455" s="115">
        <v>2.4E-2</v>
      </c>
      <c r="X455" s="115">
        <v>0</v>
      </c>
      <c r="Y455" s="115">
        <v>0.43330000000000002</v>
      </c>
      <c r="Z455" s="115">
        <v>81.716700000000003</v>
      </c>
      <c r="AA455" s="115">
        <v>5.0518999999999998</v>
      </c>
      <c r="AB455" s="115">
        <v>127.76900000000001</v>
      </c>
      <c r="AC455" s="115"/>
      <c r="AD455" s="115">
        <v>-2.4899999999999999E-2</v>
      </c>
      <c r="AE455" s="115">
        <v>-2.4500000000000001E-2</v>
      </c>
      <c r="AF455" s="115">
        <v>-6.4999999999999997E-3</v>
      </c>
      <c r="AG455" s="115">
        <v>7.0000000000000001E-3</v>
      </c>
      <c r="AH455" s="115">
        <v>-6.7199999999999996E-2</v>
      </c>
      <c r="AI455" s="115">
        <v>-2.58E-2</v>
      </c>
      <c r="AJ455" s="115">
        <v>-8.5000000000000006E-3</v>
      </c>
      <c r="AK455" s="115">
        <v>8.5280000000000005</v>
      </c>
      <c r="AL455" s="115">
        <v>1.6E-2</v>
      </c>
      <c r="AM455" s="115">
        <v>1</v>
      </c>
      <c r="AN455" s="115">
        <v>4</v>
      </c>
      <c r="AO455" s="115">
        <v>0</v>
      </c>
      <c r="AP455" s="115">
        <v>0</v>
      </c>
      <c r="AQ455" s="115">
        <v>0</v>
      </c>
      <c r="AR455" s="115"/>
      <c r="AS455" s="115">
        <v>1.5E-3</v>
      </c>
      <c r="AT455" s="115">
        <v>0.22439999999999999</v>
      </c>
      <c r="AU455" s="114" t="str">
        <f>IF(A455&lt;&gt;"",INDEX(Index!$B$1:$B$77,MATCH($A455,Index!$A$1:$A$77,0)),"")</f>
        <v>NO</v>
      </c>
      <c r="AV455" s="123" t="str">
        <f>IF(B455&lt;&gt;"",INDEX(Index!$C$1:$C$77,MATCH($A455,Index!$A$1:$A$77,0)),"")</f>
        <v>Shough</v>
      </c>
      <c r="AW455" s="123">
        <f t="shared" si="8"/>
        <v>36</v>
      </c>
      <c r="AX455" s="113">
        <v>12</v>
      </c>
    </row>
    <row r="456" spans="1:50" x14ac:dyDescent="0.25">
      <c r="A456" s="95" t="s">
        <v>588</v>
      </c>
      <c r="B456" s="96">
        <v>2025</v>
      </c>
      <c r="C456" s="96">
        <v>2</v>
      </c>
      <c r="D456" s="115">
        <v>-2.4883299999999999</v>
      </c>
      <c r="E456" s="115">
        <v>-0.378133</v>
      </c>
      <c r="F456" s="115">
        <v>-0.79516200000000004</v>
      </c>
      <c r="G456" s="115">
        <v>-25.889299999999999</v>
      </c>
      <c r="H456" s="115">
        <v>-0.45419999999999999</v>
      </c>
      <c r="I456" s="115">
        <v>34</v>
      </c>
      <c r="J456" s="115">
        <v>52</v>
      </c>
      <c r="K456" s="115">
        <v>0.65380000000000005</v>
      </c>
      <c r="L456" s="115">
        <v>-1.9399</v>
      </c>
      <c r="M456" s="115">
        <v>303</v>
      </c>
      <c r="N456" s="115">
        <v>5.8269000000000002</v>
      </c>
      <c r="O456" s="115">
        <v>0</v>
      </c>
      <c r="P456" s="115">
        <v>4</v>
      </c>
      <c r="Q456" s="115">
        <v>1</v>
      </c>
      <c r="R456" s="115">
        <v>0</v>
      </c>
      <c r="S456" s="115">
        <v>0</v>
      </c>
      <c r="T456" s="115"/>
      <c r="U456" s="115">
        <v>0</v>
      </c>
      <c r="V456" s="115">
        <v>0</v>
      </c>
      <c r="W456" s="115">
        <v>7.6899999999999996E-2</v>
      </c>
      <c r="X456" s="115">
        <v>-7.6899999999999996E-2</v>
      </c>
      <c r="Y456" s="115">
        <v>0.42109999999999997</v>
      </c>
      <c r="Z456" s="115">
        <v>48.798099999999998</v>
      </c>
      <c r="AA456" s="115">
        <v>2.0188999999999999</v>
      </c>
      <c r="AB456" s="115">
        <v>12.234400000000001</v>
      </c>
      <c r="AC456" s="115"/>
      <c r="AD456" s="115">
        <v>-3.1699999999999999E-2</v>
      </c>
      <c r="AE456" s="115">
        <v>6.1400000000000003E-2</v>
      </c>
      <c r="AF456" s="115">
        <v>-5.3600000000000002E-2</v>
      </c>
      <c r="AG456" s="115">
        <v>-0.22770000000000001</v>
      </c>
      <c r="AH456" s="115">
        <v>-0.21579999999999999</v>
      </c>
      <c r="AI456" s="115">
        <v>-1.9E-2</v>
      </c>
      <c r="AJ456" s="115">
        <v>-3.85E-2</v>
      </c>
      <c r="AK456" s="115">
        <v>6.4423000000000004</v>
      </c>
      <c r="AL456" s="115">
        <v>-2.0577000000000001</v>
      </c>
      <c r="AM456" s="115">
        <v>0</v>
      </c>
      <c r="AN456" s="115">
        <v>3</v>
      </c>
      <c r="AO456" s="115">
        <v>0</v>
      </c>
      <c r="AP456" s="115">
        <v>0</v>
      </c>
      <c r="AQ456" s="115">
        <v>0</v>
      </c>
      <c r="AR456" s="115"/>
      <c r="AS456" s="115">
        <v>-6.8999999999999999E-3</v>
      </c>
      <c r="AT456" s="115">
        <v>-0.39179999999999998</v>
      </c>
      <c r="AU456" s="114" t="str">
        <f>IF(A456&lt;&gt;"",INDEX(Index!$B$1:$B$77,MATCH($A456,Index!$A$1:$A$77,0)),"")</f>
        <v>BAL</v>
      </c>
      <c r="AV456" s="123" t="str">
        <f>IF(B456&lt;&gt;"",INDEX(Index!$C$1:$C$77,MATCH($A456,Index!$A$1:$A$77,0)),"")</f>
        <v>Rush</v>
      </c>
      <c r="AW456" s="123">
        <f t="shared" si="8"/>
        <v>49</v>
      </c>
      <c r="AX456" s="113">
        <v>12</v>
      </c>
    </row>
    <row r="457" spans="1:50" x14ac:dyDescent="0.25">
      <c r="A457" s="95" t="s">
        <v>581</v>
      </c>
      <c r="B457" s="96">
        <v>2025</v>
      </c>
      <c r="C457" s="96">
        <v>8</v>
      </c>
      <c r="D457" s="115">
        <v>-2.5575399999999999</v>
      </c>
      <c r="E457" s="115">
        <v>-0.47380100000000003</v>
      </c>
      <c r="F457" s="115">
        <v>0.738784</v>
      </c>
      <c r="G457" s="115">
        <v>-17.053899999999999</v>
      </c>
      <c r="H457" s="115">
        <v>-5.28E-2</v>
      </c>
      <c r="I457" s="115">
        <v>174</v>
      </c>
      <c r="J457" s="115">
        <v>253</v>
      </c>
      <c r="K457" s="115">
        <v>0.68769999999999998</v>
      </c>
      <c r="L457" s="115">
        <v>2.3567999999999998</v>
      </c>
      <c r="M457" s="115">
        <v>1586</v>
      </c>
      <c r="N457" s="115">
        <v>6.2687999999999997</v>
      </c>
      <c r="O457" s="115">
        <v>8</v>
      </c>
      <c r="P457" s="115">
        <v>5</v>
      </c>
      <c r="Q457" s="115">
        <v>18</v>
      </c>
      <c r="R457" s="115">
        <v>30</v>
      </c>
      <c r="S457" s="115">
        <v>168</v>
      </c>
      <c r="T457" s="115">
        <v>5.6</v>
      </c>
      <c r="U457" s="115">
        <v>0</v>
      </c>
      <c r="V457" s="115">
        <v>3.1600000000000003E-2</v>
      </c>
      <c r="W457" s="115">
        <v>1.9800000000000002E-2</v>
      </c>
      <c r="X457" s="115">
        <v>1.1900000000000001E-2</v>
      </c>
      <c r="Y457" s="115">
        <v>0.47989999999999999</v>
      </c>
      <c r="Z457" s="115">
        <v>87.821100000000001</v>
      </c>
      <c r="AA457" s="115">
        <v>5.2287999999999997</v>
      </c>
      <c r="AB457" s="115">
        <v>139.14599999999999</v>
      </c>
      <c r="AC457" s="115">
        <v>49.8</v>
      </c>
      <c r="AD457" s="115">
        <v>-2E-3</v>
      </c>
      <c r="AE457" s="115">
        <v>1.18E-2</v>
      </c>
      <c r="AF457" s="115">
        <v>2.53E-2</v>
      </c>
      <c r="AG457" s="115">
        <v>1.2200000000000001E-2</v>
      </c>
      <c r="AH457" s="115">
        <v>-4.5600000000000002E-2</v>
      </c>
      <c r="AI457" s="115">
        <v>-0.13039999999999999</v>
      </c>
      <c r="AJ457" s="115">
        <v>5.1000000000000004E-3</v>
      </c>
      <c r="AK457" s="115">
        <v>8.0078999999999994</v>
      </c>
      <c r="AL457" s="115">
        <v>-1.1028</v>
      </c>
      <c r="AM457" s="115">
        <v>1</v>
      </c>
      <c r="AN457" s="115">
        <v>7</v>
      </c>
      <c r="AO457" s="115">
        <v>0</v>
      </c>
      <c r="AP457" s="115">
        <v>0</v>
      </c>
      <c r="AQ457" s="115">
        <v>4</v>
      </c>
      <c r="AR457" s="115">
        <v>0</v>
      </c>
      <c r="AS457" s="115">
        <v>-2.8E-3</v>
      </c>
      <c r="AT457" s="115">
        <v>-0.89029999999999998</v>
      </c>
      <c r="AU457" s="114" t="str">
        <f>IF(A457&lt;&gt;"",INDEX(Index!$B$1:$B$77,MATCH($A457,Index!$A$1:$A$77,0)),"")</f>
        <v>NO</v>
      </c>
      <c r="AV457" s="123" t="str">
        <f>IF(B457&lt;&gt;"",INDEX(Index!$C$1:$C$77,MATCH($A457,Index!$A$1:$A$77,0)),"")</f>
        <v>Rattler</v>
      </c>
      <c r="AW457" s="123">
        <f t="shared" si="8"/>
        <v>21</v>
      </c>
      <c r="AX457" s="113">
        <v>12</v>
      </c>
    </row>
    <row r="458" spans="1:50" x14ac:dyDescent="0.25">
      <c r="A458" s="95" t="s">
        <v>572</v>
      </c>
      <c r="B458" s="96">
        <v>2025</v>
      </c>
      <c r="C458" s="96">
        <v>11</v>
      </c>
      <c r="D458" s="115">
        <v>-2.6904400000000002</v>
      </c>
      <c r="E458" s="115">
        <v>-0.203204</v>
      </c>
      <c r="F458" s="115">
        <v>-2.6475</v>
      </c>
      <c r="G458" s="115">
        <v>-51.182600000000001</v>
      </c>
      <c r="H458" s="115">
        <v>-0.1142</v>
      </c>
      <c r="I458" s="115">
        <v>235</v>
      </c>
      <c r="J458" s="115">
        <v>351</v>
      </c>
      <c r="K458" s="115">
        <v>0.66949999999999998</v>
      </c>
      <c r="L458" s="115">
        <v>-1.0782</v>
      </c>
      <c r="M458" s="115">
        <v>2367</v>
      </c>
      <c r="N458" s="115">
        <v>6.7435999999999998</v>
      </c>
      <c r="O458" s="115">
        <v>13</v>
      </c>
      <c r="P458" s="115">
        <v>13</v>
      </c>
      <c r="Q458" s="115">
        <v>41</v>
      </c>
      <c r="R458" s="115">
        <v>31</v>
      </c>
      <c r="S458" s="115">
        <v>115</v>
      </c>
      <c r="T458" s="115">
        <v>3.7097000000000002</v>
      </c>
      <c r="U458" s="115">
        <v>0</v>
      </c>
      <c r="V458" s="115">
        <v>3.6999999999999998E-2</v>
      </c>
      <c r="W458" s="115">
        <v>3.6999999999999998E-2</v>
      </c>
      <c r="X458" s="115">
        <v>0</v>
      </c>
      <c r="Y458" s="115">
        <v>0.442</v>
      </c>
      <c r="Z458" s="115">
        <v>82.888199999999998</v>
      </c>
      <c r="AA458" s="115">
        <v>4.4668000000000001</v>
      </c>
      <c r="AB458" s="115">
        <v>69.5625</v>
      </c>
      <c r="AC458" s="115">
        <v>29.3</v>
      </c>
      <c r="AD458" s="115">
        <v>-2.41E-2</v>
      </c>
      <c r="AE458" s="115">
        <v>-6.6400000000000001E-2</v>
      </c>
      <c r="AF458" s="115">
        <v>3.5799999999999998E-2</v>
      </c>
      <c r="AG458" s="115">
        <v>-7.0000000000000007E-2</v>
      </c>
      <c r="AH458" s="115">
        <v>-0.12720000000000001</v>
      </c>
      <c r="AI458" s="115">
        <v>6.5799999999999997E-2</v>
      </c>
      <c r="AJ458" s="115">
        <v>1.1000000000000001E-3</v>
      </c>
      <c r="AK458" s="115">
        <v>6.2564000000000002</v>
      </c>
      <c r="AL458" s="115">
        <v>-2.8033999999999999</v>
      </c>
      <c r="AM458" s="115">
        <v>2</v>
      </c>
      <c r="AN458" s="115">
        <v>9</v>
      </c>
      <c r="AO458" s="115">
        <v>0</v>
      </c>
      <c r="AP458" s="115">
        <v>0</v>
      </c>
      <c r="AQ458" s="115">
        <v>3</v>
      </c>
      <c r="AR458" s="115">
        <v>0</v>
      </c>
      <c r="AS458" s="115">
        <v>-2.2000000000000001E-3</v>
      </c>
      <c r="AT458" s="115">
        <v>-0.99470000000000003</v>
      </c>
      <c r="AU458" s="114" t="str">
        <f>IF(A458&lt;&gt;"",INDEX(Index!$B$1:$B$77,MATCH($A458,Index!$A$1:$A$77,0)),"")</f>
        <v>LV</v>
      </c>
      <c r="AV458" s="123" t="str">
        <f>IF(B458&lt;&gt;"",INDEX(Index!$C$1:$C$77,MATCH($A458,Index!$A$1:$A$77,0)),"")</f>
        <v>Smith</v>
      </c>
      <c r="AW458" s="123">
        <f t="shared" si="8"/>
        <v>2</v>
      </c>
      <c r="AX458" s="113">
        <v>12</v>
      </c>
    </row>
    <row r="459" spans="1:50" x14ac:dyDescent="0.25">
      <c r="A459" s="95" t="s">
        <v>582</v>
      </c>
      <c r="B459" s="96">
        <v>2025</v>
      </c>
      <c r="C459" s="96">
        <v>11</v>
      </c>
      <c r="D459" s="115">
        <v>-3.1063000000000001</v>
      </c>
      <c r="E459" s="115">
        <v>0.61998900000000001</v>
      </c>
      <c r="F459" s="115">
        <v>-1.6332199999999999</v>
      </c>
      <c r="G459" s="115">
        <v>-64.738900000000001</v>
      </c>
      <c r="H459" s="115">
        <v>-0.13830000000000001</v>
      </c>
      <c r="I459" s="115">
        <v>222</v>
      </c>
      <c r="J459" s="115">
        <v>371</v>
      </c>
      <c r="K459" s="115">
        <v>0.59840000000000004</v>
      </c>
      <c r="L459" s="115">
        <v>-4.1003999999999996</v>
      </c>
      <c r="M459" s="115">
        <v>2210</v>
      </c>
      <c r="N459" s="115">
        <v>5.9569000000000001</v>
      </c>
      <c r="O459" s="115">
        <v>7</v>
      </c>
      <c r="P459" s="115">
        <v>6</v>
      </c>
      <c r="Q459" s="115">
        <v>45</v>
      </c>
      <c r="R459" s="115">
        <v>22</v>
      </c>
      <c r="S459" s="115">
        <v>124</v>
      </c>
      <c r="T459" s="115">
        <v>5.6364000000000001</v>
      </c>
      <c r="U459" s="115">
        <v>1</v>
      </c>
      <c r="V459" s="115">
        <v>1.89E-2</v>
      </c>
      <c r="W459" s="115">
        <v>1.6199999999999999E-2</v>
      </c>
      <c r="X459" s="115">
        <v>2.7000000000000001E-3</v>
      </c>
      <c r="Y459" s="115">
        <v>0.4103</v>
      </c>
      <c r="Z459" s="115">
        <v>76.319599999999994</v>
      </c>
      <c r="AA459" s="115">
        <v>4.1779000000000002</v>
      </c>
      <c r="AB459" s="115">
        <v>47.974200000000003</v>
      </c>
      <c r="AC459" s="115">
        <v>33.200000000000003</v>
      </c>
      <c r="AD459" s="115">
        <v>-7.4000000000000003E-3</v>
      </c>
      <c r="AE459" s="115">
        <v>-0.1009</v>
      </c>
      <c r="AF459" s="115">
        <v>-1.7999999999999999E-2</v>
      </c>
      <c r="AG459" s="115">
        <v>2.8799999999999999E-2</v>
      </c>
      <c r="AH459" s="115">
        <v>-6.0199999999999997E-2</v>
      </c>
      <c r="AI459" s="115">
        <v>-4.5499999999999999E-2</v>
      </c>
      <c r="AJ459" s="115">
        <v>-5.8999999999999999E-3</v>
      </c>
      <c r="AK459" s="115">
        <v>7.4394</v>
      </c>
      <c r="AL459" s="115">
        <v>-1.8112999999999999</v>
      </c>
      <c r="AM459" s="115">
        <v>1</v>
      </c>
      <c r="AN459" s="115">
        <v>10</v>
      </c>
      <c r="AO459" s="115">
        <v>0</v>
      </c>
      <c r="AP459" s="115">
        <v>1</v>
      </c>
      <c r="AQ459" s="115">
        <v>4</v>
      </c>
      <c r="AR459" s="115">
        <v>0.25</v>
      </c>
      <c r="AS459" s="115">
        <v>-3.2000000000000002E-3</v>
      </c>
      <c r="AT459" s="115">
        <v>-1.5037</v>
      </c>
      <c r="AU459" s="114" t="str">
        <f>IF(A459&lt;&gt;"",INDEX(Index!$B$1:$B$77,MATCH($A459,Index!$A$1:$A$77,0)),"")</f>
        <v>TEN</v>
      </c>
      <c r="AV459" s="123" t="str">
        <f>IF(B459&lt;&gt;"",INDEX(Index!$C$1:$C$77,MATCH($A459,Index!$A$1:$A$77,0)),"")</f>
        <v>Ward</v>
      </c>
      <c r="AW459" s="123">
        <f t="shared" si="8"/>
        <v>1</v>
      </c>
      <c r="AX459" s="113">
        <v>12</v>
      </c>
    </row>
    <row r="460" spans="1:50" x14ac:dyDescent="0.25">
      <c r="A460" s="95" t="s">
        <v>589</v>
      </c>
      <c r="B460" s="96">
        <v>2025</v>
      </c>
      <c r="C460" s="96">
        <v>6</v>
      </c>
      <c r="D460" s="115">
        <v>-3.8777200000000001</v>
      </c>
      <c r="E460" s="115">
        <v>-8.9766799999999994E-2</v>
      </c>
      <c r="F460" s="115">
        <v>-0.13372500000000001</v>
      </c>
      <c r="G460" s="115">
        <v>-25.683199999999999</v>
      </c>
      <c r="H460" s="115">
        <v>-0.11260000000000001</v>
      </c>
      <c r="I460" s="115">
        <v>109</v>
      </c>
      <c r="J460" s="115">
        <v>183</v>
      </c>
      <c r="K460" s="115">
        <v>0.59560000000000002</v>
      </c>
      <c r="L460" s="115">
        <v>-7.6803999999999997</v>
      </c>
      <c r="M460" s="115">
        <v>937</v>
      </c>
      <c r="N460" s="115">
        <v>5.1201999999999996</v>
      </c>
      <c r="O460" s="115">
        <v>7</v>
      </c>
      <c r="P460" s="115">
        <v>2</v>
      </c>
      <c r="Q460" s="115">
        <v>18</v>
      </c>
      <c r="R460" s="115">
        <v>13</v>
      </c>
      <c r="S460" s="115">
        <v>87</v>
      </c>
      <c r="T460" s="115">
        <v>6.6923000000000004</v>
      </c>
      <c r="U460" s="115">
        <v>0</v>
      </c>
      <c r="V460" s="115">
        <v>3.8300000000000001E-2</v>
      </c>
      <c r="W460" s="115">
        <v>1.09E-2</v>
      </c>
      <c r="X460" s="115">
        <v>2.7300000000000001E-2</v>
      </c>
      <c r="Y460" s="115">
        <v>0.3553</v>
      </c>
      <c r="Z460" s="115">
        <v>81.25</v>
      </c>
      <c r="AA460" s="115">
        <v>4.2885999999999997</v>
      </c>
      <c r="AB460" s="115">
        <v>72.512900000000002</v>
      </c>
      <c r="AC460" s="115">
        <v>30.4</v>
      </c>
      <c r="AD460" s="115">
        <v>-2.06E-2</v>
      </c>
      <c r="AE460" s="115">
        <v>-1.9599999999999999E-2</v>
      </c>
      <c r="AF460" s="115">
        <v>-4.1300000000000003E-2</v>
      </c>
      <c r="AG460" s="115">
        <v>4.1799999999999997E-2</v>
      </c>
      <c r="AH460" s="115">
        <v>-0.15060000000000001</v>
      </c>
      <c r="AI460" s="115">
        <v>-2.9399999999999999E-2</v>
      </c>
      <c r="AJ460" s="115">
        <v>3.6400000000000002E-2</v>
      </c>
      <c r="AK460" s="115">
        <v>5.8906999999999998</v>
      </c>
      <c r="AL460" s="115">
        <v>-3.9180000000000001</v>
      </c>
      <c r="AM460" s="115">
        <v>1</v>
      </c>
      <c r="AN460" s="115">
        <v>7</v>
      </c>
      <c r="AO460" s="115">
        <v>0</v>
      </c>
      <c r="AP460" s="115">
        <v>0</v>
      </c>
      <c r="AQ460" s="115">
        <v>2</v>
      </c>
      <c r="AR460" s="115">
        <v>0</v>
      </c>
      <c r="AS460" s="115">
        <v>-2.8999999999999998E-3</v>
      </c>
      <c r="AT460" s="115">
        <v>-0.6512</v>
      </c>
      <c r="AU460" s="114" t="str">
        <f>IF(A460&lt;&gt;"",INDEX(Index!$B$1:$B$77,MATCH($A460,Index!$A$1:$A$77,0)),"")</f>
        <v>CLE</v>
      </c>
      <c r="AV460" s="123" t="str">
        <f>IF(B460&lt;&gt;"",INDEX(Index!$C$1:$C$77,MATCH($A460,Index!$A$1:$A$77,0)),"")</f>
        <v>Gabriel</v>
      </c>
      <c r="AW460" s="123">
        <f t="shared" si="8"/>
        <v>21</v>
      </c>
      <c r="AX460" s="113">
        <v>12</v>
      </c>
    </row>
    <row r="461" spans="1:50" x14ac:dyDescent="0.25">
      <c r="A461" s="95" t="s">
        <v>580</v>
      </c>
      <c r="B461" s="96">
        <v>2025</v>
      </c>
      <c r="C461" s="96">
        <v>6</v>
      </c>
      <c r="D461" s="115">
        <v>-3.9967800000000002</v>
      </c>
      <c r="E461" s="115">
        <v>-0.80024099999999998</v>
      </c>
      <c r="F461" s="115">
        <v>-2.3938899999999999</v>
      </c>
      <c r="G461" s="115">
        <v>-54.706699999999998</v>
      </c>
      <c r="H461" s="115">
        <v>-0.26819999999999999</v>
      </c>
      <c r="I461" s="115">
        <v>86</v>
      </c>
      <c r="J461" s="115">
        <v>159</v>
      </c>
      <c r="K461" s="115">
        <v>0.54090000000000005</v>
      </c>
      <c r="L461" s="115">
        <v>-8.6554000000000002</v>
      </c>
      <c r="M461" s="115">
        <v>929</v>
      </c>
      <c r="N461" s="115">
        <v>5.8428000000000004</v>
      </c>
      <c r="O461" s="115">
        <v>6</v>
      </c>
      <c r="P461" s="115">
        <v>10</v>
      </c>
      <c r="Q461" s="115">
        <v>20</v>
      </c>
      <c r="R461" s="115">
        <v>16</v>
      </c>
      <c r="S461" s="115">
        <v>125</v>
      </c>
      <c r="T461" s="115">
        <v>7.8125</v>
      </c>
      <c r="U461" s="115">
        <v>2</v>
      </c>
      <c r="V461" s="115">
        <v>3.7699999999999997E-2</v>
      </c>
      <c r="W461" s="115">
        <v>6.2899999999999998E-2</v>
      </c>
      <c r="X461" s="115">
        <v>-2.52E-2</v>
      </c>
      <c r="Y461" s="115">
        <v>0.38240000000000002</v>
      </c>
      <c r="Z461" s="115">
        <v>57.874699999999997</v>
      </c>
      <c r="AA461" s="115">
        <v>2.7206999999999999</v>
      </c>
      <c r="AB461" s="115">
        <v>-4.7439999999999998</v>
      </c>
      <c r="AC461" s="115">
        <v>24.8</v>
      </c>
      <c r="AD461" s="115">
        <v>9.2999999999999992E-3</v>
      </c>
      <c r="AE461" s="115">
        <v>-6.5500000000000003E-2</v>
      </c>
      <c r="AF461" s="115">
        <v>-8.8200000000000001E-2</v>
      </c>
      <c r="AG461" s="115">
        <v>-0.1361</v>
      </c>
      <c r="AH461" s="115">
        <v>2.9399999999999999E-2</v>
      </c>
      <c r="AI461" s="115">
        <v>-0.11650000000000001</v>
      </c>
      <c r="AJ461" s="115">
        <v>2.87E-2</v>
      </c>
      <c r="AK461" s="115">
        <v>9.3962000000000003</v>
      </c>
      <c r="AL461" s="115">
        <v>0.77359999999999995</v>
      </c>
      <c r="AM461" s="115">
        <v>2</v>
      </c>
      <c r="AN461" s="115">
        <v>4</v>
      </c>
      <c r="AO461" s="115">
        <v>0</v>
      </c>
      <c r="AP461" s="115">
        <v>1</v>
      </c>
      <c r="AQ461" s="115">
        <v>4</v>
      </c>
      <c r="AR461" s="115">
        <v>0.25</v>
      </c>
      <c r="AS461" s="115">
        <v>-2.5000000000000001E-3</v>
      </c>
      <c r="AT461" s="115">
        <v>-0.51890000000000003</v>
      </c>
      <c r="AU461" s="114" t="str">
        <f>IF(A461&lt;&gt;"",INDEX(Index!$B$1:$B$77,MATCH($A461,Index!$A$1:$A$77,0)),"")</f>
        <v>MIN</v>
      </c>
      <c r="AV461" s="123" t="str">
        <f>IF(B461&lt;&gt;"",INDEX(Index!$C$1:$C$77,MATCH($A461,Index!$A$1:$A$77,0)),"")</f>
        <v>McCarthy</v>
      </c>
      <c r="AW461" s="123">
        <f t="shared" si="8"/>
        <v>17</v>
      </c>
      <c r="AX461" s="113">
        <v>12</v>
      </c>
    </row>
    <row r="462" spans="1:50" ht="15.75" thickBot="1" x14ac:dyDescent="0.3">
      <c r="A462" s="95" t="s">
        <v>598</v>
      </c>
      <c r="B462" s="96">
        <v>2025</v>
      </c>
      <c r="C462" s="96">
        <v>1</v>
      </c>
      <c r="D462" s="115">
        <v>-4.0209099999999998</v>
      </c>
      <c r="E462" s="115">
        <v>-3.4826700000000002E-3</v>
      </c>
      <c r="F462" s="115">
        <v>-3.4826700000000002E-3</v>
      </c>
      <c r="G462" s="115">
        <v>-17.584299999999999</v>
      </c>
      <c r="H462" s="115">
        <v>-0.39079999999999998</v>
      </c>
      <c r="I462" s="115">
        <v>15</v>
      </c>
      <c r="J462" s="115">
        <v>36</v>
      </c>
      <c r="K462" s="115">
        <v>0.41670000000000001</v>
      </c>
      <c r="L462" s="115">
        <v>-19.166399999999999</v>
      </c>
      <c r="M462" s="115">
        <v>256</v>
      </c>
      <c r="N462" s="115">
        <v>7.1111000000000004</v>
      </c>
      <c r="O462" s="115">
        <v>1</v>
      </c>
      <c r="P462" s="115">
        <v>2</v>
      </c>
      <c r="Q462" s="115">
        <v>3</v>
      </c>
      <c r="R462" s="115">
        <v>3</v>
      </c>
      <c r="S462" s="115">
        <v>16</v>
      </c>
      <c r="T462" s="115">
        <v>5.3333000000000004</v>
      </c>
      <c r="U462" s="115">
        <v>0</v>
      </c>
      <c r="V462" s="115">
        <v>2.7799999999999998E-2</v>
      </c>
      <c r="W462" s="115">
        <v>5.5599999999999997E-2</v>
      </c>
      <c r="X462" s="115">
        <v>-2.7799999999999998E-2</v>
      </c>
      <c r="Y462" s="115">
        <v>0.26669999999999999</v>
      </c>
      <c r="Z462" s="115">
        <v>52.546300000000002</v>
      </c>
      <c r="AA462" s="115">
        <v>4</v>
      </c>
      <c r="AB462" s="115">
        <v>71.512500000000003</v>
      </c>
      <c r="AC462" s="115"/>
      <c r="AD462" s="115">
        <v>-2.5000000000000001E-2</v>
      </c>
      <c r="AE462" s="115">
        <v>-3.2300000000000002E-2</v>
      </c>
      <c r="AF462" s="115">
        <v>-0.1031</v>
      </c>
      <c r="AG462" s="115">
        <v>-0.15629999999999999</v>
      </c>
      <c r="AH462" s="115">
        <v>-0.2056</v>
      </c>
      <c r="AI462" s="115">
        <v>0.1037</v>
      </c>
      <c r="AJ462" s="115">
        <v>-4.2799999999999998E-2</v>
      </c>
      <c r="AK462" s="115">
        <v>8.4722000000000008</v>
      </c>
      <c r="AL462" s="115">
        <v>-1.8056000000000001</v>
      </c>
      <c r="AM462" s="115">
        <v>1</v>
      </c>
      <c r="AN462" s="115">
        <v>1</v>
      </c>
      <c r="AO462" s="115">
        <v>0</v>
      </c>
      <c r="AP462" s="115">
        <v>0</v>
      </c>
      <c r="AQ462" s="115">
        <v>1</v>
      </c>
      <c r="AR462" s="115">
        <v>0</v>
      </c>
      <c r="AS462" s="115">
        <v>-1.46E-2</v>
      </c>
      <c r="AT462" s="115">
        <v>-0.65529999999999999</v>
      </c>
      <c r="AU462" s="114" t="str">
        <f>IF(A462&lt;&gt;"",INDEX(Index!$B$1:$B$77,MATCH($A462,Index!$A$1:$A$77,0)),"")</f>
        <v>CLE</v>
      </c>
      <c r="AV462" s="123" t="str">
        <f>IF(B462&lt;&gt;"",INDEX(Index!$C$1:$C$77,MATCH($A462,Index!$A$1:$A$77,0)),"")</f>
        <v>Sanders</v>
      </c>
      <c r="AW462" s="123">
        <f t="shared" si="8"/>
        <v>45</v>
      </c>
      <c r="AX462" s="113">
        <v>12</v>
      </c>
    </row>
    <row r="463" spans="1:50" x14ac:dyDescent="0.25">
      <c r="A463" s="117" t="s">
        <v>551</v>
      </c>
      <c r="B463" s="118">
        <v>2025</v>
      </c>
      <c r="C463" s="118">
        <v>12</v>
      </c>
      <c r="D463" s="119">
        <v>2.8525900000000002</v>
      </c>
      <c r="E463" s="119">
        <v>-0.12959100000000001</v>
      </c>
      <c r="F463" s="119">
        <v>-0.66710199999999997</v>
      </c>
      <c r="G463" s="119">
        <v>111.319</v>
      </c>
      <c r="H463" s="119">
        <v>0.2399</v>
      </c>
      <c r="I463" s="119">
        <v>243</v>
      </c>
      <c r="J463" s="119">
        <v>349</v>
      </c>
      <c r="K463" s="119">
        <v>0.69630000000000003</v>
      </c>
      <c r="L463" s="119">
        <v>2.8906000000000001</v>
      </c>
      <c r="M463" s="119">
        <v>2832</v>
      </c>
      <c r="N463" s="119">
        <v>8.1145999999999994</v>
      </c>
      <c r="O463" s="119">
        <v>19</v>
      </c>
      <c r="P463" s="119">
        <v>10</v>
      </c>
      <c r="Q463" s="119">
        <v>28</v>
      </c>
      <c r="R463" s="119">
        <v>66</v>
      </c>
      <c r="S463" s="119">
        <v>420</v>
      </c>
      <c r="T463" s="119">
        <v>6.3635999999999999</v>
      </c>
      <c r="U463" s="119">
        <v>11</v>
      </c>
      <c r="V463" s="119">
        <v>5.4399999999999997E-2</v>
      </c>
      <c r="W463" s="119">
        <v>2.87E-2</v>
      </c>
      <c r="X463" s="119">
        <v>2.58E-2</v>
      </c>
      <c r="Y463" s="119">
        <v>0.51290000000000002</v>
      </c>
      <c r="Z463" s="119">
        <v>100.125</v>
      </c>
      <c r="AA463" s="119">
        <v>6.8434999999999997</v>
      </c>
      <c r="AB463" s="119">
        <v>246.63300000000001</v>
      </c>
      <c r="AC463" s="119">
        <v>59.1</v>
      </c>
      <c r="AD463" s="119">
        <v>5.9400000000000001E-2</v>
      </c>
      <c r="AE463" s="119">
        <v>2.64E-2</v>
      </c>
      <c r="AF463" s="119">
        <v>5.2200000000000003E-2</v>
      </c>
      <c r="AG463" s="119">
        <v>2.3999999999999998E-3</v>
      </c>
      <c r="AH463" s="119">
        <v>-6.2600000000000003E-2</v>
      </c>
      <c r="AI463" s="119">
        <v>9.1399999999999995E-2</v>
      </c>
      <c r="AJ463" s="119">
        <v>2.2000000000000001E-3</v>
      </c>
      <c r="AK463" s="119">
        <v>7.4154999999999998</v>
      </c>
      <c r="AL463" s="119">
        <v>-0.99429999999999996</v>
      </c>
      <c r="AM463" s="119">
        <v>8</v>
      </c>
      <c r="AN463" s="119">
        <v>4</v>
      </c>
      <c r="AO463" s="119">
        <v>0</v>
      </c>
      <c r="AP463" s="119">
        <v>2</v>
      </c>
      <c r="AQ463" s="119">
        <v>5</v>
      </c>
      <c r="AR463" s="119">
        <v>0.4</v>
      </c>
      <c r="AS463" s="119">
        <v>4.7999999999999996E-3</v>
      </c>
      <c r="AT463" s="119">
        <v>2.2126999999999999</v>
      </c>
      <c r="AU463" s="121" t="str">
        <f>IF(A463&lt;&gt;"",INDEX(Index!$B$1:$B$77,MATCH($A463,Index!$A$1:$A$77,0)),"")</f>
        <v>BUF</v>
      </c>
      <c r="AV463" s="124" t="str">
        <f>IF(B463&lt;&gt;"",INDEX(Index!$C$1:$C$77,MATCH($A463,Index!$A$1:$A$77,0)),"")</f>
        <v>Allen</v>
      </c>
      <c r="AW463" s="124">
        <f t="shared" ref="AW463:AW512" si="9">IF(AT463&lt;&gt;"",COUNTIFS($AX$2:$AX$994,AX463,$Q$2:$Q$994,"&gt;"&amp;$Q463)+1,"")</f>
        <v>6</v>
      </c>
      <c r="AX463" s="120">
        <v>13</v>
      </c>
    </row>
    <row r="464" spans="1:50" x14ac:dyDescent="0.25">
      <c r="A464" s="95" t="s">
        <v>555</v>
      </c>
      <c r="B464" s="96">
        <v>2025</v>
      </c>
      <c r="C464" s="96">
        <v>12</v>
      </c>
      <c r="D464" s="115">
        <v>2.6530499999999999</v>
      </c>
      <c r="E464" s="115">
        <v>0.133661</v>
      </c>
      <c r="F464" s="115">
        <v>1.3475299999999999</v>
      </c>
      <c r="G464" s="115">
        <v>114.29900000000001</v>
      </c>
      <c r="H464" s="115">
        <v>0.2228</v>
      </c>
      <c r="I464" s="115">
        <v>303</v>
      </c>
      <c r="J464" s="115">
        <v>434</v>
      </c>
      <c r="K464" s="115">
        <v>0.69820000000000004</v>
      </c>
      <c r="L464" s="115">
        <v>3.9331999999999998</v>
      </c>
      <c r="M464" s="115">
        <v>3261</v>
      </c>
      <c r="N464" s="115">
        <v>7.5137999999999998</v>
      </c>
      <c r="O464" s="115">
        <v>25</v>
      </c>
      <c r="P464" s="115">
        <v>8</v>
      </c>
      <c r="Q464" s="115">
        <v>17</v>
      </c>
      <c r="R464" s="115">
        <v>23</v>
      </c>
      <c r="S464" s="115">
        <v>135</v>
      </c>
      <c r="T464" s="115">
        <v>5.8696000000000002</v>
      </c>
      <c r="U464" s="115">
        <v>2</v>
      </c>
      <c r="V464" s="115">
        <v>5.7599999999999998E-2</v>
      </c>
      <c r="W464" s="115">
        <v>1.84E-2</v>
      </c>
      <c r="X464" s="115">
        <v>3.9199999999999999E-2</v>
      </c>
      <c r="Y464" s="115">
        <v>0.50490000000000002</v>
      </c>
      <c r="Z464" s="115">
        <v>103.09099999999999</v>
      </c>
      <c r="AA464" s="115">
        <v>7.3082000000000003</v>
      </c>
      <c r="AB464" s="115">
        <v>253.96799999999999</v>
      </c>
      <c r="AC464" s="115">
        <v>75.3</v>
      </c>
      <c r="AD464" s="115">
        <v>-1.23E-2</v>
      </c>
      <c r="AE464" s="115">
        <v>4.4999999999999998E-2</v>
      </c>
      <c r="AF464" s="115">
        <v>3.0000000000000001E-3</v>
      </c>
      <c r="AG464" s="115">
        <v>1.2800000000000001E-2</v>
      </c>
      <c r="AH464" s="115">
        <v>4.9500000000000002E-2</v>
      </c>
      <c r="AI464" s="115">
        <v>3.1199999999999999E-2</v>
      </c>
      <c r="AJ464" s="115">
        <v>2.4899999999999999E-2</v>
      </c>
      <c r="AK464" s="115">
        <v>7.6313000000000004</v>
      </c>
      <c r="AL464" s="115">
        <v>-0.7258</v>
      </c>
      <c r="AM464" s="115">
        <v>6</v>
      </c>
      <c r="AN464" s="115">
        <v>5</v>
      </c>
      <c r="AO464" s="115">
        <v>1</v>
      </c>
      <c r="AP464" s="115">
        <v>3</v>
      </c>
      <c r="AQ464" s="115">
        <v>6</v>
      </c>
      <c r="AR464" s="115">
        <v>0.5</v>
      </c>
      <c r="AS464" s="115">
        <v>9.5999999999999992E-3</v>
      </c>
      <c r="AT464" s="115">
        <v>4.9001000000000001</v>
      </c>
      <c r="AU464" s="114" t="str">
        <f>IF(A464&lt;&gt;"",INDEX(Index!$B$1:$B$77,MATCH($A464,Index!$A$1:$A$77,0)),"")</f>
        <v>DAL</v>
      </c>
      <c r="AV464" s="123" t="str">
        <f>IF(B464&lt;&gt;"",INDEX(Index!$C$1:$C$77,MATCH($A464,Index!$A$1:$A$77,0)),"")</f>
        <v>Prescott</v>
      </c>
      <c r="AW464" s="123">
        <f t="shared" si="9"/>
        <v>26</v>
      </c>
      <c r="AX464" s="113">
        <v>13</v>
      </c>
    </row>
    <row r="465" spans="1:50" x14ac:dyDescent="0.25">
      <c r="A465" s="95" t="s">
        <v>552</v>
      </c>
      <c r="B465" s="96">
        <v>2025</v>
      </c>
      <c r="C465" s="96">
        <v>12</v>
      </c>
      <c r="D465" s="115">
        <v>2.4517699999999998</v>
      </c>
      <c r="E465" s="115">
        <v>0.233403</v>
      </c>
      <c r="F465" s="115">
        <v>0.187835</v>
      </c>
      <c r="G465" s="115">
        <v>133.23599999999999</v>
      </c>
      <c r="H465" s="115">
        <v>0.24179999999999999</v>
      </c>
      <c r="I465" s="115">
        <v>285</v>
      </c>
      <c r="J465" s="115">
        <v>440</v>
      </c>
      <c r="K465" s="115">
        <v>0.64770000000000005</v>
      </c>
      <c r="L465" s="115">
        <v>1.7416</v>
      </c>
      <c r="M465" s="115">
        <v>3238</v>
      </c>
      <c r="N465" s="115">
        <v>7.3590999999999998</v>
      </c>
      <c r="O465" s="115">
        <v>22</v>
      </c>
      <c r="P465" s="115">
        <v>7</v>
      </c>
      <c r="Q465" s="115">
        <v>27</v>
      </c>
      <c r="R465" s="115">
        <v>47</v>
      </c>
      <c r="S465" s="115">
        <v>355</v>
      </c>
      <c r="T465" s="115">
        <v>7.5532000000000004</v>
      </c>
      <c r="U465" s="115">
        <v>4</v>
      </c>
      <c r="V465" s="115">
        <v>0.05</v>
      </c>
      <c r="W465" s="115">
        <v>1.5900000000000001E-2</v>
      </c>
      <c r="X465" s="115">
        <v>3.4099999999999998E-2</v>
      </c>
      <c r="Y465" s="115">
        <v>0.50819999999999999</v>
      </c>
      <c r="Z465" s="115">
        <v>96.761399999999995</v>
      </c>
      <c r="AA465" s="115">
        <v>6.8586999999999998</v>
      </c>
      <c r="AB465" s="115">
        <v>245.339</v>
      </c>
      <c r="AC465" s="115">
        <v>73.099999999999994</v>
      </c>
      <c r="AD465" s="115">
        <v>1.5299999999999999E-2</v>
      </c>
      <c r="AE465" s="115">
        <v>5.1900000000000002E-2</v>
      </c>
      <c r="AF465" s="115">
        <v>1.9699999999999999E-2</v>
      </c>
      <c r="AG465" s="115">
        <v>8.8000000000000005E-3</v>
      </c>
      <c r="AH465" s="115">
        <v>-1.5100000000000001E-2</v>
      </c>
      <c r="AI465" s="115">
        <v>8.9300000000000004E-2</v>
      </c>
      <c r="AJ465" s="115">
        <v>3.5999999999999999E-3</v>
      </c>
      <c r="AK465" s="115">
        <v>8.0614000000000008</v>
      </c>
      <c r="AL465" s="115">
        <v>-0.6341</v>
      </c>
      <c r="AM465" s="115">
        <v>6</v>
      </c>
      <c r="AN465" s="115">
        <v>6</v>
      </c>
      <c r="AO465" s="115">
        <v>0</v>
      </c>
      <c r="AP465" s="115">
        <v>1</v>
      </c>
      <c r="AQ465" s="115">
        <v>7</v>
      </c>
      <c r="AR465" s="115">
        <v>0.1429</v>
      </c>
      <c r="AS465" s="115">
        <v>5.5999999999999999E-3</v>
      </c>
      <c r="AT465" s="115">
        <v>3.0697000000000001</v>
      </c>
      <c r="AU465" s="114" t="str">
        <f>IF(A465&lt;&gt;"",INDEX(Index!$B$1:$B$77,MATCH($A465,Index!$A$1:$A$77,0)),"")</f>
        <v>KC</v>
      </c>
      <c r="AV465" s="123" t="str">
        <f>IF(B465&lt;&gt;"",INDEX(Index!$C$1:$C$77,MATCH($A465,Index!$A$1:$A$77,0)),"")</f>
        <v>Mahomes</v>
      </c>
      <c r="AW465" s="123">
        <f t="shared" si="9"/>
        <v>7</v>
      </c>
      <c r="AX465" s="113">
        <v>13</v>
      </c>
    </row>
    <row r="466" spans="1:50" x14ac:dyDescent="0.25">
      <c r="A466" s="95" t="s">
        <v>554</v>
      </c>
      <c r="B466" s="96">
        <v>2025</v>
      </c>
      <c r="C466" s="96">
        <v>12</v>
      </c>
      <c r="D466" s="115">
        <v>1.81907</v>
      </c>
      <c r="E466" s="115">
        <v>2.9536099999999999E-2</v>
      </c>
      <c r="F466" s="115">
        <v>0.33374999999999999</v>
      </c>
      <c r="G466" s="115">
        <v>51.282899999999998</v>
      </c>
      <c r="H466" s="115">
        <v>0.11119999999999999</v>
      </c>
      <c r="I466" s="115">
        <v>226</v>
      </c>
      <c r="J466" s="115">
        <v>340</v>
      </c>
      <c r="K466" s="115">
        <v>0.66469999999999996</v>
      </c>
      <c r="L466" s="115">
        <v>4.2610000000000001</v>
      </c>
      <c r="M466" s="115">
        <v>2514</v>
      </c>
      <c r="N466" s="115">
        <v>7.3940999999999999</v>
      </c>
      <c r="O466" s="115">
        <v>19</v>
      </c>
      <c r="P466" s="115">
        <v>2</v>
      </c>
      <c r="Q466" s="115">
        <v>27</v>
      </c>
      <c r="R466" s="115">
        <v>73</v>
      </c>
      <c r="S466" s="115">
        <v>342</v>
      </c>
      <c r="T466" s="115">
        <v>4.6848999999999998</v>
      </c>
      <c r="U466" s="115">
        <v>8</v>
      </c>
      <c r="V466" s="115">
        <v>5.5899999999999998E-2</v>
      </c>
      <c r="W466" s="115">
        <v>5.8999999999999999E-3</v>
      </c>
      <c r="X466" s="115">
        <v>0.05</v>
      </c>
      <c r="Y466" s="115">
        <v>0.4577</v>
      </c>
      <c r="Z466" s="115">
        <v>104.461</v>
      </c>
      <c r="AA466" s="115">
        <v>7.2070999999999996</v>
      </c>
      <c r="AB466" s="115">
        <v>217.93</v>
      </c>
      <c r="AC466" s="115">
        <v>54.5</v>
      </c>
      <c r="AD466" s="115">
        <v>8.2000000000000007E-3</v>
      </c>
      <c r="AE466" s="115">
        <v>9.7999999999999997E-3</v>
      </c>
      <c r="AF466" s="115">
        <v>3.5000000000000003E-2</v>
      </c>
      <c r="AG466" s="115">
        <v>4.9200000000000001E-2</v>
      </c>
      <c r="AH466" s="115">
        <v>4.6300000000000001E-2</v>
      </c>
      <c r="AI466" s="115">
        <v>-9.2700000000000005E-2</v>
      </c>
      <c r="AJ466" s="115">
        <v>-1.3100000000000001E-2</v>
      </c>
      <c r="AK466" s="115">
        <v>9.1205999999999996</v>
      </c>
      <c r="AL466" s="115">
        <v>0.2382</v>
      </c>
      <c r="AM466" s="115">
        <v>8</v>
      </c>
      <c r="AN466" s="115">
        <v>4</v>
      </c>
      <c r="AO466" s="115">
        <v>0</v>
      </c>
      <c r="AP466" s="115">
        <v>1</v>
      </c>
      <c r="AQ466" s="115">
        <v>3</v>
      </c>
      <c r="AR466" s="115">
        <v>0.33329999999999999</v>
      </c>
      <c r="AS466" s="115">
        <v>3.0000000000000001E-3</v>
      </c>
      <c r="AT466" s="115">
        <v>1.3863000000000001</v>
      </c>
      <c r="AU466" s="114" t="str">
        <f>IF(A466&lt;&gt;"",INDEX(Index!$B$1:$B$77,MATCH($A466,Index!$A$1:$A$77,0)),"")</f>
        <v>PHI</v>
      </c>
      <c r="AV466" s="123" t="str">
        <f>IF(B466&lt;&gt;"",INDEX(Index!$C$1:$C$77,MATCH($A466,Index!$A$1:$A$77,0)),"")</f>
        <v>Hurts</v>
      </c>
      <c r="AW466" s="123">
        <f t="shared" si="9"/>
        <v>7</v>
      </c>
      <c r="AX466" s="113">
        <v>13</v>
      </c>
    </row>
    <row r="467" spans="1:50" x14ac:dyDescent="0.25">
      <c r="A467" s="95" t="s">
        <v>567</v>
      </c>
      <c r="B467" s="96">
        <v>2025</v>
      </c>
      <c r="C467" s="96">
        <v>12</v>
      </c>
      <c r="D467" s="115">
        <v>1.64395</v>
      </c>
      <c r="E467" s="115">
        <v>-0.45612900000000001</v>
      </c>
      <c r="F467" s="115">
        <v>1.5423199999999999</v>
      </c>
      <c r="G467" s="115">
        <v>88.093800000000002</v>
      </c>
      <c r="H467" s="115">
        <v>0.19800000000000001</v>
      </c>
      <c r="I467" s="115">
        <v>266</v>
      </c>
      <c r="J467" s="115">
        <v>399</v>
      </c>
      <c r="K467" s="115">
        <v>0.66669999999999996</v>
      </c>
      <c r="L467" s="115">
        <v>2.8972000000000002</v>
      </c>
      <c r="M467" s="115">
        <v>3073</v>
      </c>
      <c r="N467" s="115">
        <v>7.7018000000000004</v>
      </c>
      <c r="O467" s="115">
        <v>32</v>
      </c>
      <c r="P467" s="115">
        <v>4</v>
      </c>
      <c r="Q467" s="115">
        <v>17</v>
      </c>
      <c r="R467" s="115">
        <v>5</v>
      </c>
      <c r="S467" s="115">
        <v>11</v>
      </c>
      <c r="T467" s="115">
        <v>2.2000000000000002</v>
      </c>
      <c r="U467" s="115">
        <v>0</v>
      </c>
      <c r="V467" s="115">
        <v>8.0199999999999994E-2</v>
      </c>
      <c r="W467" s="115">
        <v>0.01</v>
      </c>
      <c r="X467" s="115">
        <v>7.0199999999999999E-2</v>
      </c>
      <c r="Y467" s="115">
        <v>0.53259999999999996</v>
      </c>
      <c r="Z467" s="115">
        <v>112.286</v>
      </c>
      <c r="AA467" s="115">
        <v>8.2187999999999999</v>
      </c>
      <c r="AB467" s="115">
        <v>234.94399999999999</v>
      </c>
      <c r="AC467" s="115">
        <v>67</v>
      </c>
      <c r="AD467" s="115">
        <v>-4.2900000000000001E-2</v>
      </c>
      <c r="AE467" s="115">
        <v>1.8599999999999998E-2</v>
      </c>
      <c r="AF467" s="115">
        <v>-3.1699999999999999E-2</v>
      </c>
      <c r="AG467" s="115">
        <v>2.9600000000000001E-2</v>
      </c>
      <c r="AH467" s="115">
        <v>0.1477</v>
      </c>
      <c r="AI467" s="115">
        <v>-1.9E-3</v>
      </c>
      <c r="AJ467" s="115">
        <v>1.0200000000000001E-2</v>
      </c>
      <c r="AK467" s="115">
        <v>8.4837000000000007</v>
      </c>
      <c r="AL467" s="115">
        <v>0.36840000000000001</v>
      </c>
      <c r="AM467" s="115">
        <v>9</v>
      </c>
      <c r="AN467" s="115">
        <v>3</v>
      </c>
      <c r="AO467" s="115">
        <v>0</v>
      </c>
      <c r="AP467" s="115">
        <v>1</v>
      </c>
      <c r="AQ467" s="115">
        <v>4</v>
      </c>
      <c r="AR467" s="115">
        <v>0.25</v>
      </c>
      <c r="AS467" s="115">
        <v>6.4999999999999997E-3</v>
      </c>
      <c r="AT467" s="115">
        <v>2.8972000000000002</v>
      </c>
      <c r="AU467" s="114" t="str">
        <f>IF(A467&lt;&gt;"",INDEX(Index!$B$1:$B$77,MATCH($A467,Index!$A$1:$A$77,0)),"")</f>
        <v>LAR</v>
      </c>
      <c r="AV467" s="123" t="str">
        <f>IF(B467&lt;&gt;"",INDEX(Index!$C$1:$C$77,MATCH($A467,Index!$A$1:$A$77,0)),"")</f>
        <v>Stafford</v>
      </c>
      <c r="AW467" s="123">
        <f t="shared" si="9"/>
        <v>26</v>
      </c>
      <c r="AX467" s="113">
        <v>13</v>
      </c>
    </row>
    <row r="468" spans="1:50" x14ac:dyDescent="0.25">
      <c r="A468" s="95" t="s">
        <v>553</v>
      </c>
      <c r="B468" s="96">
        <v>2025</v>
      </c>
      <c r="C468" s="96">
        <v>12</v>
      </c>
      <c r="D468" s="115">
        <v>1.28956</v>
      </c>
      <c r="E468" s="115">
        <v>0.26288099999999998</v>
      </c>
      <c r="F468" s="115">
        <v>0.14138800000000001</v>
      </c>
      <c r="G468" s="115">
        <v>74.561899999999994</v>
      </c>
      <c r="H468" s="115">
        <v>0.1759</v>
      </c>
      <c r="I468" s="115">
        <v>264</v>
      </c>
      <c r="J468" s="115">
        <v>376</v>
      </c>
      <c r="K468" s="115">
        <v>0.70209999999999995</v>
      </c>
      <c r="L468" s="115">
        <v>3.1535000000000002</v>
      </c>
      <c r="M468" s="115">
        <v>3025</v>
      </c>
      <c r="N468" s="115">
        <v>8.0451999999999995</v>
      </c>
      <c r="O468" s="115">
        <v>25</v>
      </c>
      <c r="P468" s="115">
        <v>5</v>
      </c>
      <c r="Q468" s="115">
        <v>26</v>
      </c>
      <c r="R468" s="115">
        <v>7</v>
      </c>
      <c r="S468" s="115">
        <v>51</v>
      </c>
      <c r="T468" s="115">
        <v>7.2857000000000003</v>
      </c>
      <c r="U468" s="115">
        <v>0</v>
      </c>
      <c r="V468" s="115">
        <v>6.6500000000000004E-2</v>
      </c>
      <c r="W468" s="115">
        <v>1.3299999999999999E-2</v>
      </c>
      <c r="X468" s="115">
        <v>5.3199999999999997E-2</v>
      </c>
      <c r="Y468" s="115">
        <v>0.5071</v>
      </c>
      <c r="Z468" s="115">
        <v>110.738</v>
      </c>
      <c r="AA468" s="115">
        <v>7.7861000000000002</v>
      </c>
      <c r="AB468" s="115">
        <v>212.96100000000001</v>
      </c>
      <c r="AC468" s="115">
        <v>57.7</v>
      </c>
      <c r="AD468" s="115">
        <v>-2.3800000000000002E-2</v>
      </c>
      <c r="AE468" s="115">
        <v>-1.6500000000000001E-2</v>
      </c>
      <c r="AF468" s="115">
        <v>-2.2499999999999999E-2</v>
      </c>
      <c r="AG468" s="115">
        <v>2.8500000000000001E-2</v>
      </c>
      <c r="AH468" s="115">
        <v>-1.66E-2</v>
      </c>
      <c r="AI468" s="115">
        <v>0.1706</v>
      </c>
      <c r="AJ468" s="115">
        <v>-1.23E-2</v>
      </c>
      <c r="AK468" s="115">
        <v>6.3217999999999996</v>
      </c>
      <c r="AL468" s="115">
        <v>-2.0585</v>
      </c>
      <c r="AM468" s="115">
        <v>7</v>
      </c>
      <c r="AN468" s="115">
        <v>5</v>
      </c>
      <c r="AO468" s="115">
        <v>0</v>
      </c>
      <c r="AP468" s="115">
        <v>1</v>
      </c>
      <c r="AQ468" s="115">
        <v>2</v>
      </c>
      <c r="AR468" s="115">
        <v>0.5</v>
      </c>
      <c r="AS468" s="115">
        <v>3.5000000000000001E-3</v>
      </c>
      <c r="AT468" s="115">
        <v>1.4891000000000001</v>
      </c>
      <c r="AU468" s="114" t="str">
        <f>IF(A468&lt;&gt;"",INDEX(Index!$B$1:$B$77,MATCH($A468,Index!$A$1:$A$77,0)),"")</f>
        <v>DET</v>
      </c>
      <c r="AV468" s="123" t="str">
        <f>IF(B468&lt;&gt;"",INDEX(Index!$C$1:$C$77,MATCH($A468,Index!$A$1:$A$77,0)),"")</f>
        <v>Goff</v>
      </c>
      <c r="AW468" s="123">
        <f t="shared" si="9"/>
        <v>11</v>
      </c>
      <c r="AX468" s="113">
        <v>13</v>
      </c>
    </row>
    <row r="469" spans="1:50" x14ac:dyDescent="0.25">
      <c r="A469" s="95" t="s">
        <v>557</v>
      </c>
      <c r="B469" s="96">
        <v>2025</v>
      </c>
      <c r="C469" s="96">
        <v>3</v>
      </c>
      <c r="D469" s="115">
        <v>1.0735600000000001</v>
      </c>
      <c r="E469" s="115">
        <v>-9.1772499999999996E-3</v>
      </c>
      <c r="F469" s="115">
        <v>-1.3726</v>
      </c>
      <c r="G469" s="115">
        <v>9.2687000000000008</v>
      </c>
      <c r="H469" s="115">
        <v>9.5600000000000004E-2</v>
      </c>
      <c r="I469" s="115">
        <v>45</v>
      </c>
      <c r="J469" s="115">
        <v>82</v>
      </c>
      <c r="K469" s="115">
        <v>0.54879999999999995</v>
      </c>
      <c r="L469" s="115">
        <v>-4.0145999999999997</v>
      </c>
      <c r="M469" s="115">
        <v>450</v>
      </c>
      <c r="N469" s="115">
        <v>5.4878</v>
      </c>
      <c r="O469" s="115">
        <v>4</v>
      </c>
      <c r="P469" s="115">
        <v>0</v>
      </c>
      <c r="Q469" s="115">
        <v>6</v>
      </c>
      <c r="R469" s="115">
        <v>5</v>
      </c>
      <c r="S469" s="115">
        <v>11</v>
      </c>
      <c r="T469" s="115">
        <v>2.2000000000000002</v>
      </c>
      <c r="U469" s="115">
        <v>0</v>
      </c>
      <c r="V469" s="115">
        <v>4.8800000000000003E-2</v>
      </c>
      <c r="W469" s="115">
        <v>0</v>
      </c>
      <c r="X469" s="115">
        <v>4.8800000000000003E-2</v>
      </c>
      <c r="Y469" s="115">
        <v>0.42270000000000002</v>
      </c>
      <c r="Z469" s="115">
        <v>86.941100000000006</v>
      </c>
      <c r="AA469" s="115">
        <v>5.6477000000000004</v>
      </c>
      <c r="AB469" s="115">
        <v>82.363299999999995</v>
      </c>
      <c r="AC469" s="115">
        <v>60</v>
      </c>
      <c r="AD469" s="115">
        <v>-3.1600000000000003E-2</v>
      </c>
      <c r="AE469" s="115">
        <v>2.1000000000000001E-2</v>
      </c>
      <c r="AF469" s="115">
        <v>-7.5200000000000003E-2</v>
      </c>
      <c r="AG469" s="115">
        <v>7.5700000000000003E-2</v>
      </c>
      <c r="AH469" s="115">
        <v>0.16639999999999999</v>
      </c>
      <c r="AI469" s="115">
        <v>-0.14030000000000001</v>
      </c>
      <c r="AJ469" s="115">
        <v>1.11E-2</v>
      </c>
      <c r="AK469" s="115">
        <v>7.6463000000000001</v>
      </c>
      <c r="AL469" s="115">
        <v>-0.76829999999999998</v>
      </c>
      <c r="AM469" s="115">
        <v>3</v>
      </c>
      <c r="AN469" s="115">
        <v>0</v>
      </c>
      <c r="AO469" s="115">
        <v>0</v>
      </c>
      <c r="AP469" s="115">
        <v>0</v>
      </c>
      <c r="AQ469" s="115">
        <v>0</v>
      </c>
      <c r="AR469" s="115"/>
      <c r="AS469" s="115">
        <v>3.0000000000000001E-3</v>
      </c>
      <c r="AT469" s="115">
        <v>0.29220000000000002</v>
      </c>
      <c r="AU469" s="114" t="str">
        <f>IF(A469&lt;&gt;"",INDEX(Index!$B$1:$B$77,MATCH($A469,Index!$A$1:$A$77,0)),"")</f>
        <v>CIN</v>
      </c>
      <c r="AV469" s="123" t="str">
        <f>IF(B469&lt;&gt;"",INDEX(Index!$C$1:$C$77,MATCH($A469,Index!$A$1:$A$77,0)),"")</f>
        <v>Burrow</v>
      </c>
      <c r="AW469" s="123">
        <f t="shared" si="9"/>
        <v>42</v>
      </c>
      <c r="AX469" s="113">
        <v>13</v>
      </c>
    </row>
    <row r="470" spans="1:50" x14ac:dyDescent="0.25">
      <c r="A470" s="95" t="s">
        <v>570</v>
      </c>
      <c r="B470" s="96">
        <v>2025</v>
      </c>
      <c r="C470" s="96">
        <v>13</v>
      </c>
      <c r="D470" s="115">
        <v>0.85201899999999997</v>
      </c>
      <c r="E470" s="115">
        <v>0.15317900000000001</v>
      </c>
      <c r="F470" s="115">
        <v>1.47034</v>
      </c>
      <c r="G470" s="115">
        <v>134.81200000000001</v>
      </c>
      <c r="H470" s="115">
        <v>0.26179999999999998</v>
      </c>
      <c r="I470" s="115">
        <v>276</v>
      </c>
      <c r="J470" s="115">
        <v>386</v>
      </c>
      <c r="K470" s="115">
        <v>0.71499999999999997</v>
      </c>
      <c r="L470" s="115">
        <v>9.6232000000000006</v>
      </c>
      <c r="M470" s="115">
        <v>3412</v>
      </c>
      <c r="N470" s="115">
        <v>8.8393999999999995</v>
      </c>
      <c r="O470" s="115">
        <v>23</v>
      </c>
      <c r="P470" s="115">
        <v>6</v>
      </c>
      <c r="Q470" s="115">
        <v>40</v>
      </c>
      <c r="R470" s="115">
        <v>61</v>
      </c>
      <c r="S470" s="115">
        <v>340</v>
      </c>
      <c r="T470" s="115">
        <v>5.5738000000000003</v>
      </c>
      <c r="U470" s="115">
        <v>2</v>
      </c>
      <c r="V470" s="115">
        <v>5.96E-2</v>
      </c>
      <c r="W470" s="115">
        <v>1.55E-2</v>
      </c>
      <c r="X470" s="115">
        <v>4.3999999999999997E-2</v>
      </c>
      <c r="Y470" s="115">
        <v>0.52429999999999999</v>
      </c>
      <c r="Z470" s="115">
        <v>111.88500000000001</v>
      </c>
      <c r="AA470" s="115">
        <v>8.0375999999999994</v>
      </c>
      <c r="AB470" s="115">
        <v>211.447</v>
      </c>
      <c r="AC470" s="115">
        <v>72.8</v>
      </c>
      <c r="AD470" s="115">
        <v>-4.4999999999999997E-3</v>
      </c>
      <c r="AE470" s="115">
        <v>-1.4200000000000001E-2</v>
      </c>
      <c r="AF470" s="115">
        <v>5.7599999999999998E-2</v>
      </c>
      <c r="AG470" s="115">
        <v>1.7600000000000001E-2</v>
      </c>
      <c r="AH470" s="115">
        <v>0.1714</v>
      </c>
      <c r="AI470" s="115">
        <v>-3.2099999999999997E-2</v>
      </c>
      <c r="AJ470" s="115">
        <v>-2.5999999999999999E-3</v>
      </c>
      <c r="AK470" s="115">
        <v>8.7745999999999995</v>
      </c>
      <c r="AL470" s="115">
        <v>-0.1399</v>
      </c>
      <c r="AM470" s="115">
        <v>11</v>
      </c>
      <c r="AN470" s="115">
        <v>2</v>
      </c>
      <c r="AO470" s="115">
        <v>0</v>
      </c>
      <c r="AP470" s="115">
        <v>0</v>
      </c>
      <c r="AQ470" s="115">
        <v>2</v>
      </c>
      <c r="AR470" s="115">
        <v>0</v>
      </c>
      <c r="AS470" s="115">
        <v>7.4999999999999997E-3</v>
      </c>
      <c r="AT470" s="115">
        <v>3.8391000000000002</v>
      </c>
      <c r="AU470" s="114" t="str">
        <f>IF(A470&lt;&gt;"",INDEX(Index!$B$1:$B$77,MATCH($A470,Index!$A$1:$A$77,0)),"")</f>
        <v>NE</v>
      </c>
      <c r="AV470" s="123" t="str">
        <f>IF(B470&lt;&gt;"",INDEX(Index!$C$1:$C$77,MATCH($A470,Index!$A$1:$A$77,0)),"")</f>
        <v>Maye</v>
      </c>
      <c r="AW470" s="123">
        <f t="shared" si="9"/>
        <v>3</v>
      </c>
      <c r="AX470" s="113">
        <v>13</v>
      </c>
    </row>
    <row r="471" spans="1:50" x14ac:dyDescent="0.25">
      <c r="A471" s="95" t="s">
        <v>550</v>
      </c>
      <c r="B471" s="96">
        <v>2025</v>
      </c>
      <c r="C471" s="96">
        <v>9</v>
      </c>
      <c r="D471" s="115">
        <v>0.84292999999999996</v>
      </c>
      <c r="E471" s="115">
        <v>-0.60728899999999997</v>
      </c>
      <c r="F471" s="115">
        <v>-2.7963800000000001</v>
      </c>
      <c r="G471" s="115">
        <v>23.468</v>
      </c>
      <c r="H471" s="115">
        <v>7.4999999999999997E-2</v>
      </c>
      <c r="I471" s="115">
        <v>147</v>
      </c>
      <c r="J471" s="115">
        <v>227</v>
      </c>
      <c r="K471" s="115">
        <v>0.64759999999999995</v>
      </c>
      <c r="L471" s="115">
        <v>2.1716000000000002</v>
      </c>
      <c r="M471" s="115">
        <v>1841</v>
      </c>
      <c r="N471" s="115">
        <v>8.1100999999999992</v>
      </c>
      <c r="O471" s="115">
        <v>15</v>
      </c>
      <c r="P471" s="115">
        <v>4</v>
      </c>
      <c r="Q471" s="115">
        <v>27</v>
      </c>
      <c r="R471" s="115">
        <v>44</v>
      </c>
      <c r="S471" s="115">
        <v>272</v>
      </c>
      <c r="T471" s="115">
        <v>6.1818</v>
      </c>
      <c r="U471" s="115">
        <v>1</v>
      </c>
      <c r="V471" s="115">
        <v>6.6100000000000006E-2</v>
      </c>
      <c r="W471" s="115">
        <v>1.7600000000000001E-2</v>
      </c>
      <c r="X471" s="115">
        <v>4.8500000000000001E-2</v>
      </c>
      <c r="Y471" s="115">
        <v>0.47920000000000001</v>
      </c>
      <c r="Z471" s="115">
        <v>104.52500000000001</v>
      </c>
      <c r="AA471" s="115">
        <v>6.9920999999999998</v>
      </c>
      <c r="AB471" s="115">
        <v>160.648</v>
      </c>
      <c r="AC471" s="115">
        <v>57.9</v>
      </c>
      <c r="AD471" s="115">
        <v>2.47E-2</v>
      </c>
      <c r="AE471" s="115">
        <v>-5.74E-2</v>
      </c>
      <c r="AF471" s="115">
        <v>7.7999999999999996E-3</v>
      </c>
      <c r="AG471" s="115">
        <v>2E-3</v>
      </c>
      <c r="AH471" s="115">
        <v>7.3499999999999996E-2</v>
      </c>
      <c r="AI471" s="115">
        <v>-5.1499999999999997E-2</v>
      </c>
      <c r="AJ471" s="115">
        <v>7.3000000000000001E-3</v>
      </c>
      <c r="AK471" s="115">
        <v>8.6696000000000009</v>
      </c>
      <c r="AL471" s="115">
        <v>-0.5242</v>
      </c>
      <c r="AM471" s="115">
        <v>5</v>
      </c>
      <c r="AN471" s="115">
        <v>4</v>
      </c>
      <c r="AO471" s="115">
        <v>0</v>
      </c>
      <c r="AP471" s="115">
        <v>1</v>
      </c>
      <c r="AQ471" s="115">
        <v>2</v>
      </c>
      <c r="AR471" s="115">
        <v>0.5</v>
      </c>
      <c r="AS471" s="115">
        <v>1.8E-3</v>
      </c>
      <c r="AT471" s="115">
        <v>0.57240000000000002</v>
      </c>
      <c r="AU471" s="114" t="str">
        <f>IF(A471&lt;&gt;"",INDEX(Index!$B$1:$B$77,MATCH($A471,Index!$A$1:$A$77,0)),"")</f>
        <v>BAL</v>
      </c>
      <c r="AV471" s="123" t="str">
        <f>IF(B471&lt;&gt;"",INDEX(Index!$C$1:$C$77,MATCH($A471,Index!$A$1:$A$77,0)),"")</f>
        <v>Jackson</v>
      </c>
      <c r="AW471" s="123">
        <f t="shared" si="9"/>
        <v>7</v>
      </c>
      <c r="AX471" s="113">
        <v>13</v>
      </c>
    </row>
    <row r="472" spans="1:50" x14ac:dyDescent="0.25">
      <c r="A472" s="95" t="s">
        <v>561</v>
      </c>
      <c r="B472" s="96">
        <v>2025</v>
      </c>
      <c r="C472" s="96">
        <v>12</v>
      </c>
      <c r="D472" s="115">
        <v>0.84198600000000001</v>
      </c>
      <c r="E472" s="115">
        <v>0.131636</v>
      </c>
      <c r="F472" s="115">
        <v>-0.248283</v>
      </c>
      <c r="G472" s="115">
        <v>38.962600000000002</v>
      </c>
      <c r="H472" s="115">
        <v>7.5999999999999998E-2</v>
      </c>
      <c r="I472" s="115">
        <v>266</v>
      </c>
      <c r="J472" s="115">
        <v>431</v>
      </c>
      <c r="K472" s="115">
        <v>0.61719999999999997</v>
      </c>
      <c r="L472" s="115">
        <v>-2.5821000000000001</v>
      </c>
      <c r="M472" s="115">
        <v>2742</v>
      </c>
      <c r="N472" s="115">
        <v>6.3619000000000003</v>
      </c>
      <c r="O472" s="115">
        <v>19</v>
      </c>
      <c r="P472" s="115">
        <v>9</v>
      </c>
      <c r="Q472" s="115">
        <v>13</v>
      </c>
      <c r="R472" s="115">
        <v>40</v>
      </c>
      <c r="S472" s="115">
        <v>241</v>
      </c>
      <c r="T472" s="115">
        <v>6.0250000000000004</v>
      </c>
      <c r="U472" s="115">
        <v>3</v>
      </c>
      <c r="V472" s="115">
        <v>4.41E-2</v>
      </c>
      <c r="W472" s="115">
        <v>2.0899999999999998E-2</v>
      </c>
      <c r="X472" s="115">
        <v>2.3199999999999998E-2</v>
      </c>
      <c r="Y472" s="115">
        <v>0.42299999999999999</v>
      </c>
      <c r="Z472" s="115">
        <v>86.016000000000005</v>
      </c>
      <c r="AA472" s="115">
        <v>5.9413999999999998</v>
      </c>
      <c r="AB472" s="115">
        <v>192.12899999999999</v>
      </c>
      <c r="AC472" s="115">
        <v>54</v>
      </c>
      <c r="AD472" s="115">
        <v>-7.7999999999999996E-3</v>
      </c>
      <c r="AE472" s="115">
        <v>6.3399999999999998E-2</v>
      </c>
      <c r="AF472" s="115">
        <v>-1.66E-2</v>
      </c>
      <c r="AG472" s="115">
        <v>1.2200000000000001E-2</v>
      </c>
      <c r="AH472" s="115">
        <v>-6.3600000000000004E-2</v>
      </c>
      <c r="AI472" s="115">
        <v>0.05</v>
      </c>
      <c r="AJ472" s="115">
        <v>-3.0200000000000001E-2</v>
      </c>
      <c r="AK472" s="115">
        <v>7.6032000000000002</v>
      </c>
      <c r="AL472" s="115">
        <v>-1.5313000000000001</v>
      </c>
      <c r="AM472" s="115">
        <v>10</v>
      </c>
      <c r="AN472" s="115">
        <v>2</v>
      </c>
      <c r="AO472" s="115">
        <v>0</v>
      </c>
      <c r="AP472" s="115">
        <v>5</v>
      </c>
      <c r="AQ472" s="115">
        <v>5</v>
      </c>
      <c r="AR472" s="115">
        <v>1</v>
      </c>
      <c r="AS472" s="115">
        <v>3.3999999999999998E-3</v>
      </c>
      <c r="AT472" s="115">
        <v>1.7358</v>
      </c>
      <c r="AU472" s="114" t="str">
        <f>IF(A472&lt;&gt;"",INDEX(Index!$B$1:$B$77,MATCH($A472,Index!$A$1:$A$77,0)),"")</f>
        <v>DEN</v>
      </c>
      <c r="AV472" s="123" t="str">
        <f>IF(B472&lt;&gt;"",INDEX(Index!$C$1:$C$77,MATCH($A472,Index!$A$1:$A$77,0)),"")</f>
        <v>Nix</v>
      </c>
      <c r="AW472" s="123">
        <f t="shared" si="9"/>
        <v>35</v>
      </c>
      <c r="AX472" s="113">
        <v>13</v>
      </c>
    </row>
    <row r="473" spans="1:50" x14ac:dyDescent="0.25">
      <c r="A473" s="95" t="s">
        <v>566</v>
      </c>
      <c r="B473" s="96">
        <v>2025</v>
      </c>
      <c r="C473" s="96">
        <v>12</v>
      </c>
      <c r="D473" s="115">
        <v>0.78704799999999997</v>
      </c>
      <c r="E473" s="115">
        <v>0.40784500000000001</v>
      </c>
      <c r="F473" s="115">
        <v>0.90024700000000002</v>
      </c>
      <c r="G473" s="115">
        <v>132.672</v>
      </c>
      <c r="H473" s="115">
        <v>0.31</v>
      </c>
      <c r="I473" s="115">
        <v>242</v>
      </c>
      <c r="J473" s="115">
        <v>360</v>
      </c>
      <c r="K473" s="115">
        <v>0.67220000000000002</v>
      </c>
      <c r="L473" s="115">
        <v>5.2512999999999996</v>
      </c>
      <c r="M473" s="115">
        <v>2794</v>
      </c>
      <c r="N473" s="115">
        <v>7.7610999999999999</v>
      </c>
      <c r="O473" s="115">
        <v>19</v>
      </c>
      <c r="P473" s="115">
        <v>3</v>
      </c>
      <c r="Q473" s="115">
        <v>17</v>
      </c>
      <c r="R473" s="115">
        <v>28</v>
      </c>
      <c r="S473" s="115">
        <v>175</v>
      </c>
      <c r="T473" s="115">
        <v>6.25</v>
      </c>
      <c r="U473" s="115">
        <v>0</v>
      </c>
      <c r="V473" s="115">
        <v>5.28E-2</v>
      </c>
      <c r="W473" s="115">
        <v>8.3000000000000001E-3</v>
      </c>
      <c r="X473" s="115">
        <v>4.4400000000000002E-2</v>
      </c>
      <c r="Y473" s="115">
        <v>0.52100000000000002</v>
      </c>
      <c r="Z473" s="115">
        <v>104.56</v>
      </c>
      <c r="AA473" s="115">
        <v>7.7267999999999999</v>
      </c>
      <c r="AB473" s="115">
        <v>208.518</v>
      </c>
      <c r="AC473" s="115">
        <v>72.900000000000006</v>
      </c>
      <c r="AD473" s="115">
        <v>6.1000000000000004E-3</v>
      </c>
      <c r="AE473" s="115">
        <v>3.9399999999999998E-2</v>
      </c>
      <c r="AF473" s="115">
        <v>2.9999999999999997E-4</v>
      </c>
      <c r="AG473" s="115">
        <v>3.8399999999999997E-2</v>
      </c>
      <c r="AH473" s="115">
        <v>8.5099999999999995E-2</v>
      </c>
      <c r="AI473" s="115">
        <v>5.8400000000000001E-2</v>
      </c>
      <c r="AJ473" s="115">
        <v>1.38E-2</v>
      </c>
      <c r="AK473" s="115">
        <v>8.4222000000000001</v>
      </c>
      <c r="AL473" s="115">
        <v>-0.18060000000000001</v>
      </c>
      <c r="AM473" s="115">
        <v>8</v>
      </c>
      <c r="AN473" s="115">
        <v>3</v>
      </c>
      <c r="AO473" s="115">
        <v>1</v>
      </c>
      <c r="AP473" s="115">
        <v>2</v>
      </c>
      <c r="AQ473" s="115">
        <v>5</v>
      </c>
      <c r="AR473" s="115">
        <v>0.4</v>
      </c>
      <c r="AS473" s="115">
        <v>1.1599999999999999E-2</v>
      </c>
      <c r="AT473" s="115">
        <v>4.9690000000000003</v>
      </c>
      <c r="AU473" s="114" t="str">
        <f>IF(A473&lt;&gt;"",INDEX(Index!$B$1:$B$77,MATCH($A473,Index!$A$1:$A$77,0)),"")</f>
        <v>GB</v>
      </c>
      <c r="AV473" s="123" t="str">
        <f>IF(B473&lt;&gt;"",INDEX(Index!$C$1:$C$77,MATCH($A473,Index!$A$1:$A$77,0)),"")</f>
        <v>Love</v>
      </c>
      <c r="AW473" s="123">
        <f t="shared" si="9"/>
        <v>26</v>
      </c>
      <c r="AX473" s="113">
        <v>13</v>
      </c>
    </row>
    <row r="474" spans="1:50" x14ac:dyDescent="0.25">
      <c r="A474" s="95" t="s">
        <v>560</v>
      </c>
      <c r="B474" s="96">
        <v>2025</v>
      </c>
      <c r="C474" s="96">
        <v>5</v>
      </c>
      <c r="D474" s="115">
        <v>0.63835799999999998</v>
      </c>
      <c r="E474" s="115">
        <v>0.14920800000000001</v>
      </c>
      <c r="F474" s="115">
        <v>-0.13066800000000001</v>
      </c>
      <c r="G474" s="115">
        <v>32.561700000000002</v>
      </c>
      <c r="H474" s="115">
        <v>0.17599999999999999</v>
      </c>
      <c r="I474" s="115">
        <v>106</v>
      </c>
      <c r="J474" s="115">
        <v>160</v>
      </c>
      <c r="K474" s="115">
        <v>0.66249999999999998</v>
      </c>
      <c r="L474" s="115">
        <v>4.8368000000000002</v>
      </c>
      <c r="M474" s="115">
        <v>1147</v>
      </c>
      <c r="N474" s="115">
        <v>7.1688000000000001</v>
      </c>
      <c r="O474" s="115">
        <v>9</v>
      </c>
      <c r="P474" s="115">
        <v>7</v>
      </c>
      <c r="Q474" s="115">
        <v>4</v>
      </c>
      <c r="R474" s="115">
        <v>12</v>
      </c>
      <c r="S474" s="115">
        <v>47</v>
      </c>
      <c r="T474" s="115">
        <v>3.9167000000000001</v>
      </c>
      <c r="U474" s="115">
        <v>1</v>
      </c>
      <c r="V474" s="115">
        <v>5.62E-2</v>
      </c>
      <c r="W474" s="115">
        <v>4.3799999999999999E-2</v>
      </c>
      <c r="X474" s="115">
        <v>1.2500000000000001E-2</v>
      </c>
      <c r="Y474" s="115">
        <v>0.52969999999999995</v>
      </c>
      <c r="Z474" s="115">
        <v>87.682299999999998</v>
      </c>
      <c r="AA474" s="115">
        <v>5.9512</v>
      </c>
      <c r="AB474" s="115">
        <v>183.19900000000001</v>
      </c>
      <c r="AC474" s="115">
        <v>68.5</v>
      </c>
      <c r="AD474" s="115">
        <v>6.8999999999999999E-3</v>
      </c>
      <c r="AE474" s="115">
        <v>4.3499999999999997E-2</v>
      </c>
      <c r="AF474" s="115">
        <v>2.93E-2</v>
      </c>
      <c r="AG474" s="115">
        <v>-8.5699999999999998E-2</v>
      </c>
      <c r="AH474" s="115">
        <v>8.1000000000000003E-2</v>
      </c>
      <c r="AI474" s="115">
        <v>3.2399999999999998E-2</v>
      </c>
      <c r="AJ474" s="115">
        <v>1E-4</v>
      </c>
      <c r="AK474" s="115">
        <v>7.5061999999999998</v>
      </c>
      <c r="AL474" s="115">
        <v>-0.85</v>
      </c>
      <c r="AM474" s="115">
        <v>4</v>
      </c>
      <c r="AN474" s="115">
        <v>1</v>
      </c>
      <c r="AO474" s="115">
        <v>0</v>
      </c>
      <c r="AP474" s="115">
        <v>1</v>
      </c>
      <c r="AQ474" s="115">
        <v>2</v>
      </c>
      <c r="AR474" s="115">
        <v>0.5</v>
      </c>
      <c r="AS474" s="115">
        <v>6.1000000000000004E-3</v>
      </c>
      <c r="AT474" s="115">
        <v>1.1215999999999999</v>
      </c>
      <c r="AU474" s="114" t="str">
        <f>IF(A474&lt;&gt;"",INDEX(Index!$B$1:$B$77,MATCH($A474,Index!$A$1:$A$77,0)),"")</f>
        <v>SF</v>
      </c>
      <c r="AV474" s="123" t="str">
        <f>IF(B474&lt;&gt;"",INDEX(Index!$C$1:$C$77,MATCH($A474,Index!$A$1:$A$77,0)),"")</f>
        <v>Purdy</v>
      </c>
      <c r="AW474" s="123">
        <f t="shared" si="9"/>
        <v>46</v>
      </c>
      <c r="AX474" s="113">
        <v>13</v>
      </c>
    </row>
    <row r="475" spans="1:50" x14ac:dyDescent="0.25">
      <c r="A475" s="95" t="s">
        <v>562</v>
      </c>
      <c r="B475" s="96">
        <v>2025</v>
      </c>
      <c r="C475" s="96">
        <v>6</v>
      </c>
      <c r="D475" s="115">
        <v>0.63449</v>
      </c>
      <c r="E475" s="115">
        <v>-0.27734900000000001</v>
      </c>
      <c r="F475" s="115">
        <v>-0.58660000000000001</v>
      </c>
      <c r="G475" s="115">
        <v>21.349</v>
      </c>
      <c r="H475" s="115">
        <v>8.5400000000000004E-2</v>
      </c>
      <c r="I475" s="115">
        <v>105</v>
      </c>
      <c r="J475" s="115">
        <v>166</v>
      </c>
      <c r="K475" s="115">
        <v>0.63249999999999995</v>
      </c>
      <c r="L475" s="115">
        <v>-1.2165999999999999</v>
      </c>
      <c r="M475" s="115">
        <v>1184</v>
      </c>
      <c r="N475" s="115">
        <v>7.1325000000000003</v>
      </c>
      <c r="O475" s="115">
        <v>8</v>
      </c>
      <c r="P475" s="115">
        <v>2</v>
      </c>
      <c r="Q475" s="115">
        <v>17</v>
      </c>
      <c r="R475" s="115">
        <v>48</v>
      </c>
      <c r="S475" s="115">
        <v>267</v>
      </c>
      <c r="T475" s="115">
        <v>5.5625</v>
      </c>
      <c r="U475" s="115">
        <v>2</v>
      </c>
      <c r="V475" s="115">
        <v>4.82E-2</v>
      </c>
      <c r="W475" s="115">
        <v>1.2E-2</v>
      </c>
      <c r="X475" s="115">
        <v>3.61E-2</v>
      </c>
      <c r="Y475" s="115">
        <v>0.48399999999999999</v>
      </c>
      <c r="Z475" s="115">
        <v>95.557199999999995</v>
      </c>
      <c r="AA475" s="115">
        <v>6.4261999999999997</v>
      </c>
      <c r="AB475" s="115">
        <v>169.989</v>
      </c>
      <c r="AC475" s="115">
        <v>51.2</v>
      </c>
      <c r="AD475" s="115">
        <v>9.1000000000000004E-3</v>
      </c>
      <c r="AE475" s="115">
        <v>-1.6000000000000001E-3</v>
      </c>
      <c r="AF475" s="115">
        <v>-1.7600000000000001E-2</v>
      </c>
      <c r="AG475" s="115">
        <v>4.19E-2</v>
      </c>
      <c r="AH475" s="115">
        <v>1.7399999999999999E-2</v>
      </c>
      <c r="AI475" s="115">
        <v>-3.3000000000000002E-2</v>
      </c>
      <c r="AJ475" s="115">
        <v>6.9999999999999999E-4</v>
      </c>
      <c r="AK475" s="115">
        <v>8.0060000000000002</v>
      </c>
      <c r="AL475" s="115">
        <v>-0.87949999999999995</v>
      </c>
      <c r="AM475" s="115">
        <v>2</v>
      </c>
      <c r="AN475" s="115">
        <v>4</v>
      </c>
      <c r="AO475" s="115">
        <v>0</v>
      </c>
      <c r="AP475" s="115">
        <v>0</v>
      </c>
      <c r="AQ475" s="115">
        <v>0</v>
      </c>
      <c r="AR475" s="115"/>
      <c r="AS475" s="115">
        <v>2.8999999999999998E-3</v>
      </c>
      <c r="AT475" s="115">
        <v>0.72760000000000002</v>
      </c>
      <c r="AU475" s="114" t="str">
        <f>IF(A475&lt;&gt;"",INDEX(Index!$B$1:$B$77,MATCH($A475,Index!$A$1:$A$77,0)),"")</f>
        <v>WAS</v>
      </c>
      <c r="AV475" s="123" t="str">
        <f>IF(B475&lt;&gt;"",INDEX(Index!$C$1:$C$77,MATCH($A475,Index!$A$1:$A$77,0)),"")</f>
        <v>Daniels</v>
      </c>
      <c r="AW475" s="123">
        <f t="shared" si="9"/>
        <v>26</v>
      </c>
      <c r="AX475" s="113">
        <v>13</v>
      </c>
    </row>
    <row r="476" spans="1:50" x14ac:dyDescent="0.25">
      <c r="A476" s="95" t="s">
        <v>556</v>
      </c>
      <c r="B476" s="96">
        <v>2025</v>
      </c>
      <c r="C476" s="96">
        <v>5</v>
      </c>
      <c r="D476" s="115">
        <v>0.62646400000000002</v>
      </c>
      <c r="E476" s="115">
        <v>3.6627199999999999E-2</v>
      </c>
      <c r="F476" s="115">
        <v>-0.83574700000000002</v>
      </c>
      <c r="G476" s="115">
        <v>23.545000000000002</v>
      </c>
      <c r="H476" s="115">
        <v>0.107</v>
      </c>
      <c r="I476" s="115">
        <v>110</v>
      </c>
      <c r="J476" s="115">
        <v>161</v>
      </c>
      <c r="K476" s="115">
        <v>0.68320000000000003</v>
      </c>
      <c r="L476" s="115">
        <v>-0.52880000000000005</v>
      </c>
      <c r="M476" s="115">
        <v>962</v>
      </c>
      <c r="N476" s="115">
        <v>5.9752000000000001</v>
      </c>
      <c r="O476" s="115">
        <v>6</v>
      </c>
      <c r="P476" s="115">
        <v>3</v>
      </c>
      <c r="Q476" s="115">
        <v>16</v>
      </c>
      <c r="R476" s="115">
        <v>27</v>
      </c>
      <c r="S476" s="115">
        <v>175</v>
      </c>
      <c r="T476" s="115">
        <v>6.4814999999999996</v>
      </c>
      <c r="U476" s="115">
        <v>1</v>
      </c>
      <c r="V476" s="115">
        <v>3.73E-2</v>
      </c>
      <c r="W476" s="115">
        <v>1.8599999999999998E-2</v>
      </c>
      <c r="X476" s="115">
        <v>1.8599999999999998E-2</v>
      </c>
      <c r="Y476" s="115">
        <v>0.45</v>
      </c>
      <c r="Z476" s="115">
        <v>88.573999999999998</v>
      </c>
      <c r="AA476" s="115">
        <v>4.7232000000000003</v>
      </c>
      <c r="AB476" s="115">
        <v>151.27199999999999</v>
      </c>
      <c r="AC476" s="115">
        <v>46.2</v>
      </c>
      <c r="AD476" s="115">
        <v>8.0999999999999996E-3</v>
      </c>
      <c r="AE476" s="115">
        <v>2.8E-3</v>
      </c>
      <c r="AF476" s="115">
        <v>4.8399999999999999E-2</v>
      </c>
      <c r="AG476" s="115">
        <v>3.4000000000000002E-2</v>
      </c>
      <c r="AH476" s="115">
        <v>-9.1999999999999998E-2</v>
      </c>
      <c r="AI476" s="115">
        <v>1.84E-2</v>
      </c>
      <c r="AJ476" s="115">
        <v>1.9E-2</v>
      </c>
      <c r="AK476" s="115">
        <v>5.8446999999999996</v>
      </c>
      <c r="AL476" s="115">
        <v>-3.0682999999999998</v>
      </c>
      <c r="AM476" s="115">
        <v>2</v>
      </c>
      <c r="AN476" s="115">
        <v>3</v>
      </c>
      <c r="AO476" s="115">
        <v>0</v>
      </c>
      <c r="AP476" s="115">
        <v>0</v>
      </c>
      <c r="AQ476" s="115">
        <v>2</v>
      </c>
      <c r="AR476" s="115">
        <v>0</v>
      </c>
      <c r="AS476" s="115">
        <v>4.1999999999999997E-3</v>
      </c>
      <c r="AT476" s="115">
        <v>0.92720000000000002</v>
      </c>
      <c r="AU476" s="114" t="str">
        <f>IF(A476&lt;&gt;"",INDEX(Index!$B$1:$B$77,MATCH($A476,Index!$A$1:$A$77,0)),"")</f>
        <v>ARI</v>
      </c>
      <c r="AV476" s="123" t="str">
        <f>IF(B476&lt;&gt;"",INDEX(Index!$C$1:$C$77,MATCH($A476,Index!$A$1:$A$77,0)),"")</f>
        <v>Murray</v>
      </c>
      <c r="AW476" s="123">
        <f t="shared" si="9"/>
        <v>30</v>
      </c>
      <c r="AX476" s="113">
        <v>13</v>
      </c>
    </row>
    <row r="477" spans="1:50" x14ac:dyDescent="0.25">
      <c r="A477" s="95" t="s">
        <v>568</v>
      </c>
      <c r="B477" s="96">
        <v>2025</v>
      </c>
      <c r="C477" s="96">
        <v>12</v>
      </c>
      <c r="D477" s="115">
        <v>0.41303299999999998</v>
      </c>
      <c r="E477" s="115">
        <v>8.9132699999999995E-2</v>
      </c>
      <c r="F477" s="115">
        <v>1.9774499999999999</v>
      </c>
      <c r="G477" s="115">
        <v>89.275400000000005</v>
      </c>
      <c r="H477" s="115">
        <v>0.1966</v>
      </c>
      <c r="I477" s="115">
        <v>256</v>
      </c>
      <c r="J477" s="115">
        <v>375</v>
      </c>
      <c r="K477" s="115">
        <v>0.68269999999999997</v>
      </c>
      <c r="L477" s="115">
        <v>2.181</v>
      </c>
      <c r="M477" s="115">
        <v>3041</v>
      </c>
      <c r="N477" s="115">
        <v>8.1092999999999993</v>
      </c>
      <c r="O477" s="115">
        <v>19</v>
      </c>
      <c r="P477" s="115">
        <v>7</v>
      </c>
      <c r="Q477" s="115">
        <v>22</v>
      </c>
      <c r="R477" s="115">
        <v>35</v>
      </c>
      <c r="S477" s="115">
        <v>163</v>
      </c>
      <c r="T477" s="115">
        <v>4.6570999999999998</v>
      </c>
      <c r="U477" s="115">
        <v>5</v>
      </c>
      <c r="V477" s="115">
        <v>5.0700000000000002E-2</v>
      </c>
      <c r="W477" s="115">
        <v>1.8700000000000001E-2</v>
      </c>
      <c r="X477" s="115">
        <v>3.2000000000000001E-2</v>
      </c>
      <c r="Y477" s="115">
        <v>0.51759999999999995</v>
      </c>
      <c r="Z477" s="115">
        <v>101.872</v>
      </c>
      <c r="AA477" s="115">
        <v>7.4257</v>
      </c>
      <c r="AB477" s="115">
        <v>221.07400000000001</v>
      </c>
      <c r="AC477" s="115">
        <v>64.900000000000006</v>
      </c>
      <c r="AD477" s="115">
        <v>1.41E-2</v>
      </c>
      <c r="AE477" s="115">
        <v>8.3999999999999995E-3</v>
      </c>
      <c r="AF477" s="115">
        <v>2.7099999999999999E-2</v>
      </c>
      <c r="AG477" s="115">
        <v>1.35E-2</v>
      </c>
      <c r="AH477" s="115">
        <v>3.8199999999999998E-2</v>
      </c>
      <c r="AI477" s="115">
        <v>3.2599999999999997E-2</v>
      </c>
      <c r="AJ477" s="115">
        <v>-5.7999999999999996E-3</v>
      </c>
      <c r="AK477" s="115">
        <v>8.0347000000000008</v>
      </c>
      <c r="AL477" s="115">
        <v>-0.79730000000000001</v>
      </c>
      <c r="AM477" s="115">
        <v>8</v>
      </c>
      <c r="AN477" s="115">
        <v>4</v>
      </c>
      <c r="AO477" s="115">
        <v>0</v>
      </c>
      <c r="AP477" s="115">
        <v>3</v>
      </c>
      <c r="AQ477" s="115">
        <v>5</v>
      </c>
      <c r="AR477" s="115">
        <v>0.6</v>
      </c>
      <c r="AS477" s="115">
        <v>4.1000000000000003E-3</v>
      </c>
      <c r="AT477" s="115">
        <v>1.8439000000000001</v>
      </c>
      <c r="AU477" s="114" t="str">
        <f>IF(A477&lt;&gt;"",INDEX(Index!$B$1:$B$77,MATCH($A477,Index!$A$1:$A$77,0)),"")</f>
        <v>IND</v>
      </c>
      <c r="AV477" s="123" t="str">
        <f>IF(B477&lt;&gt;"",INDEX(Index!$C$1:$C$77,MATCH($A477,Index!$A$1:$A$77,0)),"")</f>
        <v>Jones</v>
      </c>
      <c r="AW477" s="123">
        <f t="shared" si="9"/>
        <v>16</v>
      </c>
      <c r="AX477" s="113">
        <v>13</v>
      </c>
    </row>
    <row r="478" spans="1:50" x14ac:dyDescent="0.25">
      <c r="A478" s="95" t="s">
        <v>559</v>
      </c>
      <c r="B478" s="96">
        <v>2025</v>
      </c>
      <c r="C478" s="96">
        <v>12</v>
      </c>
      <c r="D478" s="115">
        <v>0.134272</v>
      </c>
      <c r="E478" s="115">
        <v>-7.6457499999999998E-2</v>
      </c>
      <c r="F478" s="115">
        <v>-0.61754799999999999</v>
      </c>
      <c r="G478" s="115">
        <v>33.532899999999998</v>
      </c>
      <c r="H478" s="115">
        <v>7.2300000000000003E-2</v>
      </c>
      <c r="I478" s="115">
        <v>243</v>
      </c>
      <c r="J478" s="115">
        <v>386</v>
      </c>
      <c r="K478" s="115">
        <v>0.62949999999999995</v>
      </c>
      <c r="L478" s="115">
        <v>-3.1425000000000001</v>
      </c>
      <c r="M478" s="115">
        <v>2600</v>
      </c>
      <c r="N478" s="115">
        <v>6.7358000000000002</v>
      </c>
      <c r="O478" s="115">
        <v>19</v>
      </c>
      <c r="P478" s="115">
        <v>5</v>
      </c>
      <c r="Q478" s="115">
        <v>24</v>
      </c>
      <c r="R478" s="115">
        <v>28</v>
      </c>
      <c r="S478" s="115">
        <v>251</v>
      </c>
      <c r="T478" s="115">
        <v>8.9642999999999997</v>
      </c>
      <c r="U478" s="115">
        <v>1</v>
      </c>
      <c r="V478" s="115">
        <v>4.9200000000000001E-2</v>
      </c>
      <c r="W478" s="115">
        <v>1.2999999999999999E-2</v>
      </c>
      <c r="X478" s="115">
        <v>3.6299999999999999E-2</v>
      </c>
      <c r="Y478" s="115">
        <v>0.44829999999999998</v>
      </c>
      <c r="Z478" s="115">
        <v>93.620500000000007</v>
      </c>
      <c r="AA478" s="115">
        <v>6.3170999999999999</v>
      </c>
      <c r="AB478" s="115">
        <v>184.15199999999999</v>
      </c>
      <c r="AC478" s="115">
        <v>61.2</v>
      </c>
      <c r="AD478" s="115">
        <v>3.8399999999999997E-2</v>
      </c>
      <c r="AE478" s="115">
        <v>1.38E-2</v>
      </c>
      <c r="AF478" s="115">
        <v>-3.0200000000000001E-2</v>
      </c>
      <c r="AG478" s="115">
        <v>2.46E-2</v>
      </c>
      <c r="AH478" s="115">
        <v>-7.1499999999999994E-2</v>
      </c>
      <c r="AI478" s="115">
        <v>3.4700000000000002E-2</v>
      </c>
      <c r="AJ478" s="115">
        <v>-6.0000000000000001E-3</v>
      </c>
      <c r="AK478" s="115">
        <v>8.1968999999999994</v>
      </c>
      <c r="AL478" s="115">
        <v>-0.59589999999999999</v>
      </c>
      <c r="AM478" s="115">
        <v>7</v>
      </c>
      <c r="AN478" s="115">
        <v>5</v>
      </c>
      <c r="AO478" s="115">
        <v>0</v>
      </c>
      <c r="AP478" s="115">
        <v>4</v>
      </c>
      <c r="AQ478" s="115">
        <v>7</v>
      </c>
      <c r="AR478" s="115">
        <v>0.57140000000000002</v>
      </c>
      <c r="AS478" s="115">
        <v>3.5000000000000001E-3</v>
      </c>
      <c r="AT478" s="115">
        <v>1.6051</v>
      </c>
      <c r="AU478" s="114" t="str">
        <f>IF(A478&lt;&gt;"",INDEX(Index!$B$1:$B$77,MATCH($A478,Index!$A$1:$A$77,0)),"")</f>
        <v>TB</v>
      </c>
      <c r="AV478" s="123" t="str">
        <f>IF(B478&lt;&gt;"",INDEX(Index!$C$1:$C$77,MATCH($A478,Index!$A$1:$A$77,0)),"")</f>
        <v>Mayfield</v>
      </c>
      <c r="AW478" s="123">
        <f t="shared" si="9"/>
        <v>14</v>
      </c>
      <c r="AX478" s="113">
        <v>13</v>
      </c>
    </row>
    <row r="479" spans="1:50" x14ac:dyDescent="0.25">
      <c r="A479" s="95" t="s">
        <v>591</v>
      </c>
      <c r="B479" s="96">
        <v>2025</v>
      </c>
      <c r="C479" s="96">
        <v>3</v>
      </c>
      <c r="D479" s="115">
        <v>1.4523299999999999E-2</v>
      </c>
      <c r="E479" s="115">
        <v>-3.65814E-2</v>
      </c>
      <c r="F479" s="115">
        <v>-0.60128000000000004</v>
      </c>
      <c r="G479" s="115">
        <v>-5.8914</v>
      </c>
      <c r="H479" s="115">
        <v>-4.9099999999999998E-2</v>
      </c>
      <c r="I479" s="115">
        <v>69</v>
      </c>
      <c r="J479" s="115">
        <v>107</v>
      </c>
      <c r="K479" s="115">
        <v>0.64490000000000003</v>
      </c>
      <c r="L479" s="115">
        <v>-2.4550999999999998</v>
      </c>
      <c r="M479" s="115">
        <v>683</v>
      </c>
      <c r="N479" s="115">
        <v>6.3832000000000004</v>
      </c>
      <c r="O479" s="115">
        <v>3</v>
      </c>
      <c r="P479" s="115">
        <v>1</v>
      </c>
      <c r="Q479" s="115">
        <v>6</v>
      </c>
      <c r="R479" s="115">
        <v>3</v>
      </c>
      <c r="S479" s="115">
        <v>11</v>
      </c>
      <c r="T479" s="115">
        <v>3.6667000000000001</v>
      </c>
      <c r="U479" s="115">
        <v>0</v>
      </c>
      <c r="V479" s="115">
        <v>2.8000000000000001E-2</v>
      </c>
      <c r="W479" s="115">
        <v>9.2999999999999992E-3</v>
      </c>
      <c r="X479" s="115">
        <v>1.8700000000000001E-2</v>
      </c>
      <c r="Y479" s="115">
        <v>0.45829999999999999</v>
      </c>
      <c r="Z479" s="115">
        <v>87.869900000000001</v>
      </c>
      <c r="AA479" s="115">
        <v>5.8673000000000002</v>
      </c>
      <c r="AB479" s="115">
        <v>122.23</v>
      </c>
      <c r="AC479" s="115"/>
      <c r="AD479" s="115">
        <v>-2.5999999999999999E-2</v>
      </c>
      <c r="AE479" s="115">
        <v>8.0999999999999996E-3</v>
      </c>
      <c r="AF479" s="115">
        <v>-6.1499999999999999E-2</v>
      </c>
      <c r="AG479" s="115">
        <v>5.1000000000000004E-3</v>
      </c>
      <c r="AH479" s="115">
        <v>-0.1429</v>
      </c>
      <c r="AI479" s="115">
        <v>8.6699999999999999E-2</v>
      </c>
      <c r="AJ479" s="115">
        <v>1.29E-2</v>
      </c>
      <c r="AK479" s="115">
        <v>6.9532999999999996</v>
      </c>
      <c r="AL479" s="115">
        <v>-1.8411</v>
      </c>
      <c r="AM479" s="115">
        <v>1</v>
      </c>
      <c r="AN479" s="115">
        <v>4</v>
      </c>
      <c r="AO479" s="115">
        <v>0</v>
      </c>
      <c r="AP479" s="115">
        <v>0</v>
      </c>
      <c r="AQ479" s="115">
        <v>1</v>
      </c>
      <c r="AR479" s="115">
        <v>0</v>
      </c>
      <c r="AS479" s="115">
        <v>-2.8999999999999998E-3</v>
      </c>
      <c r="AT479" s="115">
        <v>-0.34599999999999997</v>
      </c>
      <c r="AU479" s="114" t="str">
        <f>IF(A479&lt;&gt;"",INDEX(Index!$B$1:$B$77,MATCH($A479,Index!$A$1:$A$77,0)),"")</f>
        <v>ATL</v>
      </c>
      <c r="AV479" s="123" t="str">
        <f>IF(B479&lt;&gt;"",INDEX(Index!$C$1:$C$77,MATCH($A479,Index!$A$1:$A$77,0)),"")</f>
        <v>Cousins</v>
      </c>
      <c r="AW479" s="123">
        <f t="shared" si="9"/>
        <v>42</v>
      </c>
      <c r="AX479" s="113">
        <v>13</v>
      </c>
    </row>
    <row r="480" spans="1:50" x14ac:dyDescent="0.25">
      <c r="A480" s="95" t="s">
        <v>564</v>
      </c>
      <c r="B480" s="96">
        <v>2025</v>
      </c>
      <c r="C480" s="96">
        <v>3</v>
      </c>
      <c r="D480" s="115">
        <v>-1.4523899999999999E-2</v>
      </c>
      <c r="E480" s="115">
        <v>-0.72087800000000002</v>
      </c>
      <c r="F480" s="115">
        <v>-0.42435</v>
      </c>
      <c r="G480" s="115">
        <v>-4.0004</v>
      </c>
      <c r="H480" s="115">
        <v>-2.53E-2</v>
      </c>
      <c r="I480" s="115">
        <v>69</v>
      </c>
      <c r="J480" s="115">
        <v>119</v>
      </c>
      <c r="K480" s="115">
        <v>0.57979999999999998</v>
      </c>
      <c r="L480" s="115">
        <v>-1.48</v>
      </c>
      <c r="M480" s="115">
        <v>831</v>
      </c>
      <c r="N480" s="115">
        <v>6.9832000000000001</v>
      </c>
      <c r="O480" s="115">
        <v>3</v>
      </c>
      <c r="P480" s="115">
        <v>3</v>
      </c>
      <c r="Q480" s="115">
        <v>10</v>
      </c>
      <c r="R480" s="115">
        <v>18</v>
      </c>
      <c r="S480" s="115">
        <v>106</v>
      </c>
      <c r="T480" s="115">
        <v>5.8888999999999996</v>
      </c>
      <c r="U480" s="115">
        <v>0</v>
      </c>
      <c r="V480" s="115">
        <v>2.52E-2</v>
      </c>
      <c r="W480" s="115">
        <v>2.52E-2</v>
      </c>
      <c r="X480" s="115">
        <v>0</v>
      </c>
      <c r="Y480" s="115">
        <v>0.40510000000000002</v>
      </c>
      <c r="Z480" s="115">
        <v>77.398499999999999</v>
      </c>
      <c r="AA480" s="115">
        <v>5.3487999999999998</v>
      </c>
      <c r="AB480" s="115">
        <v>140.05699999999999</v>
      </c>
      <c r="AC480" s="115"/>
      <c r="AD480" s="115">
        <v>-3.8899999999999997E-2</v>
      </c>
      <c r="AE480" s="115">
        <v>1.43E-2</v>
      </c>
      <c r="AF480" s="115">
        <v>-9.5600000000000004E-2</v>
      </c>
      <c r="AG480" s="115">
        <v>1.9900000000000001E-2</v>
      </c>
      <c r="AH480" s="115">
        <v>1.5699999999999999E-2</v>
      </c>
      <c r="AI480" s="115">
        <v>-6.7900000000000002E-2</v>
      </c>
      <c r="AJ480" s="115">
        <v>5.8700000000000002E-2</v>
      </c>
      <c r="AK480" s="115">
        <v>8.8908000000000005</v>
      </c>
      <c r="AL480" s="115">
        <v>-0.10920000000000001</v>
      </c>
      <c r="AM480" s="115">
        <v>2</v>
      </c>
      <c r="AN480" s="115">
        <v>4</v>
      </c>
      <c r="AO480" s="115">
        <v>0</v>
      </c>
      <c r="AP480" s="115">
        <v>0</v>
      </c>
      <c r="AQ480" s="115">
        <v>3</v>
      </c>
      <c r="AR480" s="115">
        <v>0</v>
      </c>
      <c r="AS480" s="115">
        <v>4.8999999999999998E-3</v>
      </c>
      <c r="AT480" s="115">
        <v>0.77270000000000005</v>
      </c>
      <c r="AU480" s="114" t="str">
        <f>IF(A480&lt;&gt;"",INDEX(Index!$B$1:$B$77,MATCH($A480,Index!$A$1:$A$77,0)),"")</f>
        <v>NYG</v>
      </c>
      <c r="AV480" s="123" t="str">
        <f>IF(B480&lt;&gt;"",INDEX(Index!$C$1:$C$77,MATCH($A480,Index!$A$1:$A$77,0)),"")</f>
        <v>Wilson</v>
      </c>
      <c r="AW480" s="123">
        <f t="shared" si="9"/>
        <v>38</v>
      </c>
      <c r="AX480" s="113">
        <v>13</v>
      </c>
    </row>
    <row r="481" spans="1:50" x14ac:dyDescent="0.25">
      <c r="A481" s="95" t="s">
        <v>575</v>
      </c>
      <c r="B481" s="96">
        <v>2025</v>
      </c>
      <c r="C481" s="96">
        <v>8</v>
      </c>
      <c r="D481" s="115">
        <v>-0.17101</v>
      </c>
      <c r="E481" s="115">
        <v>0.88405599999999995</v>
      </c>
      <c r="F481" s="115">
        <v>1.54932</v>
      </c>
      <c r="G481" s="115">
        <v>47.102899999999998</v>
      </c>
      <c r="H481" s="115">
        <v>0.14019999999999999</v>
      </c>
      <c r="I481" s="115">
        <v>201</v>
      </c>
      <c r="J481" s="115">
        <v>286</v>
      </c>
      <c r="K481" s="115">
        <v>0.70279999999999998</v>
      </c>
      <c r="L481" s="115">
        <v>3.6785999999999999</v>
      </c>
      <c r="M481" s="115">
        <v>2151</v>
      </c>
      <c r="N481" s="115">
        <v>7.5209999999999999</v>
      </c>
      <c r="O481" s="115">
        <v>13</v>
      </c>
      <c r="P481" s="115">
        <v>6</v>
      </c>
      <c r="Q481" s="115">
        <v>16</v>
      </c>
      <c r="R481" s="115">
        <v>22</v>
      </c>
      <c r="S481" s="115">
        <v>74</v>
      </c>
      <c r="T481" s="115">
        <v>3.3635999999999999</v>
      </c>
      <c r="U481" s="115">
        <v>0</v>
      </c>
      <c r="V481" s="115">
        <v>4.5499999999999999E-2</v>
      </c>
      <c r="W481" s="115">
        <v>2.1000000000000001E-2</v>
      </c>
      <c r="X481" s="115">
        <v>2.4500000000000001E-2</v>
      </c>
      <c r="Y481" s="115">
        <v>0.52680000000000005</v>
      </c>
      <c r="Z481" s="115">
        <v>98.397400000000005</v>
      </c>
      <c r="AA481" s="115">
        <v>6.7317999999999998</v>
      </c>
      <c r="AB481" s="115">
        <v>197.37700000000001</v>
      </c>
      <c r="AC481" s="115">
        <v>64</v>
      </c>
      <c r="AD481" s="115">
        <v>-8.8000000000000005E-3</v>
      </c>
      <c r="AE481" s="115">
        <v>1.4200000000000001E-2</v>
      </c>
      <c r="AF481" s="115">
        <v>3.1199999999999999E-2</v>
      </c>
      <c r="AG481" s="115">
        <v>4.1999999999999997E-3</v>
      </c>
      <c r="AH481" s="115">
        <v>5.67E-2</v>
      </c>
      <c r="AI481" s="115">
        <v>-6.4000000000000003E-3</v>
      </c>
      <c r="AJ481" s="115">
        <v>-1.95E-2</v>
      </c>
      <c r="AK481" s="115">
        <v>7.4265999999999996</v>
      </c>
      <c r="AL481" s="115">
        <v>-1.6608000000000001</v>
      </c>
      <c r="AM481" s="115">
        <v>6</v>
      </c>
      <c r="AN481" s="115">
        <v>3</v>
      </c>
      <c r="AO481" s="115">
        <v>0</v>
      </c>
      <c r="AP481" s="115">
        <v>1</v>
      </c>
      <c r="AQ481" s="115">
        <v>2</v>
      </c>
      <c r="AR481" s="115">
        <v>0.5</v>
      </c>
      <c r="AS481" s="115">
        <v>4.1999999999999997E-3</v>
      </c>
      <c r="AT481" s="115">
        <v>1.413</v>
      </c>
      <c r="AU481" s="114" t="str">
        <f>IF(A481&lt;&gt;"",INDEX(Index!$B$1:$B$77,MATCH($A481,Index!$A$1:$A$77,0)),"")</f>
        <v>SF</v>
      </c>
      <c r="AV481" s="123" t="str">
        <f>IF(B481&lt;&gt;"",INDEX(Index!$C$1:$C$77,MATCH($A481,Index!$A$1:$A$77,0)),"")</f>
        <v>Jones</v>
      </c>
      <c r="AW481" s="123">
        <f t="shared" si="9"/>
        <v>30</v>
      </c>
      <c r="AX481" s="113">
        <v>13</v>
      </c>
    </row>
    <row r="482" spans="1:50" x14ac:dyDescent="0.25">
      <c r="A482" s="95" t="s">
        <v>583</v>
      </c>
      <c r="B482" s="96">
        <v>2025</v>
      </c>
      <c r="C482" s="96">
        <v>6</v>
      </c>
      <c r="D482" s="115">
        <v>-0.28059400000000001</v>
      </c>
      <c r="E482" s="115">
        <v>0.45721299999999998</v>
      </c>
      <c r="F482" s="115">
        <v>1.0864799999999999</v>
      </c>
      <c r="G482" s="115">
        <v>24.055900000000001</v>
      </c>
      <c r="H482" s="115">
        <v>9.5799999999999996E-2</v>
      </c>
      <c r="I482" s="115">
        <v>120</v>
      </c>
      <c r="J482" s="115">
        <v>188</v>
      </c>
      <c r="K482" s="115">
        <v>0.63829999999999998</v>
      </c>
      <c r="L482" s="115">
        <v>4.0933000000000002</v>
      </c>
      <c r="M482" s="115">
        <v>1359</v>
      </c>
      <c r="N482" s="115">
        <v>7.2286999999999999</v>
      </c>
      <c r="O482" s="115">
        <v>9</v>
      </c>
      <c r="P482" s="115">
        <v>6</v>
      </c>
      <c r="Q482" s="115">
        <v>12</v>
      </c>
      <c r="R482" s="115">
        <v>35</v>
      </c>
      <c r="S482" s="115">
        <v>250</v>
      </c>
      <c r="T482" s="115">
        <v>7.1429</v>
      </c>
      <c r="U482" s="115">
        <v>1</v>
      </c>
      <c r="V482" s="115">
        <v>4.7899999999999998E-2</v>
      </c>
      <c r="W482" s="115">
        <v>3.1899999999999998E-2</v>
      </c>
      <c r="X482" s="115">
        <v>1.6E-2</v>
      </c>
      <c r="Y482" s="115">
        <v>0.49399999999999999</v>
      </c>
      <c r="Z482" s="115">
        <v>88.054100000000005</v>
      </c>
      <c r="AA482" s="115">
        <v>5.94</v>
      </c>
      <c r="AB482" s="115">
        <v>198.78</v>
      </c>
      <c r="AC482" s="115">
        <v>57.4</v>
      </c>
      <c r="AD482" s="115">
        <v>8.3000000000000001E-3</v>
      </c>
      <c r="AE482" s="115">
        <v>3.1800000000000002E-2</v>
      </c>
      <c r="AF482" s="115">
        <v>-1.0200000000000001E-2</v>
      </c>
      <c r="AG482" s="115">
        <v>-5.16E-2</v>
      </c>
      <c r="AH482" s="115">
        <v>0.12590000000000001</v>
      </c>
      <c r="AI482" s="115">
        <v>-8.3400000000000002E-2</v>
      </c>
      <c r="AJ482" s="115">
        <v>6.3E-3</v>
      </c>
      <c r="AK482" s="115">
        <v>9.75</v>
      </c>
      <c r="AL482" s="115">
        <v>0.68620000000000003</v>
      </c>
      <c r="AM482" s="115">
        <v>1</v>
      </c>
      <c r="AN482" s="115">
        <v>6</v>
      </c>
      <c r="AO482" s="115">
        <v>0</v>
      </c>
      <c r="AP482" s="115">
        <v>0</v>
      </c>
      <c r="AQ482" s="115">
        <v>1</v>
      </c>
      <c r="AR482" s="115">
        <v>0</v>
      </c>
      <c r="AS482" s="115">
        <v>8.0000000000000004E-4</v>
      </c>
      <c r="AT482" s="115">
        <v>0.2122</v>
      </c>
      <c r="AU482" s="114" t="str">
        <f>IF(A482&lt;&gt;"",INDEX(Index!$B$1:$B$77,MATCH($A482,Index!$A$1:$A$77,0)),"")</f>
        <v>WAS</v>
      </c>
      <c r="AV482" s="123" t="str">
        <f>IF(B482&lt;&gt;"",INDEX(Index!$C$1:$C$77,MATCH($A482,Index!$A$1:$A$77,0)),"")</f>
        <v>Mariota</v>
      </c>
      <c r="AW482" s="123">
        <f t="shared" si="9"/>
        <v>37</v>
      </c>
      <c r="AX482" s="113">
        <v>13</v>
      </c>
    </row>
    <row r="483" spans="1:50" x14ac:dyDescent="0.25">
      <c r="A483" s="95" t="s">
        <v>587</v>
      </c>
      <c r="B483" s="96">
        <v>2025</v>
      </c>
      <c r="C483" s="96">
        <v>8</v>
      </c>
      <c r="D483" s="115">
        <v>-0.32728800000000002</v>
      </c>
      <c r="E483" s="115">
        <v>-0.135825</v>
      </c>
      <c r="F483" s="115">
        <v>2.1309900000000002</v>
      </c>
      <c r="G483" s="115">
        <v>41.931399999999996</v>
      </c>
      <c r="H483" s="115">
        <v>0.12859999999999999</v>
      </c>
      <c r="I483" s="115">
        <v>145</v>
      </c>
      <c r="J483" s="115">
        <v>227</v>
      </c>
      <c r="K483" s="115">
        <v>0.63880000000000003</v>
      </c>
      <c r="L483" s="115">
        <v>-0.19739999999999999</v>
      </c>
      <c r="M483" s="115">
        <v>1556</v>
      </c>
      <c r="N483" s="115">
        <v>6.8545999999999996</v>
      </c>
      <c r="O483" s="115">
        <v>11</v>
      </c>
      <c r="P483" s="115">
        <v>3</v>
      </c>
      <c r="Q483" s="115">
        <v>23</v>
      </c>
      <c r="R483" s="115">
        <v>56</v>
      </c>
      <c r="S483" s="115">
        <v>340</v>
      </c>
      <c r="T483" s="115">
        <v>6.0713999999999997</v>
      </c>
      <c r="U483" s="115">
        <v>7</v>
      </c>
      <c r="V483" s="115">
        <v>4.8500000000000001E-2</v>
      </c>
      <c r="W483" s="115">
        <v>1.32E-2</v>
      </c>
      <c r="X483" s="115">
        <v>3.5200000000000002E-2</v>
      </c>
      <c r="Y483" s="115">
        <v>0.47239999999999999</v>
      </c>
      <c r="Z483" s="115">
        <v>94.520899999999997</v>
      </c>
      <c r="AA483" s="115">
        <v>6.1879999999999997</v>
      </c>
      <c r="AB483" s="115">
        <v>210.01900000000001</v>
      </c>
      <c r="AC483" s="115">
        <v>64.7</v>
      </c>
      <c r="AD483" s="115">
        <v>5.8500000000000003E-2</v>
      </c>
      <c r="AE483" s="115">
        <v>-8.0000000000000004E-4</v>
      </c>
      <c r="AF483" s="115">
        <v>3.0800000000000001E-2</v>
      </c>
      <c r="AG483" s="115">
        <v>4.65E-2</v>
      </c>
      <c r="AH483" s="115">
        <v>-8.6800000000000002E-2</v>
      </c>
      <c r="AI483" s="115">
        <v>-1.37E-2</v>
      </c>
      <c r="AJ483" s="115">
        <v>2.5600000000000001E-2</v>
      </c>
      <c r="AK483" s="115">
        <v>8.5109999999999992</v>
      </c>
      <c r="AL483" s="115">
        <v>-0.74450000000000005</v>
      </c>
      <c r="AM483" s="115">
        <v>2</v>
      </c>
      <c r="AN483" s="115">
        <v>8</v>
      </c>
      <c r="AO483" s="115">
        <v>0</v>
      </c>
      <c r="AP483" s="115">
        <v>0</v>
      </c>
      <c r="AQ483" s="115">
        <v>2</v>
      </c>
      <c r="AR483" s="115">
        <v>0</v>
      </c>
      <c r="AS483" s="115">
        <v>3.5999999999999999E-3</v>
      </c>
      <c r="AT483" s="115">
        <v>1.1857</v>
      </c>
      <c r="AU483" s="114" t="str">
        <f>IF(A483&lt;&gt;"",INDEX(Index!$B$1:$B$77,MATCH($A483,Index!$A$1:$A$77,0)),"")</f>
        <v>NYG</v>
      </c>
      <c r="AV483" s="123" t="str">
        <f>IF(B483&lt;&gt;"",INDEX(Index!$C$1:$C$77,MATCH($A483,Index!$A$1:$A$77,0)),"")</f>
        <v>Dart</v>
      </c>
      <c r="AW483" s="123">
        <f t="shared" si="9"/>
        <v>15</v>
      </c>
      <c r="AX483" s="113">
        <v>13</v>
      </c>
    </row>
    <row r="484" spans="1:50" x14ac:dyDescent="0.25">
      <c r="A484" s="95" t="s">
        <v>590</v>
      </c>
      <c r="B484" s="96">
        <v>2025</v>
      </c>
      <c r="C484" s="96">
        <v>7</v>
      </c>
      <c r="D484" s="115">
        <v>-0.38021899999999997</v>
      </c>
      <c r="E484" s="115">
        <v>0.26993200000000001</v>
      </c>
      <c r="F484" s="115">
        <v>1.69946</v>
      </c>
      <c r="G484" s="115">
        <v>15.0313</v>
      </c>
      <c r="H484" s="115">
        <v>4.0599999999999997E-2</v>
      </c>
      <c r="I484" s="115">
        <v>204</v>
      </c>
      <c r="J484" s="115">
        <v>301</v>
      </c>
      <c r="K484" s="115">
        <v>0.67769999999999997</v>
      </c>
      <c r="L484" s="115">
        <v>4.6063999999999998</v>
      </c>
      <c r="M484" s="115">
        <v>2188</v>
      </c>
      <c r="N484" s="115">
        <v>7.2690999999999999</v>
      </c>
      <c r="O484" s="115">
        <v>13</v>
      </c>
      <c r="P484" s="115">
        <v>4</v>
      </c>
      <c r="Q484" s="115">
        <v>26</v>
      </c>
      <c r="R484" s="115">
        <v>24</v>
      </c>
      <c r="S484" s="115">
        <v>117</v>
      </c>
      <c r="T484" s="115">
        <v>4.875</v>
      </c>
      <c r="U484" s="115">
        <v>1</v>
      </c>
      <c r="V484" s="115">
        <v>4.3200000000000002E-2</v>
      </c>
      <c r="W484" s="115">
        <v>1.3299999999999999E-2</v>
      </c>
      <c r="X484" s="115">
        <v>2.9899999999999999E-2</v>
      </c>
      <c r="Y484" s="115">
        <v>0.49459999999999998</v>
      </c>
      <c r="Z484" s="115">
        <v>97.709000000000003</v>
      </c>
      <c r="AA484" s="115">
        <v>6.3333000000000004</v>
      </c>
      <c r="AB484" s="115">
        <v>207.44300000000001</v>
      </c>
      <c r="AC484" s="115">
        <v>42.9</v>
      </c>
      <c r="AD484" s="115">
        <v>-1.37E-2</v>
      </c>
      <c r="AE484" s="115">
        <v>-5.04E-2</v>
      </c>
      <c r="AF484" s="115">
        <v>1.12E-2</v>
      </c>
      <c r="AG484" s="115">
        <v>0.02</v>
      </c>
      <c r="AH484" s="115">
        <v>-1.9900000000000001E-2</v>
      </c>
      <c r="AI484" s="115">
        <v>3.78E-2</v>
      </c>
      <c r="AJ484" s="115">
        <v>-1.3100000000000001E-2</v>
      </c>
      <c r="AK484" s="115">
        <v>7.7873999999999999</v>
      </c>
      <c r="AL484" s="115">
        <v>-1.4651000000000001</v>
      </c>
      <c r="AM484" s="115">
        <v>2</v>
      </c>
      <c r="AN484" s="115">
        <v>7</v>
      </c>
      <c r="AO484" s="115">
        <v>0</v>
      </c>
      <c r="AP484" s="115">
        <v>0</v>
      </c>
      <c r="AQ484" s="115">
        <v>4</v>
      </c>
      <c r="AR484" s="115">
        <v>0</v>
      </c>
      <c r="AS484" s="115">
        <v>-2.0999999999999999E-3</v>
      </c>
      <c r="AT484" s="115">
        <v>-0.78139999999999998</v>
      </c>
      <c r="AU484" s="114" t="str">
        <f>IF(A484&lt;&gt;"",INDEX(Index!$B$1:$B$77,MATCH($A484,Index!$A$1:$A$77,0)),"")</f>
        <v>ARI</v>
      </c>
      <c r="AV484" s="123" t="str">
        <f>IF(B484&lt;&gt;"",INDEX(Index!$C$1:$C$77,MATCH($A484,Index!$A$1:$A$77,0)),"")</f>
        <v>Brissett</v>
      </c>
      <c r="AW484" s="123">
        <f t="shared" si="9"/>
        <v>11</v>
      </c>
      <c r="AX484" s="113">
        <v>13</v>
      </c>
    </row>
    <row r="485" spans="1:50" x14ac:dyDescent="0.25">
      <c r="A485" s="95" t="s">
        <v>574</v>
      </c>
      <c r="B485" s="96">
        <v>2025</v>
      </c>
      <c r="C485" s="96">
        <v>12</v>
      </c>
      <c r="D485" s="115">
        <v>-0.42862099999999997</v>
      </c>
      <c r="E485" s="115">
        <v>-0.47841699999999998</v>
      </c>
      <c r="F485" s="115">
        <v>0.99516099999999996</v>
      </c>
      <c r="G485" s="115">
        <v>37.1462</v>
      </c>
      <c r="H485" s="115">
        <v>7.5800000000000006E-2</v>
      </c>
      <c r="I485" s="115">
        <v>230</v>
      </c>
      <c r="J485" s="115">
        <v>395</v>
      </c>
      <c r="K485" s="115">
        <v>0.58230000000000004</v>
      </c>
      <c r="L485" s="115">
        <v>-4.9446000000000003</v>
      </c>
      <c r="M485" s="115">
        <v>2722</v>
      </c>
      <c r="N485" s="115">
        <v>6.8910999999999998</v>
      </c>
      <c r="O485" s="115">
        <v>17</v>
      </c>
      <c r="P485" s="115">
        <v>5</v>
      </c>
      <c r="Q485" s="115">
        <v>19</v>
      </c>
      <c r="R485" s="115">
        <v>47</v>
      </c>
      <c r="S485" s="115">
        <v>317</v>
      </c>
      <c r="T485" s="115">
        <v>6.7446999999999999</v>
      </c>
      <c r="U485" s="115">
        <v>3</v>
      </c>
      <c r="V485" s="115">
        <v>4.2999999999999997E-2</v>
      </c>
      <c r="W485" s="115">
        <v>1.2699999999999999E-2</v>
      </c>
      <c r="X485" s="115">
        <v>3.04E-2</v>
      </c>
      <c r="Y485" s="115">
        <v>0.44900000000000001</v>
      </c>
      <c r="Z485" s="115">
        <v>88.391400000000004</v>
      </c>
      <c r="AA485" s="115">
        <v>6.5483000000000002</v>
      </c>
      <c r="AB485" s="115">
        <v>180.03100000000001</v>
      </c>
      <c r="AC485" s="115">
        <v>54.8</v>
      </c>
      <c r="AD485" s="115">
        <v>-1E-4</v>
      </c>
      <c r="AE485" s="115">
        <v>3.73E-2</v>
      </c>
      <c r="AF485" s="115">
        <v>-4.4600000000000001E-2</v>
      </c>
      <c r="AG485" s="115">
        <v>2.9399999999999999E-2</v>
      </c>
      <c r="AH485" s="115">
        <v>-6.4000000000000003E-3</v>
      </c>
      <c r="AI485" s="115">
        <v>1.0200000000000001E-2</v>
      </c>
      <c r="AJ485" s="115">
        <v>-1.8599999999999998E-2</v>
      </c>
      <c r="AK485" s="115">
        <v>8.6911000000000005</v>
      </c>
      <c r="AL485" s="115">
        <v>-0.53159999999999996</v>
      </c>
      <c r="AM485" s="115">
        <v>9</v>
      </c>
      <c r="AN485" s="115">
        <v>3</v>
      </c>
      <c r="AO485" s="115">
        <v>0</v>
      </c>
      <c r="AP485" s="115">
        <v>4</v>
      </c>
      <c r="AQ485" s="115">
        <v>6</v>
      </c>
      <c r="AR485" s="115">
        <v>0.66669999999999996</v>
      </c>
      <c r="AS485" s="115">
        <v>3.3999999999999998E-3</v>
      </c>
      <c r="AT485" s="115">
        <v>1.6896</v>
      </c>
      <c r="AU485" s="114" t="str">
        <f>IF(A485&lt;&gt;"",INDEX(Index!$B$1:$B$77,MATCH($A485,Index!$A$1:$A$77,0)),"")</f>
        <v>CHI</v>
      </c>
      <c r="AV485" s="123" t="str">
        <f>IF(B485&lt;&gt;"",INDEX(Index!$C$1:$C$77,MATCH($A485,Index!$A$1:$A$77,0)),"")</f>
        <v>Williams</v>
      </c>
      <c r="AW485" s="123">
        <f t="shared" si="9"/>
        <v>20</v>
      </c>
      <c r="AX485" s="113">
        <v>13</v>
      </c>
    </row>
    <row r="486" spans="1:50" x14ac:dyDescent="0.25">
      <c r="A486" s="95" t="s">
        <v>573</v>
      </c>
      <c r="B486" s="96">
        <v>2025</v>
      </c>
      <c r="C486" s="96">
        <v>12</v>
      </c>
      <c r="D486" s="115">
        <v>-0.56564800000000004</v>
      </c>
      <c r="E486" s="115">
        <v>-0.69613000000000003</v>
      </c>
      <c r="F486" s="115">
        <v>0.329482</v>
      </c>
      <c r="G486" s="115">
        <v>75.894499999999994</v>
      </c>
      <c r="H486" s="115">
        <v>0.20569999999999999</v>
      </c>
      <c r="I486" s="115">
        <v>221</v>
      </c>
      <c r="J486" s="115">
        <v>323</v>
      </c>
      <c r="K486" s="115">
        <v>0.68420000000000003</v>
      </c>
      <c r="L486" s="115">
        <v>6.9206000000000003</v>
      </c>
      <c r="M486" s="115">
        <v>2913</v>
      </c>
      <c r="N486" s="115">
        <v>9.0185999999999993</v>
      </c>
      <c r="O486" s="115">
        <v>19</v>
      </c>
      <c r="P486" s="115">
        <v>10</v>
      </c>
      <c r="Q486" s="115">
        <v>15</v>
      </c>
      <c r="R486" s="115">
        <v>7</v>
      </c>
      <c r="S486" s="115">
        <v>58</v>
      </c>
      <c r="T486" s="115">
        <v>8.2857000000000003</v>
      </c>
      <c r="U486" s="115">
        <v>0</v>
      </c>
      <c r="V486" s="115">
        <v>5.8799999999999998E-2</v>
      </c>
      <c r="W486" s="115">
        <v>3.1E-2</v>
      </c>
      <c r="X486" s="115">
        <v>2.7900000000000001E-2</v>
      </c>
      <c r="Y486" s="115">
        <v>0.5393</v>
      </c>
      <c r="Z486" s="115">
        <v>103.386</v>
      </c>
      <c r="AA486" s="115">
        <v>8.1123999999999992</v>
      </c>
      <c r="AB486" s="115">
        <v>177.35300000000001</v>
      </c>
      <c r="AC486" s="115">
        <v>64.3</v>
      </c>
      <c r="AD486" s="115">
        <v>-1.43E-2</v>
      </c>
      <c r="AE486" s="115">
        <v>-2.0999999999999999E-3</v>
      </c>
      <c r="AF486" s="115">
        <v>4.6699999999999998E-2</v>
      </c>
      <c r="AG486" s="115">
        <v>-6.1100000000000002E-2</v>
      </c>
      <c r="AH486" s="115">
        <v>0.1202</v>
      </c>
      <c r="AI486" s="115">
        <v>4.0099999999999997E-2</v>
      </c>
      <c r="AJ486" s="115">
        <v>8.3999999999999995E-3</v>
      </c>
      <c r="AK486" s="115">
        <v>8.6036999999999999</v>
      </c>
      <c r="AL486" s="115">
        <v>-0.24460000000000001</v>
      </c>
      <c r="AM486" s="115">
        <v>9</v>
      </c>
      <c r="AN486" s="115">
        <v>3</v>
      </c>
      <c r="AO486" s="115">
        <v>0</v>
      </c>
      <c r="AP486" s="115">
        <v>0</v>
      </c>
      <c r="AQ486" s="115">
        <v>3</v>
      </c>
      <c r="AR486" s="115">
        <v>0</v>
      </c>
      <c r="AS486" s="115">
        <v>3.8E-3</v>
      </c>
      <c r="AT486" s="115">
        <v>1.41</v>
      </c>
      <c r="AU486" s="114" t="str">
        <f>IF(A486&lt;&gt;"",INDEX(Index!$B$1:$B$77,MATCH($A486,Index!$A$1:$A$77,0)),"")</f>
        <v>SEA</v>
      </c>
      <c r="AV486" s="123" t="str">
        <f>IF(B486&lt;&gt;"",INDEX(Index!$C$1:$C$77,MATCH($A486,Index!$A$1:$A$77,0)),"")</f>
        <v>Darnold</v>
      </c>
      <c r="AW486" s="123">
        <f t="shared" si="9"/>
        <v>32</v>
      </c>
      <c r="AX486" s="113">
        <v>13</v>
      </c>
    </row>
    <row r="487" spans="1:50" x14ac:dyDescent="0.25">
      <c r="A487" s="95" t="s">
        <v>563</v>
      </c>
      <c r="B487" s="96">
        <v>2025</v>
      </c>
      <c r="C487" s="96">
        <v>12</v>
      </c>
      <c r="D487" s="115">
        <v>-0.57959300000000002</v>
      </c>
      <c r="E487" s="115">
        <v>-0.30568400000000001</v>
      </c>
      <c r="F487" s="115">
        <v>-0.62410900000000002</v>
      </c>
      <c r="G487" s="115">
        <v>43.453499999999998</v>
      </c>
      <c r="H487" s="115">
        <v>8.6400000000000005E-2</v>
      </c>
      <c r="I487" s="115">
        <v>265</v>
      </c>
      <c r="J487" s="115">
        <v>396</v>
      </c>
      <c r="K487" s="115">
        <v>0.66920000000000002</v>
      </c>
      <c r="L487" s="115">
        <v>1.0958000000000001</v>
      </c>
      <c r="M487" s="115">
        <v>2842</v>
      </c>
      <c r="N487" s="115">
        <v>7.1768000000000001</v>
      </c>
      <c r="O487" s="115">
        <v>21</v>
      </c>
      <c r="P487" s="115">
        <v>10</v>
      </c>
      <c r="Q487" s="115">
        <v>38</v>
      </c>
      <c r="R487" s="115">
        <v>47</v>
      </c>
      <c r="S487" s="115">
        <v>362</v>
      </c>
      <c r="T487" s="115">
        <v>7.7020999999999997</v>
      </c>
      <c r="U487" s="115">
        <v>1</v>
      </c>
      <c r="V487" s="115">
        <v>5.2999999999999999E-2</v>
      </c>
      <c r="W487" s="115">
        <v>2.53E-2</v>
      </c>
      <c r="X487" s="115">
        <v>2.7799999999999998E-2</v>
      </c>
      <c r="Y487" s="115">
        <v>0.49299999999999999</v>
      </c>
      <c r="Z487" s="115">
        <v>94.907399999999996</v>
      </c>
      <c r="AA487" s="115">
        <v>5.9630999999999998</v>
      </c>
      <c r="AB487" s="115">
        <v>165.77500000000001</v>
      </c>
      <c r="AC487" s="115">
        <v>60.5</v>
      </c>
      <c r="AD487" s="115">
        <v>3.1300000000000001E-2</v>
      </c>
      <c r="AE487" s="115">
        <v>-9.9000000000000008E-3</v>
      </c>
      <c r="AF487" s="115">
        <v>1.9300000000000001E-2</v>
      </c>
      <c r="AG487" s="115">
        <v>-3.3799999999999997E-2</v>
      </c>
      <c r="AH487" s="115">
        <v>2.8899999999999999E-2</v>
      </c>
      <c r="AI487" s="115">
        <v>-9.2999999999999992E-3</v>
      </c>
      <c r="AJ487" s="115">
        <v>-8.6E-3</v>
      </c>
      <c r="AK487" s="115">
        <v>7.5606</v>
      </c>
      <c r="AL487" s="115">
        <v>-1.3914</v>
      </c>
      <c r="AM487" s="115">
        <v>8</v>
      </c>
      <c r="AN487" s="115">
        <v>4</v>
      </c>
      <c r="AO487" s="115">
        <v>0</v>
      </c>
      <c r="AP487" s="115">
        <v>2</v>
      </c>
      <c r="AQ487" s="115">
        <v>3</v>
      </c>
      <c r="AR487" s="115">
        <v>0.66669999999999996</v>
      </c>
      <c r="AS487" s="115">
        <v>2.5999999999999999E-3</v>
      </c>
      <c r="AT487" s="115">
        <v>1.2848999999999999</v>
      </c>
      <c r="AU487" s="114" t="str">
        <f>IF(A487&lt;&gt;"",INDEX(Index!$B$1:$B$77,MATCH($A487,Index!$A$1:$A$77,0)),"")</f>
        <v>LAC</v>
      </c>
      <c r="AV487" s="123" t="str">
        <f>IF(B487&lt;&gt;"",INDEX(Index!$C$1:$C$77,MATCH($A487,Index!$A$1:$A$77,0)),"")</f>
        <v>Herbert</v>
      </c>
      <c r="AW487" s="123">
        <f t="shared" si="9"/>
        <v>4</v>
      </c>
      <c r="AX487" s="113">
        <v>13</v>
      </c>
    </row>
    <row r="488" spans="1:50" x14ac:dyDescent="0.25">
      <c r="A488" s="95" t="s">
        <v>558</v>
      </c>
      <c r="B488" s="96">
        <v>2025</v>
      </c>
      <c r="C488" s="96">
        <v>11</v>
      </c>
      <c r="D488" s="115">
        <v>-0.58276600000000001</v>
      </c>
      <c r="E488" s="115">
        <v>-0.37432900000000002</v>
      </c>
      <c r="F488" s="115">
        <v>-2.08142</v>
      </c>
      <c r="G488" s="115">
        <v>4.7077</v>
      </c>
      <c r="H488" s="115">
        <v>1.32E-2</v>
      </c>
      <c r="I488" s="115">
        <v>202</v>
      </c>
      <c r="J488" s="115">
        <v>310</v>
      </c>
      <c r="K488" s="115">
        <v>0.65159999999999996</v>
      </c>
      <c r="L488" s="115">
        <v>-0.2319</v>
      </c>
      <c r="M488" s="115">
        <v>2086</v>
      </c>
      <c r="N488" s="115">
        <v>6.7290000000000001</v>
      </c>
      <c r="O488" s="115">
        <v>19</v>
      </c>
      <c r="P488" s="115">
        <v>7</v>
      </c>
      <c r="Q488" s="115">
        <v>20</v>
      </c>
      <c r="R488" s="115">
        <v>7</v>
      </c>
      <c r="S488" s="115">
        <v>32</v>
      </c>
      <c r="T488" s="115">
        <v>4.5713999999999997</v>
      </c>
      <c r="U488" s="115">
        <v>0</v>
      </c>
      <c r="V488" s="115">
        <v>6.13E-2</v>
      </c>
      <c r="W488" s="115">
        <v>2.2599999999999999E-2</v>
      </c>
      <c r="X488" s="115">
        <v>3.8699999999999998E-2</v>
      </c>
      <c r="Y488" s="115">
        <v>0.441</v>
      </c>
      <c r="Z488" s="115">
        <v>95.4435</v>
      </c>
      <c r="AA488" s="115">
        <v>6.1242000000000001</v>
      </c>
      <c r="AB488" s="115">
        <v>138.81299999999999</v>
      </c>
      <c r="AC488" s="115">
        <v>40.5</v>
      </c>
      <c r="AD488" s="115">
        <v>-2.7699999999999999E-2</v>
      </c>
      <c r="AE488" s="115">
        <v>6.6E-3</v>
      </c>
      <c r="AF488" s="115">
        <v>-1.52E-2</v>
      </c>
      <c r="AG488" s="115">
        <v>-1E-4</v>
      </c>
      <c r="AH488" s="115">
        <v>-0.15579999999999999</v>
      </c>
      <c r="AI488" s="115">
        <v>0.12529999999999999</v>
      </c>
      <c r="AJ488" s="115">
        <v>1.1599999999999999E-2</v>
      </c>
      <c r="AK488" s="115">
        <v>5.8581000000000003</v>
      </c>
      <c r="AL488" s="115">
        <v>-3.3548</v>
      </c>
      <c r="AM488" s="115">
        <v>6</v>
      </c>
      <c r="AN488" s="115">
        <v>5</v>
      </c>
      <c r="AO488" s="115">
        <v>0</v>
      </c>
      <c r="AP488" s="115">
        <v>1</v>
      </c>
      <c r="AQ488" s="115">
        <v>3</v>
      </c>
      <c r="AR488" s="115">
        <v>0.33329999999999999</v>
      </c>
      <c r="AS488" s="115">
        <v>-2.0000000000000001E-4</v>
      </c>
      <c r="AT488" s="115">
        <v>-7.6200000000000004E-2</v>
      </c>
      <c r="AU488" s="114" t="str">
        <f>IF(A488&lt;&gt;"",INDEX(Index!$B$1:$B$77,MATCH($A488,Index!$A$1:$A$77,0)),"")</f>
        <v>GB</v>
      </c>
      <c r="AV488" s="123" t="str">
        <f>IF(B488&lt;&gt;"",INDEX(Index!$C$1:$C$77,MATCH($A488,Index!$A$1:$A$77,0)),"")</f>
        <v>Rodgers</v>
      </c>
      <c r="AW488" s="123">
        <f t="shared" si="9"/>
        <v>18</v>
      </c>
      <c r="AX488" s="113">
        <v>13</v>
      </c>
    </row>
    <row r="489" spans="1:50" x14ac:dyDescent="0.25">
      <c r="A489" s="95" t="s">
        <v>596</v>
      </c>
      <c r="B489" s="96">
        <v>2025</v>
      </c>
      <c r="C489" s="96">
        <v>2</v>
      </c>
      <c r="D489" s="115">
        <v>-0.702596</v>
      </c>
      <c r="E489" s="115">
        <v>0.24723500000000001</v>
      </c>
      <c r="F489" s="115">
        <v>0.20761199999999999</v>
      </c>
      <c r="G489" s="115">
        <v>25.662400000000002</v>
      </c>
      <c r="H489" s="115">
        <v>0.32479999999999998</v>
      </c>
      <c r="I489" s="115">
        <v>37</v>
      </c>
      <c r="J489" s="115">
        <v>65</v>
      </c>
      <c r="K489" s="115">
        <v>0.56920000000000004</v>
      </c>
      <c r="L489" s="115">
        <v>-2.6429</v>
      </c>
      <c r="M489" s="115">
        <v>567</v>
      </c>
      <c r="N489" s="115">
        <v>8.7231000000000005</v>
      </c>
      <c r="O489" s="115">
        <v>2</v>
      </c>
      <c r="P489" s="115">
        <v>2</v>
      </c>
      <c r="Q489" s="115">
        <v>3</v>
      </c>
      <c r="R489" s="115">
        <v>5</v>
      </c>
      <c r="S489" s="115">
        <v>25</v>
      </c>
      <c r="T489" s="115">
        <v>5</v>
      </c>
      <c r="U489" s="115">
        <v>1</v>
      </c>
      <c r="V489" s="115">
        <v>3.0800000000000001E-2</v>
      </c>
      <c r="W489" s="115">
        <v>3.0800000000000001E-2</v>
      </c>
      <c r="X489" s="115">
        <v>0</v>
      </c>
      <c r="Y489" s="115">
        <v>0.46839999999999998</v>
      </c>
      <c r="Z489" s="115">
        <v>83.301299999999998</v>
      </c>
      <c r="AA489" s="115">
        <v>7.4412000000000003</v>
      </c>
      <c r="AB489" s="115">
        <v>178.09</v>
      </c>
      <c r="AC489" s="115">
        <v>71.7</v>
      </c>
      <c r="AD489" s="115">
        <v>2.35E-2</v>
      </c>
      <c r="AE489" s="115">
        <v>3.4099999999999998E-2</v>
      </c>
      <c r="AF489" s="115">
        <v>-7.3599999999999999E-2</v>
      </c>
      <c r="AG489" s="115">
        <v>-3.5799999999999998E-2</v>
      </c>
      <c r="AH489" s="115">
        <v>0.30530000000000002</v>
      </c>
      <c r="AI489" s="115">
        <v>-3.0099999999999998E-2</v>
      </c>
      <c r="AJ489" s="115">
        <v>3.3000000000000002E-2</v>
      </c>
      <c r="AK489" s="115">
        <v>9.4614999999999991</v>
      </c>
      <c r="AL489" s="115">
        <v>1.4154</v>
      </c>
      <c r="AM489" s="115">
        <v>0</v>
      </c>
      <c r="AN489" s="115">
        <v>2</v>
      </c>
      <c r="AO489" s="115">
        <v>0</v>
      </c>
      <c r="AP489" s="115">
        <v>0</v>
      </c>
      <c r="AQ489" s="115">
        <v>1</v>
      </c>
      <c r="AR489" s="115">
        <v>0</v>
      </c>
      <c r="AS489" s="115">
        <v>4.8999999999999998E-3</v>
      </c>
      <c r="AT489" s="115">
        <v>0.3836</v>
      </c>
      <c r="AU489" s="114" t="str">
        <f>IF(A489&lt;&gt;"",INDEX(Index!$B$1:$B$77,MATCH($A489,Index!$A$1:$A$77,0)),"")</f>
        <v>NYG</v>
      </c>
      <c r="AV489" s="123" t="str">
        <f>IF(B489&lt;&gt;"",INDEX(Index!$C$1:$C$77,MATCH($A489,Index!$A$1:$A$77,0)),"")</f>
        <v>Winston</v>
      </c>
      <c r="AW489" s="123">
        <f t="shared" si="9"/>
        <v>48</v>
      </c>
      <c r="AX489" s="113">
        <v>13</v>
      </c>
    </row>
    <row r="490" spans="1:50" x14ac:dyDescent="0.25">
      <c r="A490" s="95" t="s">
        <v>579</v>
      </c>
      <c r="B490" s="96">
        <v>2025</v>
      </c>
      <c r="C490" s="96">
        <v>9</v>
      </c>
      <c r="D490" s="115">
        <v>-1.0224599999999999</v>
      </c>
      <c r="E490" s="115">
        <v>-0.20552500000000001</v>
      </c>
      <c r="F490" s="115">
        <v>0.64676599999999995</v>
      </c>
      <c r="G490" s="115">
        <v>48.140599999999999</v>
      </c>
      <c r="H490" s="115">
        <v>0.13869999999999999</v>
      </c>
      <c r="I490" s="115">
        <v>183</v>
      </c>
      <c r="J490" s="115">
        <v>276</v>
      </c>
      <c r="K490" s="115">
        <v>0.66300000000000003</v>
      </c>
      <c r="L490" s="115">
        <v>1.2717000000000001</v>
      </c>
      <c r="M490" s="115">
        <v>1978</v>
      </c>
      <c r="N490" s="115">
        <v>7.1666999999999996</v>
      </c>
      <c r="O490" s="115">
        <v>11</v>
      </c>
      <c r="P490" s="115">
        <v>6</v>
      </c>
      <c r="Q490" s="115">
        <v>19</v>
      </c>
      <c r="R490" s="115">
        <v>27</v>
      </c>
      <c r="S490" s="115">
        <v>190</v>
      </c>
      <c r="T490" s="115">
        <v>7.0369999999999999</v>
      </c>
      <c r="U490" s="115">
        <v>0</v>
      </c>
      <c r="V490" s="115">
        <v>3.9899999999999998E-2</v>
      </c>
      <c r="W490" s="115">
        <v>2.1700000000000001E-2</v>
      </c>
      <c r="X490" s="115">
        <v>1.8100000000000002E-2</v>
      </c>
      <c r="Y490" s="115">
        <v>0.48699999999999999</v>
      </c>
      <c r="Z490" s="115">
        <v>91.4251</v>
      </c>
      <c r="AA490" s="115">
        <v>5.9661</v>
      </c>
      <c r="AB490" s="115">
        <v>159.24600000000001</v>
      </c>
      <c r="AC490" s="115">
        <v>66.099999999999994</v>
      </c>
      <c r="AD490" s="115">
        <v>3.1199999999999999E-2</v>
      </c>
      <c r="AE490" s="115">
        <v>5.0000000000000001E-3</v>
      </c>
      <c r="AF490" s="115">
        <v>2.93E-2</v>
      </c>
      <c r="AG490" s="115">
        <v>2.0899999999999998E-2</v>
      </c>
      <c r="AH490" s="115">
        <v>2.1100000000000001E-2</v>
      </c>
      <c r="AI490" s="115">
        <v>-2.1000000000000001E-2</v>
      </c>
      <c r="AJ490" s="115">
        <v>-1.6299999999999999E-2</v>
      </c>
      <c r="AK490" s="115">
        <v>8.2716999999999992</v>
      </c>
      <c r="AL490" s="115">
        <v>-0.71379999999999999</v>
      </c>
      <c r="AM490" s="115">
        <v>4</v>
      </c>
      <c r="AN490" s="115">
        <v>5</v>
      </c>
      <c r="AO490" s="115">
        <v>0</v>
      </c>
      <c r="AP490" s="115">
        <v>0</v>
      </c>
      <c r="AQ490" s="115">
        <v>3</v>
      </c>
      <c r="AR490" s="115">
        <v>0</v>
      </c>
      <c r="AS490" s="115">
        <v>1.9E-3</v>
      </c>
      <c r="AT490" s="115">
        <v>0.65580000000000005</v>
      </c>
      <c r="AU490" s="114" t="str">
        <f>IF(A490&lt;&gt;"",INDEX(Index!$B$1:$B$77,MATCH($A490,Index!$A$1:$A$77,0)),"")</f>
        <v>HOU</v>
      </c>
      <c r="AV490" s="123" t="str">
        <f>IF(B490&lt;&gt;"",INDEX(Index!$C$1:$C$77,MATCH($A490,Index!$A$1:$A$77,0)),"")</f>
        <v>Stroud</v>
      </c>
      <c r="AW490" s="123">
        <f t="shared" si="9"/>
        <v>20</v>
      </c>
      <c r="AX490" s="113">
        <v>13</v>
      </c>
    </row>
    <row r="491" spans="1:50" x14ac:dyDescent="0.25">
      <c r="A491" s="95" t="s">
        <v>577</v>
      </c>
      <c r="B491" s="96">
        <v>2025</v>
      </c>
      <c r="C491" s="96">
        <v>10</v>
      </c>
      <c r="D491" s="115">
        <v>-1.04501</v>
      </c>
      <c r="E491" s="115">
        <v>-0.397565</v>
      </c>
      <c r="F491" s="115">
        <v>5.2841800000000001E-2</v>
      </c>
      <c r="G491" s="115">
        <v>-35.308</v>
      </c>
      <c r="H491" s="115">
        <v>-7.6799999999999993E-2</v>
      </c>
      <c r="I491" s="115">
        <v>247</v>
      </c>
      <c r="J491" s="115">
        <v>406</v>
      </c>
      <c r="K491" s="115">
        <v>0.60840000000000005</v>
      </c>
      <c r="L491" s="115">
        <v>-2.9264999999999999</v>
      </c>
      <c r="M491" s="115">
        <v>2451</v>
      </c>
      <c r="N491" s="115">
        <v>6.0369000000000002</v>
      </c>
      <c r="O491" s="115">
        <v>15</v>
      </c>
      <c r="P491" s="115">
        <v>10</v>
      </c>
      <c r="Q491" s="115">
        <v>18</v>
      </c>
      <c r="R491" s="115">
        <v>10</v>
      </c>
      <c r="S491" s="115">
        <v>45</v>
      </c>
      <c r="T491" s="115">
        <v>4.5</v>
      </c>
      <c r="U491" s="115">
        <v>1</v>
      </c>
      <c r="V491" s="115">
        <v>3.6900000000000002E-2</v>
      </c>
      <c r="W491" s="115">
        <v>2.46E-2</v>
      </c>
      <c r="X491" s="115">
        <v>1.23E-2</v>
      </c>
      <c r="Y491" s="115">
        <v>0.42609999999999998</v>
      </c>
      <c r="Z491" s="115">
        <v>79.987700000000004</v>
      </c>
      <c r="AA491" s="115">
        <v>5.1486000000000001</v>
      </c>
      <c r="AB491" s="115">
        <v>138.00299999999999</v>
      </c>
      <c r="AC491" s="115">
        <v>42.4</v>
      </c>
      <c r="AD491" s="115">
        <v>-1.7999999999999999E-2</v>
      </c>
      <c r="AE491" s="115">
        <v>1.06E-2</v>
      </c>
      <c r="AF491" s="115">
        <v>-4.0500000000000001E-2</v>
      </c>
      <c r="AG491" s="115">
        <v>-3.1099999999999999E-2</v>
      </c>
      <c r="AH491" s="115">
        <v>-4.7500000000000001E-2</v>
      </c>
      <c r="AI491" s="115">
        <v>-1.4200000000000001E-2</v>
      </c>
      <c r="AJ491" s="115">
        <v>-4.5999999999999999E-3</v>
      </c>
      <c r="AK491" s="115">
        <v>7.4606000000000003</v>
      </c>
      <c r="AL491" s="115">
        <v>-1.5048999999999999</v>
      </c>
      <c r="AM491" s="115">
        <v>2</v>
      </c>
      <c r="AN491" s="115">
        <v>8</v>
      </c>
      <c r="AO491" s="115">
        <v>0</v>
      </c>
      <c r="AP491" s="115">
        <v>2</v>
      </c>
      <c r="AQ491" s="115">
        <v>6</v>
      </c>
      <c r="AR491" s="115">
        <v>0.33329999999999999</v>
      </c>
      <c r="AS491" s="115">
        <v>-2.0999999999999999E-3</v>
      </c>
      <c r="AT491" s="115">
        <v>-0.9879</v>
      </c>
      <c r="AU491" s="114" t="str">
        <f>IF(A491&lt;&gt;"",INDEX(Index!$B$1:$B$77,MATCH($A491,Index!$A$1:$A$77,0)),"")</f>
        <v>CIN</v>
      </c>
      <c r="AV491" s="123" t="str">
        <f>IF(B491&lt;&gt;"",INDEX(Index!$C$1:$C$77,MATCH($A491,Index!$A$1:$A$77,0)),"")</f>
        <v>Flacco</v>
      </c>
      <c r="AW491" s="123">
        <f t="shared" si="9"/>
        <v>23</v>
      </c>
      <c r="AX491" s="113">
        <v>13</v>
      </c>
    </row>
    <row r="492" spans="1:50" x14ac:dyDescent="0.25">
      <c r="A492" s="95" t="s">
        <v>571</v>
      </c>
      <c r="B492" s="96">
        <v>2025</v>
      </c>
      <c r="C492" s="96">
        <v>12</v>
      </c>
      <c r="D492" s="115">
        <v>-1.1147100000000001</v>
      </c>
      <c r="E492" s="115">
        <v>9.9701499999999998E-2</v>
      </c>
      <c r="F492" s="115">
        <v>-0.80030100000000004</v>
      </c>
      <c r="G492" s="115">
        <v>9.2249999999999996</v>
      </c>
      <c r="H492" s="115">
        <v>1.84E-2</v>
      </c>
      <c r="I492" s="115">
        <v>236</v>
      </c>
      <c r="J492" s="115">
        <v>392</v>
      </c>
      <c r="K492" s="115">
        <v>0.60199999999999998</v>
      </c>
      <c r="L492" s="115">
        <v>-4.5923999999999996</v>
      </c>
      <c r="M492" s="115">
        <v>2636</v>
      </c>
      <c r="N492" s="115">
        <v>6.7244999999999999</v>
      </c>
      <c r="O492" s="115">
        <v>16</v>
      </c>
      <c r="P492" s="115">
        <v>11</v>
      </c>
      <c r="Q492" s="115">
        <v>32</v>
      </c>
      <c r="R492" s="115">
        <v>48</v>
      </c>
      <c r="S492" s="115">
        <v>244</v>
      </c>
      <c r="T492" s="115">
        <v>5.0833000000000004</v>
      </c>
      <c r="U492" s="115">
        <v>5</v>
      </c>
      <c r="V492" s="115">
        <v>4.0800000000000003E-2</v>
      </c>
      <c r="W492" s="115">
        <v>2.81E-2</v>
      </c>
      <c r="X492" s="115">
        <v>1.2800000000000001E-2</v>
      </c>
      <c r="Y492" s="115">
        <v>0.47010000000000002</v>
      </c>
      <c r="Z492" s="115">
        <v>82.185400000000001</v>
      </c>
      <c r="AA492" s="115">
        <v>5.3254999999999999</v>
      </c>
      <c r="AB492" s="115">
        <v>133.48099999999999</v>
      </c>
      <c r="AC492" s="115">
        <v>44.5</v>
      </c>
      <c r="AD492" s="115">
        <v>-1E-3</v>
      </c>
      <c r="AE492" s="115">
        <v>4.1000000000000003E-3</v>
      </c>
      <c r="AF492" s="115">
        <v>-3.3300000000000003E-2</v>
      </c>
      <c r="AG492" s="115">
        <v>-1.9599999999999999E-2</v>
      </c>
      <c r="AH492" s="115">
        <v>4.5699999999999998E-2</v>
      </c>
      <c r="AI492" s="115">
        <v>-5.2900000000000003E-2</v>
      </c>
      <c r="AJ492" s="115">
        <v>6.7999999999999996E-3</v>
      </c>
      <c r="AK492" s="115">
        <v>8.3239999999999998</v>
      </c>
      <c r="AL492" s="115">
        <v>-0.85460000000000003</v>
      </c>
      <c r="AM492" s="115">
        <v>8</v>
      </c>
      <c r="AN492" s="115">
        <v>4</v>
      </c>
      <c r="AO492" s="115">
        <v>0</v>
      </c>
      <c r="AP492" s="115">
        <v>3</v>
      </c>
      <c r="AQ492" s="115">
        <v>6</v>
      </c>
      <c r="AR492" s="115">
        <v>0.5</v>
      </c>
      <c r="AS492" s="115">
        <v>1.2999999999999999E-3</v>
      </c>
      <c r="AT492" s="115">
        <v>0.63980000000000004</v>
      </c>
      <c r="AU492" s="114" t="str">
        <f>IF(A492&lt;&gt;"",INDEX(Index!$B$1:$B$77,MATCH($A492,Index!$A$1:$A$77,0)),"")</f>
        <v>JAX</v>
      </c>
      <c r="AV492" s="123" t="str">
        <f>IF(B492&lt;&gt;"",INDEX(Index!$C$1:$C$77,MATCH($A492,Index!$A$1:$A$77,0)),"")</f>
        <v>Lawrence</v>
      </c>
      <c r="AW492" s="123">
        <f t="shared" si="9"/>
        <v>5</v>
      </c>
      <c r="AX492" s="113">
        <v>13</v>
      </c>
    </row>
    <row r="493" spans="1:50" x14ac:dyDescent="0.25">
      <c r="A493" s="95" t="s">
        <v>569</v>
      </c>
      <c r="B493" s="96">
        <v>2025</v>
      </c>
      <c r="C493" s="96">
        <v>9</v>
      </c>
      <c r="D493" s="115">
        <v>-1.2777700000000001</v>
      </c>
      <c r="E493" s="115">
        <v>0.21746399999999999</v>
      </c>
      <c r="F493" s="115">
        <v>-1.01745</v>
      </c>
      <c r="G493" s="115">
        <v>-10.984999999999999</v>
      </c>
      <c r="H493" s="115">
        <v>-3.5999999999999997E-2</v>
      </c>
      <c r="I493" s="115">
        <v>128</v>
      </c>
      <c r="J493" s="115">
        <v>202</v>
      </c>
      <c r="K493" s="115">
        <v>0.63370000000000004</v>
      </c>
      <c r="L493" s="115">
        <v>-1.8688</v>
      </c>
      <c r="M493" s="115">
        <v>1242</v>
      </c>
      <c r="N493" s="115">
        <v>6.1485000000000003</v>
      </c>
      <c r="O493" s="115">
        <v>7</v>
      </c>
      <c r="P493" s="115">
        <v>1</v>
      </c>
      <c r="Q493" s="115">
        <v>27</v>
      </c>
      <c r="R493" s="115">
        <v>65</v>
      </c>
      <c r="S493" s="115">
        <v>387</v>
      </c>
      <c r="T493" s="115">
        <v>5.9538000000000002</v>
      </c>
      <c r="U493" s="115">
        <v>4</v>
      </c>
      <c r="V493" s="115">
        <v>3.4700000000000002E-2</v>
      </c>
      <c r="W493" s="115">
        <v>5.0000000000000001E-3</v>
      </c>
      <c r="X493" s="115">
        <v>2.9700000000000001E-2</v>
      </c>
      <c r="Y493" s="115">
        <v>0.44919999999999999</v>
      </c>
      <c r="Z493" s="115">
        <v>89.995900000000006</v>
      </c>
      <c r="AA493" s="115">
        <v>5</v>
      </c>
      <c r="AB493" s="115">
        <v>128.06</v>
      </c>
      <c r="AC493" s="115">
        <v>38.6</v>
      </c>
      <c r="AD493" s="115">
        <v>1.89E-2</v>
      </c>
      <c r="AE493" s="115">
        <v>-3.2099999999999997E-2</v>
      </c>
      <c r="AF493" s="115">
        <v>3.2599999999999997E-2</v>
      </c>
      <c r="AG493" s="115">
        <v>5.8000000000000003E-2</v>
      </c>
      <c r="AH493" s="115">
        <v>-4.2099999999999999E-2</v>
      </c>
      <c r="AI493" s="115">
        <v>-0.10929999999999999</v>
      </c>
      <c r="AJ493" s="115">
        <v>-3.0599999999999999E-2</v>
      </c>
      <c r="AK493" s="115">
        <v>6.8266999999999998</v>
      </c>
      <c r="AL493" s="115">
        <v>-2.1484999999999999</v>
      </c>
      <c r="AM493" s="115">
        <v>2</v>
      </c>
      <c r="AN493" s="115">
        <v>7</v>
      </c>
      <c r="AO493" s="115">
        <v>0</v>
      </c>
      <c r="AP493" s="115">
        <v>1</v>
      </c>
      <c r="AQ493" s="115">
        <v>4</v>
      </c>
      <c r="AR493" s="115">
        <v>0.25</v>
      </c>
      <c r="AS493" s="115">
        <v>-4.0000000000000001E-3</v>
      </c>
      <c r="AT493" s="115">
        <v>-1.2298</v>
      </c>
      <c r="AU493" s="114" t="str">
        <f>IF(A493&lt;&gt;"",INDEX(Index!$B$1:$B$77,MATCH($A493,Index!$A$1:$A$77,0)),"")</f>
        <v>NYJ</v>
      </c>
      <c r="AV493" s="123" t="str">
        <f>IF(B493&lt;&gt;"",INDEX(Index!$C$1:$C$77,MATCH($A493,Index!$A$1:$A$77,0)),"")</f>
        <v>Fields</v>
      </c>
      <c r="AW493" s="123">
        <f t="shared" si="9"/>
        <v>7</v>
      </c>
      <c r="AX493" s="113">
        <v>13</v>
      </c>
    </row>
    <row r="494" spans="1:50" x14ac:dyDescent="0.25">
      <c r="A494" s="95" t="s">
        <v>592</v>
      </c>
      <c r="B494" s="96">
        <v>2025</v>
      </c>
      <c r="C494" s="96">
        <v>1</v>
      </c>
      <c r="D494" s="115">
        <v>-1.3903300000000001</v>
      </c>
      <c r="E494" s="115">
        <v>0.366983</v>
      </c>
      <c r="F494" s="115">
        <v>0.366983</v>
      </c>
      <c r="G494" s="115">
        <v>7.5486000000000004</v>
      </c>
      <c r="H494" s="115">
        <v>0.13719999999999999</v>
      </c>
      <c r="I494" s="115">
        <v>27</v>
      </c>
      <c r="J494" s="115">
        <v>36</v>
      </c>
      <c r="K494" s="115">
        <v>0.75</v>
      </c>
      <c r="L494" s="115">
        <v>10.9704</v>
      </c>
      <c r="M494" s="115">
        <v>254</v>
      </c>
      <c r="N494" s="115">
        <v>7.0556000000000001</v>
      </c>
      <c r="O494" s="115">
        <v>1</v>
      </c>
      <c r="P494" s="115">
        <v>0</v>
      </c>
      <c r="Q494" s="115">
        <v>6</v>
      </c>
      <c r="R494" s="115">
        <v>11</v>
      </c>
      <c r="S494" s="115">
        <v>92</v>
      </c>
      <c r="T494" s="115">
        <v>8.3635999999999999</v>
      </c>
      <c r="U494" s="115">
        <v>0</v>
      </c>
      <c r="V494" s="115">
        <v>2.7799999999999998E-2</v>
      </c>
      <c r="W494" s="115">
        <v>0</v>
      </c>
      <c r="X494" s="115">
        <v>2.7799999999999998E-2</v>
      </c>
      <c r="Y494" s="115">
        <v>0.5091</v>
      </c>
      <c r="Z494" s="115">
        <v>103.241</v>
      </c>
      <c r="AA494" s="115">
        <v>5.7857000000000003</v>
      </c>
      <c r="AB494" s="115">
        <v>232.892</v>
      </c>
      <c r="AC494" s="115">
        <v>85.1</v>
      </c>
      <c r="AD494" s="115">
        <v>0.1333</v>
      </c>
      <c r="AE494" s="115">
        <v>-1.54E-2</v>
      </c>
      <c r="AF494" s="115">
        <v>3.4599999999999999E-2</v>
      </c>
      <c r="AG494" s="115">
        <v>7.5700000000000003E-2</v>
      </c>
      <c r="AH494" s="115">
        <v>-6.9999999999999999E-4</v>
      </c>
      <c r="AI494" s="115">
        <v>-0.1421</v>
      </c>
      <c r="AJ494" s="115">
        <v>-1.67E-2</v>
      </c>
      <c r="AK494" s="115">
        <v>8.1943999999999999</v>
      </c>
      <c r="AL494" s="115">
        <v>-1.4443999999999999</v>
      </c>
      <c r="AM494" s="115">
        <v>1</v>
      </c>
      <c r="AN494" s="115">
        <v>1</v>
      </c>
      <c r="AO494" s="115">
        <v>0</v>
      </c>
      <c r="AP494" s="115">
        <v>0</v>
      </c>
      <c r="AQ494" s="115">
        <v>0</v>
      </c>
      <c r="AR494" s="115"/>
      <c r="AS494" s="115">
        <v>3.8E-3</v>
      </c>
      <c r="AT494" s="115">
        <v>0.21</v>
      </c>
      <c r="AU494" s="114" t="str">
        <f>IF(A494&lt;&gt;"",INDEX(Index!$B$1:$B$77,MATCH($A494,Index!$A$1:$A$77,0)),"")</f>
        <v>BAL</v>
      </c>
      <c r="AV494" s="123" t="str">
        <f>IF(B494&lt;&gt;"",INDEX(Index!$C$1:$C$77,MATCH($A494,Index!$A$1:$A$77,0)),"")</f>
        <v>Huntley</v>
      </c>
      <c r="AW494" s="123">
        <f t="shared" si="9"/>
        <v>42</v>
      </c>
      <c r="AX494" s="113">
        <v>13</v>
      </c>
    </row>
    <row r="495" spans="1:50" x14ac:dyDescent="0.25">
      <c r="A495" s="95" t="s">
        <v>576</v>
      </c>
      <c r="B495" s="96">
        <v>2025</v>
      </c>
      <c r="C495" s="96">
        <v>12</v>
      </c>
      <c r="D495" s="115">
        <v>-1.42472</v>
      </c>
      <c r="E495" s="115">
        <v>0.527084</v>
      </c>
      <c r="F495" s="115">
        <v>-0.16885500000000001</v>
      </c>
      <c r="G495" s="115">
        <v>12.093299999999999</v>
      </c>
      <c r="H495" s="115">
        <v>2.7900000000000001E-2</v>
      </c>
      <c r="I495" s="115">
        <v>230</v>
      </c>
      <c r="J495" s="115">
        <v>362</v>
      </c>
      <c r="K495" s="115">
        <v>0.63539999999999996</v>
      </c>
      <c r="L495" s="115">
        <v>-0.27839999999999998</v>
      </c>
      <c r="M495" s="115">
        <v>2337</v>
      </c>
      <c r="N495" s="115">
        <v>6.4558</v>
      </c>
      <c r="O495" s="115">
        <v>18</v>
      </c>
      <c r="P495" s="115">
        <v>9</v>
      </c>
      <c r="Q495" s="115">
        <v>22</v>
      </c>
      <c r="R495" s="115">
        <v>21</v>
      </c>
      <c r="S495" s="115">
        <v>134</v>
      </c>
      <c r="T495" s="115">
        <v>6.3810000000000002</v>
      </c>
      <c r="U495" s="115">
        <v>1</v>
      </c>
      <c r="V495" s="115">
        <v>4.9700000000000001E-2</v>
      </c>
      <c r="W495" s="115">
        <v>2.4899999999999999E-2</v>
      </c>
      <c r="X495" s="115">
        <v>2.4899999999999999E-2</v>
      </c>
      <c r="Y495" s="115">
        <v>0.4677</v>
      </c>
      <c r="Z495" s="115">
        <v>88.144599999999997</v>
      </c>
      <c r="AA495" s="115">
        <v>5.5468999999999999</v>
      </c>
      <c r="AB495" s="115">
        <v>126.621</v>
      </c>
      <c r="AC495" s="115">
        <v>45.6</v>
      </c>
      <c r="AD495" s="115">
        <v>-6.0000000000000001E-3</v>
      </c>
      <c r="AE495" s="115">
        <v>-1.1299999999999999E-2</v>
      </c>
      <c r="AF495" s="115">
        <v>-1.9300000000000001E-2</v>
      </c>
      <c r="AG495" s="115">
        <v>-2.4500000000000001E-2</v>
      </c>
      <c r="AH495" s="115">
        <v>-2.3599999999999999E-2</v>
      </c>
      <c r="AI495" s="115">
        <v>2.3300000000000001E-2</v>
      </c>
      <c r="AJ495" s="115">
        <v>2.07E-2</v>
      </c>
      <c r="AK495" s="115">
        <v>6.4806999999999997</v>
      </c>
      <c r="AL495" s="115">
        <v>-1.8867</v>
      </c>
      <c r="AM495" s="115">
        <v>7</v>
      </c>
      <c r="AN495" s="115">
        <v>5</v>
      </c>
      <c r="AO495" s="115">
        <v>0</v>
      </c>
      <c r="AP495" s="115">
        <v>4</v>
      </c>
      <c r="AQ495" s="115">
        <v>6</v>
      </c>
      <c r="AR495" s="115">
        <v>0.66669999999999996</v>
      </c>
      <c r="AS495" s="115">
        <v>2.2000000000000001E-3</v>
      </c>
      <c r="AT495" s="115">
        <v>0.9486</v>
      </c>
      <c r="AU495" s="114" t="str">
        <f>IF(A495&lt;&gt;"",INDEX(Index!$B$1:$B$77,MATCH($A495,Index!$A$1:$A$77,0)),"")</f>
        <v>CAR</v>
      </c>
      <c r="AV495" s="123" t="str">
        <f>IF(B495&lt;&gt;"",INDEX(Index!$C$1:$C$77,MATCH($A495,Index!$A$1:$A$77,0)),"")</f>
        <v>Young</v>
      </c>
      <c r="AW495" s="123">
        <f t="shared" si="9"/>
        <v>16</v>
      </c>
      <c r="AX495" s="113">
        <v>13</v>
      </c>
    </row>
    <row r="496" spans="1:50" x14ac:dyDescent="0.25">
      <c r="A496" s="95" t="s">
        <v>595</v>
      </c>
      <c r="B496" s="96">
        <v>2025</v>
      </c>
      <c r="C496" s="96">
        <v>3</v>
      </c>
      <c r="D496" s="115">
        <v>-1.46305</v>
      </c>
      <c r="E496" s="115">
        <v>0.156083</v>
      </c>
      <c r="F496" s="115">
        <v>0.53834000000000004</v>
      </c>
      <c r="G496" s="115">
        <v>-5.3174000000000001</v>
      </c>
      <c r="H496" s="115">
        <v>-3.0700000000000002E-2</v>
      </c>
      <c r="I496" s="115">
        <v>88</v>
      </c>
      <c r="J496" s="115">
        <v>150</v>
      </c>
      <c r="K496" s="115">
        <v>0.5867</v>
      </c>
      <c r="L496" s="115">
        <v>-5.2324999999999999</v>
      </c>
      <c r="M496" s="115">
        <v>879</v>
      </c>
      <c r="N496" s="115">
        <v>5.86</v>
      </c>
      <c r="O496" s="115">
        <v>5</v>
      </c>
      <c r="P496" s="115">
        <v>1</v>
      </c>
      <c r="Q496" s="115">
        <v>8</v>
      </c>
      <c r="R496" s="115">
        <v>8</v>
      </c>
      <c r="S496" s="115">
        <v>51</v>
      </c>
      <c r="T496" s="115">
        <v>6.375</v>
      </c>
      <c r="U496" s="115">
        <v>1</v>
      </c>
      <c r="V496" s="115">
        <v>3.3300000000000003E-2</v>
      </c>
      <c r="W496" s="115">
        <v>6.7000000000000002E-3</v>
      </c>
      <c r="X496" s="115">
        <v>2.6700000000000002E-2</v>
      </c>
      <c r="Y496" s="115">
        <v>0.41620000000000001</v>
      </c>
      <c r="Z496" s="115">
        <v>83.722200000000001</v>
      </c>
      <c r="AA496" s="115">
        <v>5.5316000000000001</v>
      </c>
      <c r="AB496" s="115">
        <v>178.798</v>
      </c>
      <c r="AC496" s="115">
        <v>45.6</v>
      </c>
      <c r="AD496" s="115">
        <v>-9.2999999999999992E-3</v>
      </c>
      <c r="AE496" s="115">
        <v>1.5599999999999999E-2</v>
      </c>
      <c r="AF496" s="115">
        <v>-6.5799999999999997E-2</v>
      </c>
      <c r="AG496" s="115">
        <v>4.3700000000000003E-2</v>
      </c>
      <c r="AH496" s="115">
        <v>0.113</v>
      </c>
      <c r="AI496" s="115">
        <v>-0.1835</v>
      </c>
      <c r="AJ496" s="115">
        <v>-1.3100000000000001E-2</v>
      </c>
      <c r="AK496" s="115">
        <v>8.7066999999999997</v>
      </c>
      <c r="AL496" s="115">
        <v>-0.16669999999999999</v>
      </c>
      <c r="AM496" s="115">
        <v>4</v>
      </c>
      <c r="AN496" s="115">
        <v>1</v>
      </c>
      <c r="AO496" s="115">
        <v>0</v>
      </c>
      <c r="AP496" s="115">
        <v>1</v>
      </c>
      <c r="AQ496" s="115">
        <v>1</v>
      </c>
      <c r="AR496" s="115">
        <v>1</v>
      </c>
      <c r="AS496" s="115">
        <v>8.0000000000000004E-4</v>
      </c>
      <c r="AT496" s="115">
        <v>0.1444</v>
      </c>
      <c r="AU496" s="114" t="str">
        <f>IF(A496&lt;&gt;"",INDEX(Index!$B$1:$B$77,MATCH($A496,Index!$A$1:$A$77,0)),"")</f>
        <v>HOU</v>
      </c>
      <c r="AV496" s="123" t="str">
        <f>IF(B496&lt;&gt;"",INDEX(Index!$C$1:$C$77,MATCH($A496,Index!$A$1:$A$77,0)),"")</f>
        <v>Mills</v>
      </c>
      <c r="AW496" s="123">
        <f t="shared" si="9"/>
        <v>40</v>
      </c>
      <c r="AX496" s="113">
        <v>13</v>
      </c>
    </row>
    <row r="497" spans="1:50" x14ac:dyDescent="0.25">
      <c r="A497" s="95" t="s">
        <v>597</v>
      </c>
      <c r="B497" s="96">
        <v>2025</v>
      </c>
      <c r="C497" s="96">
        <v>1</v>
      </c>
      <c r="D497" s="115">
        <v>-1.47326</v>
      </c>
      <c r="E497" s="115">
        <v>-9.4016100000000005E-2</v>
      </c>
      <c r="F497" s="115">
        <v>-9.4016100000000005E-2</v>
      </c>
      <c r="G497" s="115">
        <v>6.1036999999999999</v>
      </c>
      <c r="H497" s="115">
        <v>0.10009999999999999</v>
      </c>
      <c r="I497" s="115">
        <v>38</v>
      </c>
      <c r="J497" s="115">
        <v>52</v>
      </c>
      <c r="K497" s="115">
        <v>0.73080000000000001</v>
      </c>
      <c r="L497" s="115">
        <v>5.7622999999999998</v>
      </c>
      <c r="M497" s="115">
        <v>310</v>
      </c>
      <c r="N497" s="115">
        <v>5.9615</v>
      </c>
      <c r="O497" s="115">
        <v>2</v>
      </c>
      <c r="P497" s="115">
        <v>2</v>
      </c>
      <c r="Q497" s="115">
        <v>2</v>
      </c>
      <c r="R497" s="115">
        <v>3</v>
      </c>
      <c r="S497" s="115">
        <v>7</v>
      </c>
      <c r="T497" s="115">
        <v>2.3332999999999999</v>
      </c>
      <c r="U497" s="115">
        <v>0</v>
      </c>
      <c r="V497" s="115">
        <v>3.85E-2</v>
      </c>
      <c r="W497" s="115">
        <v>3.85E-2</v>
      </c>
      <c r="X497" s="115">
        <v>0</v>
      </c>
      <c r="Y497" s="115">
        <v>0.52459999999999996</v>
      </c>
      <c r="Z497" s="115">
        <v>84.615399999999994</v>
      </c>
      <c r="AA497" s="115">
        <v>4.5926</v>
      </c>
      <c r="AB497" s="115">
        <v>110.53400000000001</v>
      </c>
      <c r="AC497" s="115"/>
      <c r="AD497" s="115">
        <v>-8.8000000000000005E-3</v>
      </c>
      <c r="AE497" s="115">
        <v>-2.2000000000000001E-3</v>
      </c>
      <c r="AF497" s="115">
        <v>0.1336</v>
      </c>
      <c r="AG497" s="115">
        <v>-5.8000000000000003E-2</v>
      </c>
      <c r="AH497" s="115">
        <v>-0.35809999999999997</v>
      </c>
      <c r="AI497" s="115">
        <v>0.31130000000000002</v>
      </c>
      <c r="AJ497" s="115">
        <v>1.37E-2</v>
      </c>
      <c r="AK497" s="115">
        <v>5.2308000000000003</v>
      </c>
      <c r="AL497" s="115">
        <v>-2.9037999999999999</v>
      </c>
      <c r="AM497" s="115">
        <v>1</v>
      </c>
      <c r="AN497" s="115">
        <v>3</v>
      </c>
      <c r="AO497" s="115">
        <v>0</v>
      </c>
      <c r="AP497" s="115">
        <v>0</v>
      </c>
      <c r="AQ497" s="115">
        <v>1</v>
      </c>
      <c r="AR497" s="115">
        <v>0</v>
      </c>
      <c r="AS497" s="115">
        <v>-3.8E-3</v>
      </c>
      <c r="AT497" s="115">
        <v>-0.2298</v>
      </c>
      <c r="AU497" s="114" t="str">
        <f>IF(A497&lt;&gt;"",INDEX(Index!$B$1:$B$77,MATCH($A497,Index!$A$1:$A$77,0)),"")</f>
        <v>PIT</v>
      </c>
      <c r="AV497" s="123" t="str">
        <f>IF(B497&lt;&gt;"",INDEX(Index!$C$1:$C$77,MATCH($A497,Index!$A$1:$A$77,0)),"")</f>
        <v>Rudolph</v>
      </c>
      <c r="AW497" s="123">
        <f t="shared" si="9"/>
        <v>49</v>
      </c>
      <c r="AX497" s="113">
        <v>13</v>
      </c>
    </row>
    <row r="498" spans="1:50" x14ac:dyDescent="0.25">
      <c r="A498" s="95" t="s">
        <v>584</v>
      </c>
      <c r="B498" s="96">
        <v>2025</v>
      </c>
      <c r="C498" s="96">
        <v>3</v>
      </c>
      <c r="D498" s="115">
        <v>-1.49648</v>
      </c>
      <c r="E498" s="115">
        <v>0.252141</v>
      </c>
      <c r="F498" s="115">
        <v>0.13491900000000001</v>
      </c>
      <c r="G498" s="115">
        <v>1.7709999999999999</v>
      </c>
      <c r="H498" s="115">
        <v>1.01E-2</v>
      </c>
      <c r="I498" s="115">
        <v>79</v>
      </c>
      <c r="J498" s="115">
        <v>129</v>
      </c>
      <c r="K498" s="115">
        <v>0.61240000000000006</v>
      </c>
      <c r="L498" s="115">
        <v>9.9199999999999997E-2</v>
      </c>
      <c r="M498" s="115">
        <v>773</v>
      </c>
      <c r="N498" s="115">
        <v>5.9922000000000004</v>
      </c>
      <c r="O498" s="115">
        <v>5</v>
      </c>
      <c r="P498" s="115">
        <v>4</v>
      </c>
      <c r="Q498" s="115">
        <v>14</v>
      </c>
      <c r="R498" s="115">
        <v>25</v>
      </c>
      <c r="S498" s="115">
        <v>145</v>
      </c>
      <c r="T498" s="115">
        <v>5.8</v>
      </c>
      <c r="U498" s="115">
        <v>1</v>
      </c>
      <c r="V498" s="115">
        <v>3.8800000000000001E-2</v>
      </c>
      <c r="W498" s="115">
        <v>3.1E-2</v>
      </c>
      <c r="X498" s="115">
        <v>7.7999999999999996E-3</v>
      </c>
      <c r="Y498" s="115">
        <v>0.44890000000000002</v>
      </c>
      <c r="Z498" s="115">
        <v>78.084599999999995</v>
      </c>
      <c r="AA498" s="115">
        <v>4.2727000000000004</v>
      </c>
      <c r="AB498" s="115">
        <v>143.18299999999999</v>
      </c>
      <c r="AC498" s="115">
        <v>57.5</v>
      </c>
      <c r="AD498" s="115">
        <v>0</v>
      </c>
      <c r="AE498" s="115">
        <v>-1.2999999999999999E-3</v>
      </c>
      <c r="AF498" s="115">
        <v>-2.3099999999999999E-2</v>
      </c>
      <c r="AG498" s="115">
        <v>-1.1999999999999999E-3</v>
      </c>
      <c r="AH498" s="115">
        <v>4.2900000000000001E-2</v>
      </c>
      <c r="AI498" s="115">
        <v>-7.0400000000000004E-2</v>
      </c>
      <c r="AJ498" s="115">
        <v>-5.3E-3</v>
      </c>
      <c r="AK498" s="115">
        <v>8.7363999999999997</v>
      </c>
      <c r="AL498" s="115">
        <v>-0.3256</v>
      </c>
      <c r="AM498" s="115">
        <v>1</v>
      </c>
      <c r="AN498" s="115">
        <v>4</v>
      </c>
      <c r="AO498" s="115">
        <v>0</v>
      </c>
      <c r="AP498" s="115">
        <v>1</v>
      </c>
      <c r="AQ498" s="115">
        <v>2</v>
      </c>
      <c r="AR498" s="115">
        <v>0.5</v>
      </c>
      <c r="AS498" s="115">
        <v>-1.1000000000000001E-3</v>
      </c>
      <c r="AT498" s="115">
        <v>-0.1862</v>
      </c>
      <c r="AU498" s="114" t="str">
        <f>IF(A498&lt;&gt;"",INDEX(Index!$B$1:$B$77,MATCH($A498,Index!$A$1:$A$77,0)),"")</f>
        <v>NYJ</v>
      </c>
      <c r="AV498" s="123" t="str">
        <f>IF(B498&lt;&gt;"",INDEX(Index!$C$1:$C$77,MATCH($A498,Index!$A$1:$A$77,0)),"")</f>
        <v>Taylor</v>
      </c>
      <c r="AW498" s="123">
        <f t="shared" si="9"/>
        <v>33</v>
      </c>
      <c r="AX498" s="113">
        <v>13</v>
      </c>
    </row>
    <row r="499" spans="1:50" x14ac:dyDescent="0.25">
      <c r="A499" s="95" t="s">
        <v>578</v>
      </c>
      <c r="B499" s="96">
        <v>2025</v>
      </c>
      <c r="C499" s="96">
        <v>9</v>
      </c>
      <c r="D499" s="115">
        <v>-1.5418799999999999</v>
      </c>
      <c r="E499" s="115">
        <v>0.10895100000000001</v>
      </c>
      <c r="F499" s="115">
        <v>0.26578200000000002</v>
      </c>
      <c r="G499" s="115">
        <v>19.752199999999998</v>
      </c>
      <c r="H499" s="115">
        <v>6.1199999999999997E-2</v>
      </c>
      <c r="I499" s="115">
        <v>166</v>
      </c>
      <c r="J499" s="115">
        <v>276</v>
      </c>
      <c r="K499" s="115">
        <v>0.60140000000000005</v>
      </c>
      <c r="L499" s="115">
        <v>-3.6196999999999999</v>
      </c>
      <c r="M499" s="115">
        <v>1982</v>
      </c>
      <c r="N499" s="115">
        <v>7.1811999999999996</v>
      </c>
      <c r="O499" s="115">
        <v>9</v>
      </c>
      <c r="P499" s="115">
        <v>3</v>
      </c>
      <c r="Q499" s="115">
        <v>13</v>
      </c>
      <c r="R499" s="115">
        <v>13</v>
      </c>
      <c r="S499" s="115">
        <v>77</v>
      </c>
      <c r="T499" s="115">
        <v>5.9230999999999998</v>
      </c>
      <c r="U499" s="115">
        <v>1</v>
      </c>
      <c r="V499" s="115">
        <v>3.2599999999999997E-2</v>
      </c>
      <c r="W499" s="115">
        <v>1.09E-2</v>
      </c>
      <c r="X499" s="115">
        <v>2.1700000000000001E-2</v>
      </c>
      <c r="Y499" s="115">
        <v>0.4768</v>
      </c>
      <c r="Z499" s="115">
        <v>88.466200000000001</v>
      </c>
      <c r="AA499" s="115">
        <v>6.6643999999999997</v>
      </c>
      <c r="AB499" s="115">
        <v>138.63399999999999</v>
      </c>
      <c r="AC499" s="115">
        <v>57.2</v>
      </c>
      <c r="AD499" s="115">
        <v>5.1000000000000004E-3</v>
      </c>
      <c r="AE499" s="115">
        <v>1.5699999999999999E-2</v>
      </c>
      <c r="AF499" s="115">
        <v>-7.0400000000000004E-2</v>
      </c>
      <c r="AG499" s="115">
        <v>1.78E-2</v>
      </c>
      <c r="AH499" s="115">
        <v>7.3099999999999998E-2</v>
      </c>
      <c r="AI499" s="115">
        <v>-5.7299999999999997E-2</v>
      </c>
      <c r="AJ499" s="115">
        <v>8.3999999999999995E-3</v>
      </c>
      <c r="AK499" s="115">
        <v>8.3332999999999995</v>
      </c>
      <c r="AL499" s="115">
        <v>-0.52900000000000003</v>
      </c>
      <c r="AM499" s="115">
        <v>3</v>
      </c>
      <c r="AN499" s="115">
        <v>6</v>
      </c>
      <c r="AO499" s="115">
        <v>0</v>
      </c>
      <c r="AP499" s="115">
        <v>0</v>
      </c>
      <c r="AQ499" s="115">
        <v>4</v>
      </c>
      <c r="AR499" s="115">
        <v>0</v>
      </c>
      <c r="AS499" s="115">
        <v>3.5000000000000001E-3</v>
      </c>
      <c r="AT499" s="115">
        <v>1.1247</v>
      </c>
      <c r="AU499" s="114" t="str">
        <f>IF(A499&lt;&gt;"",INDEX(Index!$B$1:$B$77,MATCH($A499,Index!$A$1:$A$77,0)),"")</f>
        <v>ATL</v>
      </c>
      <c r="AV499" s="123" t="str">
        <f>IF(B499&lt;&gt;"",INDEX(Index!$C$1:$C$77,MATCH($A499,Index!$A$1:$A$77,0)),"")</f>
        <v>Penix</v>
      </c>
      <c r="AW499" s="123">
        <f t="shared" si="9"/>
        <v>35</v>
      </c>
      <c r="AX499" s="113">
        <v>13</v>
      </c>
    </row>
    <row r="500" spans="1:50" x14ac:dyDescent="0.25">
      <c r="A500" s="95" t="s">
        <v>565</v>
      </c>
      <c r="B500" s="96">
        <v>2025</v>
      </c>
      <c r="C500" s="96">
        <v>12</v>
      </c>
      <c r="D500" s="115">
        <v>-1.63205</v>
      </c>
      <c r="E500" s="115">
        <v>-0.74505600000000005</v>
      </c>
      <c r="F500" s="115">
        <v>-3.01986</v>
      </c>
      <c r="G500" s="115">
        <v>-1.8694</v>
      </c>
      <c r="H500" s="115">
        <v>-4.7999999999999996E-3</v>
      </c>
      <c r="I500" s="115">
        <v>225</v>
      </c>
      <c r="J500" s="115">
        <v>333</v>
      </c>
      <c r="K500" s="115">
        <v>0.67569999999999997</v>
      </c>
      <c r="L500" s="115">
        <v>1.6621999999999999</v>
      </c>
      <c r="M500" s="115">
        <v>2280</v>
      </c>
      <c r="N500" s="115">
        <v>6.8468</v>
      </c>
      <c r="O500" s="115">
        <v>17</v>
      </c>
      <c r="P500" s="115">
        <v>14</v>
      </c>
      <c r="Q500" s="115">
        <v>25</v>
      </c>
      <c r="R500" s="115">
        <v>10</v>
      </c>
      <c r="S500" s="115">
        <v>43</v>
      </c>
      <c r="T500" s="115">
        <v>4.3</v>
      </c>
      <c r="U500" s="115">
        <v>0</v>
      </c>
      <c r="V500" s="115">
        <v>5.11E-2</v>
      </c>
      <c r="W500" s="115">
        <v>4.2000000000000003E-2</v>
      </c>
      <c r="X500" s="115">
        <v>8.9999999999999993E-3</v>
      </c>
      <c r="Y500" s="115">
        <v>0.43190000000000001</v>
      </c>
      <c r="Z500" s="115">
        <v>86.417699999999996</v>
      </c>
      <c r="AA500" s="115">
        <v>5.1228999999999996</v>
      </c>
      <c r="AB500" s="115">
        <v>102.71299999999999</v>
      </c>
      <c r="AC500" s="115">
        <v>40</v>
      </c>
      <c r="AD500" s="115">
        <v>-3.0599999999999999E-2</v>
      </c>
      <c r="AE500" s="115">
        <v>2.3E-3</v>
      </c>
      <c r="AF500" s="115">
        <v>1.9099999999999999E-2</v>
      </c>
      <c r="AG500" s="115">
        <v>-4.5199999999999997E-2</v>
      </c>
      <c r="AH500" s="115">
        <v>-1.8200000000000001E-2</v>
      </c>
      <c r="AI500" s="115">
        <v>3.4299999999999997E-2</v>
      </c>
      <c r="AJ500" s="115">
        <v>-3.5000000000000003E-2</v>
      </c>
      <c r="AK500" s="115">
        <v>7.048</v>
      </c>
      <c r="AL500" s="115">
        <v>-1.8168</v>
      </c>
      <c r="AM500" s="115">
        <v>5</v>
      </c>
      <c r="AN500" s="115">
        <v>7</v>
      </c>
      <c r="AO500" s="115">
        <v>0</v>
      </c>
      <c r="AP500" s="115">
        <v>1</v>
      </c>
      <c r="AQ500" s="115">
        <v>5</v>
      </c>
      <c r="AR500" s="115">
        <v>0.2</v>
      </c>
      <c r="AS500" s="115">
        <v>-1E-4</v>
      </c>
      <c r="AT500" s="115">
        <v>-4.99E-2</v>
      </c>
      <c r="AU500" s="114" t="str">
        <f>IF(A500&lt;&gt;"",INDEX(Index!$B$1:$B$77,MATCH($A500,Index!$A$1:$A$77,0)),"")</f>
        <v>MIA</v>
      </c>
      <c r="AV500" s="123" t="str">
        <f>IF(B500&lt;&gt;"",INDEX(Index!$C$1:$C$77,MATCH($A500,Index!$A$1:$A$77,0)),"")</f>
        <v>Tagovailoa</v>
      </c>
      <c r="AW500" s="123">
        <f t="shared" si="9"/>
        <v>13</v>
      </c>
      <c r="AX500" s="113">
        <v>13</v>
      </c>
    </row>
    <row r="501" spans="1:50" x14ac:dyDescent="0.25">
      <c r="A501" s="95" t="s">
        <v>585</v>
      </c>
      <c r="B501" s="96">
        <v>2025</v>
      </c>
      <c r="C501" s="96">
        <v>3</v>
      </c>
      <c r="D501" s="115">
        <v>-1.86656</v>
      </c>
      <c r="E501" s="115">
        <v>0.13401099999999999</v>
      </c>
      <c r="F501" s="115">
        <v>-0.76969699999999996</v>
      </c>
      <c r="G501" s="115">
        <v>-35.722200000000001</v>
      </c>
      <c r="H501" s="115">
        <v>-0.23200000000000001</v>
      </c>
      <c r="I501" s="115">
        <v>81</v>
      </c>
      <c r="J501" s="115">
        <v>125</v>
      </c>
      <c r="K501" s="115">
        <v>0.64800000000000002</v>
      </c>
      <c r="L501" s="115">
        <v>0.37569999999999998</v>
      </c>
      <c r="M501" s="115">
        <v>771</v>
      </c>
      <c r="N501" s="115">
        <v>6.1680000000000001</v>
      </c>
      <c r="O501" s="115">
        <v>6</v>
      </c>
      <c r="P501" s="115">
        <v>8</v>
      </c>
      <c r="Q501" s="115">
        <v>9</v>
      </c>
      <c r="R501" s="115">
        <v>8</v>
      </c>
      <c r="S501" s="115">
        <v>40</v>
      </c>
      <c r="T501" s="115">
        <v>5</v>
      </c>
      <c r="U501" s="115">
        <v>1</v>
      </c>
      <c r="V501" s="115">
        <v>4.8000000000000001E-2</v>
      </c>
      <c r="W501" s="115">
        <v>6.4000000000000001E-2</v>
      </c>
      <c r="X501" s="115">
        <v>-1.6E-2</v>
      </c>
      <c r="Y501" s="115">
        <v>0.43509999999999999</v>
      </c>
      <c r="Z501" s="115">
        <v>71.116699999999994</v>
      </c>
      <c r="AA501" s="115">
        <v>3.5148999999999999</v>
      </c>
      <c r="AB501" s="115">
        <v>58.973999999999997</v>
      </c>
      <c r="AC501" s="115"/>
      <c r="AD501" s="115">
        <v>1.3299999999999999E-2</v>
      </c>
      <c r="AE501" s="115">
        <v>9.1999999999999998E-3</v>
      </c>
      <c r="AF501" s="115">
        <v>2.8799999999999999E-2</v>
      </c>
      <c r="AG501" s="115">
        <v>-0.17780000000000001</v>
      </c>
      <c r="AH501" s="115">
        <v>-7.9000000000000001E-2</v>
      </c>
      <c r="AI501" s="115">
        <v>-0.13900000000000001</v>
      </c>
      <c r="AJ501" s="115">
        <v>4.3999999999999997E-2</v>
      </c>
      <c r="AK501" s="115">
        <v>7.6719999999999997</v>
      </c>
      <c r="AL501" s="115">
        <v>-1.528</v>
      </c>
      <c r="AM501" s="115">
        <v>1</v>
      </c>
      <c r="AN501" s="115">
        <v>4</v>
      </c>
      <c r="AO501" s="115">
        <v>0</v>
      </c>
      <c r="AP501" s="115">
        <v>1</v>
      </c>
      <c r="AQ501" s="115">
        <v>1</v>
      </c>
      <c r="AR501" s="115">
        <v>1</v>
      </c>
      <c r="AS501" s="115">
        <v>-4.0000000000000002E-4</v>
      </c>
      <c r="AT501" s="115">
        <v>-5.45E-2</v>
      </c>
      <c r="AU501" s="114" t="str">
        <f>IF(A501&lt;&gt;"",INDEX(Index!$B$1:$B$77,MATCH($A501,Index!$A$1:$A$77,0)),"")</f>
        <v>CIN</v>
      </c>
      <c r="AV501" s="123" t="str">
        <f>IF(B501&lt;&gt;"",INDEX(Index!$C$1:$C$77,MATCH($A501,Index!$A$1:$A$77,0)),"")</f>
        <v>Browning</v>
      </c>
      <c r="AW501" s="123">
        <f t="shared" si="9"/>
        <v>39</v>
      </c>
      <c r="AX501" s="113">
        <v>13</v>
      </c>
    </row>
    <row r="502" spans="1:50" x14ac:dyDescent="0.25">
      <c r="A502" s="95" t="s">
        <v>593</v>
      </c>
      <c r="B502" s="96">
        <v>2025</v>
      </c>
      <c r="C502" s="96">
        <v>1</v>
      </c>
      <c r="D502" s="115">
        <v>-2.21068</v>
      </c>
      <c r="E502" s="115">
        <v>-0.78385899999999997</v>
      </c>
      <c r="F502" s="115">
        <v>-0.78385899999999997</v>
      </c>
      <c r="G502" s="115">
        <v>-8.7080000000000002</v>
      </c>
      <c r="H502" s="115">
        <v>-0.18140000000000001</v>
      </c>
      <c r="I502" s="115">
        <v>25</v>
      </c>
      <c r="J502" s="115">
        <v>37</v>
      </c>
      <c r="K502" s="115">
        <v>0.67569999999999997</v>
      </c>
      <c r="L502" s="115">
        <v>6.5959000000000003</v>
      </c>
      <c r="M502" s="115">
        <v>293</v>
      </c>
      <c r="N502" s="115">
        <v>7.9188999999999998</v>
      </c>
      <c r="O502" s="115">
        <v>1</v>
      </c>
      <c r="P502" s="115">
        <v>1</v>
      </c>
      <c r="Q502" s="115">
        <v>8</v>
      </c>
      <c r="R502" s="115">
        <v>1</v>
      </c>
      <c r="S502" s="115">
        <v>1</v>
      </c>
      <c r="T502" s="115">
        <v>1</v>
      </c>
      <c r="U502" s="115">
        <v>0</v>
      </c>
      <c r="V502" s="115">
        <v>2.7E-2</v>
      </c>
      <c r="W502" s="115">
        <v>2.7E-2</v>
      </c>
      <c r="X502" s="115">
        <v>0</v>
      </c>
      <c r="Y502" s="115">
        <v>0.45829999999999999</v>
      </c>
      <c r="Z502" s="115">
        <v>89.132900000000006</v>
      </c>
      <c r="AA502" s="115">
        <v>4.7556000000000003</v>
      </c>
      <c r="AB502" s="115">
        <v>-93.4208</v>
      </c>
      <c r="AC502" s="115"/>
      <c r="AD502" s="115">
        <v>-0.1202</v>
      </c>
      <c r="AE502" s="115">
        <v>-0.27210000000000001</v>
      </c>
      <c r="AF502" s="115">
        <v>2.1100000000000001E-2</v>
      </c>
      <c r="AG502" s="115">
        <v>-7.6799999999999993E-2</v>
      </c>
      <c r="AH502" s="115">
        <v>0.28920000000000001</v>
      </c>
      <c r="AI502" s="115">
        <v>-9.3700000000000006E-2</v>
      </c>
      <c r="AJ502" s="115">
        <v>2.5999999999999999E-3</v>
      </c>
      <c r="AK502" s="115">
        <v>9.4054000000000002</v>
      </c>
      <c r="AL502" s="115">
        <v>1.5405</v>
      </c>
      <c r="AM502" s="115">
        <v>1</v>
      </c>
      <c r="AN502" s="115">
        <v>2</v>
      </c>
      <c r="AO502" s="115">
        <v>0</v>
      </c>
      <c r="AP502" s="115">
        <v>0</v>
      </c>
      <c r="AQ502" s="115">
        <v>0</v>
      </c>
      <c r="AR502" s="115"/>
      <c r="AS502" s="115">
        <v>-8.2000000000000007E-3</v>
      </c>
      <c r="AT502" s="115">
        <v>-0.39529999999999998</v>
      </c>
      <c r="AU502" s="114" t="str">
        <f>IF(A502&lt;&gt;"",INDEX(Index!$B$1:$B$77,MATCH($A502,Index!$A$1:$A$77,0)),"")</f>
        <v>CAR</v>
      </c>
      <c r="AV502" s="123" t="str">
        <f>IF(B502&lt;&gt;"",INDEX(Index!$C$1:$C$77,MATCH($A502,Index!$A$1:$A$77,0)),"")</f>
        <v>Dalton</v>
      </c>
      <c r="AW502" s="123">
        <f t="shared" si="9"/>
        <v>40</v>
      </c>
      <c r="AX502" s="113">
        <v>13</v>
      </c>
    </row>
    <row r="503" spans="1:50" x14ac:dyDescent="0.25">
      <c r="A503" s="95" t="s">
        <v>586</v>
      </c>
      <c r="B503" s="96">
        <v>2025</v>
      </c>
      <c r="C503" s="96">
        <v>5</v>
      </c>
      <c r="D503" s="115">
        <v>-2.3878499999999998</v>
      </c>
      <c r="E503" s="115">
        <v>-0.60543899999999995</v>
      </c>
      <c r="F503" s="115">
        <v>-0.248695</v>
      </c>
      <c r="G503" s="115">
        <v>12.968299999999999</v>
      </c>
      <c r="H503" s="115">
        <v>6.3E-2</v>
      </c>
      <c r="I503" s="115">
        <v>110</v>
      </c>
      <c r="J503" s="115">
        <v>168</v>
      </c>
      <c r="K503" s="115">
        <v>0.65480000000000005</v>
      </c>
      <c r="L503" s="115">
        <v>1.1112</v>
      </c>
      <c r="M503" s="115">
        <v>1216</v>
      </c>
      <c r="N503" s="115">
        <v>7.2381000000000002</v>
      </c>
      <c r="O503" s="115">
        <v>6</v>
      </c>
      <c r="P503" s="115">
        <v>5</v>
      </c>
      <c r="Q503" s="115">
        <v>19</v>
      </c>
      <c r="R503" s="115">
        <v>9</v>
      </c>
      <c r="S503" s="115">
        <v>57</v>
      </c>
      <c r="T503" s="115">
        <v>6.3333000000000004</v>
      </c>
      <c r="U503" s="115">
        <v>0</v>
      </c>
      <c r="V503" s="115">
        <v>3.5700000000000003E-2</v>
      </c>
      <c r="W503" s="115">
        <v>2.98E-2</v>
      </c>
      <c r="X503" s="115">
        <v>6.0000000000000001E-3</v>
      </c>
      <c r="Y503" s="115">
        <v>0.48060000000000003</v>
      </c>
      <c r="Z503" s="115">
        <v>86.3095</v>
      </c>
      <c r="AA503" s="115">
        <v>5.2727000000000004</v>
      </c>
      <c r="AB503" s="115">
        <v>107.76</v>
      </c>
      <c r="AC503" s="115"/>
      <c r="AD503" s="115">
        <v>-2.0899999999999998E-2</v>
      </c>
      <c r="AE503" s="115">
        <v>-3.0200000000000001E-2</v>
      </c>
      <c r="AF503" s="115">
        <v>2.7E-2</v>
      </c>
      <c r="AG503" s="115">
        <v>-3.0599999999999999E-2</v>
      </c>
      <c r="AH503" s="115">
        <v>1.17E-2</v>
      </c>
      <c r="AI503" s="115">
        <v>3.3599999999999998E-2</v>
      </c>
      <c r="AJ503" s="115">
        <v>3.8999999999999998E-3</v>
      </c>
      <c r="AK503" s="115">
        <v>7.6666999999999996</v>
      </c>
      <c r="AL503" s="115">
        <v>-1.3571</v>
      </c>
      <c r="AM503" s="115">
        <v>2</v>
      </c>
      <c r="AN503" s="115">
        <v>3</v>
      </c>
      <c r="AO503" s="115">
        <v>0</v>
      </c>
      <c r="AP503" s="115">
        <v>1</v>
      </c>
      <c r="AQ503" s="115">
        <v>3</v>
      </c>
      <c r="AR503" s="115">
        <v>0.33329999999999999</v>
      </c>
      <c r="AS503" s="115">
        <v>1.1999999999999999E-3</v>
      </c>
      <c r="AT503" s="115">
        <v>0.23880000000000001</v>
      </c>
      <c r="AU503" s="114" t="str">
        <f>IF(A503&lt;&gt;"",INDEX(Index!$B$1:$B$77,MATCH($A503,Index!$A$1:$A$77,0)),"")</f>
        <v>MIN</v>
      </c>
      <c r="AV503" s="123" t="str">
        <f>IF(B503&lt;&gt;"",INDEX(Index!$C$1:$C$77,MATCH($A503,Index!$A$1:$A$77,0)),"")</f>
        <v>Wentz</v>
      </c>
      <c r="AW503" s="123">
        <f t="shared" si="9"/>
        <v>20</v>
      </c>
      <c r="AX503" s="113">
        <v>13</v>
      </c>
    </row>
    <row r="504" spans="1:50" x14ac:dyDescent="0.25">
      <c r="A504" s="95" t="s">
        <v>594</v>
      </c>
      <c r="B504" s="96">
        <v>2025</v>
      </c>
      <c r="C504" s="96">
        <v>4</v>
      </c>
      <c r="D504" s="115">
        <v>-2.3908399999999999</v>
      </c>
      <c r="E504" s="115">
        <v>2.5946400000000001E-2</v>
      </c>
      <c r="F504" s="115">
        <v>0.20608299999999999</v>
      </c>
      <c r="G504" s="115">
        <v>-19.706600000000002</v>
      </c>
      <c r="H504" s="115">
        <v>-9.9000000000000005E-2</v>
      </c>
      <c r="I504" s="115">
        <v>107</v>
      </c>
      <c r="J504" s="115">
        <v>163</v>
      </c>
      <c r="K504" s="115">
        <v>0.65639999999999998</v>
      </c>
      <c r="L504" s="115">
        <v>0.1149</v>
      </c>
      <c r="M504" s="115">
        <v>1068</v>
      </c>
      <c r="N504" s="115">
        <v>6.5521000000000003</v>
      </c>
      <c r="O504" s="115">
        <v>5</v>
      </c>
      <c r="P504" s="115">
        <v>4</v>
      </c>
      <c r="Q504" s="115">
        <v>14</v>
      </c>
      <c r="R504" s="115">
        <v>17</v>
      </c>
      <c r="S504" s="115">
        <v>57</v>
      </c>
      <c r="T504" s="115">
        <v>3.3529</v>
      </c>
      <c r="U504" s="115">
        <v>0</v>
      </c>
      <c r="V504" s="115">
        <v>3.0700000000000002E-2</v>
      </c>
      <c r="W504" s="115">
        <v>2.4500000000000001E-2</v>
      </c>
      <c r="X504" s="115">
        <v>6.1000000000000004E-3</v>
      </c>
      <c r="Y504" s="115">
        <v>0.43719999999999998</v>
      </c>
      <c r="Z504" s="115">
        <v>84.087400000000002</v>
      </c>
      <c r="AA504" s="115">
        <v>5.0282</v>
      </c>
      <c r="AB504" s="115">
        <v>125.47199999999999</v>
      </c>
      <c r="AC504" s="115"/>
      <c r="AD504" s="115">
        <v>-2.1000000000000001E-2</v>
      </c>
      <c r="AE504" s="115">
        <v>-4.6199999999999998E-2</v>
      </c>
      <c r="AF504" s="115">
        <v>9.7000000000000003E-3</v>
      </c>
      <c r="AG504" s="115">
        <v>-4.1999999999999997E-3</v>
      </c>
      <c r="AH504" s="115">
        <v>-3.2500000000000001E-2</v>
      </c>
      <c r="AI504" s="115">
        <v>-5.9200000000000003E-2</v>
      </c>
      <c r="AJ504" s="115">
        <v>-1.4200000000000001E-2</v>
      </c>
      <c r="AK504" s="115">
        <v>8.1902000000000008</v>
      </c>
      <c r="AL504" s="115">
        <v>-0.52149999999999996</v>
      </c>
      <c r="AM504" s="115">
        <v>1</v>
      </c>
      <c r="AN504" s="115">
        <v>5</v>
      </c>
      <c r="AO504" s="115">
        <v>0</v>
      </c>
      <c r="AP504" s="115">
        <v>0</v>
      </c>
      <c r="AQ504" s="115">
        <v>1</v>
      </c>
      <c r="AR504" s="115">
        <v>0</v>
      </c>
      <c r="AS504" s="115">
        <v>-8.0000000000000004E-4</v>
      </c>
      <c r="AT504" s="115">
        <v>-0.1633</v>
      </c>
      <c r="AU504" s="114" t="str">
        <f>IF(A504&lt;&gt;"",INDEX(Index!$B$1:$B$77,MATCH($A504,Index!$A$1:$A$77,0)),"")</f>
        <v>NO</v>
      </c>
      <c r="AV504" s="123" t="str">
        <f>IF(B504&lt;&gt;"",INDEX(Index!$C$1:$C$77,MATCH($A504,Index!$A$1:$A$77,0)),"")</f>
        <v>Shough</v>
      </c>
      <c r="AW504" s="123">
        <f t="shared" si="9"/>
        <v>33</v>
      </c>
      <c r="AX504" s="113">
        <v>13</v>
      </c>
    </row>
    <row r="505" spans="1:50" x14ac:dyDescent="0.25">
      <c r="A505" s="95" t="s">
        <v>588</v>
      </c>
      <c r="B505" s="96">
        <v>2025</v>
      </c>
      <c r="C505" s="96">
        <v>2</v>
      </c>
      <c r="D505" s="115">
        <v>-2.4378799999999998</v>
      </c>
      <c r="E505" s="115">
        <v>-0.378133</v>
      </c>
      <c r="F505" s="115">
        <v>-0.79516200000000004</v>
      </c>
      <c r="G505" s="115">
        <v>-25.889299999999999</v>
      </c>
      <c r="H505" s="115">
        <v>-0.45419999999999999</v>
      </c>
      <c r="I505" s="115">
        <v>34</v>
      </c>
      <c r="J505" s="115">
        <v>52</v>
      </c>
      <c r="K505" s="115">
        <v>0.65380000000000005</v>
      </c>
      <c r="L505" s="115">
        <v>-1.9399</v>
      </c>
      <c r="M505" s="115">
        <v>303</v>
      </c>
      <c r="N505" s="115">
        <v>5.8269000000000002</v>
      </c>
      <c r="O505" s="115">
        <v>0</v>
      </c>
      <c r="P505" s="115">
        <v>4</v>
      </c>
      <c r="Q505" s="115">
        <v>1</v>
      </c>
      <c r="R505" s="115">
        <v>0</v>
      </c>
      <c r="S505" s="115">
        <v>0</v>
      </c>
      <c r="T505" s="115"/>
      <c r="U505" s="115">
        <v>0</v>
      </c>
      <c r="V505" s="115">
        <v>0</v>
      </c>
      <c r="W505" s="115">
        <v>7.6899999999999996E-2</v>
      </c>
      <c r="X505" s="115">
        <v>-7.6899999999999996E-2</v>
      </c>
      <c r="Y505" s="115">
        <v>0.42109999999999997</v>
      </c>
      <c r="Z505" s="115">
        <v>48.798099999999998</v>
      </c>
      <c r="AA505" s="115">
        <v>2.0188999999999999</v>
      </c>
      <c r="AB505" s="115">
        <v>12.234400000000001</v>
      </c>
      <c r="AC505" s="115"/>
      <c r="AD505" s="115">
        <v>-3.0800000000000001E-2</v>
      </c>
      <c r="AE505" s="115">
        <v>6.2100000000000002E-2</v>
      </c>
      <c r="AF505" s="115">
        <v>-5.21E-2</v>
      </c>
      <c r="AG505" s="115">
        <v>-0.22739999999999999</v>
      </c>
      <c r="AH505" s="115">
        <v>-0.21579999999999999</v>
      </c>
      <c r="AI505" s="115">
        <v>-2.07E-2</v>
      </c>
      <c r="AJ505" s="115">
        <v>-3.8100000000000002E-2</v>
      </c>
      <c r="AK505" s="115">
        <v>6.4423000000000004</v>
      </c>
      <c r="AL505" s="115">
        <v>-2.0577000000000001</v>
      </c>
      <c r="AM505" s="115">
        <v>0</v>
      </c>
      <c r="AN505" s="115">
        <v>3</v>
      </c>
      <c r="AO505" s="115">
        <v>0</v>
      </c>
      <c r="AP505" s="115">
        <v>0</v>
      </c>
      <c r="AQ505" s="115">
        <v>0</v>
      </c>
      <c r="AR505" s="115"/>
      <c r="AS505" s="115">
        <v>-6.8999999999999999E-3</v>
      </c>
      <c r="AT505" s="115">
        <v>-0.39179999999999998</v>
      </c>
      <c r="AU505" s="114" t="str">
        <f>IF(A505&lt;&gt;"",INDEX(Index!$B$1:$B$77,MATCH($A505,Index!$A$1:$A$77,0)),"")</f>
        <v>BAL</v>
      </c>
      <c r="AV505" s="123" t="str">
        <f>IF(B505&lt;&gt;"",INDEX(Index!$C$1:$C$77,MATCH($A505,Index!$A$1:$A$77,0)),"")</f>
        <v>Rush</v>
      </c>
      <c r="AW505" s="123">
        <f t="shared" si="9"/>
        <v>50</v>
      </c>
      <c r="AX505" s="113">
        <v>13</v>
      </c>
    </row>
    <row r="506" spans="1:50" x14ac:dyDescent="0.25">
      <c r="A506" s="95" t="s">
        <v>581</v>
      </c>
      <c r="B506" s="96">
        <v>2025</v>
      </c>
      <c r="C506" s="96">
        <v>8</v>
      </c>
      <c r="D506" s="115">
        <v>-2.5070800000000002</v>
      </c>
      <c r="E506" s="115">
        <v>-0.47380100000000003</v>
      </c>
      <c r="F506" s="115">
        <v>0.738784</v>
      </c>
      <c r="G506" s="115">
        <v>-17.053899999999999</v>
      </c>
      <c r="H506" s="115">
        <v>-5.28E-2</v>
      </c>
      <c r="I506" s="115">
        <v>174</v>
      </c>
      <c r="J506" s="115">
        <v>253</v>
      </c>
      <c r="K506" s="115">
        <v>0.68769999999999998</v>
      </c>
      <c r="L506" s="115">
        <v>2.3567999999999998</v>
      </c>
      <c r="M506" s="115">
        <v>1586</v>
      </c>
      <c r="N506" s="115">
        <v>6.2687999999999997</v>
      </c>
      <c r="O506" s="115">
        <v>8</v>
      </c>
      <c r="P506" s="115">
        <v>5</v>
      </c>
      <c r="Q506" s="115">
        <v>18</v>
      </c>
      <c r="R506" s="115">
        <v>30</v>
      </c>
      <c r="S506" s="115">
        <v>168</v>
      </c>
      <c r="T506" s="115">
        <v>5.6</v>
      </c>
      <c r="U506" s="115">
        <v>0</v>
      </c>
      <c r="V506" s="115">
        <v>3.1600000000000003E-2</v>
      </c>
      <c r="W506" s="115">
        <v>1.9800000000000002E-2</v>
      </c>
      <c r="X506" s="115">
        <v>1.1900000000000001E-2</v>
      </c>
      <c r="Y506" s="115">
        <v>0.47989999999999999</v>
      </c>
      <c r="Z506" s="115">
        <v>87.821100000000001</v>
      </c>
      <c r="AA506" s="115">
        <v>5.2287999999999997</v>
      </c>
      <c r="AB506" s="115">
        <v>139.14599999999999</v>
      </c>
      <c r="AC506" s="115">
        <v>50.8</v>
      </c>
      <c r="AD506" s="115">
        <v>-1.1000000000000001E-3</v>
      </c>
      <c r="AE506" s="115">
        <v>1.26E-2</v>
      </c>
      <c r="AF506" s="115">
        <v>2.6800000000000001E-2</v>
      </c>
      <c r="AG506" s="115">
        <v>1.26E-2</v>
      </c>
      <c r="AH506" s="115">
        <v>-4.5699999999999998E-2</v>
      </c>
      <c r="AI506" s="115">
        <v>-0.13200000000000001</v>
      </c>
      <c r="AJ506" s="115">
        <v>5.4999999999999997E-3</v>
      </c>
      <c r="AK506" s="115">
        <v>8.0078999999999994</v>
      </c>
      <c r="AL506" s="115">
        <v>-1.1028</v>
      </c>
      <c r="AM506" s="115">
        <v>1</v>
      </c>
      <c r="AN506" s="115">
        <v>7</v>
      </c>
      <c r="AO506" s="115">
        <v>0</v>
      </c>
      <c r="AP506" s="115">
        <v>0</v>
      </c>
      <c r="AQ506" s="115">
        <v>4</v>
      </c>
      <c r="AR506" s="115">
        <v>0</v>
      </c>
      <c r="AS506" s="115">
        <v>-2.8E-3</v>
      </c>
      <c r="AT506" s="115">
        <v>-0.89029999999999998</v>
      </c>
      <c r="AU506" s="114" t="str">
        <f>IF(A506&lt;&gt;"",INDEX(Index!$B$1:$B$77,MATCH($A506,Index!$A$1:$A$77,0)),"")</f>
        <v>NO</v>
      </c>
      <c r="AV506" s="123" t="str">
        <f>IF(B506&lt;&gt;"",INDEX(Index!$C$1:$C$77,MATCH($A506,Index!$A$1:$A$77,0)),"")</f>
        <v>Rattler</v>
      </c>
      <c r="AW506" s="123">
        <f t="shared" si="9"/>
        <v>23</v>
      </c>
      <c r="AX506" s="113">
        <v>13</v>
      </c>
    </row>
    <row r="507" spans="1:50" x14ac:dyDescent="0.25">
      <c r="A507" s="95" t="s">
        <v>572</v>
      </c>
      <c r="B507" s="96">
        <v>2025</v>
      </c>
      <c r="C507" s="96">
        <v>12</v>
      </c>
      <c r="D507" s="115">
        <v>-2.7816800000000002</v>
      </c>
      <c r="E507" s="115">
        <v>-0.14169000000000001</v>
      </c>
      <c r="F507" s="115">
        <v>-2.7891900000000001</v>
      </c>
      <c r="G507" s="115">
        <v>-51.463299999999997</v>
      </c>
      <c r="H507" s="115">
        <v>-0.1074</v>
      </c>
      <c r="I507" s="115">
        <v>253</v>
      </c>
      <c r="J507" s="115">
        <v>374</v>
      </c>
      <c r="K507" s="115">
        <v>0.67649999999999999</v>
      </c>
      <c r="L507" s="115">
        <v>-0.2424</v>
      </c>
      <c r="M507" s="115">
        <v>2532</v>
      </c>
      <c r="N507" s="115">
        <v>6.7701000000000002</v>
      </c>
      <c r="O507" s="115">
        <v>15</v>
      </c>
      <c r="P507" s="115">
        <v>14</v>
      </c>
      <c r="Q507" s="115">
        <v>46</v>
      </c>
      <c r="R507" s="115">
        <v>32</v>
      </c>
      <c r="S507" s="115">
        <v>110</v>
      </c>
      <c r="T507" s="115">
        <v>3.4375</v>
      </c>
      <c r="U507" s="115">
        <v>0</v>
      </c>
      <c r="V507" s="115">
        <v>4.0099999999999997E-2</v>
      </c>
      <c r="W507" s="115">
        <v>3.7400000000000003E-2</v>
      </c>
      <c r="X507" s="115">
        <v>2.7000000000000001E-3</v>
      </c>
      <c r="Y507" s="115">
        <v>0.44890000000000002</v>
      </c>
      <c r="Z507" s="115">
        <v>84.436300000000003</v>
      </c>
      <c r="AA507" s="115">
        <v>4.4547999999999996</v>
      </c>
      <c r="AB507" s="115">
        <v>69.240200000000002</v>
      </c>
      <c r="AC507" s="115">
        <v>30.8</v>
      </c>
      <c r="AD507" s="115">
        <v>-2.63E-2</v>
      </c>
      <c r="AE507" s="115">
        <v>-7.7299999999999994E-2</v>
      </c>
      <c r="AF507" s="115">
        <v>4.2200000000000001E-2</v>
      </c>
      <c r="AG507" s="115">
        <v>-6.7299999999999999E-2</v>
      </c>
      <c r="AH507" s="115">
        <v>-0.1235</v>
      </c>
      <c r="AI507" s="115">
        <v>6.9900000000000004E-2</v>
      </c>
      <c r="AJ507" s="115">
        <v>6.4000000000000003E-3</v>
      </c>
      <c r="AK507" s="115">
        <v>6.0856000000000003</v>
      </c>
      <c r="AL507" s="115">
        <v>-2.9278</v>
      </c>
      <c r="AM507" s="115">
        <v>2</v>
      </c>
      <c r="AN507" s="115">
        <v>10</v>
      </c>
      <c r="AO507" s="115">
        <v>0</v>
      </c>
      <c r="AP507" s="115">
        <v>0</v>
      </c>
      <c r="AQ507" s="115">
        <v>3</v>
      </c>
      <c r="AR507" s="115">
        <v>0</v>
      </c>
      <c r="AS507" s="115">
        <v>-2.0999999999999999E-3</v>
      </c>
      <c r="AT507" s="115">
        <v>-1.0261</v>
      </c>
      <c r="AU507" s="114" t="str">
        <f>IF(A507&lt;&gt;"",INDEX(Index!$B$1:$B$77,MATCH($A507,Index!$A$1:$A$77,0)),"")</f>
        <v>LV</v>
      </c>
      <c r="AV507" s="123" t="str">
        <f>IF(B507&lt;&gt;"",INDEX(Index!$C$1:$C$77,MATCH($A507,Index!$A$1:$A$77,0)),"")</f>
        <v>Smith</v>
      </c>
      <c r="AW507" s="123">
        <f t="shared" si="9"/>
        <v>2</v>
      </c>
      <c r="AX507" s="113">
        <v>13</v>
      </c>
    </row>
    <row r="508" spans="1:50" x14ac:dyDescent="0.25">
      <c r="A508" s="95" t="s">
        <v>582</v>
      </c>
      <c r="B508" s="96">
        <v>2025</v>
      </c>
      <c r="C508" s="96">
        <v>12</v>
      </c>
      <c r="D508" s="115">
        <v>-3.3216100000000002</v>
      </c>
      <c r="E508" s="115">
        <v>-0.26575900000000002</v>
      </c>
      <c r="F508" s="115">
        <v>-1.8989799999999999</v>
      </c>
      <c r="G508" s="115">
        <v>-86.761600000000001</v>
      </c>
      <c r="H508" s="115">
        <v>-0.16880000000000001</v>
      </c>
      <c r="I508" s="115">
        <v>246</v>
      </c>
      <c r="J508" s="115">
        <v>409</v>
      </c>
      <c r="K508" s="115">
        <v>0.60150000000000003</v>
      </c>
      <c r="L508" s="115">
        <v>-3.8786</v>
      </c>
      <c r="M508" s="115">
        <v>2351</v>
      </c>
      <c r="N508" s="115">
        <v>5.7481999999999998</v>
      </c>
      <c r="O508" s="115">
        <v>7</v>
      </c>
      <c r="P508" s="115">
        <v>6</v>
      </c>
      <c r="Q508" s="115">
        <v>48</v>
      </c>
      <c r="R508" s="115">
        <v>23</v>
      </c>
      <c r="S508" s="115">
        <v>131</v>
      </c>
      <c r="T508" s="115">
        <v>5.6957000000000004</v>
      </c>
      <c r="U508" s="115">
        <v>1</v>
      </c>
      <c r="V508" s="115">
        <v>1.7100000000000001E-2</v>
      </c>
      <c r="W508" s="115">
        <v>1.47E-2</v>
      </c>
      <c r="X508" s="115">
        <v>2.3999999999999998E-3</v>
      </c>
      <c r="Y508" s="115">
        <v>0.39689999999999998</v>
      </c>
      <c r="Z508" s="115">
        <v>75.748800000000003</v>
      </c>
      <c r="AA508" s="115">
        <v>4.0678000000000001</v>
      </c>
      <c r="AB508" s="115">
        <v>45.558100000000003</v>
      </c>
      <c r="AC508" s="115">
        <v>31.8</v>
      </c>
      <c r="AD508" s="115">
        <v>-5.7999999999999996E-3</v>
      </c>
      <c r="AE508" s="115">
        <v>-9.1300000000000006E-2</v>
      </c>
      <c r="AF508" s="115">
        <v>-2.29E-2</v>
      </c>
      <c r="AG508" s="115">
        <v>3.32E-2</v>
      </c>
      <c r="AH508" s="115">
        <v>-8.8900000000000007E-2</v>
      </c>
      <c r="AI508" s="115">
        <v>-5.67E-2</v>
      </c>
      <c r="AJ508" s="115">
        <v>-4.8999999999999998E-3</v>
      </c>
      <c r="AK508" s="115">
        <v>7.3544999999999998</v>
      </c>
      <c r="AL508" s="115">
        <v>-1.9144000000000001</v>
      </c>
      <c r="AM508" s="115">
        <v>1</v>
      </c>
      <c r="AN508" s="115">
        <v>11</v>
      </c>
      <c r="AO508" s="115">
        <v>0</v>
      </c>
      <c r="AP508" s="115">
        <v>1</v>
      </c>
      <c r="AQ508" s="115">
        <v>4</v>
      </c>
      <c r="AR508" s="115">
        <v>0.25</v>
      </c>
      <c r="AS508" s="115">
        <v>-3.3E-3</v>
      </c>
      <c r="AT508" s="115">
        <v>-1.6922999999999999</v>
      </c>
      <c r="AU508" s="114" t="str">
        <f>IF(A508&lt;&gt;"",INDEX(Index!$B$1:$B$77,MATCH($A508,Index!$A$1:$A$77,0)),"")</f>
        <v>TEN</v>
      </c>
      <c r="AV508" s="123" t="str">
        <f>IF(B508&lt;&gt;"",INDEX(Index!$C$1:$C$77,MATCH($A508,Index!$A$1:$A$77,0)),"")</f>
        <v>Ward</v>
      </c>
      <c r="AW508" s="123">
        <f t="shared" si="9"/>
        <v>1</v>
      </c>
      <c r="AX508" s="113">
        <v>13</v>
      </c>
    </row>
    <row r="509" spans="1:50" x14ac:dyDescent="0.25">
      <c r="A509" s="95" t="s">
        <v>589</v>
      </c>
      <c r="B509" s="96">
        <v>2025</v>
      </c>
      <c r="C509" s="96">
        <v>6</v>
      </c>
      <c r="D509" s="115">
        <v>-3.8272699999999999</v>
      </c>
      <c r="E509" s="115">
        <v>-8.9766799999999994E-2</v>
      </c>
      <c r="F509" s="115">
        <v>-0.13372500000000001</v>
      </c>
      <c r="G509" s="115">
        <v>-26.2545</v>
      </c>
      <c r="H509" s="115">
        <v>-0.11459999999999999</v>
      </c>
      <c r="I509" s="115">
        <v>110</v>
      </c>
      <c r="J509" s="115">
        <v>184</v>
      </c>
      <c r="K509" s="115">
        <v>0.5978</v>
      </c>
      <c r="L509" s="115">
        <v>-7.5071000000000003</v>
      </c>
      <c r="M509" s="115">
        <v>937</v>
      </c>
      <c r="N509" s="115">
        <v>5.0923999999999996</v>
      </c>
      <c r="O509" s="115">
        <v>7</v>
      </c>
      <c r="P509" s="115">
        <v>2</v>
      </c>
      <c r="Q509" s="115">
        <v>18</v>
      </c>
      <c r="R509" s="115">
        <v>13</v>
      </c>
      <c r="S509" s="115">
        <v>87</v>
      </c>
      <c r="T509" s="115">
        <v>6.6923000000000004</v>
      </c>
      <c r="U509" s="115">
        <v>0</v>
      </c>
      <c r="V509" s="115">
        <v>3.7999999999999999E-2</v>
      </c>
      <c r="W509" s="115">
        <v>1.09E-2</v>
      </c>
      <c r="X509" s="115">
        <v>2.7199999999999998E-2</v>
      </c>
      <c r="Y509" s="115">
        <v>0.35370000000000001</v>
      </c>
      <c r="Z509" s="115">
        <v>81.272599999999997</v>
      </c>
      <c r="AA509" s="115">
        <v>4.2672999999999996</v>
      </c>
      <c r="AB509" s="115">
        <v>72.512900000000002</v>
      </c>
      <c r="AC509" s="115"/>
      <c r="AD509" s="115">
        <v>-1.9699999999999999E-2</v>
      </c>
      <c r="AE509" s="115">
        <v>-1.83E-2</v>
      </c>
      <c r="AF509" s="115">
        <v>-3.8699999999999998E-2</v>
      </c>
      <c r="AG509" s="115">
        <v>4.2299999999999997E-2</v>
      </c>
      <c r="AH509" s="115">
        <v>-0.15279999999999999</v>
      </c>
      <c r="AI509" s="115">
        <v>-3.2399999999999998E-2</v>
      </c>
      <c r="AJ509" s="115">
        <v>3.6600000000000001E-2</v>
      </c>
      <c r="AK509" s="115">
        <v>5.8586999999999998</v>
      </c>
      <c r="AL509" s="115">
        <v>-4.0053999999999998</v>
      </c>
      <c r="AM509" s="115">
        <v>1</v>
      </c>
      <c r="AN509" s="115">
        <v>8</v>
      </c>
      <c r="AO509" s="115">
        <v>0</v>
      </c>
      <c r="AP509" s="115">
        <v>0</v>
      </c>
      <c r="AQ509" s="115">
        <v>2</v>
      </c>
      <c r="AR509" s="115">
        <v>0</v>
      </c>
      <c r="AS509" s="115">
        <v>-2.8999999999999998E-3</v>
      </c>
      <c r="AT509" s="115">
        <v>-0.65690000000000004</v>
      </c>
      <c r="AU509" s="114" t="str">
        <f>IF(A509&lt;&gt;"",INDEX(Index!$B$1:$B$77,MATCH($A509,Index!$A$1:$A$77,0)),"")</f>
        <v>CLE</v>
      </c>
      <c r="AV509" s="123" t="str">
        <f>IF(B509&lt;&gt;"",INDEX(Index!$C$1:$C$77,MATCH($A509,Index!$A$1:$A$77,0)),"")</f>
        <v>Gabriel</v>
      </c>
      <c r="AW509" s="123">
        <f t="shared" si="9"/>
        <v>23</v>
      </c>
      <c r="AX509" s="113">
        <v>13</v>
      </c>
    </row>
    <row r="510" spans="1:50" x14ac:dyDescent="0.25">
      <c r="A510" s="95" t="s">
        <v>580</v>
      </c>
      <c r="B510" s="96">
        <v>2025</v>
      </c>
      <c r="C510" s="96">
        <v>6</v>
      </c>
      <c r="D510" s="115">
        <v>-3.9463200000000001</v>
      </c>
      <c r="E510" s="115">
        <v>-0.80024099999999998</v>
      </c>
      <c r="F510" s="115">
        <v>-2.3938899999999999</v>
      </c>
      <c r="G510" s="115">
        <v>-54.706699999999998</v>
      </c>
      <c r="H510" s="115">
        <v>-0.26819999999999999</v>
      </c>
      <c r="I510" s="115">
        <v>86</v>
      </c>
      <c r="J510" s="115">
        <v>159</v>
      </c>
      <c r="K510" s="115">
        <v>0.54090000000000005</v>
      </c>
      <c r="L510" s="115">
        <v>-8.6554000000000002</v>
      </c>
      <c r="M510" s="115">
        <v>929</v>
      </c>
      <c r="N510" s="115">
        <v>5.8428000000000004</v>
      </c>
      <c r="O510" s="115">
        <v>6</v>
      </c>
      <c r="P510" s="115">
        <v>10</v>
      </c>
      <c r="Q510" s="115">
        <v>20</v>
      </c>
      <c r="R510" s="115">
        <v>16</v>
      </c>
      <c r="S510" s="115">
        <v>125</v>
      </c>
      <c r="T510" s="115">
        <v>7.8125</v>
      </c>
      <c r="U510" s="115">
        <v>2</v>
      </c>
      <c r="V510" s="115">
        <v>3.7699999999999997E-2</v>
      </c>
      <c r="W510" s="115">
        <v>6.2899999999999998E-2</v>
      </c>
      <c r="X510" s="115">
        <v>-2.52E-2</v>
      </c>
      <c r="Y510" s="115">
        <v>0.38240000000000002</v>
      </c>
      <c r="Z510" s="115">
        <v>57.874699999999997</v>
      </c>
      <c r="AA510" s="115">
        <v>2.7206999999999999</v>
      </c>
      <c r="AB510" s="115">
        <v>-4.7439999999999998</v>
      </c>
      <c r="AC510" s="115"/>
      <c r="AD510" s="115">
        <v>1.0200000000000001E-2</v>
      </c>
      <c r="AE510" s="115">
        <v>-6.4799999999999996E-2</v>
      </c>
      <c r="AF510" s="115">
        <v>-8.6800000000000002E-2</v>
      </c>
      <c r="AG510" s="115">
        <v>-0.13569999999999999</v>
      </c>
      <c r="AH510" s="115">
        <v>2.9399999999999999E-2</v>
      </c>
      <c r="AI510" s="115">
        <v>-0.1181</v>
      </c>
      <c r="AJ510" s="115">
        <v>2.9100000000000001E-2</v>
      </c>
      <c r="AK510" s="115">
        <v>9.3962000000000003</v>
      </c>
      <c r="AL510" s="115">
        <v>0.77359999999999995</v>
      </c>
      <c r="AM510" s="115">
        <v>2</v>
      </c>
      <c r="AN510" s="115">
        <v>4</v>
      </c>
      <c r="AO510" s="115">
        <v>0</v>
      </c>
      <c r="AP510" s="115">
        <v>1</v>
      </c>
      <c r="AQ510" s="115">
        <v>4</v>
      </c>
      <c r="AR510" s="115">
        <v>0.25</v>
      </c>
      <c r="AS510" s="115">
        <v>-2.5000000000000001E-3</v>
      </c>
      <c r="AT510" s="115">
        <v>-0.51890000000000003</v>
      </c>
      <c r="AU510" s="114" t="str">
        <f>IF(A510&lt;&gt;"",INDEX(Index!$B$1:$B$77,MATCH($A510,Index!$A$1:$A$77,0)),"")</f>
        <v>MIN</v>
      </c>
      <c r="AV510" s="123" t="str">
        <f>IF(B510&lt;&gt;"",INDEX(Index!$C$1:$C$77,MATCH($A510,Index!$A$1:$A$77,0)),"")</f>
        <v>McCarthy</v>
      </c>
      <c r="AW510" s="123">
        <f t="shared" si="9"/>
        <v>18</v>
      </c>
      <c r="AX510" s="113">
        <v>13</v>
      </c>
    </row>
    <row r="511" spans="1:50" x14ac:dyDescent="0.25">
      <c r="A511" s="95" t="s">
        <v>598</v>
      </c>
      <c r="B511" s="96">
        <v>2025</v>
      </c>
      <c r="C511" s="96">
        <v>2</v>
      </c>
      <c r="D511" s="115">
        <v>-3.9541400000000002</v>
      </c>
      <c r="E511" s="115">
        <v>1.63196E-2</v>
      </c>
      <c r="F511" s="115">
        <v>1.28369E-2</v>
      </c>
      <c r="G511" s="115">
        <v>-24.696400000000001</v>
      </c>
      <c r="H511" s="115">
        <v>-0.32500000000000001</v>
      </c>
      <c r="I511" s="115">
        <v>31</v>
      </c>
      <c r="J511" s="115">
        <v>61</v>
      </c>
      <c r="K511" s="115">
        <v>0.50819999999999999</v>
      </c>
      <c r="L511" s="115">
        <v>-11.3757</v>
      </c>
      <c r="M511" s="115">
        <v>405</v>
      </c>
      <c r="N511" s="115">
        <v>6.6393000000000004</v>
      </c>
      <c r="O511" s="115">
        <v>2</v>
      </c>
      <c r="P511" s="115">
        <v>2</v>
      </c>
      <c r="Q511" s="115">
        <v>6</v>
      </c>
      <c r="R511" s="115">
        <v>4</v>
      </c>
      <c r="S511" s="115">
        <v>22</v>
      </c>
      <c r="T511" s="115">
        <v>5.5</v>
      </c>
      <c r="U511" s="115">
        <v>0</v>
      </c>
      <c r="V511" s="115">
        <v>3.2800000000000003E-2</v>
      </c>
      <c r="W511" s="115">
        <v>3.2800000000000003E-2</v>
      </c>
      <c r="X511" s="115">
        <v>0</v>
      </c>
      <c r="Y511" s="115">
        <v>0.27629999999999999</v>
      </c>
      <c r="Z511" s="115">
        <v>69.364800000000002</v>
      </c>
      <c r="AA511" s="115">
        <v>4.3433000000000002</v>
      </c>
      <c r="AB511" s="115">
        <v>74.269900000000007</v>
      </c>
      <c r="AC511" s="115"/>
      <c r="AD511" s="115">
        <v>-4.58E-2</v>
      </c>
      <c r="AE511" s="115">
        <v>-5.04E-2</v>
      </c>
      <c r="AF511" s="115">
        <v>-8.3599999999999994E-2</v>
      </c>
      <c r="AG511" s="115">
        <v>-6.1499999999999999E-2</v>
      </c>
      <c r="AH511" s="115">
        <v>-0.183</v>
      </c>
      <c r="AI511" s="115">
        <v>8.8200000000000001E-2</v>
      </c>
      <c r="AJ511" s="115">
        <v>-5.7299999999999997E-2</v>
      </c>
      <c r="AK511" s="115">
        <v>7.8361000000000001</v>
      </c>
      <c r="AL511" s="115">
        <v>-2.1475</v>
      </c>
      <c r="AM511" s="115">
        <v>1</v>
      </c>
      <c r="AN511" s="115">
        <v>2</v>
      </c>
      <c r="AO511" s="115">
        <v>0</v>
      </c>
      <c r="AP511" s="115">
        <v>0</v>
      </c>
      <c r="AQ511" s="115">
        <v>1</v>
      </c>
      <c r="AR511" s="115">
        <v>0</v>
      </c>
      <c r="AS511" s="115">
        <v>-8.5000000000000006E-3</v>
      </c>
      <c r="AT511" s="115">
        <v>-0.64559999999999995</v>
      </c>
      <c r="AU511" s="114" t="str">
        <f>IF(A511&lt;&gt;"",INDEX(Index!$B$1:$B$77,MATCH($A511,Index!$A$1:$A$77,0)),"")</f>
        <v>CLE</v>
      </c>
      <c r="AV511" s="123" t="str">
        <f>IF(B511&lt;&gt;"",INDEX(Index!$C$1:$C$77,MATCH($A511,Index!$A$1:$A$77,0)),"")</f>
        <v>Sanders</v>
      </c>
      <c r="AW511" s="123">
        <f t="shared" si="9"/>
        <v>42</v>
      </c>
      <c r="AX511" s="113">
        <v>13</v>
      </c>
    </row>
    <row r="512" spans="1:50" ht="15.75" thickBot="1" x14ac:dyDescent="0.3">
      <c r="A512" s="95" t="s">
        <v>599</v>
      </c>
      <c r="B512" s="96">
        <v>2025</v>
      </c>
      <c r="C512" s="96">
        <v>1</v>
      </c>
      <c r="D512" s="115">
        <v>-4.5358799999999997</v>
      </c>
      <c r="E512" s="115">
        <v>-0.90971500000000005</v>
      </c>
      <c r="F512" s="115">
        <v>-0.90971500000000005</v>
      </c>
      <c r="G512" s="115">
        <v>-33.426900000000003</v>
      </c>
      <c r="H512" s="115">
        <v>-0.77739999999999998</v>
      </c>
      <c r="I512" s="115">
        <v>24</v>
      </c>
      <c r="J512" s="115">
        <v>38</v>
      </c>
      <c r="K512" s="115">
        <v>0.63160000000000005</v>
      </c>
      <c r="L512" s="115">
        <v>-7.3724999999999996</v>
      </c>
      <c r="M512" s="115">
        <v>168</v>
      </c>
      <c r="N512" s="115">
        <v>4.4211</v>
      </c>
      <c r="O512" s="115">
        <v>0</v>
      </c>
      <c r="P512" s="115">
        <v>4</v>
      </c>
      <c r="Q512" s="115">
        <v>4</v>
      </c>
      <c r="R512" s="115">
        <v>0</v>
      </c>
      <c r="S512" s="115">
        <v>0</v>
      </c>
      <c r="T512" s="115"/>
      <c r="U512" s="115">
        <v>0</v>
      </c>
      <c r="V512" s="115">
        <v>0</v>
      </c>
      <c r="W512" s="115">
        <v>0.1053</v>
      </c>
      <c r="X512" s="115">
        <v>-0.1053</v>
      </c>
      <c r="Y512" s="115">
        <v>0.2326</v>
      </c>
      <c r="Z512" s="115">
        <v>33.552599999999998</v>
      </c>
      <c r="AA512" s="115">
        <v>-1</v>
      </c>
      <c r="AB512" s="115">
        <v>-186.73</v>
      </c>
      <c r="AC512" s="115"/>
      <c r="AD512" s="115">
        <v>-3.0800000000000001E-2</v>
      </c>
      <c r="AE512" s="115">
        <v>-5.74E-2</v>
      </c>
      <c r="AF512" s="115">
        <v>2.5399999999999999E-2</v>
      </c>
      <c r="AG512" s="115">
        <v>-0.36230000000000001</v>
      </c>
      <c r="AH512" s="115">
        <v>-0.44369999999999998</v>
      </c>
      <c r="AI512" s="115">
        <v>9.7999999999999997E-3</v>
      </c>
      <c r="AJ512" s="115">
        <v>1.3100000000000001E-2</v>
      </c>
      <c r="AK512" s="115">
        <v>4.4211</v>
      </c>
      <c r="AL512" s="115">
        <v>-4.6841999999999997</v>
      </c>
      <c r="AM512" s="115">
        <v>1</v>
      </c>
      <c r="AN512" s="115">
        <v>2</v>
      </c>
      <c r="AO512" s="115">
        <v>0</v>
      </c>
      <c r="AP512" s="115">
        <v>0</v>
      </c>
      <c r="AQ512" s="115">
        <v>0</v>
      </c>
      <c r="AR512" s="115"/>
      <c r="AS512" s="115">
        <v>-1.2699999999999999E-2</v>
      </c>
      <c r="AT512" s="115">
        <v>-0.54449999999999998</v>
      </c>
      <c r="AU512" s="114" t="str">
        <f>IF(A512&lt;&gt;"",INDEX(Index!$B$1:$B$77,MATCH($A512,Index!$A$1:$A$77,0)),"")</f>
        <v>MIN</v>
      </c>
      <c r="AV512" s="123" t="str">
        <f>IF(B512&lt;&gt;"",INDEX(Index!$C$1:$C$77,MATCH($A512,Index!$A$1:$A$77,0)),"")</f>
        <v>Brosmer</v>
      </c>
      <c r="AW512" s="123">
        <f t="shared" si="9"/>
        <v>46</v>
      </c>
      <c r="AX512" s="113">
        <v>13</v>
      </c>
    </row>
    <row r="513" spans="1:50" x14ac:dyDescent="0.25">
      <c r="A513" s="117" t="s">
        <v>551</v>
      </c>
      <c r="B513" s="118">
        <v>2025</v>
      </c>
      <c r="C513" s="118">
        <v>13</v>
      </c>
      <c r="D513" s="119">
        <v>3.6072600000000001</v>
      </c>
      <c r="E513" s="119">
        <v>0.67020500000000005</v>
      </c>
      <c r="F513" s="119">
        <v>3.1030300000000001E-3</v>
      </c>
      <c r="G513" s="119">
        <v>135.22900000000001</v>
      </c>
      <c r="H513" s="119">
        <v>0.26879999999999998</v>
      </c>
      <c r="I513" s="119">
        <v>265</v>
      </c>
      <c r="J513" s="119">
        <v>377</v>
      </c>
      <c r="K513" s="119">
        <v>0.70289999999999997</v>
      </c>
      <c r="L513" s="119">
        <v>3.5945</v>
      </c>
      <c r="M513" s="119">
        <v>3083</v>
      </c>
      <c r="N513" s="119">
        <v>8.1776999999999997</v>
      </c>
      <c r="O513" s="119">
        <v>22</v>
      </c>
      <c r="P513" s="119">
        <v>10</v>
      </c>
      <c r="Q513" s="119">
        <v>31</v>
      </c>
      <c r="R513" s="119">
        <v>72</v>
      </c>
      <c r="S513" s="119">
        <v>501</v>
      </c>
      <c r="T513" s="119">
        <v>6.9583000000000004</v>
      </c>
      <c r="U513" s="119">
        <v>12</v>
      </c>
      <c r="V513" s="119">
        <v>5.8400000000000001E-2</v>
      </c>
      <c r="W513" s="119">
        <v>2.6499999999999999E-2</v>
      </c>
      <c r="X513" s="119">
        <v>3.1800000000000002E-2</v>
      </c>
      <c r="Y513" s="119">
        <v>0.52290000000000003</v>
      </c>
      <c r="Z513" s="119">
        <v>103.133</v>
      </c>
      <c r="AA513" s="119">
        <v>7.0416999999999996</v>
      </c>
      <c r="AB513" s="119">
        <v>261.37599999999998</v>
      </c>
      <c r="AC513" s="119">
        <v>65.2</v>
      </c>
      <c r="AD513" s="119">
        <v>6.2100000000000002E-2</v>
      </c>
      <c r="AE513" s="119">
        <v>2.4E-2</v>
      </c>
      <c r="AF513" s="119">
        <v>5.3600000000000002E-2</v>
      </c>
      <c r="AG513" s="119">
        <v>1.1599999999999999E-2</v>
      </c>
      <c r="AH513" s="119">
        <v>-5.67E-2</v>
      </c>
      <c r="AI513" s="119">
        <v>0.1017</v>
      </c>
      <c r="AJ513" s="119">
        <v>7.4000000000000003E-3</v>
      </c>
      <c r="AK513" s="119">
        <v>7.2069000000000001</v>
      </c>
      <c r="AL513" s="119">
        <v>-1.1033999999999999</v>
      </c>
      <c r="AM513" s="119">
        <v>9</v>
      </c>
      <c r="AN513" s="119">
        <v>4</v>
      </c>
      <c r="AO513" s="119">
        <v>0</v>
      </c>
      <c r="AP513" s="119">
        <v>2</v>
      </c>
      <c r="AQ513" s="119">
        <v>5</v>
      </c>
      <c r="AR513" s="119">
        <v>0.4</v>
      </c>
      <c r="AS513" s="119">
        <v>5.8999999999999999E-3</v>
      </c>
      <c r="AT513" s="119">
        <v>2.9622000000000002</v>
      </c>
      <c r="AU513" s="121" t="str">
        <f>IF(A513&lt;&gt;"",INDEX(Index!$B$1:$B$77,MATCH($A513,Index!$A$1:$A$77,0)),"")</f>
        <v>BUF</v>
      </c>
      <c r="AV513" s="124" t="str">
        <f>IF(B513&lt;&gt;"",INDEX(Index!$C$1:$C$77,MATCH($A513,Index!$A$1:$A$77,0)),"")</f>
        <v>Allen</v>
      </c>
      <c r="AW513" s="124">
        <f t="shared" ref="AW513:AW562" si="10">IF(AT513&lt;&gt;"",COUNTIFS($AX$2:$AX$994,AX513,$Q$2:$Q$994,"&gt;"&amp;$Q513)+1,"")</f>
        <v>6</v>
      </c>
      <c r="AX513" s="120">
        <v>14</v>
      </c>
    </row>
    <row r="514" spans="1:50" x14ac:dyDescent="0.25">
      <c r="A514" s="95" t="s">
        <v>555</v>
      </c>
      <c r="B514" s="96">
        <v>2025</v>
      </c>
      <c r="C514" s="96">
        <v>13</v>
      </c>
      <c r="D514" s="115">
        <v>2.3031199999999998</v>
      </c>
      <c r="E514" s="115">
        <v>-0.43439</v>
      </c>
      <c r="F514" s="115">
        <v>0.91314099999999998</v>
      </c>
      <c r="G514" s="115">
        <v>109.105</v>
      </c>
      <c r="H514" s="115">
        <v>0.19040000000000001</v>
      </c>
      <c r="I514" s="115">
        <v>334</v>
      </c>
      <c r="J514" s="115">
        <v>481</v>
      </c>
      <c r="K514" s="115">
        <v>0.69440000000000002</v>
      </c>
      <c r="L514" s="115">
        <v>3.6642000000000001</v>
      </c>
      <c r="M514" s="115">
        <v>3637</v>
      </c>
      <c r="N514" s="115">
        <v>7.5613000000000001</v>
      </c>
      <c r="O514" s="115">
        <v>26</v>
      </c>
      <c r="P514" s="115">
        <v>10</v>
      </c>
      <c r="Q514" s="115">
        <v>22</v>
      </c>
      <c r="R514" s="115">
        <v>26</v>
      </c>
      <c r="S514" s="115">
        <v>149</v>
      </c>
      <c r="T514" s="115">
        <v>5.7308000000000003</v>
      </c>
      <c r="U514" s="115">
        <v>2</v>
      </c>
      <c r="V514" s="115">
        <v>5.4100000000000002E-2</v>
      </c>
      <c r="W514" s="115">
        <v>2.0799999999999999E-2</v>
      </c>
      <c r="X514" s="115">
        <v>3.3300000000000003E-2</v>
      </c>
      <c r="Y514" s="115">
        <v>0.49909999999999999</v>
      </c>
      <c r="Z514" s="115">
        <v>100.81</v>
      </c>
      <c r="AA514" s="115">
        <v>7.0616000000000003</v>
      </c>
      <c r="AB514" s="115">
        <v>243.13399999999999</v>
      </c>
      <c r="AC514" s="115">
        <v>73.400000000000006</v>
      </c>
      <c r="AD514" s="115">
        <v>-1.34E-2</v>
      </c>
      <c r="AE514" s="115">
        <v>3.4099999999999998E-2</v>
      </c>
      <c r="AF514" s="115">
        <v>7.7999999999999996E-3</v>
      </c>
      <c r="AG514" s="115">
        <v>6.1000000000000004E-3</v>
      </c>
      <c r="AH514" s="115">
        <v>6.2600000000000003E-2</v>
      </c>
      <c r="AI514" s="115">
        <v>1.3299999999999999E-2</v>
      </c>
      <c r="AJ514" s="115">
        <v>1.47E-2</v>
      </c>
      <c r="AK514" s="115">
        <v>7.9188999999999998</v>
      </c>
      <c r="AL514" s="115">
        <v>-0.62160000000000004</v>
      </c>
      <c r="AM514" s="115">
        <v>6</v>
      </c>
      <c r="AN514" s="115">
        <v>6</v>
      </c>
      <c r="AO514" s="115">
        <v>1</v>
      </c>
      <c r="AP514" s="115">
        <v>3</v>
      </c>
      <c r="AQ514" s="115">
        <v>6</v>
      </c>
      <c r="AR514" s="115">
        <v>0.5</v>
      </c>
      <c r="AS514" s="115">
        <v>8.3999999999999995E-3</v>
      </c>
      <c r="AT514" s="115">
        <v>4.7927999999999997</v>
      </c>
      <c r="AU514" s="114" t="str">
        <f>IF(A514&lt;&gt;"",INDEX(Index!$B$1:$B$77,MATCH($A514,Index!$A$1:$A$77,0)),"")</f>
        <v>DAL</v>
      </c>
      <c r="AV514" s="123" t="str">
        <f>IF(B514&lt;&gt;"",INDEX(Index!$C$1:$C$77,MATCH($A514,Index!$A$1:$A$77,0)),"")</f>
        <v>Prescott</v>
      </c>
      <c r="AW514" s="123">
        <f t="shared" si="10"/>
        <v>17</v>
      </c>
      <c r="AX514" s="113">
        <v>14</v>
      </c>
    </row>
    <row r="515" spans="1:50" x14ac:dyDescent="0.25">
      <c r="A515" s="95" t="s">
        <v>567</v>
      </c>
      <c r="B515" s="96">
        <v>2025</v>
      </c>
      <c r="C515" s="96">
        <v>13</v>
      </c>
      <c r="D515" s="115">
        <v>2.1540300000000001</v>
      </c>
      <c r="E515" s="115">
        <v>0.42561900000000003</v>
      </c>
      <c r="F515" s="115">
        <v>1.96794</v>
      </c>
      <c r="G515" s="115">
        <v>105.13800000000001</v>
      </c>
      <c r="H515" s="115">
        <v>0.22</v>
      </c>
      <c r="I515" s="115">
        <v>288</v>
      </c>
      <c r="J515" s="115">
        <v>430</v>
      </c>
      <c r="K515" s="115">
        <v>0.66979999999999995</v>
      </c>
      <c r="L515" s="115">
        <v>2.9824999999999999</v>
      </c>
      <c r="M515" s="115">
        <v>3354</v>
      </c>
      <c r="N515" s="115">
        <v>7.8</v>
      </c>
      <c r="O515" s="115">
        <v>35</v>
      </c>
      <c r="P515" s="115">
        <v>4</v>
      </c>
      <c r="Q515" s="115">
        <v>17</v>
      </c>
      <c r="R515" s="115">
        <v>5</v>
      </c>
      <c r="S515" s="115">
        <v>11</v>
      </c>
      <c r="T515" s="115">
        <v>2.2000000000000002</v>
      </c>
      <c r="U515" s="115">
        <v>0</v>
      </c>
      <c r="V515" s="115">
        <v>8.14E-2</v>
      </c>
      <c r="W515" s="115">
        <v>9.2999999999999992E-3</v>
      </c>
      <c r="X515" s="115">
        <v>7.2099999999999997E-2</v>
      </c>
      <c r="Y515" s="115">
        <v>0.54179999999999995</v>
      </c>
      <c r="Z515" s="115">
        <v>113.65300000000001</v>
      </c>
      <c r="AA515" s="115">
        <v>8.4116</v>
      </c>
      <c r="AB515" s="115">
        <v>242.624</v>
      </c>
      <c r="AC515" s="115">
        <v>68.8</v>
      </c>
      <c r="AD515" s="115">
        <v>-4.24E-2</v>
      </c>
      <c r="AE515" s="115">
        <v>2.3099999999999999E-2</v>
      </c>
      <c r="AF515" s="115">
        <v>-2.86E-2</v>
      </c>
      <c r="AG515" s="115">
        <v>3.6299999999999999E-2</v>
      </c>
      <c r="AH515" s="115">
        <v>0.15240000000000001</v>
      </c>
      <c r="AI515" s="115">
        <v>2E-3</v>
      </c>
      <c r="AJ515" s="115">
        <v>1.2E-2</v>
      </c>
      <c r="AK515" s="115">
        <v>8.3907000000000007</v>
      </c>
      <c r="AL515" s="115">
        <v>0.23949999999999999</v>
      </c>
      <c r="AM515" s="115">
        <v>10</v>
      </c>
      <c r="AN515" s="115">
        <v>3</v>
      </c>
      <c r="AO515" s="115">
        <v>0</v>
      </c>
      <c r="AP515" s="115">
        <v>1</v>
      </c>
      <c r="AQ515" s="115">
        <v>4</v>
      </c>
      <c r="AR515" s="115">
        <v>0.25</v>
      </c>
      <c r="AS515" s="115">
        <v>6.7999999999999996E-3</v>
      </c>
      <c r="AT515" s="115">
        <v>3.2544</v>
      </c>
      <c r="AU515" s="114" t="str">
        <f>IF(A515&lt;&gt;"",INDEX(Index!$B$1:$B$77,MATCH($A515,Index!$A$1:$A$77,0)),"")</f>
        <v>LAR</v>
      </c>
      <c r="AV515" s="123" t="str">
        <f>IF(B515&lt;&gt;"",INDEX(Index!$C$1:$C$77,MATCH($A515,Index!$A$1:$A$77,0)),"")</f>
        <v>Stafford</v>
      </c>
      <c r="AW515" s="123">
        <f t="shared" si="10"/>
        <v>29</v>
      </c>
      <c r="AX515" s="113">
        <v>14</v>
      </c>
    </row>
    <row r="516" spans="1:50" x14ac:dyDescent="0.25">
      <c r="A516" s="95" t="s">
        <v>552</v>
      </c>
      <c r="B516" s="96">
        <v>2025</v>
      </c>
      <c r="C516" s="96">
        <v>13</v>
      </c>
      <c r="D516" s="115">
        <v>1.72062</v>
      </c>
      <c r="E516" s="115">
        <v>-0.81561499999999998</v>
      </c>
      <c r="F516" s="115">
        <v>-0.62778</v>
      </c>
      <c r="G516" s="115">
        <v>115.14700000000001</v>
      </c>
      <c r="H516" s="115">
        <v>0.19450000000000001</v>
      </c>
      <c r="I516" s="115">
        <v>299</v>
      </c>
      <c r="J516" s="115">
        <v>472</v>
      </c>
      <c r="K516" s="115">
        <v>0.63349999999999995</v>
      </c>
      <c r="L516" s="115">
        <v>0.66500000000000004</v>
      </c>
      <c r="M516" s="115">
        <v>3398</v>
      </c>
      <c r="N516" s="115">
        <v>7.1992000000000003</v>
      </c>
      <c r="O516" s="115">
        <v>22</v>
      </c>
      <c r="P516" s="115">
        <v>10</v>
      </c>
      <c r="Q516" s="115">
        <v>29</v>
      </c>
      <c r="R516" s="115">
        <v>54</v>
      </c>
      <c r="S516" s="115">
        <v>414</v>
      </c>
      <c r="T516" s="115">
        <v>7.6666999999999996</v>
      </c>
      <c r="U516" s="115">
        <v>4</v>
      </c>
      <c r="V516" s="115">
        <v>4.6600000000000003E-2</v>
      </c>
      <c r="W516" s="115">
        <v>2.12E-2</v>
      </c>
      <c r="X516" s="115">
        <v>2.5399999999999999E-2</v>
      </c>
      <c r="Y516" s="115">
        <v>0.50170000000000003</v>
      </c>
      <c r="Z516" s="115">
        <v>91.578400000000002</v>
      </c>
      <c r="AA516" s="115">
        <v>6.4192</v>
      </c>
      <c r="AB516" s="115">
        <v>226.32499999999999</v>
      </c>
      <c r="AC516" s="115">
        <v>69.400000000000006</v>
      </c>
      <c r="AD516" s="115">
        <v>1.89E-2</v>
      </c>
      <c r="AE516" s="115">
        <v>4.8800000000000003E-2</v>
      </c>
      <c r="AF516" s="115">
        <v>6.1999999999999998E-3</v>
      </c>
      <c r="AG516" s="115">
        <v>3.2000000000000002E-3</v>
      </c>
      <c r="AH516" s="115">
        <v>-2.0799999999999999E-2</v>
      </c>
      <c r="AI516" s="115">
        <v>7.0800000000000002E-2</v>
      </c>
      <c r="AJ516" s="115">
        <v>2.5000000000000001E-3</v>
      </c>
      <c r="AK516" s="115">
        <v>8.1271000000000004</v>
      </c>
      <c r="AL516" s="115">
        <v>-0.55079999999999996</v>
      </c>
      <c r="AM516" s="115">
        <v>6</v>
      </c>
      <c r="AN516" s="115">
        <v>7</v>
      </c>
      <c r="AO516" s="115">
        <v>0</v>
      </c>
      <c r="AP516" s="115">
        <v>1</v>
      </c>
      <c r="AQ516" s="115">
        <v>8</v>
      </c>
      <c r="AR516" s="115">
        <v>0.125</v>
      </c>
      <c r="AS516" s="115">
        <v>4.3E-3</v>
      </c>
      <c r="AT516" s="115">
        <v>2.5246</v>
      </c>
      <c r="AU516" s="114" t="str">
        <f>IF(A516&lt;&gt;"",INDEX(Index!$B$1:$B$77,MATCH($A516,Index!$A$1:$A$77,0)),"")</f>
        <v>KC</v>
      </c>
      <c r="AV516" s="123" t="str">
        <f>IF(B516&lt;&gt;"",INDEX(Index!$C$1:$C$77,MATCH($A516,Index!$A$1:$A$77,0)),"")</f>
        <v>Mahomes</v>
      </c>
      <c r="AW516" s="123">
        <f t="shared" si="10"/>
        <v>7</v>
      </c>
      <c r="AX516" s="113">
        <v>14</v>
      </c>
    </row>
    <row r="517" spans="1:50" x14ac:dyDescent="0.25">
      <c r="A517" s="95" t="s">
        <v>557</v>
      </c>
      <c r="B517" s="96">
        <v>2025</v>
      </c>
      <c r="C517" s="96">
        <v>4</v>
      </c>
      <c r="D517" s="115">
        <v>1.50691</v>
      </c>
      <c r="E517" s="115">
        <v>0.34888599999999997</v>
      </c>
      <c r="F517" s="115">
        <v>-1.0237099999999999</v>
      </c>
      <c r="G517" s="115">
        <v>21.758299999999998</v>
      </c>
      <c r="H517" s="115">
        <v>0.1588</v>
      </c>
      <c r="I517" s="115">
        <v>70</v>
      </c>
      <c r="J517" s="115">
        <v>118</v>
      </c>
      <c r="K517" s="115">
        <v>0.59319999999999995</v>
      </c>
      <c r="L517" s="115">
        <v>-0.5635</v>
      </c>
      <c r="M517" s="115">
        <v>734</v>
      </c>
      <c r="N517" s="115">
        <v>6.2202999999999999</v>
      </c>
      <c r="O517" s="115">
        <v>8</v>
      </c>
      <c r="P517" s="115">
        <v>2</v>
      </c>
      <c r="Q517" s="115">
        <v>7</v>
      </c>
      <c r="R517" s="115">
        <v>5</v>
      </c>
      <c r="S517" s="115">
        <v>11</v>
      </c>
      <c r="T517" s="115">
        <v>2.2000000000000002</v>
      </c>
      <c r="U517" s="115">
        <v>0</v>
      </c>
      <c r="V517" s="115">
        <v>6.7799999999999999E-2</v>
      </c>
      <c r="W517" s="115">
        <v>1.6899999999999998E-2</v>
      </c>
      <c r="X517" s="115">
        <v>5.0799999999999998E-2</v>
      </c>
      <c r="Y517" s="115">
        <v>0.47449999999999998</v>
      </c>
      <c r="Z517" s="115">
        <v>92.973200000000006</v>
      </c>
      <c r="AA517" s="115">
        <v>6.1040000000000001</v>
      </c>
      <c r="AB517" s="115">
        <v>136.74799999999999</v>
      </c>
      <c r="AC517" s="115">
        <v>65.7</v>
      </c>
      <c r="AD517" s="115">
        <v>-3.1699999999999999E-2</v>
      </c>
      <c r="AE517" s="115">
        <v>3.5799999999999998E-2</v>
      </c>
      <c r="AF517" s="115">
        <v>-2.5899999999999999E-2</v>
      </c>
      <c r="AG517" s="115">
        <v>-3.44E-2</v>
      </c>
      <c r="AH517" s="115">
        <v>0.2283</v>
      </c>
      <c r="AI517" s="115">
        <v>-0.1048</v>
      </c>
      <c r="AJ517" s="115">
        <v>2.63E-2</v>
      </c>
      <c r="AK517" s="115">
        <v>8.1016999999999992</v>
      </c>
      <c r="AL517" s="115">
        <v>-0.33900000000000002</v>
      </c>
      <c r="AM517" s="115">
        <v>3</v>
      </c>
      <c r="AN517" s="115">
        <v>1</v>
      </c>
      <c r="AO517" s="115">
        <v>0</v>
      </c>
      <c r="AP517" s="115">
        <v>0</v>
      </c>
      <c r="AQ517" s="115">
        <v>1</v>
      </c>
      <c r="AR517" s="115">
        <v>0</v>
      </c>
      <c r="AS517" s="115">
        <v>2.5999999999999999E-3</v>
      </c>
      <c r="AT517" s="115">
        <v>0.36170000000000002</v>
      </c>
      <c r="AU517" s="114" t="str">
        <f>IF(A517&lt;&gt;"",INDEX(Index!$B$1:$B$77,MATCH($A517,Index!$A$1:$A$77,0)),"")</f>
        <v>CIN</v>
      </c>
      <c r="AV517" s="123" t="str">
        <f>IF(B517&lt;&gt;"",INDEX(Index!$C$1:$C$77,MATCH($A517,Index!$A$1:$A$77,0)),"")</f>
        <v>Burrow</v>
      </c>
      <c r="AW517" s="123">
        <f t="shared" si="10"/>
        <v>43</v>
      </c>
      <c r="AX517" s="113">
        <v>14</v>
      </c>
    </row>
    <row r="518" spans="1:50" x14ac:dyDescent="0.25">
      <c r="A518" s="95" t="s">
        <v>553</v>
      </c>
      <c r="B518" s="96">
        <v>2025</v>
      </c>
      <c r="C518" s="96">
        <v>13</v>
      </c>
      <c r="D518" s="115">
        <v>1.4592499999999999</v>
      </c>
      <c r="E518" s="115">
        <v>8.5222199999999998E-2</v>
      </c>
      <c r="F518" s="115">
        <v>0.22661000000000001</v>
      </c>
      <c r="G518" s="115">
        <v>85.345699999999994</v>
      </c>
      <c r="H518" s="115">
        <v>0.18429999999999999</v>
      </c>
      <c r="I518" s="115">
        <v>289</v>
      </c>
      <c r="J518" s="115">
        <v>410</v>
      </c>
      <c r="K518" s="115">
        <v>0.70489999999999997</v>
      </c>
      <c r="L518" s="115">
        <v>3.6638000000000002</v>
      </c>
      <c r="M518" s="115">
        <v>3334</v>
      </c>
      <c r="N518" s="115">
        <v>8.1317000000000004</v>
      </c>
      <c r="O518" s="115">
        <v>26</v>
      </c>
      <c r="P518" s="115">
        <v>5</v>
      </c>
      <c r="Q518" s="115">
        <v>27</v>
      </c>
      <c r="R518" s="115">
        <v>7</v>
      </c>
      <c r="S518" s="115">
        <v>51</v>
      </c>
      <c r="T518" s="115">
        <v>7.2857000000000003</v>
      </c>
      <c r="U518" s="115">
        <v>0</v>
      </c>
      <c r="V518" s="115">
        <v>6.3399999999999998E-2</v>
      </c>
      <c r="W518" s="115">
        <v>1.2200000000000001E-2</v>
      </c>
      <c r="X518" s="115">
        <v>5.1200000000000002E-2</v>
      </c>
      <c r="Y518" s="115">
        <v>0.50319999999999998</v>
      </c>
      <c r="Z518" s="115">
        <v>110.762</v>
      </c>
      <c r="AA518" s="115">
        <v>7.8924000000000003</v>
      </c>
      <c r="AB518" s="115">
        <v>214.11500000000001</v>
      </c>
      <c r="AC518" s="115">
        <v>56.5</v>
      </c>
      <c r="AD518" s="115">
        <v>-2.4799999999999999E-2</v>
      </c>
      <c r="AE518" s="115">
        <v>-1.15E-2</v>
      </c>
      <c r="AF518" s="115">
        <v>-1.7000000000000001E-2</v>
      </c>
      <c r="AG518" s="115">
        <v>3.5999999999999997E-2</v>
      </c>
      <c r="AH518" s="115">
        <v>-1.9400000000000001E-2</v>
      </c>
      <c r="AI518" s="115">
        <v>0.17150000000000001</v>
      </c>
      <c r="AJ518" s="115">
        <v>-1.55E-2</v>
      </c>
      <c r="AK518" s="115">
        <v>6.3560999999999996</v>
      </c>
      <c r="AL518" s="115">
        <v>-2.1901999999999999</v>
      </c>
      <c r="AM518" s="115">
        <v>8</v>
      </c>
      <c r="AN518" s="115">
        <v>5</v>
      </c>
      <c r="AO518" s="115">
        <v>0</v>
      </c>
      <c r="AP518" s="115">
        <v>1</v>
      </c>
      <c r="AQ518" s="115">
        <v>2</v>
      </c>
      <c r="AR518" s="115">
        <v>0.5</v>
      </c>
      <c r="AS518" s="115">
        <v>3.8E-3</v>
      </c>
      <c r="AT518" s="115">
        <v>1.7472000000000001</v>
      </c>
      <c r="AU518" s="114" t="str">
        <f>IF(A518&lt;&gt;"",INDEX(Index!$B$1:$B$77,MATCH($A518,Index!$A$1:$A$77,0)),"")</f>
        <v>DET</v>
      </c>
      <c r="AV518" s="123" t="str">
        <f>IF(B518&lt;&gt;"",INDEX(Index!$C$1:$C$77,MATCH($A518,Index!$A$1:$A$77,0)),"")</f>
        <v>Goff</v>
      </c>
      <c r="AW518" s="123">
        <f t="shared" si="10"/>
        <v>11</v>
      </c>
      <c r="AX518" s="113">
        <v>14</v>
      </c>
    </row>
    <row r="519" spans="1:50" x14ac:dyDescent="0.25">
      <c r="A519" s="95" t="s">
        <v>566</v>
      </c>
      <c r="B519" s="96">
        <v>2025</v>
      </c>
      <c r="C519" s="96">
        <v>13</v>
      </c>
      <c r="D519" s="115">
        <v>1.0671200000000001</v>
      </c>
      <c r="E519" s="115">
        <v>0.19561000000000001</v>
      </c>
      <c r="F519" s="115">
        <v>1.0958600000000001</v>
      </c>
      <c r="G519" s="115">
        <v>139.09</v>
      </c>
      <c r="H519" s="115">
        <v>0.30570000000000003</v>
      </c>
      <c r="I519" s="115">
        <v>259</v>
      </c>
      <c r="J519" s="115">
        <v>385</v>
      </c>
      <c r="K519" s="115">
        <v>0.67269999999999996</v>
      </c>
      <c r="L519" s="115">
        <v>5.6825000000000001</v>
      </c>
      <c r="M519" s="115">
        <v>3028</v>
      </c>
      <c r="N519" s="115">
        <v>7.8648999999999996</v>
      </c>
      <c r="O519" s="115">
        <v>22</v>
      </c>
      <c r="P519" s="115">
        <v>4</v>
      </c>
      <c r="Q519" s="115">
        <v>18</v>
      </c>
      <c r="R519" s="115">
        <v>28</v>
      </c>
      <c r="S519" s="115">
        <v>175</v>
      </c>
      <c r="T519" s="115">
        <v>6.25</v>
      </c>
      <c r="U519" s="115">
        <v>0</v>
      </c>
      <c r="V519" s="115">
        <v>5.7099999999999998E-2</v>
      </c>
      <c r="W519" s="115">
        <v>1.04E-2</v>
      </c>
      <c r="X519" s="115">
        <v>4.6800000000000001E-2</v>
      </c>
      <c r="Y519" s="115">
        <v>0.52090000000000003</v>
      </c>
      <c r="Z519" s="115">
        <v>105.633</v>
      </c>
      <c r="AA519" s="115">
        <v>7.8113999999999999</v>
      </c>
      <c r="AB519" s="115">
        <v>211.52600000000001</v>
      </c>
      <c r="AC519" s="115">
        <v>73</v>
      </c>
      <c r="AD519" s="115">
        <v>3.5999999999999999E-3</v>
      </c>
      <c r="AE519" s="115">
        <v>3.6600000000000001E-2</v>
      </c>
      <c r="AF519" s="115">
        <v>5.3E-3</v>
      </c>
      <c r="AG519" s="115">
        <v>3.44E-2</v>
      </c>
      <c r="AH519" s="115">
        <v>9.1200000000000003E-2</v>
      </c>
      <c r="AI519" s="115">
        <v>6.0699999999999997E-2</v>
      </c>
      <c r="AJ519" s="115">
        <v>8.8000000000000005E-3</v>
      </c>
      <c r="AK519" s="115">
        <v>8.6830999999999996</v>
      </c>
      <c r="AL519" s="115">
        <v>-5.1999999999999998E-3</v>
      </c>
      <c r="AM519" s="115">
        <v>9</v>
      </c>
      <c r="AN519" s="115">
        <v>3</v>
      </c>
      <c r="AO519" s="115">
        <v>1</v>
      </c>
      <c r="AP519" s="115">
        <v>2</v>
      </c>
      <c r="AQ519" s="115">
        <v>5</v>
      </c>
      <c r="AR519" s="115">
        <v>0.4</v>
      </c>
      <c r="AS519" s="115">
        <v>1.12E-2</v>
      </c>
      <c r="AT519" s="115">
        <v>5.1040000000000001</v>
      </c>
      <c r="AU519" s="114" t="str">
        <f>IF(A519&lt;&gt;"",INDEX(Index!$B$1:$B$77,MATCH($A519,Index!$A$1:$A$77,0)),"")</f>
        <v>GB</v>
      </c>
      <c r="AV519" s="123" t="str">
        <f>IF(B519&lt;&gt;"",INDEX(Index!$C$1:$C$77,MATCH($A519,Index!$A$1:$A$77,0)),"")</f>
        <v>Love</v>
      </c>
      <c r="AW519" s="123">
        <f t="shared" si="10"/>
        <v>24</v>
      </c>
      <c r="AX519" s="113">
        <v>14</v>
      </c>
    </row>
    <row r="520" spans="1:50" x14ac:dyDescent="0.25">
      <c r="A520" s="95" t="s">
        <v>561</v>
      </c>
      <c r="B520" s="96">
        <v>2025</v>
      </c>
      <c r="C520" s="96">
        <v>13</v>
      </c>
      <c r="D520" s="115">
        <v>1.03586</v>
      </c>
      <c r="E520" s="115">
        <v>0.109404</v>
      </c>
      <c r="F520" s="115">
        <v>-0.138879</v>
      </c>
      <c r="G520" s="115">
        <v>47.204999999999998</v>
      </c>
      <c r="H520" s="115">
        <v>8.4699999999999998E-2</v>
      </c>
      <c r="I520" s="115">
        <v>297</v>
      </c>
      <c r="J520" s="115">
        <v>469</v>
      </c>
      <c r="K520" s="115">
        <v>0.63329999999999997</v>
      </c>
      <c r="L520" s="115">
        <v>-1.5051000000000001</v>
      </c>
      <c r="M520" s="115">
        <v>2954</v>
      </c>
      <c r="N520" s="115">
        <v>6.2984999999999998</v>
      </c>
      <c r="O520" s="115">
        <v>19</v>
      </c>
      <c r="P520" s="115">
        <v>9</v>
      </c>
      <c r="Q520" s="115">
        <v>16</v>
      </c>
      <c r="R520" s="115">
        <v>43</v>
      </c>
      <c r="S520" s="115">
        <v>256</v>
      </c>
      <c r="T520" s="115">
        <v>5.9535</v>
      </c>
      <c r="U520" s="115">
        <v>4</v>
      </c>
      <c r="V520" s="115">
        <v>4.0500000000000001E-2</v>
      </c>
      <c r="W520" s="115">
        <v>1.9199999999999998E-2</v>
      </c>
      <c r="X520" s="115">
        <v>2.1299999999999999E-2</v>
      </c>
      <c r="Y520" s="115">
        <v>0.4345</v>
      </c>
      <c r="Z520" s="115">
        <v>86.607100000000003</v>
      </c>
      <c r="AA520" s="115">
        <v>5.8597999999999999</v>
      </c>
      <c r="AB520" s="115">
        <v>194.55199999999999</v>
      </c>
      <c r="AC520" s="115">
        <v>55.8</v>
      </c>
      <c r="AD520" s="115">
        <v>-5.7999999999999996E-3</v>
      </c>
      <c r="AE520" s="115">
        <v>6.0499999999999998E-2</v>
      </c>
      <c r="AF520" s="115">
        <v>-8.6E-3</v>
      </c>
      <c r="AG520" s="115">
        <v>2.0799999999999999E-2</v>
      </c>
      <c r="AH520" s="115">
        <v>-8.0299999999999996E-2</v>
      </c>
      <c r="AI520" s="115">
        <v>6.1899999999999997E-2</v>
      </c>
      <c r="AJ520" s="115">
        <v>-2.9000000000000001E-2</v>
      </c>
      <c r="AK520" s="115">
        <v>7.4264000000000001</v>
      </c>
      <c r="AL520" s="115">
        <v>-1.6247</v>
      </c>
      <c r="AM520" s="115">
        <v>11</v>
      </c>
      <c r="AN520" s="115">
        <v>2</v>
      </c>
      <c r="AO520" s="115">
        <v>0</v>
      </c>
      <c r="AP520" s="115">
        <v>5</v>
      </c>
      <c r="AQ520" s="115">
        <v>5</v>
      </c>
      <c r="AR520" s="115">
        <v>1</v>
      </c>
      <c r="AS520" s="115">
        <v>3.5999999999999999E-3</v>
      </c>
      <c r="AT520" s="115">
        <v>2.0179999999999998</v>
      </c>
      <c r="AU520" s="114" t="str">
        <f>IF(A520&lt;&gt;"",INDEX(Index!$B$1:$B$77,MATCH($A520,Index!$A$1:$A$77,0)),"")</f>
        <v>DEN</v>
      </c>
      <c r="AV520" s="123" t="str">
        <f>IF(B520&lt;&gt;"",INDEX(Index!$C$1:$C$77,MATCH($A520,Index!$A$1:$A$77,0)),"")</f>
        <v>Nix</v>
      </c>
      <c r="AW520" s="123">
        <f t="shared" si="10"/>
        <v>32</v>
      </c>
      <c r="AX520" s="113">
        <v>14</v>
      </c>
    </row>
    <row r="521" spans="1:50" x14ac:dyDescent="0.25">
      <c r="A521" s="95" t="s">
        <v>554</v>
      </c>
      <c r="B521" s="96">
        <v>2025</v>
      </c>
      <c r="C521" s="96">
        <v>13</v>
      </c>
      <c r="D521" s="115">
        <v>0.96423899999999996</v>
      </c>
      <c r="E521" s="115">
        <v>-0.93929700000000005</v>
      </c>
      <c r="F521" s="115">
        <v>-0.60554699999999995</v>
      </c>
      <c r="G521" s="115">
        <v>31.619199999999999</v>
      </c>
      <c r="H521" s="115">
        <v>6.2100000000000002E-2</v>
      </c>
      <c r="I521" s="115">
        <v>247</v>
      </c>
      <c r="J521" s="115">
        <v>380</v>
      </c>
      <c r="K521" s="115">
        <v>0.65</v>
      </c>
      <c r="L521" s="115">
        <v>2.6810999999999998</v>
      </c>
      <c r="M521" s="115">
        <v>2754</v>
      </c>
      <c r="N521" s="115">
        <v>7.2473999999999998</v>
      </c>
      <c r="O521" s="115">
        <v>19</v>
      </c>
      <c r="P521" s="115">
        <v>6</v>
      </c>
      <c r="Q521" s="115">
        <v>28</v>
      </c>
      <c r="R521" s="115">
        <v>76</v>
      </c>
      <c r="S521" s="115">
        <v>351</v>
      </c>
      <c r="T521" s="115">
        <v>4.6184000000000003</v>
      </c>
      <c r="U521" s="115">
        <v>8</v>
      </c>
      <c r="V521" s="115">
        <v>0.05</v>
      </c>
      <c r="W521" s="115">
        <v>1.5800000000000002E-2</v>
      </c>
      <c r="X521" s="115">
        <v>3.4200000000000001E-2</v>
      </c>
      <c r="Y521" s="115">
        <v>0.44990000000000002</v>
      </c>
      <c r="Z521" s="115">
        <v>96.5351</v>
      </c>
      <c r="AA521" s="115">
        <v>6.6078000000000001</v>
      </c>
      <c r="AB521" s="115">
        <v>196.68799999999999</v>
      </c>
      <c r="AC521" s="115">
        <v>51.9</v>
      </c>
      <c r="AD521" s="115">
        <v>3.0999999999999999E-3</v>
      </c>
      <c r="AE521" s="115">
        <v>1.2200000000000001E-2</v>
      </c>
      <c r="AF521" s="115">
        <v>3.3099999999999997E-2</v>
      </c>
      <c r="AG521" s="115">
        <v>1.24E-2</v>
      </c>
      <c r="AH521" s="115">
        <v>3.3300000000000003E-2</v>
      </c>
      <c r="AI521" s="115">
        <v>-7.8100000000000003E-2</v>
      </c>
      <c r="AJ521" s="115">
        <v>-1.89E-2</v>
      </c>
      <c r="AK521" s="115">
        <v>9.2341999999999995</v>
      </c>
      <c r="AL521" s="115">
        <v>0.30259999999999998</v>
      </c>
      <c r="AM521" s="115">
        <v>8</v>
      </c>
      <c r="AN521" s="115">
        <v>5</v>
      </c>
      <c r="AO521" s="115">
        <v>0</v>
      </c>
      <c r="AP521" s="115">
        <v>1</v>
      </c>
      <c r="AQ521" s="115">
        <v>3</v>
      </c>
      <c r="AR521" s="115">
        <v>0.33329999999999999</v>
      </c>
      <c r="AS521" s="115">
        <v>2.9999999999999997E-4</v>
      </c>
      <c r="AT521" s="115">
        <v>0.14149999999999999</v>
      </c>
      <c r="AU521" s="114" t="str">
        <f>IF(A521&lt;&gt;"",INDEX(Index!$B$1:$B$77,MATCH($A521,Index!$A$1:$A$77,0)),"")</f>
        <v>PHI</v>
      </c>
      <c r="AV521" s="123" t="str">
        <f>IF(B521&lt;&gt;"",INDEX(Index!$C$1:$C$77,MATCH($A521,Index!$A$1:$A$77,0)),"")</f>
        <v>Hurts</v>
      </c>
      <c r="AW521" s="123">
        <f t="shared" si="10"/>
        <v>10</v>
      </c>
      <c r="AX521" s="113">
        <v>14</v>
      </c>
    </row>
    <row r="522" spans="1:50" x14ac:dyDescent="0.25">
      <c r="A522" s="95" t="s">
        <v>570</v>
      </c>
      <c r="B522" s="96">
        <v>2025</v>
      </c>
      <c r="C522" s="96">
        <v>13</v>
      </c>
      <c r="D522" s="115">
        <v>0.95660100000000003</v>
      </c>
      <c r="E522" s="115">
        <v>0.173295</v>
      </c>
      <c r="F522" s="115">
        <v>1.4904599999999999</v>
      </c>
      <c r="G522" s="115">
        <v>134.81200000000001</v>
      </c>
      <c r="H522" s="115">
        <v>0.26179999999999998</v>
      </c>
      <c r="I522" s="115">
        <v>276</v>
      </c>
      <c r="J522" s="115">
        <v>386</v>
      </c>
      <c r="K522" s="115">
        <v>0.71499999999999997</v>
      </c>
      <c r="L522" s="115">
        <v>9.6232000000000006</v>
      </c>
      <c r="M522" s="115">
        <v>3412</v>
      </c>
      <c r="N522" s="115">
        <v>8.8393999999999995</v>
      </c>
      <c r="O522" s="115">
        <v>23</v>
      </c>
      <c r="P522" s="115">
        <v>6</v>
      </c>
      <c r="Q522" s="115">
        <v>40</v>
      </c>
      <c r="R522" s="115">
        <v>61</v>
      </c>
      <c r="S522" s="115">
        <v>340</v>
      </c>
      <c r="T522" s="115">
        <v>5.5738000000000003</v>
      </c>
      <c r="U522" s="115">
        <v>2</v>
      </c>
      <c r="V522" s="115">
        <v>5.96E-2</v>
      </c>
      <c r="W522" s="115">
        <v>1.55E-2</v>
      </c>
      <c r="X522" s="115">
        <v>4.3999999999999997E-2</v>
      </c>
      <c r="Y522" s="115">
        <v>0.52429999999999999</v>
      </c>
      <c r="Z522" s="115">
        <v>111.88500000000001</v>
      </c>
      <c r="AA522" s="115">
        <v>8.0375999999999994</v>
      </c>
      <c r="AB522" s="115">
        <v>211.89</v>
      </c>
      <c r="AC522" s="115">
        <v>72.2</v>
      </c>
      <c r="AD522" s="115">
        <v>-4.7999999999999996E-3</v>
      </c>
      <c r="AE522" s="115">
        <v>-1.55E-2</v>
      </c>
      <c r="AF522" s="115">
        <v>5.9499999999999997E-2</v>
      </c>
      <c r="AG522" s="115">
        <v>2.1100000000000001E-2</v>
      </c>
      <c r="AH522" s="115">
        <v>0.1711</v>
      </c>
      <c r="AI522" s="115">
        <v>-3.2899999999999999E-2</v>
      </c>
      <c r="AJ522" s="115">
        <v>-1.8E-3</v>
      </c>
      <c r="AK522" s="115">
        <v>8.7745999999999995</v>
      </c>
      <c r="AL522" s="115">
        <v>-0.1399</v>
      </c>
      <c r="AM522" s="115">
        <v>11</v>
      </c>
      <c r="AN522" s="115">
        <v>2</v>
      </c>
      <c r="AO522" s="115">
        <v>0</v>
      </c>
      <c r="AP522" s="115">
        <v>0</v>
      </c>
      <c r="AQ522" s="115">
        <v>2</v>
      </c>
      <c r="AR522" s="115">
        <v>0</v>
      </c>
      <c r="AS522" s="115">
        <v>7.4999999999999997E-3</v>
      </c>
      <c r="AT522" s="115">
        <v>3.8391000000000002</v>
      </c>
      <c r="AU522" s="114" t="str">
        <f>IF(A522&lt;&gt;"",INDEX(Index!$B$1:$B$77,MATCH($A522,Index!$A$1:$A$77,0)),"")</f>
        <v>NE</v>
      </c>
      <c r="AV522" s="123" t="str">
        <f>IF(B522&lt;&gt;"",INDEX(Index!$C$1:$C$77,MATCH($A522,Index!$A$1:$A$77,0)),"")</f>
        <v>Maye</v>
      </c>
      <c r="AW522" s="123">
        <f t="shared" si="10"/>
        <v>4</v>
      </c>
      <c r="AX522" s="113">
        <v>14</v>
      </c>
    </row>
    <row r="523" spans="1:50" x14ac:dyDescent="0.25">
      <c r="A523" s="95" t="s">
        <v>550</v>
      </c>
      <c r="B523" s="96">
        <v>2025</v>
      </c>
      <c r="C523" s="96">
        <v>10</v>
      </c>
      <c r="D523" s="115">
        <v>0.86178100000000002</v>
      </c>
      <c r="E523" s="115">
        <v>-6.5615199999999999E-2</v>
      </c>
      <c r="F523" s="115">
        <v>-2.8620000000000001</v>
      </c>
      <c r="G523" s="115">
        <v>25.347200000000001</v>
      </c>
      <c r="H523" s="115">
        <v>7.0800000000000002E-2</v>
      </c>
      <c r="I523" s="115">
        <v>166</v>
      </c>
      <c r="J523" s="115">
        <v>260</v>
      </c>
      <c r="K523" s="115">
        <v>0.63849999999999996</v>
      </c>
      <c r="L523" s="115">
        <v>1.2238</v>
      </c>
      <c r="M523" s="115">
        <v>2060</v>
      </c>
      <c r="N523" s="115">
        <v>7.9230999999999998</v>
      </c>
      <c r="O523" s="115">
        <v>16</v>
      </c>
      <c r="P523" s="115">
        <v>5</v>
      </c>
      <c r="Q523" s="115">
        <v>29</v>
      </c>
      <c r="R523" s="115">
        <v>51</v>
      </c>
      <c r="S523" s="115">
        <v>315</v>
      </c>
      <c r="T523" s="115">
        <v>6.1764999999999999</v>
      </c>
      <c r="U523" s="115">
        <v>2</v>
      </c>
      <c r="V523" s="115">
        <v>6.1499999999999999E-2</v>
      </c>
      <c r="W523" s="115">
        <v>1.9199999999999998E-2</v>
      </c>
      <c r="X523" s="115">
        <v>4.2299999999999997E-2</v>
      </c>
      <c r="Y523" s="115">
        <v>0.48039999999999999</v>
      </c>
      <c r="Z523" s="115">
        <v>100.801</v>
      </c>
      <c r="AA523" s="115">
        <v>6.7611999999999997</v>
      </c>
      <c r="AB523" s="115">
        <v>162.006</v>
      </c>
      <c r="AC523" s="115">
        <v>60</v>
      </c>
      <c r="AD523" s="115">
        <v>3.3599999999999998E-2</v>
      </c>
      <c r="AE523" s="115">
        <v>-5.0799999999999998E-2</v>
      </c>
      <c r="AF523" s="115">
        <v>-1E-3</v>
      </c>
      <c r="AG523" s="115">
        <v>3.2000000000000002E-3</v>
      </c>
      <c r="AH523" s="115">
        <v>8.3900000000000002E-2</v>
      </c>
      <c r="AI523" s="115">
        <v>-6.9800000000000001E-2</v>
      </c>
      <c r="AJ523" s="115">
        <v>6.7000000000000002E-3</v>
      </c>
      <c r="AK523" s="115">
        <v>8.5577000000000005</v>
      </c>
      <c r="AL523" s="115">
        <v>-0.49619999999999997</v>
      </c>
      <c r="AM523" s="115">
        <v>5</v>
      </c>
      <c r="AN523" s="115">
        <v>5</v>
      </c>
      <c r="AO523" s="115">
        <v>0</v>
      </c>
      <c r="AP523" s="115">
        <v>1</v>
      </c>
      <c r="AQ523" s="115">
        <v>3</v>
      </c>
      <c r="AR523" s="115">
        <v>0.33329999999999999</v>
      </c>
      <c r="AS523" s="115">
        <v>1.1999999999999999E-3</v>
      </c>
      <c r="AT523" s="115">
        <v>0.41460000000000002</v>
      </c>
      <c r="AU523" s="114" t="str">
        <f>IF(A523&lt;&gt;"",INDEX(Index!$B$1:$B$77,MATCH($A523,Index!$A$1:$A$77,0)),"")</f>
        <v>BAL</v>
      </c>
      <c r="AV523" s="123" t="str">
        <f>IF(B523&lt;&gt;"",INDEX(Index!$C$1:$C$77,MATCH($A523,Index!$A$1:$A$77,0)),"")</f>
        <v>Jackson</v>
      </c>
      <c r="AW523" s="123">
        <f t="shared" si="10"/>
        <v>7</v>
      </c>
      <c r="AX523" s="113">
        <v>14</v>
      </c>
    </row>
    <row r="524" spans="1:50" x14ac:dyDescent="0.25">
      <c r="A524" s="95" t="s">
        <v>560</v>
      </c>
      <c r="B524" s="96">
        <v>2025</v>
      </c>
      <c r="C524" s="96">
        <v>5</v>
      </c>
      <c r="D524" s="115">
        <v>0.72282400000000002</v>
      </c>
      <c r="E524" s="115">
        <v>0.14920800000000001</v>
      </c>
      <c r="F524" s="115">
        <v>-0.13066800000000001</v>
      </c>
      <c r="G524" s="115">
        <v>32.561700000000002</v>
      </c>
      <c r="H524" s="115">
        <v>0.17599999999999999</v>
      </c>
      <c r="I524" s="115">
        <v>106</v>
      </c>
      <c r="J524" s="115">
        <v>160</v>
      </c>
      <c r="K524" s="115">
        <v>0.66249999999999998</v>
      </c>
      <c r="L524" s="115">
        <v>4.8368000000000002</v>
      </c>
      <c r="M524" s="115">
        <v>1147</v>
      </c>
      <c r="N524" s="115">
        <v>7.1688000000000001</v>
      </c>
      <c r="O524" s="115">
        <v>9</v>
      </c>
      <c r="P524" s="115">
        <v>7</v>
      </c>
      <c r="Q524" s="115">
        <v>4</v>
      </c>
      <c r="R524" s="115">
        <v>12</v>
      </c>
      <c r="S524" s="115">
        <v>47</v>
      </c>
      <c r="T524" s="115">
        <v>3.9167000000000001</v>
      </c>
      <c r="U524" s="115">
        <v>1</v>
      </c>
      <c r="V524" s="115">
        <v>5.62E-2</v>
      </c>
      <c r="W524" s="115">
        <v>4.3799999999999999E-2</v>
      </c>
      <c r="X524" s="115">
        <v>1.2500000000000001E-2</v>
      </c>
      <c r="Y524" s="115">
        <v>0.52969999999999995</v>
      </c>
      <c r="Z524" s="115">
        <v>87.682299999999998</v>
      </c>
      <c r="AA524" s="115">
        <v>5.9512</v>
      </c>
      <c r="AB524" s="115">
        <v>183.19900000000001</v>
      </c>
      <c r="AC524" s="115">
        <v>68.900000000000006</v>
      </c>
      <c r="AD524" s="115">
        <v>6.4999999999999997E-3</v>
      </c>
      <c r="AE524" s="115">
        <v>4.2200000000000001E-2</v>
      </c>
      <c r="AF524" s="115">
        <v>3.1199999999999999E-2</v>
      </c>
      <c r="AG524" s="115">
        <v>-8.2100000000000006E-2</v>
      </c>
      <c r="AH524" s="115">
        <v>8.0699999999999994E-2</v>
      </c>
      <c r="AI524" s="115">
        <v>3.15E-2</v>
      </c>
      <c r="AJ524" s="115">
        <v>8.0000000000000004E-4</v>
      </c>
      <c r="AK524" s="115">
        <v>7.5061999999999998</v>
      </c>
      <c r="AL524" s="115">
        <v>-0.85</v>
      </c>
      <c r="AM524" s="115">
        <v>4</v>
      </c>
      <c r="AN524" s="115">
        <v>1</v>
      </c>
      <c r="AO524" s="115">
        <v>0</v>
      </c>
      <c r="AP524" s="115">
        <v>1</v>
      </c>
      <c r="AQ524" s="115">
        <v>2</v>
      </c>
      <c r="AR524" s="115">
        <v>0.5</v>
      </c>
      <c r="AS524" s="115">
        <v>6.1000000000000004E-3</v>
      </c>
      <c r="AT524" s="115">
        <v>1.1215999999999999</v>
      </c>
      <c r="AU524" s="114" t="str">
        <f>IF(A524&lt;&gt;"",INDEX(Index!$B$1:$B$77,MATCH($A524,Index!$A$1:$A$77,0)),"")</f>
        <v>SF</v>
      </c>
      <c r="AV524" s="123" t="str">
        <f>IF(B524&lt;&gt;"",INDEX(Index!$C$1:$C$77,MATCH($A524,Index!$A$1:$A$77,0)),"")</f>
        <v>Purdy</v>
      </c>
      <c r="AW524" s="123">
        <f t="shared" si="10"/>
        <v>46</v>
      </c>
      <c r="AX524" s="113">
        <v>14</v>
      </c>
    </row>
    <row r="525" spans="1:50" x14ac:dyDescent="0.25">
      <c r="A525" s="95" t="s">
        <v>562</v>
      </c>
      <c r="B525" s="96">
        <v>2025</v>
      </c>
      <c r="C525" s="96">
        <v>6</v>
      </c>
      <c r="D525" s="115">
        <v>0.71895600000000004</v>
      </c>
      <c r="E525" s="115">
        <v>-0.27734900000000001</v>
      </c>
      <c r="F525" s="115">
        <v>-0.58660000000000001</v>
      </c>
      <c r="G525" s="115">
        <v>12.370200000000001</v>
      </c>
      <c r="H525" s="115">
        <v>4.4699999999999997E-2</v>
      </c>
      <c r="I525" s="115">
        <v>114</v>
      </c>
      <c r="J525" s="115">
        <v>186</v>
      </c>
      <c r="K525" s="115">
        <v>0.6129</v>
      </c>
      <c r="L525" s="115">
        <v>-2.7290999999999999</v>
      </c>
      <c r="M525" s="115">
        <v>1262</v>
      </c>
      <c r="N525" s="115">
        <v>6.7849000000000004</v>
      </c>
      <c r="O525" s="115">
        <v>8</v>
      </c>
      <c r="P525" s="115">
        <v>3</v>
      </c>
      <c r="Q525" s="115">
        <v>18</v>
      </c>
      <c r="R525" s="115">
        <v>52</v>
      </c>
      <c r="S525" s="115">
        <v>283</v>
      </c>
      <c r="T525" s="115">
        <v>5.4423000000000004</v>
      </c>
      <c r="U525" s="115">
        <v>2</v>
      </c>
      <c r="V525" s="115">
        <v>4.2999999999999997E-2</v>
      </c>
      <c r="W525" s="115">
        <v>1.61E-2</v>
      </c>
      <c r="X525" s="115">
        <v>2.69E-2</v>
      </c>
      <c r="Y525" s="115">
        <v>0.46929999999999999</v>
      </c>
      <c r="Z525" s="115">
        <v>89.045699999999997</v>
      </c>
      <c r="AA525" s="115">
        <v>5.9215999999999998</v>
      </c>
      <c r="AB525" s="115">
        <v>169.989</v>
      </c>
      <c r="AC525" s="115">
        <v>45.9</v>
      </c>
      <c r="AD525" s="115">
        <v>2.5000000000000001E-3</v>
      </c>
      <c r="AE525" s="115">
        <v>4.0000000000000001E-3</v>
      </c>
      <c r="AF525" s="115">
        <v>-3.2099999999999997E-2</v>
      </c>
      <c r="AG525" s="115">
        <v>2.3699999999999999E-2</v>
      </c>
      <c r="AH525" s="115">
        <v>9.9000000000000008E-3</v>
      </c>
      <c r="AI525" s="115">
        <v>-3.8199999999999998E-2</v>
      </c>
      <c r="AJ525" s="115">
        <v>9.7000000000000003E-3</v>
      </c>
      <c r="AK525" s="115">
        <v>7.4730999999999996</v>
      </c>
      <c r="AL525" s="115">
        <v>-1.2473000000000001</v>
      </c>
      <c r="AM525" s="115">
        <v>2</v>
      </c>
      <c r="AN525" s="115">
        <v>5</v>
      </c>
      <c r="AO525" s="115">
        <v>0</v>
      </c>
      <c r="AP525" s="115">
        <v>0</v>
      </c>
      <c r="AQ525" s="115">
        <v>0</v>
      </c>
      <c r="AR525" s="115"/>
      <c r="AS525" s="115">
        <v>2.3999999999999998E-3</v>
      </c>
      <c r="AT525" s="115">
        <v>0.66879999999999995</v>
      </c>
      <c r="AU525" s="114" t="str">
        <f>IF(A525&lt;&gt;"",INDEX(Index!$B$1:$B$77,MATCH($A525,Index!$A$1:$A$77,0)),"")</f>
        <v>WAS</v>
      </c>
      <c r="AV525" s="123" t="str">
        <f>IF(B525&lt;&gt;"",INDEX(Index!$C$1:$C$77,MATCH($A525,Index!$A$1:$A$77,0)),"")</f>
        <v>Daniels</v>
      </c>
      <c r="AW525" s="123">
        <f t="shared" si="10"/>
        <v>24</v>
      </c>
      <c r="AX525" s="113">
        <v>14</v>
      </c>
    </row>
    <row r="526" spans="1:50" x14ac:dyDescent="0.25">
      <c r="A526" s="95" t="s">
        <v>556</v>
      </c>
      <c r="B526" s="96">
        <v>2025</v>
      </c>
      <c r="C526" s="96">
        <v>5</v>
      </c>
      <c r="D526" s="115">
        <v>0.71092999999999995</v>
      </c>
      <c r="E526" s="115">
        <v>3.6627199999999999E-2</v>
      </c>
      <c r="F526" s="115">
        <v>-0.83574700000000002</v>
      </c>
      <c r="G526" s="115">
        <v>23.545000000000002</v>
      </c>
      <c r="H526" s="115">
        <v>0.107</v>
      </c>
      <c r="I526" s="115">
        <v>110</v>
      </c>
      <c r="J526" s="115">
        <v>161</v>
      </c>
      <c r="K526" s="115">
        <v>0.68320000000000003</v>
      </c>
      <c r="L526" s="115">
        <v>-0.52880000000000005</v>
      </c>
      <c r="M526" s="115">
        <v>962</v>
      </c>
      <c r="N526" s="115">
        <v>5.9752000000000001</v>
      </c>
      <c r="O526" s="115">
        <v>6</v>
      </c>
      <c r="P526" s="115">
        <v>3</v>
      </c>
      <c r="Q526" s="115">
        <v>16</v>
      </c>
      <c r="R526" s="115">
        <v>27</v>
      </c>
      <c r="S526" s="115">
        <v>175</v>
      </c>
      <c r="T526" s="115">
        <v>6.4814999999999996</v>
      </c>
      <c r="U526" s="115">
        <v>1</v>
      </c>
      <c r="V526" s="115">
        <v>3.73E-2</v>
      </c>
      <c r="W526" s="115">
        <v>1.8599999999999998E-2</v>
      </c>
      <c r="X526" s="115">
        <v>1.8599999999999998E-2</v>
      </c>
      <c r="Y526" s="115">
        <v>0.45</v>
      </c>
      <c r="Z526" s="115">
        <v>88.573999999999998</v>
      </c>
      <c r="AA526" s="115">
        <v>4.7232000000000003</v>
      </c>
      <c r="AB526" s="115">
        <v>151.27199999999999</v>
      </c>
      <c r="AC526" s="115">
        <v>46.5</v>
      </c>
      <c r="AD526" s="115">
        <v>7.7999999999999996E-3</v>
      </c>
      <c r="AE526" s="115">
        <v>1.5E-3</v>
      </c>
      <c r="AF526" s="115">
        <v>5.04E-2</v>
      </c>
      <c r="AG526" s="115">
        <v>3.7600000000000001E-2</v>
      </c>
      <c r="AH526" s="115">
        <v>-9.2299999999999993E-2</v>
      </c>
      <c r="AI526" s="115">
        <v>1.7600000000000001E-2</v>
      </c>
      <c r="AJ526" s="115">
        <v>1.9800000000000002E-2</v>
      </c>
      <c r="AK526" s="115">
        <v>5.8446999999999996</v>
      </c>
      <c r="AL526" s="115">
        <v>-3.0682999999999998</v>
      </c>
      <c r="AM526" s="115">
        <v>2</v>
      </c>
      <c r="AN526" s="115">
        <v>3</v>
      </c>
      <c r="AO526" s="115">
        <v>0</v>
      </c>
      <c r="AP526" s="115">
        <v>0</v>
      </c>
      <c r="AQ526" s="115">
        <v>2</v>
      </c>
      <c r="AR526" s="115">
        <v>0</v>
      </c>
      <c r="AS526" s="115">
        <v>4.1999999999999997E-3</v>
      </c>
      <c r="AT526" s="115">
        <v>0.92720000000000002</v>
      </c>
      <c r="AU526" s="114" t="str">
        <f>IF(A526&lt;&gt;"",INDEX(Index!$B$1:$B$77,MATCH($A526,Index!$A$1:$A$77,0)),"")</f>
        <v>ARI</v>
      </c>
      <c r="AV526" s="123" t="str">
        <f>IF(B526&lt;&gt;"",INDEX(Index!$C$1:$C$77,MATCH($A526,Index!$A$1:$A$77,0)),"")</f>
        <v>Murray</v>
      </c>
      <c r="AW526" s="123">
        <f t="shared" si="10"/>
        <v>32</v>
      </c>
      <c r="AX526" s="113">
        <v>14</v>
      </c>
    </row>
    <row r="527" spans="1:50" x14ac:dyDescent="0.25">
      <c r="A527" s="95" t="s">
        <v>564</v>
      </c>
      <c r="B527" s="96">
        <v>2025</v>
      </c>
      <c r="C527" s="96">
        <v>3</v>
      </c>
      <c r="D527" s="115">
        <v>6.9942000000000004E-2</v>
      </c>
      <c r="E527" s="115">
        <v>-0.72087800000000002</v>
      </c>
      <c r="F527" s="115">
        <v>-0.42435</v>
      </c>
      <c r="G527" s="115">
        <v>-4.0004</v>
      </c>
      <c r="H527" s="115">
        <v>-2.53E-2</v>
      </c>
      <c r="I527" s="115">
        <v>69</v>
      </c>
      <c r="J527" s="115">
        <v>119</v>
      </c>
      <c r="K527" s="115">
        <v>0.57979999999999998</v>
      </c>
      <c r="L527" s="115">
        <v>-1.48</v>
      </c>
      <c r="M527" s="115">
        <v>831</v>
      </c>
      <c r="N527" s="115">
        <v>6.9832000000000001</v>
      </c>
      <c r="O527" s="115">
        <v>3</v>
      </c>
      <c r="P527" s="115">
        <v>3</v>
      </c>
      <c r="Q527" s="115">
        <v>10</v>
      </c>
      <c r="R527" s="115">
        <v>18</v>
      </c>
      <c r="S527" s="115">
        <v>106</v>
      </c>
      <c r="T527" s="115">
        <v>5.8888999999999996</v>
      </c>
      <c r="U527" s="115">
        <v>0</v>
      </c>
      <c r="V527" s="115">
        <v>2.52E-2</v>
      </c>
      <c r="W527" s="115">
        <v>2.52E-2</v>
      </c>
      <c r="X527" s="115">
        <v>0</v>
      </c>
      <c r="Y527" s="115">
        <v>0.40510000000000002</v>
      </c>
      <c r="Z527" s="115">
        <v>77.398499999999999</v>
      </c>
      <c r="AA527" s="115">
        <v>5.3487999999999998</v>
      </c>
      <c r="AB527" s="115">
        <v>140.05699999999999</v>
      </c>
      <c r="AC527" s="115"/>
      <c r="AD527" s="115">
        <v>-3.9300000000000002E-2</v>
      </c>
      <c r="AE527" s="115">
        <v>1.2999999999999999E-2</v>
      </c>
      <c r="AF527" s="115">
        <v>-9.3600000000000003E-2</v>
      </c>
      <c r="AG527" s="115">
        <v>2.35E-2</v>
      </c>
      <c r="AH527" s="115">
        <v>1.54E-2</v>
      </c>
      <c r="AI527" s="115">
        <v>-6.88E-2</v>
      </c>
      <c r="AJ527" s="115">
        <v>5.9400000000000001E-2</v>
      </c>
      <c r="AK527" s="115">
        <v>8.8908000000000005</v>
      </c>
      <c r="AL527" s="115">
        <v>-0.10920000000000001</v>
      </c>
      <c r="AM527" s="115">
        <v>2</v>
      </c>
      <c r="AN527" s="115">
        <v>4</v>
      </c>
      <c r="AO527" s="115">
        <v>0</v>
      </c>
      <c r="AP527" s="115">
        <v>0</v>
      </c>
      <c r="AQ527" s="115">
        <v>3</v>
      </c>
      <c r="AR527" s="115">
        <v>0</v>
      </c>
      <c r="AS527" s="115">
        <v>4.8999999999999998E-3</v>
      </c>
      <c r="AT527" s="115">
        <v>0.77270000000000005</v>
      </c>
      <c r="AU527" s="114" t="str">
        <f>IF(A527&lt;&gt;"",INDEX(Index!$B$1:$B$77,MATCH($A527,Index!$A$1:$A$77,0)),"")</f>
        <v>NYG</v>
      </c>
      <c r="AV527" s="123" t="str">
        <f>IF(B527&lt;&gt;"",INDEX(Index!$C$1:$C$77,MATCH($A527,Index!$A$1:$A$77,0)),"")</f>
        <v>Wilson</v>
      </c>
      <c r="AW527" s="123">
        <f t="shared" si="10"/>
        <v>38</v>
      </c>
      <c r="AX527" s="113">
        <v>14</v>
      </c>
    </row>
    <row r="528" spans="1:50" x14ac:dyDescent="0.25">
      <c r="A528" s="95" t="s">
        <v>558</v>
      </c>
      <c r="B528" s="96">
        <v>2025</v>
      </c>
      <c r="C528" s="96">
        <v>12</v>
      </c>
      <c r="D528" s="115">
        <v>2.4427500000000001E-2</v>
      </c>
      <c r="E528" s="115">
        <v>0.52272700000000005</v>
      </c>
      <c r="F528" s="115">
        <v>-1.5586899999999999</v>
      </c>
      <c r="G528" s="115">
        <v>15.578200000000001</v>
      </c>
      <c r="H528" s="115">
        <v>3.9699999999999999E-2</v>
      </c>
      <c r="I528" s="115">
        <v>225</v>
      </c>
      <c r="J528" s="115">
        <v>344</v>
      </c>
      <c r="K528" s="115">
        <v>0.65410000000000001</v>
      </c>
      <c r="L528" s="115">
        <v>0.20930000000000001</v>
      </c>
      <c r="M528" s="115">
        <v>2370</v>
      </c>
      <c r="N528" s="115">
        <v>6.8895</v>
      </c>
      <c r="O528" s="115">
        <v>20</v>
      </c>
      <c r="P528" s="115">
        <v>7</v>
      </c>
      <c r="Q528" s="115">
        <v>20</v>
      </c>
      <c r="R528" s="115">
        <v>8</v>
      </c>
      <c r="S528" s="115">
        <v>33</v>
      </c>
      <c r="T528" s="115">
        <v>4.125</v>
      </c>
      <c r="U528" s="115">
        <v>1</v>
      </c>
      <c r="V528" s="115">
        <v>5.8099999999999999E-2</v>
      </c>
      <c r="W528" s="115">
        <v>2.0299999999999999E-2</v>
      </c>
      <c r="X528" s="115">
        <v>3.78E-2</v>
      </c>
      <c r="Y528" s="115">
        <v>0.43880000000000002</v>
      </c>
      <c r="Z528" s="115">
        <v>96.196700000000007</v>
      </c>
      <c r="AA528" s="115">
        <v>6.3874000000000004</v>
      </c>
      <c r="AB528" s="115">
        <v>152.93899999999999</v>
      </c>
      <c r="AC528" s="115">
        <v>42.3</v>
      </c>
      <c r="AD528" s="115">
        <v>-2.4899999999999999E-2</v>
      </c>
      <c r="AE528" s="115">
        <v>1.4200000000000001E-2</v>
      </c>
      <c r="AF528" s="115">
        <v>-1.43E-2</v>
      </c>
      <c r="AG528" s="115">
        <v>1.04E-2</v>
      </c>
      <c r="AH528" s="115">
        <v>-0.15490000000000001</v>
      </c>
      <c r="AI528" s="115">
        <v>0.1376</v>
      </c>
      <c r="AJ528" s="115">
        <v>6.4000000000000003E-3</v>
      </c>
      <c r="AK528" s="115">
        <v>5.9244000000000003</v>
      </c>
      <c r="AL528" s="115">
        <v>-3.2092999999999998</v>
      </c>
      <c r="AM528" s="115">
        <v>7</v>
      </c>
      <c r="AN528" s="115">
        <v>5</v>
      </c>
      <c r="AO528" s="115">
        <v>0</v>
      </c>
      <c r="AP528" s="115">
        <v>1</v>
      </c>
      <c r="AQ528" s="115">
        <v>3</v>
      </c>
      <c r="AR528" s="115">
        <v>0.33329999999999999</v>
      </c>
      <c r="AS528" s="115">
        <v>5.9999999999999995E-4</v>
      </c>
      <c r="AT528" s="115">
        <v>0.25390000000000001</v>
      </c>
      <c r="AU528" s="114" t="str">
        <f>IF(A528&lt;&gt;"",INDEX(Index!$B$1:$B$77,MATCH($A528,Index!$A$1:$A$77,0)),"")</f>
        <v>GB</v>
      </c>
      <c r="AV528" s="123" t="str">
        <f>IF(B528&lt;&gt;"",INDEX(Index!$C$1:$C$77,MATCH($A528,Index!$A$1:$A$77,0)),"")</f>
        <v>Rodgers</v>
      </c>
      <c r="AW528" s="123">
        <f t="shared" si="10"/>
        <v>21</v>
      </c>
      <c r="AX528" s="113">
        <v>14</v>
      </c>
    </row>
    <row r="529" spans="1:50" x14ac:dyDescent="0.25">
      <c r="A529" s="95" t="s">
        <v>559</v>
      </c>
      <c r="B529" s="96">
        <v>2025</v>
      </c>
      <c r="C529" s="96">
        <v>13</v>
      </c>
      <c r="D529" s="115">
        <v>-5.48499E-2</v>
      </c>
      <c r="E529" s="115">
        <v>-0.273588</v>
      </c>
      <c r="F529" s="115">
        <v>-0.89113600000000004</v>
      </c>
      <c r="G529" s="115">
        <v>29.337399999999999</v>
      </c>
      <c r="H529" s="115">
        <v>5.8200000000000002E-2</v>
      </c>
      <c r="I529" s="115">
        <v>257</v>
      </c>
      <c r="J529" s="115">
        <v>416</v>
      </c>
      <c r="K529" s="115">
        <v>0.61780000000000002</v>
      </c>
      <c r="L529" s="115">
        <v>-4.0669000000000004</v>
      </c>
      <c r="M529" s="115">
        <v>2722</v>
      </c>
      <c r="N529" s="115">
        <v>6.5433000000000003</v>
      </c>
      <c r="O529" s="115">
        <v>20</v>
      </c>
      <c r="P529" s="115">
        <v>6</v>
      </c>
      <c r="Q529" s="115">
        <v>24</v>
      </c>
      <c r="R529" s="115">
        <v>34</v>
      </c>
      <c r="S529" s="115">
        <v>293</v>
      </c>
      <c r="T529" s="115">
        <v>8.6175999999999995</v>
      </c>
      <c r="U529" s="115">
        <v>1</v>
      </c>
      <c r="V529" s="115">
        <v>4.8099999999999997E-2</v>
      </c>
      <c r="W529" s="115">
        <v>1.44E-2</v>
      </c>
      <c r="X529" s="115">
        <v>3.3700000000000001E-2</v>
      </c>
      <c r="Y529" s="115">
        <v>0.4425</v>
      </c>
      <c r="Z529" s="115">
        <v>90.845399999999998</v>
      </c>
      <c r="AA529" s="115">
        <v>6.1067999999999998</v>
      </c>
      <c r="AB529" s="115">
        <v>177.47200000000001</v>
      </c>
      <c r="AC529" s="115">
        <v>60</v>
      </c>
      <c r="AD529" s="115">
        <v>3.7900000000000003E-2</v>
      </c>
      <c r="AE529" s="115">
        <v>1.9599999999999999E-2</v>
      </c>
      <c r="AF529" s="115">
        <v>-2.7199999999999998E-2</v>
      </c>
      <c r="AG529" s="115">
        <v>2.1100000000000001E-2</v>
      </c>
      <c r="AH529" s="115">
        <v>-8.6400000000000005E-2</v>
      </c>
      <c r="AI529" s="115">
        <v>2.8799999999999999E-2</v>
      </c>
      <c r="AJ529" s="115">
        <v>-8.9999999999999998E-4</v>
      </c>
      <c r="AK529" s="115">
        <v>8.1586999999999996</v>
      </c>
      <c r="AL529" s="115">
        <v>-0.68030000000000002</v>
      </c>
      <c r="AM529" s="115">
        <v>7</v>
      </c>
      <c r="AN529" s="115">
        <v>6</v>
      </c>
      <c r="AO529" s="115">
        <v>0</v>
      </c>
      <c r="AP529" s="115">
        <v>4</v>
      </c>
      <c r="AQ529" s="115">
        <v>8</v>
      </c>
      <c r="AR529" s="115">
        <v>0.5</v>
      </c>
      <c r="AS529" s="115">
        <v>2.5999999999999999E-3</v>
      </c>
      <c r="AT529" s="115">
        <v>1.3118000000000001</v>
      </c>
      <c r="AU529" s="114" t="str">
        <f>IF(A529&lt;&gt;"",INDEX(Index!$B$1:$B$77,MATCH($A529,Index!$A$1:$A$77,0)),"")</f>
        <v>TB</v>
      </c>
      <c r="AV529" s="123" t="str">
        <f>IF(B529&lt;&gt;"",INDEX(Index!$C$1:$C$77,MATCH($A529,Index!$A$1:$A$77,0)),"")</f>
        <v>Mayfield</v>
      </c>
      <c r="AW529" s="123">
        <f t="shared" si="10"/>
        <v>14</v>
      </c>
      <c r="AX529" s="113">
        <v>14</v>
      </c>
    </row>
    <row r="530" spans="1:50" x14ac:dyDescent="0.25">
      <c r="A530" s="95" t="s">
        <v>575</v>
      </c>
      <c r="B530" s="96">
        <v>2025</v>
      </c>
      <c r="C530" s="96">
        <v>8</v>
      </c>
      <c r="D530" s="115">
        <v>-8.6543599999999998E-2</v>
      </c>
      <c r="E530" s="115">
        <v>0.88405599999999995</v>
      </c>
      <c r="F530" s="115">
        <v>1.54932</v>
      </c>
      <c r="G530" s="115">
        <v>47.102899999999998</v>
      </c>
      <c r="H530" s="115">
        <v>0.14019999999999999</v>
      </c>
      <c r="I530" s="115">
        <v>201</v>
      </c>
      <c r="J530" s="115">
        <v>286</v>
      </c>
      <c r="K530" s="115">
        <v>0.70279999999999998</v>
      </c>
      <c r="L530" s="115">
        <v>3.6785999999999999</v>
      </c>
      <c r="M530" s="115">
        <v>2151</v>
      </c>
      <c r="N530" s="115">
        <v>7.5209999999999999</v>
      </c>
      <c r="O530" s="115">
        <v>13</v>
      </c>
      <c r="P530" s="115">
        <v>6</v>
      </c>
      <c r="Q530" s="115">
        <v>16</v>
      </c>
      <c r="R530" s="115">
        <v>22</v>
      </c>
      <c r="S530" s="115">
        <v>74</v>
      </c>
      <c r="T530" s="115">
        <v>3.3635999999999999</v>
      </c>
      <c r="U530" s="115">
        <v>0</v>
      </c>
      <c r="V530" s="115">
        <v>4.5499999999999999E-2</v>
      </c>
      <c r="W530" s="115">
        <v>2.1000000000000001E-2</v>
      </c>
      <c r="X530" s="115">
        <v>2.4500000000000001E-2</v>
      </c>
      <c r="Y530" s="115">
        <v>0.52680000000000005</v>
      </c>
      <c r="Z530" s="115">
        <v>98.397400000000005</v>
      </c>
      <c r="AA530" s="115">
        <v>6.7317999999999998</v>
      </c>
      <c r="AB530" s="115">
        <v>197.37700000000001</v>
      </c>
      <c r="AC530" s="115">
        <v>63.8</v>
      </c>
      <c r="AD530" s="115">
        <v>-9.1999999999999998E-3</v>
      </c>
      <c r="AE530" s="115">
        <v>1.29E-2</v>
      </c>
      <c r="AF530" s="115">
        <v>3.3099999999999997E-2</v>
      </c>
      <c r="AG530" s="115">
        <v>7.7999999999999996E-3</v>
      </c>
      <c r="AH530" s="115">
        <v>5.6399999999999999E-2</v>
      </c>
      <c r="AI530" s="115">
        <v>-7.3000000000000001E-3</v>
      </c>
      <c r="AJ530" s="115">
        <v>-1.8700000000000001E-2</v>
      </c>
      <c r="AK530" s="115">
        <v>7.4265999999999996</v>
      </c>
      <c r="AL530" s="115">
        <v>-1.6608000000000001</v>
      </c>
      <c r="AM530" s="115">
        <v>6</v>
      </c>
      <c r="AN530" s="115">
        <v>3</v>
      </c>
      <c r="AO530" s="115">
        <v>0</v>
      </c>
      <c r="AP530" s="115">
        <v>1</v>
      </c>
      <c r="AQ530" s="115">
        <v>2</v>
      </c>
      <c r="AR530" s="115">
        <v>0.5</v>
      </c>
      <c r="AS530" s="115">
        <v>4.1999999999999997E-3</v>
      </c>
      <c r="AT530" s="115">
        <v>1.413</v>
      </c>
      <c r="AU530" s="114" t="str">
        <f>IF(A530&lt;&gt;"",INDEX(Index!$B$1:$B$77,MATCH($A530,Index!$A$1:$A$77,0)),"")</f>
        <v>SF</v>
      </c>
      <c r="AV530" s="123" t="str">
        <f>IF(B530&lt;&gt;"",INDEX(Index!$C$1:$C$77,MATCH($A530,Index!$A$1:$A$77,0)),"")</f>
        <v>Jones</v>
      </c>
      <c r="AW530" s="123">
        <f t="shared" si="10"/>
        <v>32</v>
      </c>
      <c r="AX530" s="113">
        <v>14</v>
      </c>
    </row>
    <row r="531" spans="1:50" x14ac:dyDescent="0.25">
      <c r="A531" s="95" t="s">
        <v>568</v>
      </c>
      <c r="B531" s="96">
        <v>2025</v>
      </c>
      <c r="C531" s="96">
        <v>13</v>
      </c>
      <c r="D531" s="115">
        <v>-0.16637199999999999</v>
      </c>
      <c r="E531" s="115">
        <v>-0.66387099999999999</v>
      </c>
      <c r="F531" s="115">
        <v>1.31358</v>
      </c>
      <c r="G531" s="115">
        <v>86.991200000000006</v>
      </c>
      <c r="H531" s="115">
        <v>0.1875</v>
      </c>
      <c r="I531" s="115">
        <v>261</v>
      </c>
      <c r="J531" s="115">
        <v>382</v>
      </c>
      <c r="K531" s="115">
        <v>0.68320000000000003</v>
      </c>
      <c r="L531" s="115">
        <v>2.2970999999999999</v>
      </c>
      <c r="M531" s="115">
        <v>3101</v>
      </c>
      <c r="N531" s="115">
        <v>8.1178000000000008</v>
      </c>
      <c r="O531" s="115">
        <v>19</v>
      </c>
      <c r="P531" s="115">
        <v>8</v>
      </c>
      <c r="Q531" s="115">
        <v>22</v>
      </c>
      <c r="R531" s="115">
        <v>36</v>
      </c>
      <c r="S531" s="115">
        <v>167</v>
      </c>
      <c r="T531" s="115">
        <v>4.6388999999999996</v>
      </c>
      <c r="U531" s="115">
        <v>5</v>
      </c>
      <c r="V531" s="115">
        <v>4.9700000000000001E-2</v>
      </c>
      <c r="W531" s="115">
        <v>2.0899999999999998E-2</v>
      </c>
      <c r="X531" s="115">
        <v>2.8799999999999999E-2</v>
      </c>
      <c r="Y531" s="115">
        <v>0.51719999999999999</v>
      </c>
      <c r="Z531" s="115">
        <v>100.69799999999999</v>
      </c>
      <c r="AA531" s="115">
        <v>7.3342000000000001</v>
      </c>
      <c r="AB531" s="115">
        <v>203.07</v>
      </c>
      <c r="AC531" s="115">
        <v>64.099999999999994</v>
      </c>
      <c r="AD531" s="115">
        <v>1.2500000000000001E-2</v>
      </c>
      <c r="AE531" s="115">
        <v>9.1999999999999998E-3</v>
      </c>
      <c r="AF531" s="115">
        <v>3.2300000000000002E-2</v>
      </c>
      <c r="AG531" s="115">
        <v>6.7999999999999996E-3</v>
      </c>
      <c r="AH531" s="115">
        <v>4.1099999999999998E-2</v>
      </c>
      <c r="AI531" s="115">
        <v>2.7799999999999998E-2</v>
      </c>
      <c r="AJ531" s="115">
        <v>-7.4000000000000003E-3</v>
      </c>
      <c r="AK531" s="115">
        <v>8.0471000000000004</v>
      </c>
      <c r="AL531" s="115">
        <v>-0.79059999999999997</v>
      </c>
      <c r="AM531" s="115">
        <v>8</v>
      </c>
      <c r="AN531" s="115">
        <v>5</v>
      </c>
      <c r="AO531" s="115">
        <v>0</v>
      </c>
      <c r="AP531" s="115">
        <v>3</v>
      </c>
      <c r="AQ531" s="115">
        <v>5</v>
      </c>
      <c r="AR531" s="115">
        <v>0.6</v>
      </c>
      <c r="AS531" s="115">
        <v>3.8E-3</v>
      </c>
      <c r="AT531" s="115">
        <v>1.7748999999999999</v>
      </c>
      <c r="AU531" s="114" t="str">
        <f>IF(A531&lt;&gt;"",INDEX(Index!$B$1:$B$77,MATCH($A531,Index!$A$1:$A$77,0)),"")</f>
        <v>IND</v>
      </c>
      <c r="AV531" s="123" t="str">
        <f>IF(B531&lt;&gt;"",INDEX(Index!$C$1:$C$77,MATCH($A531,Index!$A$1:$A$77,0)),"")</f>
        <v>Jones</v>
      </c>
      <c r="AW531" s="123">
        <f t="shared" si="10"/>
        <v>17</v>
      </c>
      <c r="AX531" s="113">
        <v>14</v>
      </c>
    </row>
    <row r="532" spans="1:50" x14ac:dyDescent="0.25">
      <c r="A532" s="95" t="s">
        <v>573</v>
      </c>
      <c r="B532" s="96">
        <v>2025</v>
      </c>
      <c r="C532" s="96">
        <v>13</v>
      </c>
      <c r="D532" s="115">
        <v>-0.21896699999999999</v>
      </c>
      <c r="E532" s="115">
        <v>0.262216</v>
      </c>
      <c r="F532" s="115">
        <v>0.59169799999999995</v>
      </c>
      <c r="G532" s="115">
        <v>87.694699999999997</v>
      </c>
      <c r="H532" s="115">
        <v>0.2165</v>
      </c>
      <c r="I532" s="115">
        <v>241</v>
      </c>
      <c r="J532" s="115">
        <v>353</v>
      </c>
      <c r="K532" s="115">
        <v>0.68269999999999997</v>
      </c>
      <c r="L532" s="115">
        <v>6.2771999999999997</v>
      </c>
      <c r="M532" s="115">
        <v>3162</v>
      </c>
      <c r="N532" s="115">
        <v>8.9574999999999996</v>
      </c>
      <c r="O532" s="115">
        <v>22</v>
      </c>
      <c r="P532" s="115">
        <v>11</v>
      </c>
      <c r="Q532" s="115">
        <v>17</v>
      </c>
      <c r="R532" s="115">
        <v>10</v>
      </c>
      <c r="S532" s="115">
        <v>81</v>
      </c>
      <c r="T532" s="115">
        <v>8.1</v>
      </c>
      <c r="U532" s="115">
        <v>0</v>
      </c>
      <c r="V532" s="115">
        <v>6.2300000000000001E-2</v>
      </c>
      <c r="W532" s="115">
        <v>3.1199999999999999E-2</v>
      </c>
      <c r="X532" s="115">
        <v>3.1199999999999999E-2</v>
      </c>
      <c r="Y532" s="115">
        <v>0.54320000000000002</v>
      </c>
      <c r="Z532" s="115">
        <v>104.09</v>
      </c>
      <c r="AA532" s="115">
        <v>8.0891999999999999</v>
      </c>
      <c r="AB532" s="115">
        <v>181.56399999999999</v>
      </c>
      <c r="AC532" s="115">
        <v>64.400000000000006</v>
      </c>
      <c r="AD532" s="115">
        <v>-1.32E-2</v>
      </c>
      <c r="AE532" s="115">
        <v>-1.5E-3</v>
      </c>
      <c r="AF532" s="115">
        <v>4.7199999999999999E-2</v>
      </c>
      <c r="AG532" s="115">
        <v>-5.6500000000000002E-2</v>
      </c>
      <c r="AH532" s="115">
        <v>0.1263</v>
      </c>
      <c r="AI532" s="115">
        <v>4.2200000000000001E-2</v>
      </c>
      <c r="AJ532" s="115">
        <v>7.7999999999999996E-3</v>
      </c>
      <c r="AK532" s="115">
        <v>8.5949000000000009</v>
      </c>
      <c r="AL532" s="115">
        <v>-0.221</v>
      </c>
      <c r="AM532" s="115">
        <v>10</v>
      </c>
      <c r="AN532" s="115">
        <v>3</v>
      </c>
      <c r="AO532" s="115">
        <v>0</v>
      </c>
      <c r="AP532" s="115">
        <v>0</v>
      </c>
      <c r="AQ532" s="115">
        <v>3</v>
      </c>
      <c r="AR532" s="115">
        <v>0</v>
      </c>
      <c r="AS532" s="115">
        <v>3.8E-3</v>
      </c>
      <c r="AT532" s="115">
        <v>1.5284</v>
      </c>
      <c r="AU532" s="114" t="str">
        <f>IF(A532&lt;&gt;"",INDEX(Index!$B$1:$B$77,MATCH($A532,Index!$A$1:$A$77,0)),"")</f>
        <v>SEA</v>
      </c>
      <c r="AV532" s="123" t="str">
        <f>IF(B532&lt;&gt;"",INDEX(Index!$C$1:$C$77,MATCH($A532,Index!$A$1:$A$77,0)),"")</f>
        <v>Darnold</v>
      </c>
      <c r="AW532" s="123">
        <f t="shared" si="10"/>
        <v>29</v>
      </c>
      <c r="AX532" s="113">
        <v>14</v>
      </c>
    </row>
    <row r="533" spans="1:50" x14ac:dyDescent="0.25">
      <c r="A533" s="95" t="s">
        <v>587</v>
      </c>
      <c r="B533" s="96">
        <v>2025</v>
      </c>
      <c r="C533" s="96">
        <v>8</v>
      </c>
      <c r="D533" s="115">
        <v>-0.22281999999999999</v>
      </c>
      <c r="E533" s="115">
        <v>-0.115823</v>
      </c>
      <c r="F533" s="115">
        <v>2.1509999999999998</v>
      </c>
      <c r="G533" s="115">
        <v>41.931399999999996</v>
      </c>
      <c r="H533" s="115">
        <v>0.12859999999999999</v>
      </c>
      <c r="I533" s="115">
        <v>145</v>
      </c>
      <c r="J533" s="115">
        <v>227</v>
      </c>
      <c r="K533" s="115">
        <v>0.63880000000000003</v>
      </c>
      <c r="L533" s="115">
        <v>-0.19739999999999999</v>
      </c>
      <c r="M533" s="115">
        <v>1556</v>
      </c>
      <c r="N533" s="115">
        <v>6.8545999999999996</v>
      </c>
      <c r="O533" s="115">
        <v>11</v>
      </c>
      <c r="P533" s="115">
        <v>3</v>
      </c>
      <c r="Q533" s="115">
        <v>23</v>
      </c>
      <c r="R533" s="115">
        <v>56</v>
      </c>
      <c r="S533" s="115">
        <v>340</v>
      </c>
      <c r="T533" s="115">
        <v>6.0713999999999997</v>
      </c>
      <c r="U533" s="115">
        <v>7</v>
      </c>
      <c r="V533" s="115">
        <v>4.8500000000000001E-2</v>
      </c>
      <c r="W533" s="115">
        <v>1.32E-2</v>
      </c>
      <c r="X533" s="115">
        <v>3.5200000000000002E-2</v>
      </c>
      <c r="Y533" s="115">
        <v>0.47239999999999999</v>
      </c>
      <c r="Z533" s="115">
        <v>94.520899999999997</v>
      </c>
      <c r="AA533" s="115">
        <v>6.1879999999999997</v>
      </c>
      <c r="AB533" s="115">
        <v>210.738</v>
      </c>
      <c r="AC533" s="115">
        <v>65.099999999999994</v>
      </c>
      <c r="AD533" s="115">
        <v>5.8200000000000002E-2</v>
      </c>
      <c r="AE533" s="115">
        <v>-2.0999999999999999E-3</v>
      </c>
      <c r="AF533" s="115">
        <v>3.27E-2</v>
      </c>
      <c r="AG533" s="115">
        <v>0.05</v>
      </c>
      <c r="AH533" s="115">
        <v>-8.72E-2</v>
      </c>
      <c r="AI533" s="115">
        <v>-1.4500000000000001E-2</v>
      </c>
      <c r="AJ533" s="115">
        <v>2.64E-2</v>
      </c>
      <c r="AK533" s="115">
        <v>8.5109999999999992</v>
      </c>
      <c r="AL533" s="115">
        <v>-0.74450000000000005</v>
      </c>
      <c r="AM533" s="115">
        <v>2</v>
      </c>
      <c r="AN533" s="115">
        <v>8</v>
      </c>
      <c r="AO533" s="115">
        <v>0</v>
      </c>
      <c r="AP533" s="115">
        <v>0</v>
      </c>
      <c r="AQ533" s="115">
        <v>2</v>
      </c>
      <c r="AR533" s="115">
        <v>0</v>
      </c>
      <c r="AS533" s="115">
        <v>3.5999999999999999E-3</v>
      </c>
      <c r="AT533" s="115">
        <v>1.1857</v>
      </c>
      <c r="AU533" s="114" t="str">
        <f>IF(A533&lt;&gt;"",INDEX(Index!$B$1:$B$77,MATCH($A533,Index!$A$1:$A$77,0)),"")</f>
        <v>NYG</v>
      </c>
      <c r="AV533" s="123" t="str">
        <f>IF(B533&lt;&gt;"",INDEX(Index!$C$1:$C$77,MATCH($A533,Index!$A$1:$A$77,0)),"")</f>
        <v>Dart</v>
      </c>
      <c r="AW533" s="123">
        <f t="shared" si="10"/>
        <v>16</v>
      </c>
      <c r="AX533" s="113">
        <v>14</v>
      </c>
    </row>
    <row r="534" spans="1:50" x14ac:dyDescent="0.25">
      <c r="A534" s="95" t="s">
        <v>574</v>
      </c>
      <c r="B534" s="96">
        <v>2025</v>
      </c>
      <c r="C534" s="96">
        <v>13</v>
      </c>
      <c r="D534" s="115">
        <v>-0.32100000000000001</v>
      </c>
      <c r="E534" s="115">
        <v>2.3154899999999999E-2</v>
      </c>
      <c r="F534" s="115">
        <v>1.0183199999999999</v>
      </c>
      <c r="G534" s="115">
        <v>37.104199999999999</v>
      </c>
      <c r="H534" s="115">
        <v>6.9900000000000004E-2</v>
      </c>
      <c r="I534" s="115">
        <v>249</v>
      </c>
      <c r="J534" s="115">
        <v>430</v>
      </c>
      <c r="K534" s="115">
        <v>0.57909999999999995</v>
      </c>
      <c r="L534" s="115">
        <v>-4.4710000000000001</v>
      </c>
      <c r="M534" s="115">
        <v>2908</v>
      </c>
      <c r="N534" s="115">
        <v>6.7628000000000004</v>
      </c>
      <c r="O534" s="115">
        <v>19</v>
      </c>
      <c r="P534" s="115">
        <v>6</v>
      </c>
      <c r="Q534" s="115">
        <v>20</v>
      </c>
      <c r="R534" s="115">
        <v>51</v>
      </c>
      <c r="S534" s="115">
        <v>332</v>
      </c>
      <c r="T534" s="115">
        <v>6.5098000000000003</v>
      </c>
      <c r="U534" s="115">
        <v>3</v>
      </c>
      <c r="V534" s="115">
        <v>4.4200000000000003E-2</v>
      </c>
      <c r="W534" s="115">
        <v>1.4E-2</v>
      </c>
      <c r="X534" s="115">
        <v>3.0200000000000001E-2</v>
      </c>
      <c r="Y534" s="115">
        <v>0.44440000000000002</v>
      </c>
      <c r="Z534" s="115">
        <v>87.432199999999995</v>
      </c>
      <c r="AA534" s="115">
        <v>6.4066999999999998</v>
      </c>
      <c r="AB534" s="115">
        <v>179.096</v>
      </c>
      <c r="AC534" s="115">
        <v>53.3</v>
      </c>
      <c r="AD534" s="115">
        <v>1E-4</v>
      </c>
      <c r="AE534" s="115">
        <v>4.0099999999999997E-2</v>
      </c>
      <c r="AF534" s="115">
        <v>-4.2000000000000003E-2</v>
      </c>
      <c r="AG534" s="115">
        <v>3.1399999999999997E-2</v>
      </c>
      <c r="AH534" s="115">
        <v>-7.1000000000000004E-3</v>
      </c>
      <c r="AI534" s="115">
        <v>3.0999999999999999E-3</v>
      </c>
      <c r="AJ534" s="115">
        <v>-2.0899999999999998E-2</v>
      </c>
      <c r="AK534" s="115">
        <v>8.6767000000000003</v>
      </c>
      <c r="AL534" s="115">
        <v>-0.50470000000000004</v>
      </c>
      <c r="AM534" s="115">
        <v>9</v>
      </c>
      <c r="AN534" s="115">
        <v>4</v>
      </c>
      <c r="AO534" s="115">
        <v>0</v>
      </c>
      <c r="AP534" s="115">
        <v>4</v>
      </c>
      <c r="AQ534" s="115">
        <v>7</v>
      </c>
      <c r="AR534" s="115">
        <v>0.57140000000000002</v>
      </c>
      <c r="AS534" s="115">
        <v>3.2000000000000002E-3</v>
      </c>
      <c r="AT534" s="115">
        <v>1.7101999999999999</v>
      </c>
      <c r="AU534" s="114" t="str">
        <f>IF(A534&lt;&gt;"",INDEX(Index!$B$1:$B$77,MATCH($A534,Index!$A$1:$A$77,0)),"")</f>
        <v>CHI</v>
      </c>
      <c r="AV534" s="123" t="str">
        <f>IF(B534&lt;&gt;"",INDEX(Index!$C$1:$C$77,MATCH($A534,Index!$A$1:$A$77,0)),"")</f>
        <v>Williams</v>
      </c>
      <c r="AW534" s="123">
        <f t="shared" si="10"/>
        <v>21</v>
      </c>
      <c r="AX534" s="113">
        <v>14</v>
      </c>
    </row>
    <row r="535" spans="1:50" x14ac:dyDescent="0.25">
      <c r="A535" s="95" t="s">
        <v>590</v>
      </c>
      <c r="B535" s="96">
        <v>2025</v>
      </c>
      <c r="C535" s="96">
        <v>8</v>
      </c>
      <c r="D535" s="115">
        <v>-0.33071800000000001</v>
      </c>
      <c r="E535" s="115">
        <v>-3.4965799999999998E-2</v>
      </c>
      <c r="F535" s="115">
        <v>1.66449</v>
      </c>
      <c r="G535" s="115">
        <v>12.627800000000001</v>
      </c>
      <c r="H535" s="115">
        <v>0.03</v>
      </c>
      <c r="I535" s="115">
        <v>229</v>
      </c>
      <c r="J535" s="115">
        <v>345</v>
      </c>
      <c r="K535" s="115">
        <v>0.66379999999999995</v>
      </c>
      <c r="L535" s="115">
        <v>2.8553000000000002</v>
      </c>
      <c r="M535" s="115">
        <v>2459</v>
      </c>
      <c r="N535" s="115">
        <v>7.1275000000000004</v>
      </c>
      <c r="O535" s="115">
        <v>15</v>
      </c>
      <c r="P535" s="115">
        <v>5</v>
      </c>
      <c r="Q535" s="115">
        <v>29</v>
      </c>
      <c r="R535" s="115">
        <v>28</v>
      </c>
      <c r="S535" s="115">
        <v>139</v>
      </c>
      <c r="T535" s="115">
        <v>4.9642999999999997</v>
      </c>
      <c r="U535" s="115">
        <v>1</v>
      </c>
      <c r="V535" s="115">
        <v>4.3499999999999997E-2</v>
      </c>
      <c r="W535" s="115">
        <v>1.4500000000000001E-2</v>
      </c>
      <c r="X535" s="115">
        <v>2.9000000000000001E-2</v>
      </c>
      <c r="Y535" s="115">
        <v>0.48459999999999998</v>
      </c>
      <c r="Z535" s="115">
        <v>95.549499999999995</v>
      </c>
      <c r="AA535" s="115">
        <v>6.2272999999999996</v>
      </c>
      <c r="AB535" s="115">
        <v>200.55199999999999</v>
      </c>
      <c r="AC535" s="115">
        <v>43.9</v>
      </c>
      <c r="AD535" s="115">
        <v>-1.4E-2</v>
      </c>
      <c r="AE535" s="115">
        <v>-4.1000000000000002E-2</v>
      </c>
      <c r="AF535" s="115">
        <v>1.6000000000000001E-3</v>
      </c>
      <c r="AG535" s="115">
        <v>2.1700000000000001E-2</v>
      </c>
      <c r="AH535" s="115">
        <v>-2.0899999999999998E-2</v>
      </c>
      <c r="AI535" s="115">
        <v>3.1E-2</v>
      </c>
      <c r="AJ535" s="115">
        <v>-1.3599999999999999E-2</v>
      </c>
      <c r="AK535" s="115">
        <v>7.8144999999999998</v>
      </c>
      <c r="AL535" s="115">
        <v>-1.4174</v>
      </c>
      <c r="AM535" s="115">
        <v>2</v>
      </c>
      <c r="AN535" s="115">
        <v>8</v>
      </c>
      <c r="AO535" s="115">
        <v>0</v>
      </c>
      <c r="AP535" s="115">
        <v>0</v>
      </c>
      <c r="AQ535" s="115">
        <v>4</v>
      </c>
      <c r="AR535" s="115">
        <v>0</v>
      </c>
      <c r="AS535" s="115">
        <v>-1.6000000000000001E-3</v>
      </c>
      <c r="AT535" s="115">
        <v>-0.67130000000000001</v>
      </c>
      <c r="AU535" s="114" t="str">
        <f>IF(A535&lt;&gt;"",INDEX(Index!$B$1:$B$77,MATCH($A535,Index!$A$1:$A$77,0)),"")</f>
        <v>ARI</v>
      </c>
      <c r="AV535" s="123" t="str">
        <f>IF(B535&lt;&gt;"",INDEX(Index!$C$1:$C$77,MATCH($A535,Index!$A$1:$A$77,0)),"")</f>
        <v>Brissett</v>
      </c>
      <c r="AW535" s="123">
        <f t="shared" si="10"/>
        <v>7</v>
      </c>
      <c r="AX535" s="113">
        <v>14</v>
      </c>
    </row>
    <row r="536" spans="1:50" x14ac:dyDescent="0.25">
      <c r="A536" s="95" t="s">
        <v>591</v>
      </c>
      <c r="B536" s="96">
        <v>2025</v>
      </c>
      <c r="C536" s="96">
        <v>4</v>
      </c>
      <c r="D536" s="115">
        <v>-0.58001199999999997</v>
      </c>
      <c r="E536" s="115">
        <v>-0.67900099999999997</v>
      </c>
      <c r="F536" s="115">
        <v>-1.2802800000000001</v>
      </c>
      <c r="G536" s="115">
        <v>-18.2242</v>
      </c>
      <c r="H536" s="115">
        <v>-0.1191</v>
      </c>
      <c r="I536" s="115">
        <v>84</v>
      </c>
      <c r="J536" s="115">
        <v>137</v>
      </c>
      <c r="K536" s="115">
        <v>0.61309999999999998</v>
      </c>
      <c r="L536" s="115">
        <v>-4.6761999999999997</v>
      </c>
      <c r="M536" s="115">
        <v>845</v>
      </c>
      <c r="N536" s="115">
        <v>6.1679000000000004</v>
      </c>
      <c r="O536" s="115">
        <v>3</v>
      </c>
      <c r="P536" s="115">
        <v>3</v>
      </c>
      <c r="Q536" s="115">
        <v>7</v>
      </c>
      <c r="R536" s="115">
        <v>3</v>
      </c>
      <c r="S536" s="115">
        <v>11</v>
      </c>
      <c r="T536" s="115">
        <v>3.6667000000000001</v>
      </c>
      <c r="U536" s="115">
        <v>0</v>
      </c>
      <c r="V536" s="115">
        <v>2.1899999999999999E-2</v>
      </c>
      <c r="W536" s="115">
        <v>2.1899999999999999E-2</v>
      </c>
      <c r="X536" s="115">
        <v>0</v>
      </c>
      <c r="Y536" s="115">
        <v>0.43790000000000001</v>
      </c>
      <c r="Z536" s="115">
        <v>77.052899999999994</v>
      </c>
      <c r="AA536" s="115">
        <v>5.0486000000000004</v>
      </c>
      <c r="AB536" s="115">
        <v>85.605800000000002</v>
      </c>
      <c r="AC536" s="115"/>
      <c r="AD536" s="115">
        <v>-2.7300000000000001E-2</v>
      </c>
      <c r="AE536" s="115">
        <v>1.55E-2</v>
      </c>
      <c r="AF536" s="115">
        <v>-8.3799999999999999E-2</v>
      </c>
      <c r="AG536" s="115">
        <v>-3.49E-2</v>
      </c>
      <c r="AH536" s="115">
        <v>-0.15010000000000001</v>
      </c>
      <c r="AI536" s="115">
        <v>7.0699999999999999E-2</v>
      </c>
      <c r="AJ536" s="115">
        <v>2.5700000000000001E-2</v>
      </c>
      <c r="AK536" s="115">
        <v>6.9196999999999997</v>
      </c>
      <c r="AL536" s="115">
        <v>-1.8028999999999999</v>
      </c>
      <c r="AM536" s="115">
        <v>1</v>
      </c>
      <c r="AN536" s="115">
        <v>5</v>
      </c>
      <c r="AO536" s="115">
        <v>0</v>
      </c>
      <c r="AP536" s="115">
        <v>0</v>
      </c>
      <c r="AQ536" s="115">
        <v>1</v>
      </c>
      <c r="AR536" s="115">
        <v>0</v>
      </c>
      <c r="AS536" s="115">
        <v>-3.3E-3</v>
      </c>
      <c r="AT536" s="115">
        <v>-0.50060000000000004</v>
      </c>
      <c r="AU536" s="114" t="str">
        <f>IF(A536&lt;&gt;"",INDEX(Index!$B$1:$B$77,MATCH($A536,Index!$A$1:$A$77,0)),"")</f>
        <v>ATL</v>
      </c>
      <c r="AV536" s="123" t="str">
        <f>IF(B536&lt;&gt;"",INDEX(Index!$C$1:$C$77,MATCH($A536,Index!$A$1:$A$77,0)),"")</f>
        <v>Cousins</v>
      </c>
      <c r="AW536" s="123">
        <f t="shared" si="10"/>
        <v>43</v>
      </c>
      <c r="AX536" s="113">
        <v>14</v>
      </c>
    </row>
    <row r="537" spans="1:50" x14ac:dyDescent="0.25">
      <c r="A537" s="95" t="s">
        <v>596</v>
      </c>
      <c r="B537" s="96">
        <v>2025</v>
      </c>
      <c r="C537" s="96">
        <v>2</v>
      </c>
      <c r="D537" s="115">
        <v>-0.61812999999999996</v>
      </c>
      <c r="E537" s="115">
        <v>0.24723500000000001</v>
      </c>
      <c r="F537" s="115">
        <v>0.20761199999999999</v>
      </c>
      <c r="G537" s="115">
        <v>25.662400000000002</v>
      </c>
      <c r="H537" s="115">
        <v>0.32479999999999998</v>
      </c>
      <c r="I537" s="115">
        <v>37</v>
      </c>
      <c r="J537" s="115">
        <v>65</v>
      </c>
      <c r="K537" s="115">
        <v>0.56920000000000004</v>
      </c>
      <c r="L537" s="115">
        <v>-2.6429</v>
      </c>
      <c r="M537" s="115">
        <v>567</v>
      </c>
      <c r="N537" s="115">
        <v>8.7231000000000005</v>
      </c>
      <c r="O537" s="115">
        <v>2</v>
      </c>
      <c r="P537" s="115">
        <v>2</v>
      </c>
      <c r="Q537" s="115">
        <v>3</v>
      </c>
      <c r="R537" s="115">
        <v>5</v>
      </c>
      <c r="S537" s="115">
        <v>25</v>
      </c>
      <c r="T537" s="115">
        <v>5</v>
      </c>
      <c r="U537" s="115">
        <v>1</v>
      </c>
      <c r="V537" s="115">
        <v>3.0800000000000001E-2</v>
      </c>
      <c r="W537" s="115">
        <v>3.0800000000000001E-2</v>
      </c>
      <c r="X537" s="115">
        <v>0</v>
      </c>
      <c r="Y537" s="115">
        <v>0.46839999999999998</v>
      </c>
      <c r="Z537" s="115">
        <v>83.301299999999998</v>
      </c>
      <c r="AA537" s="115">
        <v>7.4412000000000003</v>
      </c>
      <c r="AB537" s="115">
        <v>178.09</v>
      </c>
      <c r="AC537" s="115">
        <v>71.900000000000006</v>
      </c>
      <c r="AD537" s="115">
        <v>2.3199999999999998E-2</v>
      </c>
      <c r="AE537" s="115">
        <v>3.27E-2</v>
      </c>
      <c r="AF537" s="115">
        <v>-7.17E-2</v>
      </c>
      <c r="AG537" s="115">
        <v>-3.2199999999999999E-2</v>
      </c>
      <c r="AH537" s="115">
        <v>0.30499999999999999</v>
      </c>
      <c r="AI537" s="115">
        <v>-3.1E-2</v>
      </c>
      <c r="AJ537" s="115">
        <v>3.3799999999999997E-2</v>
      </c>
      <c r="AK537" s="115">
        <v>9.4614999999999991</v>
      </c>
      <c r="AL537" s="115">
        <v>1.4154</v>
      </c>
      <c r="AM537" s="115">
        <v>0</v>
      </c>
      <c r="AN537" s="115">
        <v>2</v>
      </c>
      <c r="AO537" s="115">
        <v>0</v>
      </c>
      <c r="AP537" s="115">
        <v>0</v>
      </c>
      <c r="AQ537" s="115">
        <v>1</v>
      </c>
      <c r="AR537" s="115">
        <v>0</v>
      </c>
      <c r="AS537" s="115">
        <v>4.8999999999999998E-3</v>
      </c>
      <c r="AT537" s="115">
        <v>0.3836</v>
      </c>
      <c r="AU537" s="114" t="str">
        <f>IF(A537&lt;&gt;"",INDEX(Index!$B$1:$B$77,MATCH($A537,Index!$A$1:$A$77,0)),"")</f>
        <v>NYG</v>
      </c>
      <c r="AV537" s="123" t="str">
        <f>IF(B537&lt;&gt;"",INDEX(Index!$C$1:$C$77,MATCH($A537,Index!$A$1:$A$77,0)),"")</f>
        <v>Winston</v>
      </c>
      <c r="AW537" s="123">
        <f t="shared" si="10"/>
        <v>48</v>
      </c>
      <c r="AX537" s="113">
        <v>14</v>
      </c>
    </row>
    <row r="538" spans="1:50" x14ac:dyDescent="0.25">
      <c r="A538" s="95" t="s">
        <v>571</v>
      </c>
      <c r="B538" s="96">
        <v>2025</v>
      </c>
      <c r="C538" s="96">
        <v>13</v>
      </c>
      <c r="D538" s="115">
        <v>-0.67814099999999999</v>
      </c>
      <c r="E538" s="115">
        <v>0.352107</v>
      </c>
      <c r="F538" s="115">
        <v>-0.44819399999999998</v>
      </c>
      <c r="G538" s="115">
        <v>24.099499999999999</v>
      </c>
      <c r="H538" s="115">
        <v>4.4900000000000002E-2</v>
      </c>
      <c r="I538" s="115">
        <v>253</v>
      </c>
      <c r="J538" s="115">
        <v>422</v>
      </c>
      <c r="K538" s="115">
        <v>0.59950000000000003</v>
      </c>
      <c r="L538" s="115">
        <v>-4.5571999999999999</v>
      </c>
      <c r="M538" s="115">
        <v>2880</v>
      </c>
      <c r="N538" s="115">
        <v>6.8246000000000002</v>
      </c>
      <c r="O538" s="115">
        <v>18</v>
      </c>
      <c r="P538" s="115">
        <v>11</v>
      </c>
      <c r="Q538" s="115">
        <v>32</v>
      </c>
      <c r="R538" s="115">
        <v>52</v>
      </c>
      <c r="S538" s="115">
        <v>260</v>
      </c>
      <c r="T538" s="115">
        <v>5</v>
      </c>
      <c r="U538" s="115">
        <v>5</v>
      </c>
      <c r="V538" s="115">
        <v>4.2700000000000002E-2</v>
      </c>
      <c r="W538" s="115">
        <v>2.6100000000000002E-2</v>
      </c>
      <c r="X538" s="115">
        <v>1.66E-2</v>
      </c>
      <c r="Y538" s="115">
        <v>0.47299999999999998</v>
      </c>
      <c r="Z538" s="115">
        <v>83.8369</v>
      </c>
      <c r="AA538" s="115">
        <v>5.5991</v>
      </c>
      <c r="AB538" s="115">
        <v>142.03100000000001</v>
      </c>
      <c r="AC538" s="115">
        <v>47.1</v>
      </c>
      <c r="AD538" s="115">
        <v>5.4000000000000003E-3</v>
      </c>
      <c r="AE538" s="115">
        <v>9.2999999999999992E-3</v>
      </c>
      <c r="AF538" s="115">
        <v>-3.1899999999999998E-2</v>
      </c>
      <c r="AG538" s="115">
        <v>-9.9000000000000008E-3</v>
      </c>
      <c r="AH538" s="115">
        <v>6.2399999999999997E-2</v>
      </c>
      <c r="AI538" s="115">
        <v>-5.8700000000000002E-2</v>
      </c>
      <c r="AJ538" s="115">
        <v>3.0999999999999999E-3</v>
      </c>
      <c r="AK538" s="115">
        <v>8.5260999999999996</v>
      </c>
      <c r="AL538" s="115">
        <v>-0.64449999999999996</v>
      </c>
      <c r="AM538" s="115">
        <v>9</v>
      </c>
      <c r="AN538" s="115">
        <v>4</v>
      </c>
      <c r="AO538" s="115">
        <v>0</v>
      </c>
      <c r="AP538" s="115">
        <v>3</v>
      </c>
      <c r="AQ538" s="115">
        <v>6</v>
      </c>
      <c r="AR538" s="115">
        <v>0.5</v>
      </c>
      <c r="AS538" s="115">
        <v>1.6000000000000001E-3</v>
      </c>
      <c r="AT538" s="115">
        <v>0.8679</v>
      </c>
      <c r="AU538" s="114" t="str">
        <f>IF(A538&lt;&gt;"",INDEX(Index!$B$1:$B$77,MATCH($A538,Index!$A$1:$A$77,0)),"")</f>
        <v>JAX</v>
      </c>
      <c r="AV538" s="123" t="str">
        <f>IF(B538&lt;&gt;"",INDEX(Index!$C$1:$C$77,MATCH($A538,Index!$A$1:$A$77,0)),"")</f>
        <v>Lawrence</v>
      </c>
      <c r="AW538" s="123">
        <f t="shared" si="10"/>
        <v>5</v>
      </c>
      <c r="AX538" s="113">
        <v>14</v>
      </c>
    </row>
    <row r="539" spans="1:50" x14ac:dyDescent="0.25">
      <c r="A539" s="95" t="s">
        <v>583</v>
      </c>
      <c r="B539" s="96">
        <v>2025</v>
      </c>
      <c r="C539" s="96">
        <v>7</v>
      </c>
      <c r="D539" s="115">
        <v>-0.87635600000000002</v>
      </c>
      <c r="E539" s="115">
        <v>-0.68022800000000005</v>
      </c>
      <c r="F539" s="115">
        <v>0.406248</v>
      </c>
      <c r="G539" s="115">
        <v>13.6174</v>
      </c>
      <c r="H539" s="115">
        <v>5.28E-2</v>
      </c>
      <c r="I539" s="115">
        <v>122</v>
      </c>
      <c r="J539" s="115">
        <v>192</v>
      </c>
      <c r="K539" s="115">
        <v>0.63539999999999996</v>
      </c>
      <c r="L539" s="115">
        <v>3.6366999999999998</v>
      </c>
      <c r="M539" s="115">
        <v>1389</v>
      </c>
      <c r="N539" s="115">
        <v>7.2343999999999999</v>
      </c>
      <c r="O539" s="115">
        <v>9</v>
      </c>
      <c r="P539" s="115">
        <v>7</v>
      </c>
      <c r="Q539" s="115">
        <v>13</v>
      </c>
      <c r="R539" s="115">
        <v>37</v>
      </c>
      <c r="S539" s="115">
        <v>257</v>
      </c>
      <c r="T539" s="115">
        <v>6.9459</v>
      </c>
      <c r="U539" s="115">
        <v>1</v>
      </c>
      <c r="V539" s="115">
        <v>4.6899999999999997E-2</v>
      </c>
      <c r="W539" s="115">
        <v>3.6499999999999998E-2</v>
      </c>
      <c r="X539" s="115">
        <v>1.04E-2</v>
      </c>
      <c r="Y539" s="115">
        <v>0.4884</v>
      </c>
      <c r="Z539" s="115">
        <v>85.611999999999995</v>
      </c>
      <c r="AA539" s="115">
        <v>5.6829000000000001</v>
      </c>
      <c r="AB539" s="115">
        <v>165.77099999999999</v>
      </c>
      <c r="AC539" s="115">
        <v>55.2</v>
      </c>
      <c r="AD539" s="115">
        <v>-1.0800000000000001E-2</v>
      </c>
      <c r="AE539" s="115">
        <v>2.41E-2</v>
      </c>
      <c r="AF539" s="115">
        <v>-4.7999999999999996E-3</v>
      </c>
      <c r="AG539" s="115">
        <v>-6.4199999999999993E-2</v>
      </c>
      <c r="AH539" s="115">
        <v>0.12770000000000001</v>
      </c>
      <c r="AI539" s="115">
        <v>-9.06E-2</v>
      </c>
      <c r="AJ539" s="115">
        <v>6.3E-3</v>
      </c>
      <c r="AK539" s="115">
        <v>9.8280999999999992</v>
      </c>
      <c r="AL539" s="115">
        <v>0.77080000000000004</v>
      </c>
      <c r="AM539" s="115">
        <v>1</v>
      </c>
      <c r="AN539" s="115">
        <v>7</v>
      </c>
      <c r="AO539" s="115">
        <v>0</v>
      </c>
      <c r="AP539" s="115">
        <v>0</v>
      </c>
      <c r="AQ539" s="115">
        <v>1</v>
      </c>
      <c r="AR539" s="115">
        <v>0</v>
      </c>
      <c r="AS539" s="115">
        <v>8.0000000000000004E-4</v>
      </c>
      <c r="AT539" s="115">
        <v>0.19420000000000001</v>
      </c>
      <c r="AU539" s="114" t="str">
        <f>IF(A539&lt;&gt;"",INDEX(Index!$B$1:$B$77,MATCH($A539,Index!$A$1:$A$77,0)),"")</f>
        <v>WAS</v>
      </c>
      <c r="AV539" s="123" t="str">
        <f>IF(B539&lt;&gt;"",INDEX(Index!$C$1:$C$77,MATCH($A539,Index!$A$1:$A$77,0)),"")</f>
        <v>Mariota</v>
      </c>
      <c r="AW539" s="123">
        <f t="shared" si="10"/>
        <v>36</v>
      </c>
      <c r="AX539" s="113">
        <v>14</v>
      </c>
    </row>
    <row r="540" spans="1:50" x14ac:dyDescent="0.25">
      <c r="A540" s="95" t="s">
        <v>577</v>
      </c>
      <c r="B540" s="96">
        <v>2025</v>
      </c>
      <c r="C540" s="96">
        <v>10</v>
      </c>
      <c r="D540" s="115">
        <v>-0.96054099999999998</v>
      </c>
      <c r="E540" s="115">
        <v>-0.397565</v>
      </c>
      <c r="F540" s="115">
        <v>5.2841800000000001E-2</v>
      </c>
      <c r="G540" s="115">
        <v>-35.308</v>
      </c>
      <c r="H540" s="115">
        <v>-7.6799999999999993E-2</v>
      </c>
      <c r="I540" s="115">
        <v>247</v>
      </c>
      <c r="J540" s="115">
        <v>406</v>
      </c>
      <c r="K540" s="115">
        <v>0.60840000000000005</v>
      </c>
      <c r="L540" s="115">
        <v>-2.9264999999999999</v>
      </c>
      <c r="M540" s="115">
        <v>2451</v>
      </c>
      <c r="N540" s="115">
        <v>6.0369000000000002</v>
      </c>
      <c r="O540" s="115">
        <v>15</v>
      </c>
      <c r="P540" s="115">
        <v>10</v>
      </c>
      <c r="Q540" s="115">
        <v>18</v>
      </c>
      <c r="R540" s="115">
        <v>10</v>
      </c>
      <c r="S540" s="115">
        <v>45</v>
      </c>
      <c r="T540" s="115">
        <v>4.5</v>
      </c>
      <c r="U540" s="115">
        <v>1</v>
      </c>
      <c r="V540" s="115">
        <v>3.6900000000000002E-2</v>
      </c>
      <c r="W540" s="115">
        <v>2.46E-2</v>
      </c>
      <c r="X540" s="115">
        <v>1.23E-2</v>
      </c>
      <c r="Y540" s="115">
        <v>0.42609999999999998</v>
      </c>
      <c r="Z540" s="115">
        <v>79.987700000000004</v>
      </c>
      <c r="AA540" s="115">
        <v>5.1486000000000001</v>
      </c>
      <c r="AB540" s="115">
        <v>138.00299999999999</v>
      </c>
      <c r="AC540" s="115">
        <v>41.3</v>
      </c>
      <c r="AD540" s="115">
        <v>-1.83E-2</v>
      </c>
      <c r="AE540" s="115">
        <v>9.1999999999999998E-3</v>
      </c>
      <c r="AF540" s="115">
        <v>-3.85E-2</v>
      </c>
      <c r="AG540" s="115">
        <v>-2.75E-2</v>
      </c>
      <c r="AH540" s="115">
        <v>-4.7899999999999998E-2</v>
      </c>
      <c r="AI540" s="115">
        <v>-1.4999999999999999E-2</v>
      </c>
      <c r="AJ540" s="115">
        <v>-3.8999999999999998E-3</v>
      </c>
      <c r="AK540" s="115">
        <v>7.4606000000000003</v>
      </c>
      <c r="AL540" s="115">
        <v>-1.5048999999999999</v>
      </c>
      <c r="AM540" s="115">
        <v>2</v>
      </c>
      <c r="AN540" s="115">
        <v>8</v>
      </c>
      <c r="AO540" s="115">
        <v>0</v>
      </c>
      <c r="AP540" s="115">
        <v>2</v>
      </c>
      <c r="AQ540" s="115">
        <v>6</v>
      </c>
      <c r="AR540" s="115">
        <v>0.33329999999999999</v>
      </c>
      <c r="AS540" s="115">
        <v>-2.0999999999999999E-3</v>
      </c>
      <c r="AT540" s="115">
        <v>-0.9879</v>
      </c>
      <c r="AU540" s="114" t="str">
        <f>IF(A540&lt;&gt;"",INDEX(Index!$B$1:$B$77,MATCH($A540,Index!$A$1:$A$77,0)),"")</f>
        <v>CIN</v>
      </c>
      <c r="AV540" s="123" t="str">
        <f>IF(B540&lt;&gt;"",INDEX(Index!$C$1:$C$77,MATCH($A540,Index!$A$1:$A$77,0)),"")</f>
        <v>Flacco</v>
      </c>
      <c r="AW540" s="123">
        <f t="shared" si="10"/>
        <v>24</v>
      </c>
      <c r="AX540" s="113">
        <v>14</v>
      </c>
    </row>
    <row r="541" spans="1:50" x14ac:dyDescent="0.25">
      <c r="A541" s="95" t="s">
        <v>563</v>
      </c>
      <c r="B541" s="96">
        <v>2025</v>
      </c>
      <c r="C541" s="96">
        <v>13</v>
      </c>
      <c r="D541" s="115">
        <v>-1.1273200000000001</v>
      </c>
      <c r="E541" s="115">
        <v>-0.63219599999999998</v>
      </c>
      <c r="F541" s="115">
        <v>-1.2563</v>
      </c>
      <c r="G541" s="115">
        <v>32.996699999999997</v>
      </c>
      <c r="H541" s="115">
        <v>6.0199999999999997E-2</v>
      </c>
      <c r="I541" s="115">
        <v>277</v>
      </c>
      <c r="J541" s="115">
        <v>422</v>
      </c>
      <c r="K541" s="115">
        <v>0.65639999999999998</v>
      </c>
      <c r="L541" s="115">
        <v>0.15559999999999999</v>
      </c>
      <c r="M541" s="115">
        <v>2981</v>
      </c>
      <c r="N541" s="115">
        <v>7.0640000000000001</v>
      </c>
      <c r="O541" s="115">
        <v>22</v>
      </c>
      <c r="P541" s="115">
        <v>11</v>
      </c>
      <c r="Q541" s="115">
        <v>45</v>
      </c>
      <c r="R541" s="115">
        <v>57</v>
      </c>
      <c r="S541" s="115">
        <v>428</v>
      </c>
      <c r="T541" s="115">
        <v>7.5087999999999999</v>
      </c>
      <c r="U541" s="115">
        <v>1</v>
      </c>
      <c r="V541" s="115">
        <v>5.21E-2</v>
      </c>
      <c r="W541" s="115">
        <v>2.6100000000000002E-2</v>
      </c>
      <c r="X541" s="115">
        <v>2.6100000000000002E-2</v>
      </c>
      <c r="Y541" s="115">
        <v>0.48359999999999997</v>
      </c>
      <c r="Z541" s="115">
        <v>92.733000000000004</v>
      </c>
      <c r="AA541" s="115">
        <v>5.7152000000000003</v>
      </c>
      <c r="AB541" s="115">
        <v>151.102</v>
      </c>
      <c r="AC541" s="115">
        <v>58.3</v>
      </c>
      <c r="AD541" s="115">
        <v>3.1699999999999999E-2</v>
      </c>
      <c r="AE541" s="115">
        <v>-2.4799999999999999E-2</v>
      </c>
      <c r="AF541" s="115">
        <v>1.95E-2</v>
      </c>
      <c r="AG541" s="115">
        <v>-2.6599999999999999E-2</v>
      </c>
      <c r="AH541" s="115">
        <v>1.7999999999999999E-2</v>
      </c>
      <c r="AI541" s="115">
        <v>-1.7100000000000001E-2</v>
      </c>
      <c r="AJ541" s="115">
        <v>-5.5999999999999999E-3</v>
      </c>
      <c r="AK541" s="115">
        <v>7.7346000000000004</v>
      </c>
      <c r="AL541" s="115">
        <v>-1.1113999999999999</v>
      </c>
      <c r="AM541" s="115">
        <v>9</v>
      </c>
      <c r="AN541" s="115">
        <v>4</v>
      </c>
      <c r="AO541" s="115">
        <v>0</v>
      </c>
      <c r="AP541" s="115">
        <v>3</v>
      </c>
      <c r="AQ541" s="115">
        <v>4</v>
      </c>
      <c r="AR541" s="115">
        <v>0.75</v>
      </c>
      <c r="AS541" s="115">
        <v>1.6000000000000001E-3</v>
      </c>
      <c r="AT541" s="115">
        <v>0.88270000000000004</v>
      </c>
      <c r="AU541" s="114" t="str">
        <f>IF(A541&lt;&gt;"",INDEX(Index!$B$1:$B$77,MATCH($A541,Index!$A$1:$A$77,0)),"")</f>
        <v>LAC</v>
      </c>
      <c r="AV541" s="123" t="str">
        <f>IF(B541&lt;&gt;"",INDEX(Index!$C$1:$C$77,MATCH($A541,Index!$A$1:$A$77,0)),"")</f>
        <v>Herbert</v>
      </c>
      <c r="AW541" s="123">
        <f t="shared" si="10"/>
        <v>3</v>
      </c>
      <c r="AX541" s="113">
        <v>14</v>
      </c>
    </row>
    <row r="542" spans="1:50" x14ac:dyDescent="0.25">
      <c r="A542" s="95" t="s">
        <v>569</v>
      </c>
      <c r="B542" s="96">
        <v>2025</v>
      </c>
      <c r="C542" s="96">
        <v>9</v>
      </c>
      <c r="D542" s="115">
        <v>-1.1933100000000001</v>
      </c>
      <c r="E542" s="115">
        <v>0.21746399999999999</v>
      </c>
      <c r="F542" s="115">
        <v>-1.01745</v>
      </c>
      <c r="G542" s="115">
        <v>-10.984999999999999</v>
      </c>
      <c r="H542" s="115">
        <v>-3.5999999999999997E-2</v>
      </c>
      <c r="I542" s="115">
        <v>128</v>
      </c>
      <c r="J542" s="115">
        <v>202</v>
      </c>
      <c r="K542" s="115">
        <v>0.63370000000000004</v>
      </c>
      <c r="L542" s="115">
        <v>-1.8688</v>
      </c>
      <c r="M542" s="115">
        <v>1242</v>
      </c>
      <c r="N542" s="115">
        <v>6.1485000000000003</v>
      </c>
      <c r="O542" s="115">
        <v>7</v>
      </c>
      <c r="P542" s="115">
        <v>1</v>
      </c>
      <c r="Q542" s="115">
        <v>27</v>
      </c>
      <c r="R542" s="115">
        <v>65</v>
      </c>
      <c r="S542" s="115">
        <v>387</v>
      </c>
      <c r="T542" s="115">
        <v>5.9538000000000002</v>
      </c>
      <c r="U542" s="115">
        <v>4</v>
      </c>
      <c r="V542" s="115">
        <v>3.4700000000000002E-2</v>
      </c>
      <c r="W542" s="115">
        <v>5.0000000000000001E-3</v>
      </c>
      <c r="X542" s="115">
        <v>2.9700000000000001E-2</v>
      </c>
      <c r="Y542" s="115">
        <v>0.44919999999999999</v>
      </c>
      <c r="Z542" s="115">
        <v>89.995900000000006</v>
      </c>
      <c r="AA542" s="115">
        <v>5</v>
      </c>
      <c r="AB542" s="115">
        <v>128.06</v>
      </c>
      <c r="AC542" s="115">
        <v>38.1</v>
      </c>
      <c r="AD542" s="115">
        <v>1.8599999999999998E-2</v>
      </c>
      <c r="AE542" s="115">
        <v>-3.3500000000000002E-2</v>
      </c>
      <c r="AF542" s="115">
        <v>3.4500000000000003E-2</v>
      </c>
      <c r="AG542" s="115">
        <v>6.1600000000000002E-2</v>
      </c>
      <c r="AH542" s="115">
        <v>-4.24E-2</v>
      </c>
      <c r="AI542" s="115">
        <v>-0.1101</v>
      </c>
      <c r="AJ542" s="115">
        <v>-2.98E-2</v>
      </c>
      <c r="AK542" s="115">
        <v>6.8266999999999998</v>
      </c>
      <c r="AL542" s="115">
        <v>-2.1484999999999999</v>
      </c>
      <c r="AM542" s="115">
        <v>2</v>
      </c>
      <c r="AN542" s="115">
        <v>7</v>
      </c>
      <c r="AO542" s="115">
        <v>0</v>
      </c>
      <c r="AP542" s="115">
        <v>1</v>
      </c>
      <c r="AQ542" s="115">
        <v>4</v>
      </c>
      <c r="AR542" s="115">
        <v>0.25</v>
      </c>
      <c r="AS542" s="115">
        <v>-4.0000000000000001E-3</v>
      </c>
      <c r="AT542" s="115">
        <v>-1.2298</v>
      </c>
      <c r="AU542" s="114" t="str">
        <f>IF(A542&lt;&gt;"",INDEX(Index!$B$1:$B$77,MATCH($A542,Index!$A$1:$A$77,0)),"")</f>
        <v>NYJ</v>
      </c>
      <c r="AV542" s="123" t="str">
        <f>IF(B542&lt;&gt;"",INDEX(Index!$C$1:$C$77,MATCH($A542,Index!$A$1:$A$77,0)),"")</f>
        <v>Fields</v>
      </c>
      <c r="AW542" s="123">
        <f t="shared" si="10"/>
        <v>11</v>
      </c>
      <c r="AX542" s="113">
        <v>14</v>
      </c>
    </row>
    <row r="543" spans="1:50" x14ac:dyDescent="0.25">
      <c r="A543" s="95" t="s">
        <v>579</v>
      </c>
      <c r="B543" s="96">
        <v>2025</v>
      </c>
      <c r="C543" s="96">
        <v>10</v>
      </c>
      <c r="D543" s="115">
        <v>-1.22492</v>
      </c>
      <c r="E543" s="115">
        <v>-0.28692400000000001</v>
      </c>
      <c r="F543" s="115">
        <v>0.359842</v>
      </c>
      <c r="G543" s="115">
        <v>49.689599999999999</v>
      </c>
      <c r="H543" s="115">
        <v>0.12839999999999999</v>
      </c>
      <c r="I543" s="115">
        <v>198</v>
      </c>
      <c r="J543" s="115">
        <v>307</v>
      </c>
      <c r="K543" s="115">
        <v>0.64500000000000002</v>
      </c>
      <c r="L543" s="115">
        <v>0.59450000000000003</v>
      </c>
      <c r="M543" s="115">
        <v>2181</v>
      </c>
      <c r="N543" s="115">
        <v>7.1041999999999996</v>
      </c>
      <c r="O543" s="115">
        <v>12</v>
      </c>
      <c r="P543" s="115">
        <v>6</v>
      </c>
      <c r="Q543" s="115">
        <v>22</v>
      </c>
      <c r="R543" s="115">
        <v>29</v>
      </c>
      <c r="S543" s="115">
        <v>195</v>
      </c>
      <c r="T543" s="115">
        <v>6.7241</v>
      </c>
      <c r="U543" s="115">
        <v>0</v>
      </c>
      <c r="V543" s="115">
        <v>3.9100000000000003E-2</v>
      </c>
      <c r="W543" s="115">
        <v>1.95E-2</v>
      </c>
      <c r="X543" s="115">
        <v>1.95E-2</v>
      </c>
      <c r="Y543" s="115">
        <v>0.47549999999999998</v>
      </c>
      <c r="Z543" s="115">
        <v>90.316199999999995</v>
      </c>
      <c r="AA543" s="115">
        <v>5.9756999999999998</v>
      </c>
      <c r="AB543" s="115">
        <v>149.77799999999999</v>
      </c>
      <c r="AC543" s="115">
        <v>62.6</v>
      </c>
      <c r="AD543" s="115">
        <v>2.53E-2</v>
      </c>
      <c r="AE543" s="115">
        <v>6.0000000000000001E-3</v>
      </c>
      <c r="AF543" s="115">
        <v>1.6199999999999999E-2</v>
      </c>
      <c r="AG543" s="115">
        <v>3.0099999999999998E-2</v>
      </c>
      <c r="AH543" s="115">
        <v>2.3099999999999999E-2</v>
      </c>
      <c r="AI543" s="115">
        <v>-2.4E-2</v>
      </c>
      <c r="AJ543" s="115">
        <v>-1.3599999999999999E-2</v>
      </c>
      <c r="AK543" s="115">
        <v>8.43</v>
      </c>
      <c r="AL543" s="115">
        <v>-0.7036</v>
      </c>
      <c r="AM543" s="115">
        <v>5</v>
      </c>
      <c r="AN543" s="115">
        <v>5</v>
      </c>
      <c r="AO543" s="115">
        <v>0</v>
      </c>
      <c r="AP543" s="115">
        <v>0</v>
      </c>
      <c r="AQ543" s="115">
        <v>3</v>
      </c>
      <c r="AR543" s="115">
        <v>0</v>
      </c>
      <c r="AS543" s="115">
        <v>1.8E-3</v>
      </c>
      <c r="AT543" s="115">
        <v>0.67989999999999995</v>
      </c>
      <c r="AU543" s="114" t="str">
        <f>IF(A543&lt;&gt;"",INDEX(Index!$B$1:$B$77,MATCH($A543,Index!$A$1:$A$77,0)),"")</f>
        <v>HOU</v>
      </c>
      <c r="AV543" s="123" t="str">
        <f>IF(B543&lt;&gt;"",INDEX(Index!$C$1:$C$77,MATCH($A543,Index!$A$1:$A$77,0)),"")</f>
        <v>Stroud</v>
      </c>
      <c r="AW543" s="123">
        <f t="shared" si="10"/>
        <v>17</v>
      </c>
      <c r="AX543" s="113">
        <v>14</v>
      </c>
    </row>
    <row r="544" spans="1:50" x14ac:dyDescent="0.25">
      <c r="A544" s="95" t="s">
        <v>592</v>
      </c>
      <c r="B544" s="96">
        <v>2025</v>
      </c>
      <c r="C544" s="96">
        <v>1</v>
      </c>
      <c r="D544" s="115">
        <v>-1.30586</v>
      </c>
      <c r="E544" s="115">
        <v>0.366983</v>
      </c>
      <c r="F544" s="115">
        <v>0.366983</v>
      </c>
      <c r="G544" s="115">
        <v>7.5486000000000004</v>
      </c>
      <c r="H544" s="115">
        <v>0.13719999999999999</v>
      </c>
      <c r="I544" s="115">
        <v>27</v>
      </c>
      <c r="J544" s="115">
        <v>36</v>
      </c>
      <c r="K544" s="115">
        <v>0.75</v>
      </c>
      <c r="L544" s="115">
        <v>10.9704</v>
      </c>
      <c r="M544" s="115">
        <v>254</v>
      </c>
      <c r="N544" s="115">
        <v>7.0556000000000001</v>
      </c>
      <c r="O544" s="115">
        <v>1</v>
      </c>
      <c r="P544" s="115">
        <v>0</v>
      </c>
      <c r="Q544" s="115">
        <v>6</v>
      </c>
      <c r="R544" s="115">
        <v>11</v>
      </c>
      <c r="S544" s="115">
        <v>92</v>
      </c>
      <c r="T544" s="115">
        <v>8.3635999999999999</v>
      </c>
      <c r="U544" s="115">
        <v>0</v>
      </c>
      <c r="V544" s="115">
        <v>2.7799999999999998E-2</v>
      </c>
      <c r="W544" s="115">
        <v>0</v>
      </c>
      <c r="X544" s="115">
        <v>2.7799999999999998E-2</v>
      </c>
      <c r="Y544" s="115">
        <v>0.5091</v>
      </c>
      <c r="Z544" s="115">
        <v>103.241</v>
      </c>
      <c r="AA544" s="115">
        <v>5.7857000000000003</v>
      </c>
      <c r="AB544" s="115">
        <v>232.892</v>
      </c>
      <c r="AC544" s="115">
        <v>84.5</v>
      </c>
      <c r="AD544" s="115">
        <v>0.13300000000000001</v>
      </c>
      <c r="AE544" s="115">
        <v>-1.67E-2</v>
      </c>
      <c r="AF544" s="115">
        <v>3.6499999999999998E-2</v>
      </c>
      <c r="AG544" s="115">
        <v>7.9299999999999995E-2</v>
      </c>
      <c r="AH544" s="115">
        <v>-1.1000000000000001E-3</v>
      </c>
      <c r="AI544" s="115">
        <v>-0.1429</v>
      </c>
      <c r="AJ544" s="115">
        <v>-1.5900000000000001E-2</v>
      </c>
      <c r="AK544" s="115">
        <v>8.1943999999999999</v>
      </c>
      <c r="AL544" s="115">
        <v>-1.4443999999999999</v>
      </c>
      <c r="AM544" s="115">
        <v>1</v>
      </c>
      <c r="AN544" s="115">
        <v>1</v>
      </c>
      <c r="AO544" s="115">
        <v>0</v>
      </c>
      <c r="AP544" s="115">
        <v>0</v>
      </c>
      <c r="AQ544" s="115">
        <v>0</v>
      </c>
      <c r="AR544" s="115"/>
      <c r="AS544" s="115">
        <v>3.8E-3</v>
      </c>
      <c r="AT544" s="115">
        <v>0.21</v>
      </c>
      <c r="AU544" s="114" t="str">
        <f>IF(A544&lt;&gt;"",INDEX(Index!$B$1:$B$77,MATCH($A544,Index!$A$1:$A$77,0)),"")</f>
        <v>BAL</v>
      </c>
      <c r="AV544" s="123" t="str">
        <f>IF(B544&lt;&gt;"",INDEX(Index!$C$1:$C$77,MATCH($A544,Index!$A$1:$A$77,0)),"")</f>
        <v>Huntley</v>
      </c>
      <c r="AW544" s="123">
        <f t="shared" si="10"/>
        <v>45</v>
      </c>
      <c r="AX544" s="113">
        <v>14</v>
      </c>
    </row>
    <row r="545" spans="1:50" x14ac:dyDescent="0.25">
      <c r="A545" s="95" t="s">
        <v>576</v>
      </c>
      <c r="B545" s="96">
        <v>2025</v>
      </c>
      <c r="C545" s="96">
        <v>12</v>
      </c>
      <c r="D545" s="115">
        <v>-1.3402499999999999</v>
      </c>
      <c r="E545" s="115">
        <v>0.527084</v>
      </c>
      <c r="F545" s="115">
        <v>-0.16885500000000001</v>
      </c>
      <c r="G545" s="115">
        <v>12.093299999999999</v>
      </c>
      <c r="H545" s="115">
        <v>2.7900000000000001E-2</v>
      </c>
      <c r="I545" s="115">
        <v>230</v>
      </c>
      <c r="J545" s="115">
        <v>362</v>
      </c>
      <c r="K545" s="115">
        <v>0.63539999999999996</v>
      </c>
      <c r="L545" s="115">
        <v>-0.27839999999999998</v>
      </c>
      <c r="M545" s="115">
        <v>2337</v>
      </c>
      <c r="N545" s="115">
        <v>6.4558</v>
      </c>
      <c r="O545" s="115">
        <v>18</v>
      </c>
      <c r="P545" s="115">
        <v>9</v>
      </c>
      <c r="Q545" s="115">
        <v>22</v>
      </c>
      <c r="R545" s="115">
        <v>21</v>
      </c>
      <c r="S545" s="115">
        <v>134</v>
      </c>
      <c r="T545" s="115">
        <v>6.3810000000000002</v>
      </c>
      <c r="U545" s="115">
        <v>1</v>
      </c>
      <c r="V545" s="115">
        <v>4.9700000000000001E-2</v>
      </c>
      <c r="W545" s="115">
        <v>2.4899999999999999E-2</v>
      </c>
      <c r="X545" s="115">
        <v>2.4899999999999999E-2</v>
      </c>
      <c r="Y545" s="115">
        <v>0.4677</v>
      </c>
      <c r="Z545" s="115">
        <v>88.144599999999997</v>
      </c>
      <c r="AA545" s="115">
        <v>5.5468999999999999</v>
      </c>
      <c r="AB545" s="115">
        <v>126.621</v>
      </c>
      <c r="AC545" s="115">
        <v>45.9</v>
      </c>
      <c r="AD545" s="115">
        <v>-6.3E-3</v>
      </c>
      <c r="AE545" s="115">
        <v>-1.26E-2</v>
      </c>
      <c r="AF545" s="115">
        <v>-1.7399999999999999E-2</v>
      </c>
      <c r="AG545" s="115">
        <v>-2.1000000000000001E-2</v>
      </c>
      <c r="AH545" s="115">
        <v>-2.3900000000000001E-2</v>
      </c>
      <c r="AI545" s="115">
        <v>2.2499999999999999E-2</v>
      </c>
      <c r="AJ545" s="115">
        <v>2.1399999999999999E-2</v>
      </c>
      <c r="AK545" s="115">
        <v>6.4806999999999997</v>
      </c>
      <c r="AL545" s="115">
        <v>-1.8867</v>
      </c>
      <c r="AM545" s="115">
        <v>7</v>
      </c>
      <c r="AN545" s="115">
        <v>5</v>
      </c>
      <c r="AO545" s="115">
        <v>0</v>
      </c>
      <c r="AP545" s="115">
        <v>4</v>
      </c>
      <c r="AQ545" s="115">
        <v>6</v>
      </c>
      <c r="AR545" s="115">
        <v>0.66669999999999996</v>
      </c>
      <c r="AS545" s="115">
        <v>2.2000000000000001E-3</v>
      </c>
      <c r="AT545" s="115">
        <v>0.9486</v>
      </c>
      <c r="AU545" s="114" t="str">
        <f>IF(A545&lt;&gt;"",INDEX(Index!$B$1:$B$77,MATCH($A545,Index!$A$1:$A$77,0)),"")</f>
        <v>CAR</v>
      </c>
      <c r="AV545" s="123" t="str">
        <f>IF(B545&lt;&gt;"",INDEX(Index!$C$1:$C$77,MATCH($A545,Index!$A$1:$A$77,0)),"")</f>
        <v>Young</v>
      </c>
      <c r="AW545" s="123">
        <f t="shared" si="10"/>
        <v>17</v>
      </c>
      <c r="AX545" s="113">
        <v>14</v>
      </c>
    </row>
    <row r="546" spans="1:50" x14ac:dyDescent="0.25">
      <c r="A546" s="95" t="s">
        <v>595</v>
      </c>
      <c r="B546" s="96">
        <v>2025</v>
      </c>
      <c r="C546" s="96">
        <v>3</v>
      </c>
      <c r="D546" s="115">
        <v>-1.37859</v>
      </c>
      <c r="E546" s="115">
        <v>0.156083</v>
      </c>
      <c r="F546" s="115">
        <v>0.53834000000000004</v>
      </c>
      <c r="G546" s="115">
        <v>-5.3174000000000001</v>
      </c>
      <c r="H546" s="115">
        <v>-3.0700000000000002E-2</v>
      </c>
      <c r="I546" s="115">
        <v>88</v>
      </c>
      <c r="J546" s="115">
        <v>150</v>
      </c>
      <c r="K546" s="115">
        <v>0.5867</v>
      </c>
      <c r="L546" s="115">
        <v>-5.2324999999999999</v>
      </c>
      <c r="M546" s="115">
        <v>879</v>
      </c>
      <c r="N546" s="115">
        <v>5.86</v>
      </c>
      <c r="O546" s="115">
        <v>5</v>
      </c>
      <c r="P546" s="115">
        <v>1</v>
      </c>
      <c r="Q546" s="115">
        <v>8</v>
      </c>
      <c r="R546" s="115">
        <v>8</v>
      </c>
      <c r="S546" s="115">
        <v>51</v>
      </c>
      <c r="T546" s="115">
        <v>6.375</v>
      </c>
      <c r="U546" s="115">
        <v>1</v>
      </c>
      <c r="V546" s="115">
        <v>3.3300000000000003E-2</v>
      </c>
      <c r="W546" s="115">
        <v>6.7000000000000002E-3</v>
      </c>
      <c r="X546" s="115">
        <v>2.6700000000000002E-2</v>
      </c>
      <c r="Y546" s="115">
        <v>0.41620000000000001</v>
      </c>
      <c r="Z546" s="115">
        <v>83.722200000000001</v>
      </c>
      <c r="AA546" s="115">
        <v>5.5316000000000001</v>
      </c>
      <c r="AB546" s="115">
        <v>178.798</v>
      </c>
      <c r="AC546" s="115"/>
      <c r="AD546" s="115">
        <v>-9.5999999999999992E-3</v>
      </c>
      <c r="AE546" s="115">
        <v>1.43E-2</v>
      </c>
      <c r="AF546" s="115">
        <v>-6.3799999999999996E-2</v>
      </c>
      <c r="AG546" s="115">
        <v>4.7300000000000002E-2</v>
      </c>
      <c r="AH546" s="115">
        <v>0.11260000000000001</v>
      </c>
      <c r="AI546" s="115">
        <v>-0.18429999999999999</v>
      </c>
      <c r="AJ546" s="115">
        <v>-1.24E-2</v>
      </c>
      <c r="AK546" s="115">
        <v>8.7066999999999997</v>
      </c>
      <c r="AL546" s="115">
        <v>-0.16669999999999999</v>
      </c>
      <c r="AM546" s="115">
        <v>4</v>
      </c>
      <c r="AN546" s="115">
        <v>1</v>
      </c>
      <c r="AO546" s="115">
        <v>0</v>
      </c>
      <c r="AP546" s="115">
        <v>1</v>
      </c>
      <c r="AQ546" s="115">
        <v>1</v>
      </c>
      <c r="AR546" s="115">
        <v>1</v>
      </c>
      <c r="AS546" s="115">
        <v>8.0000000000000004E-4</v>
      </c>
      <c r="AT546" s="115">
        <v>0.1444</v>
      </c>
      <c r="AU546" s="114" t="str">
        <f>IF(A546&lt;&gt;"",INDEX(Index!$B$1:$B$77,MATCH($A546,Index!$A$1:$A$77,0)),"")</f>
        <v>HOU</v>
      </c>
      <c r="AV546" s="123" t="str">
        <f>IF(B546&lt;&gt;"",INDEX(Index!$C$1:$C$77,MATCH($A546,Index!$A$1:$A$77,0)),"")</f>
        <v>Mills</v>
      </c>
      <c r="AW546" s="123">
        <f t="shared" si="10"/>
        <v>40</v>
      </c>
      <c r="AX546" s="113">
        <v>14</v>
      </c>
    </row>
    <row r="547" spans="1:50" x14ac:dyDescent="0.25">
      <c r="A547" s="95" t="s">
        <v>597</v>
      </c>
      <c r="B547" s="96">
        <v>2025</v>
      </c>
      <c r="C547" s="96">
        <v>1</v>
      </c>
      <c r="D547" s="115">
        <v>-1.38879</v>
      </c>
      <c r="E547" s="115">
        <v>-9.4016100000000005E-2</v>
      </c>
      <c r="F547" s="115">
        <v>-9.4016100000000005E-2</v>
      </c>
      <c r="G547" s="115">
        <v>6.1036999999999999</v>
      </c>
      <c r="H547" s="115">
        <v>0.10009999999999999</v>
      </c>
      <c r="I547" s="115">
        <v>38</v>
      </c>
      <c r="J547" s="115">
        <v>52</v>
      </c>
      <c r="K547" s="115">
        <v>0.73080000000000001</v>
      </c>
      <c r="L547" s="115">
        <v>5.7622999999999998</v>
      </c>
      <c r="M547" s="115">
        <v>310</v>
      </c>
      <c r="N547" s="115">
        <v>5.9615</v>
      </c>
      <c r="O547" s="115">
        <v>2</v>
      </c>
      <c r="P547" s="115">
        <v>2</v>
      </c>
      <c r="Q547" s="115">
        <v>2</v>
      </c>
      <c r="R547" s="115">
        <v>3</v>
      </c>
      <c r="S547" s="115">
        <v>7</v>
      </c>
      <c r="T547" s="115">
        <v>2.3332999999999999</v>
      </c>
      <c r="U547" s="115">
        <v>0</v>
      </c>
      <c r="V547" s="115">
        <v>3.85E-2</v>
      </c>
      <c r="W547" s="115">
        <v>3.85E-2</v>
      </c>
      <c r="X547" s="115">
        <v>0</v>
      </c>
      <c r="Y547" s="115">
        <v>0.52459999999999996</v>
      </c>
      <c r="Z547" s="115">
        <v>84.615399999999994</v>
      </c>
      <c r="AA547" s="115">
        <v>4.5926</v>
      </c>
      <c r="AB547" s="115">
        <v>110.53400000000001</v>
      </c>
      <c r="AC547" s="115"/>
      <c r="AD547" s="115">
        <v>-9.1000000000000004E-3</v>
      </c>
      <c r="AE547" s="115">
        <v>-3.5000000000000001E-3</v>
      </c>
      <c r="AF547" s="115">
        <v>0.1356</v>
      </c>
      <c r="AG547" s="115">
        <v>-5.4399999999999997E-2</v>
      </c>
      <c r="AH547" s="115">
        <v>-0.3584</v>
      </c>
      <c r="AI547" s="115">
        <v>0.3105</v>
      </c>
      <c r="AJ547" s="115">
        <v>1.44E-2</v>
      </c>
      <c r="AK547" s="115">
        <v>5.2308000000000003</v>
      </c>
      <c r="AL547" s="115">
        <v>-2.9037999999999999</v>
      </c>
      <c r="AM547" s="115">
        <v>1</v>
      </c>
      <c r="AN547" s="115">
        <v>3</v>
      </c>
      <c r="AO547" s="115">
        <v>0</v>
      </c>
      <c r="AP547" s="115">
        <v>0</v>
      </c>
      <c r="AQ547" s="115">
        <v>1</v>
      </c>
      <c r="AR547" s="115">
        <v>0</v>
      </c>
      <c r="AS547" s="115">
        <v>-3.8E-3</v>
      </c>
      <c r="AT547" s="115">
        <v>-0.2298</v>
      </c>
      <c r="AU547" s="114" t="str">
        <f>IF(A547&lt;&gt;"",INDEX(Index!$B$1:$B$77,MATCH($A547,Index!$A$1:$A$77,0)),"")</f>
        <v>PIT</v>
      </c>
      <c r="AV547" s="123" t="str">
        <f>IF(B547&lt;&gt;"",INDEX(Index!$C$1:$C$77,MATCH($A547,Index!$A$1:$A$77,0)),"")</f>
        <v>Rudolph</v>
      </c>
      <c r="AW547" s="123">
        <f t="shared" si="10"/>
        <v>49</v>
      </c>
      <c r="AX547" s="113">
        <v>14</v>
      </c>
    </row>
    <row r="548" spans="1:50" x14ac:dyDescent="0.25">
      <c r="A548" s="95" t="s">
        <v>578</v>
      </c>
      <c r="B548" s="96">
        <v>2025</v>
      </c>
      <c r="C548" s="96">
        <v>9</v>
      </c>
      <c r="D548" s="115">
        <v>-1.4574199999999999</v>
      </c>
      <c r="E548" s="115">
        <v>0.10895100000000001</v>
      </c>
      <c r="F548" s="115">
        <v>0.26578200000000002</v>
      </c>
      <c r="G548" s="115">
        <v>19.752199999999998</v>
      </c>
      <c r="H548" s="115">
        <v>6.1199999999999997E-2</v>
      </c>
      <c r="I548" s="115">
        <v>166</v>
      </c>
      <c r="J548" s="115">
        <v>276</v>
      </c>
      <c r="K548" s="115">
        <v>0.60140000000000005</v>
      </c>
      <c r="L548" s="115">
        <v>-3.6196999999999999</v>
      </c>
      <c r="M548" s="115">
        <v>1982</v>
      </c>
      <c r="N548" s="115">
        <v>7.1811999999999996</v>
      </c>
      <c r="O548" s="115">
        <v>9</v>
      </c>
      <c r="P548" s="115">
        <v>3</v>
      </c>
      <c r="Q548" s="115">
        <v>13</v>
      </c>
      <c r="R548" s="115">
        <v>13</v>
      </c>
      <c r="S548" s="115">
        <v>77</v>
      </c>
      <c r="T548" s="115">
        <v>5.9230999999999998</v>
      </c>
      <c r="U548" s="115">
        <v>1</v>
      </c>
      <c r="V548" s="115">
        <v>3.2599999999999997E-2</v>
      </c>
      <c r="W548" s="115">
        <v>1.09E-2</v>
      </c>
      <c r="X548" s="115">
        <v>2.1700000000000001E-2</v>
      </c>
      <c r="Y548" s="115">
        <v>0.4768</v>
      </c>
      <c r="Z548" s="115">
        <v>88.466200000000001</v>
      </c>
      <c r="AA548" s="115">
        <v>6.6643999999999997</v>
      </c>
      <c r="AB548" s="115">
        <v>138.63399999999999</v>
      </c>
      <c r="AC548" s="115">
        <v>56.7</v>
      </c>
      <c r="AD548" s="115">
        <v>4.7000000000000002E-3</v>
      </c>
      <c r="AE548" s="115">
        <v>1.44E-2</v>
      </c>
      <c r="AF548" s="115">
        <v>-6.8400000000000002E-2</v>
      </c>
      <c r="AG548" s="115">
        <v>2.1299999999999999E-2</v>
      </c>
      <c r="AH548" s="115">
        <v>7.2700000000000001E-2</v>
      </c>
      <c r="AI548" s="115">
        <v>-5.8099999999999999E-2</v>
      </c>
      <c r="AJ548" s="115">
        <v>9.1000000000000004E-3</v>
      </c>
      <c r="AK548" s="115">
        <v>8.3332999999999995</v>
      </c>
      <c r="AL548" s="115">
        <v>-0.52900000000000003</v>
      </c>
      <c r="AM548" s="115">
        <v>3</v>
      </c>
      <c r="AN548" s="115">
        <v>6</v>
      </c>
      <c r="AO548" s="115">
        <v>0</v>
      </c>
      <c r="AP548" s="115">
        <v>0</v>
      </c>
      <c r="AQ548" s="115">
        <v>4</v>
      </c>
      <c r="AR548" s="115">
        <v>0</v>
      </c>
      <c r="AS548" s="115">
        <v>3.5000000000000001E-3</v>
      </c>
      <c r="AT548" s="115">
        <v>1.1247</v>
      </c>
      <c r="AU548" s="114" t="str">
        <f>IF(A548&lt;&gt;"",INDEX(Index!$B$1:$B$77,MATCH($A548,Index!$A$1:$A$77,0)),"")</f>
        <v>ATL</v>
      </c>
      <c r="AV548" s="123" t="str">
        <f>IF(B548&lt;&gt;"",INDEX(Index!$C$1:$C$77,MATCH($A548,Index!$A$1:$A$77,0)),"")</f>
        <v>Penix</v>
      </c>
      <c r="AW548" s="123">
        <f t="shared" si="10"/>
        <v>36</v>
      </c>
      <c r="AX548" s="113">
        <v>14</v>
      </c>
    </row>
    <row r="549" spans="1:50" x14ac:dyDescent="0.25">
      <c r="A549" s="95" t="s">
        <v>565</v>
      </c>
      <c r="B549" s="96">
        <v>2025</v>
      </c>
      <c r="C549" s="96">
        <v>13</v>
      </c>
      <c r="D549" s="115">
        <v>-1.64419</v>
      </c>
      <c r="E549" s="115">
        <v>-9.6607700000000005E-2</v>
      </c>
      <c r="F549" s="115">
        <v>-3.1164700000000001</v>
      </c>
      <c r="G549" s="115">
        <v>-0.19289999999999999</v>
      </c>
      <c r="H549" s="115">
        <v>-5.0000000000000001E-4</v>
      </c>
      <c r="I549" s="115">
        <v>238</v>
      </c>
      <c r="J549" s="115">
        <v>354</v>
      </c>
      <c r="K549" s="115">
        <v>0.67230000000000001</v>
      </c>
      <c r="L549" s="115">
        <v>0.99780000000000002</v>
      </c>
      <c r="M549" s="115">
        <v>2407</v>
      </c>
      <c r="N549" s="115">
        <v>6.7994000000000003</v>
      </c>
      <c r="O549" s="115">
        <v>18</v>
      </c>
      <c r="P549" s="115">
        <v>14</v>
      </c>
      <c r="Q549" s="115">
        <v>26</v>
      </c>
      <c r="R549" s="115">
        <v>10</v>
      </c>
      <c r="S549" s="115">
        <v>43</v>
      </c>
      <c r="T549" s="115">
        <v>4.3</v>
      </c>
      <c r="U549" s="115">
        <v>0</v>
      </c>
      <c r="V549" s="115">
        <v>5.0799999999999998E-2</v>
      </c>
      <c r="W549" s="115">
        <v>3.95E-2</v>
      </c>
      <c r="X549" s="115">
        <v>1.1299999999999999E-2</v>
      </c>
      <c r="Y549" s="115">
        <v>0.43930000000000002</v>
      </c>
      <c r="Z549" s="115">
        <v>86.911500000000004</v>
      </c>
      <c r="AA549" s="115">
        <v>5.1920999999999999</v>
      </c>
      <c r="AB549" s="115">
        <v>102.78</v>
      </c>
      <c r="AC549" s="115">
        <v>38.4</v>
      </c>
      <c r="AD549" s="115">
        <v>-3.1E-2</v>
      </c>
      <c r="AE549" s="115">
        <v>2E-3</v>
      </c>
      <c r="AF549" s="115">
        <v>1.37E-2</v>
      </c>
      <c r="AG549" s="115">
        <v>-3.49E-2</v>
      </c>
      <c r="AH549" s="115">
        <v>-2.5000000000000001E-2</v>
      </c>
      <c r="AI549" s="115">
        <v>4.3200000000000002E-2</v>
      </c>
      <c r="AJ549" s="115">
        <v>-3.3599999999999998E-2</v>
      </c>
      <c r="AK549" s="115">
        <v>6.8982999999999999</v>
      </c>
      <c r="AL549" s="115">
        <v>-1.9011</v>
      </c>
      <c r="AM549" s="115">
        <v>6</v>
      </c>
      <c r="AN549" s="115">
        <v>7</v>
      </c>
      <c r="AO549" s="115">
        <v>0</v>
      </c>
      <c r="AP549" s="115">
        <v>1</v>
      </c>
      <c r="AQ549" s="115">
        <v>5</v>
      </c>
      <c r="AR549" s="115">
        <v>0.2</v>
      </c>
      <c r="AS549" s="115">
        <v>1E-4</v>
      </c>
      <c r="AT549" s="115">
        <v>2.06E-2</v>
      </c>
      <c r="AU549" s="114" t="str">
        <f>IF(A549&lt;&gt;"",INDEX(Index!$B$1:$B$77,MATCH($A549,Index!$A$1:$A$77,0)),"")</f>
        <v>MIA</v>
      </c>
      <c r="AV549" s="123" t="str">
        <f>IF(B549&lt;&gt;"",INDEX(Index!$C$1:$C$77,MATCH($A549,Index!$A$1:$A$77,0)),"")</f>
        <v>Tagovailoa</v>
      </c>
      <c r="AW549" s="123">
        <f t="shared" si="10"/>
        <v>13</v>
      </c>
      <c r="AX549" s="113">
        <v>14</v>
      </c>
    </row>
    <row r="550" spans="1:50" x14ac:dyDescent="0.25">
      <c r="A550" s="95" t="s">
        <v>585</v>
      </c>
      <c r="B550" s="96">
        <v>2025</v>
      </c>
      <c r="C550" s="96">
        <v>3</v>
      </c>
      <c r="D550" s="96">
        <v>-1.7821</v>
      </c>
      <c r="E550" s="96">
        <v>0.13401099999999999</v>
      </c>
      <c r="F550" s="115">
        <v>-0.76969699999999996</v>
      </c>
      <c r="G550" s="115">
        <v>-35.722200000000001</v>
      </c>
      <c r="H550" s="115">
        <v>-0.23200000000000001</v>
      </c>
      <c r="I550" s="115">
        <v>81</v>
      </c>
      <c r="J550" s="115">
        <v>125</v>
      </c>
      <c r="K550" s="115">
        <v>0.64800000000000002</v>
      </c>
      <c r="L550" s="115">
        <v>0.37569999999999998</v>
      </c>
      <c r="M550" s="115">
        <v>771</v>
      </c>
      <c r="N550" s="115">
        <v>6.1680000000000001</v>
      </c>
      <c r="O550" s="115">
        <v>6</v>
      </c>
      <c r="P550" s="115">
        <v>8</v>
      </c>
      <c r="Q550" s="115">
        <v>9</v>
      </c>
      <c r="R550" s="115">
        <v>8</v>
      </c>
      <c r="S550" s="115">
        <v>40</v>
      </c>
      <c r="T550" s="115">
        <v>5</v>
      </c>
      <c r="U550" s="115">
        <v>1</v>
      </c>
      <c r="V550" s="115">
        <v>4.8000000000000001E-2</v>
      </c>
      <c r="W550" s="115">
        <v>6.4000000000000001E-2</v>
      </c>
      <c r="X550" s="115">
        <v>-1.6E-2</v>
      </c>
      <c r="Y550" s="115">
        <v>0.43509999999999999</v>
      </c>
      <c r="Z550" s="115">
        <v>71.116699999999994</v>
      </c>
      <c r="AA550" s="115">
        <v>3.5148999999999999</v>
      </c>
      <c r="AB550" s="115">
        <v>58.973999999999997</v>
      </c>
      <c r="AC550" s="115"/>
      <c r="AD550" s="115">
        <v>1.29E-2</v>
      </c>
      <c r="AE550" s="115">
        <v>7.7999999999999996E-3</v>
      </c>
      <c r="AF550" s="115">
        <v>3.0800000000000001E-2</v>
      </c>
      <c r="AG550" s="115">
        <v>-0.17419999999999999</v>
      </c>
      <c r="AH550" s="115">
        <v>-7.9399999999999998E-2</v>
      </c>
      <c r="AI550" s="115">
        <v>-0.13980000000000001</v>
      </c>
      <c r="AJ550" s="115">
        <v>4.48E-2</v>
      </c>
      <c r="AK550" s="115">
        <v>7.6719999999999997</v>
      </c>
      <c r="AL550" s="115">
        <v>-1.528</v>
      </c>
      <c r="AM550" s="115">
        <v>1</v>
      </c>
      <c r="AN550" s="115">
        <v>4</v>
      </c>
      <c r="AO550" s="115">
        <v>0</v>
      </c>
      <c r="AP550" s="115">
        <v>1</v>
      </c>
      <c r="AQ550" s="115">
        <v>1</v>
      </c>
      <c r="AR550" s="115">
        <v>1</v>
      </c>
      <c r="AS550" s="115">
        <v>-4.0000000000000002E-4</v>
      </c>
      <c r="AT550" s="115">
        <v>-5.45E-2</v>
      </c>
      <c r="AU550" s="114" t="str">
        <f>IF(A550&lt;&gt;"",INDEX(Index!$B$1:$B$77,MATCH($A550,Index!$A$1:$A$77,0)),"")</f>
        <v>CIN</v>
      </c>
      <c r="AV550" s="123" t="str">
        <f>IF(B550&lt;&gt;"",INDEX(Index!$C$1:$C$77,MATCH($A550,Index!$A$1:$A$77,0)),"")</f>
        <v>Browning</v>
      </c>
      <c r="AW550" s="123">
        <f t="shared" si="10"/>
        <v>39</v>
      </c>
      <c r="AX550" s="113">
        <v>14</v>
      </c>
    </row>
    <row r="551" spans="1:50" x14ac:dyDescent="0.25">
      <c r="A551" s="95" t="s">
        <v>593</v>
      </c>
      <c r="B551" s="96">
        <v>2025</v>
      </c>
      <c r="C551" s="96">
        <v>1</v>
      </c>
      <c r="D551" s="96">
        <v>-2.1262099999999999</v>
      </c>
      <c r="E551" s="96">
        <v>-0.78385899999999997</v>
      </c>
      <c r="F551" s="115">
        <v>-0.78385899999999997</v>
      </c>
      <c r="G551" s="115">
        <v>-8.7080000000000002</v>
      </c>
      <c r="H551" s="115">
        <v>-0.18140000000000001</v>
      </c>
      <c r="I551" s="115">
        <v>25</v>
      </c>
      <c r="J551" s="115">
        <v>37</v>
      </c>
      <c r="K551" s="115">
        <v>0.67569999999999997</v>
      </c>
      <c r="L551" s="115">
        <v>6.5959000000000003</v>
      </c>
      <c r="M551" s="115">
        <v>293</v>
      </c>
      <c r="N551" s="115">
        <v>7.9188999999999998</v>
      </c>
      <c r="O551" s="115">
        <v>1</v>
      </c>
      <c r="P551" s="115">
        <v>1</v>
      </c>
      <c r="Q551" s="115">
        <v>8</v>
      </c>
      <c r="R551" s="115">
        <v>1</v>
      </c>
      <c r="S551" s="115">
        <v>1</v>
      </c>
      <c r="T551" s="115">
        <v>1</v>
      </c>
      <c r="U551" s="115">
        <v>0</v>
      </c>
      <c r="V551" s="115">
        <v>2.7E-2</v>
      </c>
      <c r="W551" s="115">
        <v>2.7E-2</v>
      </c>
      <c r="X551" s="115">
        <v>0</v>
      </c>
      <c r="Y551" s="115">
        <v>0.45829999999999999</v>
      </c>
      <c r="Z551" s="115">
        <v>89.132900000000006</v>
      </c>
      <c r="AA551" s="115">
        <v>4.7556000000000003</v>
      </c>
      <c r="AB551" s="115">
        <v>-93.4208</v>
      </c>
      <c r="AC551" s="115"/>
      <c r="AD551" s="115">
        <v>-0.1206</v>
      </c>
      <c r="AE551" s="115">
        <v>-0.27350000000000002</v>
      </c>
      <c r="AF551" s="115">
        <v>2.3E-2</v>
      </c>
      <c r="AG551" s="115">
        <v>-7.3300000000000004E-2</v>
      </c>
      <c r="AH551" s="115">
        <v>0.28889999999999999</v>
      </c>
      <c r="AI551" s="115">
        <v>-9.4500000000000001E-2</v>
      </c>
      <c r="AJ551" s="115">
        <v>3.3999999999999998E-3</v>
      </c>
      <c r="AK551" s="115">
        <v>9.4054000000000002</v>
      </c>
      <c r="AL551" s="115">
        <v>1.5405</v>
      </c>
      <c r="AM551" s="115">
        <v>1</v>
      </c>
      <c r="AN551" s="115">
        <v>2</v>
      </c>
      <c r="AO551" s="115">
        <v>0</v>
      </c>
      <c r="AP551" s="115">
        <v>0</v>
      </c>
      <c r="AQ551" s="115">
        <v>0</v>
      </c>
      <c r="AR551" s="115"/>
      <c r="AS551" s="115">
        <v>-8.2000000000000007E-3</v>
      </c>
      <c r="AT551" s="115">
        <v>-0.39529999999999998</v>
      </c>
      <c r="AU551" s="114" t="str">
        <f>IF(A551&lt;&gt;"",INDEX(Index!$B$1:$B$77,MATCH($A551,Index!$A$1:$A$77,0)),"")</f>
        <v>CAR</v>
      </c>
      <c r="AV551" s="123" t="str">
        <f>IF(B551&lt;&gt;"",INDEX(Index!$C$1:$C$77,MATCH($A551,Index!$A$1:$A$77,0)),"")</f>
        <v>Dalton</v>
      </c>
      <c r="AW551" s="123">
        <f t="shared" si="10"/>
        <v>40</v>
      </c>
      <c r="AX551" s="113">
        <v>14</v>
      </c>
    </row>
    <row r="552" spans="1:50" x14ac:dyDescent="0.25">
      <c r="A552" s="95" t="s">
        <v>584</v>
      </c>
      <c r="B552" s="96">
        <v>2025</v>
      </c>
      <c r="C552" s="96">
        <v>4</v>
      </c>
      <c r="D552" s="96">
        <v>-2.1393800000000001</v>
      </c>
      <c r="E552" s="96">
        <v>-0.72736699999999999</v>
      </c>
      <c r="F552" s="115">
        <v>-0.59244799999999997</v>
      </c>
      <c r="G552" s="115">
        <v>-4.5903</v>
      </c>
      <c r="H552" s="115">
        <v>-2.5499999999999998E-2</v>
      </c>
      <c r="I552" s="115">
        <v>80</v>
      </c>
      <c r="J552" s="115">
        <v>133</v>
      </c>
      <c r="K552" s="115">
        <v>0.60150000000000003</v>
      </c>
      <c r="L552" s="115">
        <v>-0.87760000000000005</v>
      </c>
      <c r="M552" s="115">
        <v>779</v>
      </c>
      <c r="N552" s="115">
        <v>5.8571</v>
      </c>
      <c r="O552" s="115">
        <v>5</v>
      </c>
      <c r="P552" s="115">
        <v>5</v>
      </c>
      <c r="Q552" s="115">
        <v>14</v>
      </c>
      <c r="R552" s="115">
        <v>25</v>
      </c>
      <c r="S552" s="115">
        <v>145</v>
      </c>
      <c r="T552" s="115">
        <v>5.8</v>
      </c>
      <c r="U552" s="115">
        <v>1</v>
      </c>
      <c r="V552" s="115">
        <v>3.7600000000000001E-2</v>
      </c>
      <c r="W552" s="115">
        <v>3.7600000000000001E-2</v>
      </c>
      <c r="X552" s="115">
        <v>0</v>
      </c>
      <c r="Y552" s="115">
        <v>0.44440000000000002</v>
      </c>
      <c r="Z552" s="115">
        <v>73.480599999999995</v>
      </c>
      <c r="AA552" s="115">
        <v>3.8912</v>
      </c>
      <c r="AB552" s="115">
        <v>87.315399999999997</v>
      </c>
      <c r="AC552" s="115">
        <v>51.5</v>
      </c>
      <c r="AD552" s="115">
        <v>-1E-3</v>
      </c>
      <c r="AE552" s="115">
        <v>-2.9999999999999997E-4</v>
      </c>
      <c r="AF552" s="115">
        <v>-2.7199999999999998E-2</v>
      </c>
      <c r="AG552" s="115">
        <v>-2.12E-2</v>
      </c>
      <c r="AH552" s="115">
        <v>3.6600000000000001E-2</v>
      </c>
      <c r="AI552" s="115">
        <v>-7.2400000000000006E-2</v>
      </c>
      <c r="AJ552" s="115">
        <v>-5.0000000000000001E-3</v>
      </c>
      <c r="AK552" s="115">
        <v>8.609</v>
      </c>
      <c r="AL552" s="115">
        <v>-0.41349999999999998</v>
      </c>
      <c r="AM552" s="115">
        <v>1</v>
      </c>
      <c r="AN552" s="115">
        <v>5</v>
      </c>
      <c r="AO552" s="115">
        <v>0</v>
      </c>
      <c r="AP552" s="115">
        <v>1</v>
      </c>
      <c r="AQ552" s="115">
        <v>2</v>
      </c>
      <c r="AR552" s="115">
        <v>0.5</v>
      </c>
      <c r="AS552" s="115">
        <v>-1.4E-3</v>
      </c>
      <c r="AT552" s="115">
        <v>-0.25390000000000001</v>
      </c>
      <c r="AU552" s="114" t="str">
        <f>IF(A552&lt;&gt;"",INDEX(Index!$B$1:$B$77,MATCH($A552,Index!$A$1:$A$77,0)),"")</f>
        <v>NYJ</v>
      </c>
      <c r="AV552" s="123" t="str">
        <f>IF(B552&lt;&gt;"",INDEX(Index!$C$1:$C$77,MATCH($A552,Index!$A$1:$A$77,0)),"")</f>
        <v>Taylor</v>
      </c>
      <c r="AW552" s="123">
        <f t="shared" si="10"/>
        <v>35</v>
      </c>
      <c r="AX552" s="113">
        <v>14</v>
      </c>
    </row>
    <row r="553" spans="1:50" x14ac:dyDescent="0.25">
      <c r="A553" s="95" t="s">
        <v>594</v>
      </c>
      <c r="B553" s="96">
        <v>2025</v>
      </c>
      <c r="C553" s="96">
        <v>5</v>
      </c>
      <c r="D553" s="96">
        <v>-2.2044199999999998</v>
      </c>
      <c r="E553" s="96">
        <v>0.101953</v>
      </c>
      <c r="F553" s="115">
        <v>0.30803700000000001</v>
      </c>
      <c r="G553" s="115">
        <v>-14.2575</v>
      </c>
      <c r="H553" s="115">
        <v>-6.2300000000000001E-2</v>
      </c>
      <c r="I553" s="115">
        <v>120</v>
      </c>
      <c r="J553" s="115">
        <v>183</v>
      </c>
      <c r="K553" s="115">
        <v>0.65569999999999995</v>
      </c>
      <c r="L553" s="115">
        <v>-0.1525</v>
      </c>
      <c r="M553" s="115">
        <v>1212</v>
      </c>
      <c r="N553" s="115">
        <v>6.6230000000000002</v>
      </c>
      <c r="O553" s="115">
        <v>5</v>
      </c>
      <c r="P553" s="115">
        <v>5</v>
      </c>
      <c r="Q553" s="115">
        <v>17</v>
      </c>
      <c r="R553" s="115">
        <v>22</v>
      </c>
      <c r="S553" s="115">
        <v>115</v>
      </c>
      <c r="T553" s="115">
        <v>5.2272999999999996</v>
      </c>
      <c r="U553" s="115">
        <v>2</v>
      </c>
      <c r="V553" s="115">
        <v>2.7300000000000001E-2</v>
      </c>
      <c r="W553" s="115">
        <v>2.7300000000000001E-2</v>
      </c>
      <c r="X553" s="115">
        <v>0</v>
      </c>
      <c r="Y553" s="115">
        <v>0.44540000000000002</v>
      </c>
      <c r="Z553" s="115">
        <v>82.046899999999994</v>
      </c>
      <c r="AA553" s="115">
        <v>4.83</v>
      </c>
      <c r="AB553" s="115">
        <v>128.51400000000001</v>
      </c>
      <c r="AC553" s="115"/>
      <c r="AD553" s="115">
        <v>-2.9999999999999997E-4</v>
      </c>
      <c r="AE553" s="115">
        <v>-5.0500000000000003E-2</v>
      </c>
      <c r="AF553" s="115">
        <v>2.4400000000000002E-2</v>
      </c>
      <c r="AG553" s="115">
        <v>-8.9999999999999993E-3</v>
      </c>
      <c r="AH553" s="115">
        <v>-2.3400000000000001E-2</v>
      </c>
      <c r="AI553" s="115">
        <v>-4.7699999999999999E-2</v>
      </c>
      <c r="AJ553" s="115">
        <v>-2.1000000000000001E-2</v>
      </c>
      <c r="AK553" s="115">
        <v>8.1585000000000001</v>
      </c>
      <c r="AL553" s="115">
        <v>-0.66120000000000001</v>
      </c>
      <c r="AM553" s="115">
        <v>2</v>
      </c>
      <c r="AN553" s="115">
        <v>5</v>
      </c>
      <c r="AO553" s="115">
        <v>0</v>
      </c>
      <c r="AP553" s="115">
        <v>0</v>
      </c>
      <c r="AQ553" s="115">
        <v>1</v>
      </c>
      <c r="AR553" s="115">
        <v>0</v>
      </c>
      <c r="AS553" s="115">
        <v>1.6000000000000001E-3</v>
      </c>
      <c r="AT553" s="115">
        <v>0.371</v>
      </c>
      <c r="AU553" s="114" t="str">
        <f>IF(A553&lt;&gt;"",INDEX(Index!$B$1:$B$77,MATCH($A553,Index!$A$1:$A$77,0)),"")</f>
        <v>NO</v>
      </c>
      <c r="AV553" s="123" t="str">
        <f>IF(B553&lt;&gt;"",INDEX(Index!$C$1:$C$77,MATCH($A553,Index!$A$1:$A$77,0)),"")</f>
        <v>Shough</v>
      </c>
      <c r="AW553" s="123">
        <f t="shared" si="10"/>
        <v>29</v>
      </c>
      <c r="AX553" s="113">
        <v>14</v>
      </c>
    </row>
    <row r="554" spans="1:50" x14ac:dyDescent="0.25">
      <c r="A554" s="95" t="s">
        <v>586</v>
      </c>
      <c r="B554" s="96">
        <v>2025</v>
      </c>
      <c r="C554" s="96">
        <v>5</v>
      </c>
      <c r="D554" s="96">
        <v>-2.3033899999999998</v>
      </c>
      <c r="E554" s="96">
        <v>-0.60543899999999995</v>
      </c>
      <c r="F554" s="115">
        <v>-0.248695</v>
      </c>
      <c r="G554" s="115">
        <v>12.968299999999999</v>
      </c>
      <c r="H554" s="115">
        <v>6.3E-2</v>
      </c>
      <c r="I554" s="115">
        <v>110</v>
      </c>
      <c r="J554" s="115">
        <v>168</v>
      </c>
      <c r="K554" s="115">
        <v>0.65480000000000005</v>
      </c>
      <c r="L554" s="115">
        <v>1.1112</v>
      </c>
      <c r="M554" s="115">
        <v>1216</v>
      </c>
      <c r="N554" s="115">
        <v>7.2381000000000002</v>
      </c>
      <c r="O554" s="115">
        <v>6</v>
      </c>
      <c r="P554" s="115">
        <v>5</v>
      </c>
      <c r="Q554" s="115">
        <v>19</v>
      </c>
      <c r="R554" s="115">
        <v>9</v>
      </c>
      <c r="S554" s="115">
        <v>57</v>
      </c>
      <c r="T554" s="115">
        <v>6.3333000000000004</v>
      </c>
      <c r="U554" s="115">
        <v>0</v>
      </c>
      <c r="V554" s="115">
        <v>3.5700000000000003E-2</v>
      </c>
      <c r="W554" s="115">
        <v>2.98E-2</v>
      </c>
      <c r="X554" s="115">
        <v>6.0000000000000001E-3</v>
      </c>
      <c r="Y554" s="115">
        <v>0.48060000000000003</v>
      </c>
      <c r="Z554" s="115">
        <v>86.3095</v>
      </c>
      <c r="AA554" s="115">
        <v>5.2727000000000004</v>
      </c>
      <c r="AB554" s="115">
        <v>107.76</v>
      </c>
      <c r="AC554" s="115"/>
      <c r="AD554" s="115">
        <v>-2.12E-2</v>
      </c>
      <c r="AE554" s="115">
        <v>-3.15E-2</v>
      </c>
      <c r="AF554" s="115">
        <v>2.8899999999999999E-2</v>
      </c>
      <c r="AG554" s="115">
        <v>-2.7E-2</v>
      </c>
      <c r="AH554" s="115">
        <v>1.1299999999999999E-2</v>
      </c>
      <c r="AI554" s="115">
        <v>3.2800000000000003E-2</v>
      </c>
      <c r="AJ554" s="115">
        <v>4.5999999999999999E-3</v>
      </c>
      <c r="AK554" s="115">
        <v>7.6666999999999996</v>
      </c>
      <c r="AL554" s="115">
        <v>-1.3571</v>
      </c>
      <c r="AM554" s="115">
        <v>2</v>
      </c>
      <c r="AN554" s="115">
        <v>3</v>
      </c>
      <c r="AO554" s="115">
        <v>0</v>
      </c>
      <c r="AP554" s="115">
        <v>1</v>
      </c>
      <c r="AQ554" s="115">
        <v>3</v>
      </c>
      <c r="AR554" s="115">
        <v>0.33329999999999999</v>
      </c>
      <c r="AS554" s="115">
        <v>1.1999999999999999E-3</v>
      </c>
      <c r="AT554" s="115">
        <v>0.23880000000000001</v>
      </c>
      <c r="AU554" s="114" t="str">
        <f>IF(A554&lt;&gt;"",INDEX(Index!$B$1:$B$77,MATCH($A554,Index!$A$1:$A$77,0)),"")</f>
        <v>MIN</v>
      </c>
      <c r="AV554" s="123" t="str">
        <f>IF(B554&lt;&gt;"",INDEX(Index!$C$1:$C$77,MATCH($A554,Index!$A$1:$A$77,0)),"")</f>
        <v>Wentz</v>
      </c>
      <c r="AW554" s="123">
        <f t="shared" si="10"/>
        <v>23</v>
      </c>
      <c r="AX554" s="113">
        <v>14</v>
      </c>
    </row>
    <row r="555" spans="1:50" x14ac:dyDescent="0.25">
      <c r="A555" s="95" t="s">
        <v>588</v>
      </c>
      <c r="B555" s="96">
        <v>2025</v>
      </c>
      <c r="C555" s="96">
        <v>2</v>
      </c>
      <c r="D555" s="96">
        <v>-2.3534199999999998</v>
      </c>
      <c r="E555" s="96">
        <v>-0.378133</v>
      </c>
      <c r="F555" s="115">
        <v>-0.79516200000000004</v>
      </c>
      <c r="G555" s="115">
        <v>-25.889299999999999</v>
      </c>
      <c r="H555" s="115">
        <v>-0.45419999999999999</v>
      </c>
      <c r="I555" s="115">
        <v>34</v>
      </c>
      <c r="J555" s="115">
        <v>52</v>
      </c>
      <c r="K555" s="115">
        <v>0.65380000000000005</v>
      </c>
      <c r="L555" s="115">
        <v>-1.9399</v>
      </c>
      <c r="M555" s="115">
        <v>303</v>
      </c>
      <c r="N555" s="115">
        <v>5.8269000000000002</v>
      </c>
      <c r="O555" s="115">
        <v>0</v>
      </c>
      <c r="P555" s="115">
        <v>4</v>
      </c>
      <c r="Q555" s="115">
        <v>1</v>
      </c>
      <c r="R555" s="115">
        <v>0</v>
      </c>
      <c r="S555" s="115">
        <v>0</v>
      </c>
      <c r="T555" s="115"/>
      <c r="U555" s="115">
        <v>0</v>
      </c>
      <c r="V555" s="115">
        <v>0</v>
      </c>
      <c r="W555" s="115">
        <v>7.6899999999999996E-2</v>
      </c>
      <c r="X555" s="115">
        <v>-7.6899999999999996E-2</v>
      </c>
      <c r="Y555" s="115">
        <v>0.42109999999999997</v>
      </c>
      <c r="Z555" s="115">
        <v>48.798099999999998</v>
      </c>
      <c r="AA555" s="115">
        <v>2.0188999999999999</v>
      </c>
      <c r="AB555" s="115">
        <v>12.234400000000001</v>
      </c>
      <c r="AC555" s="115"/>
      <c r="AD555" s="115">
        <v>-3.1099999999999999E-2</v>
      </c>
      <c r="AE555" s="115">
        <v>6.08E-2</v>
      </c>
      <c r="AF555" s="115">
        <v>-5.0200000000000002E-2</v>
      </c>
      <c r="AG555" s="115">
        <v>-0.2238</v>
      </c>
      <c r="AH555" s="115">
        <v>-0.2162</v>
      </c>
      <c r="AI555" s="115">
        <v>-2.1499999999999998E-2</v>
      </c>
      <c r="AJ555" s="115">
        <v>-3.73E-2</v>
      </c>
      <c r="AK555" s="115">
        <v>6.4423000000000004</v>
      </c>
      <c r="AL555" s="115">
        <v>-2.0577000000000001</v>
      </c>
      <c r="AM555" s="115">
        <v>0</v>
      </c>
      <c r="AN555" s="115">
        <v>3</v>
      </c>
      <c r="AO555" s="115">
        <v>0</v>
      </c>
      <c r="AP555" s="115">
        <v>0</v>
      </c>
      <c r="AQ555" s="115">
        <v>0</v>
      </c>
      <c r="AR555" s="115"/>
      <c r="AS555" s="115">
        <v>-6.8999999999999999E-3</v>
      </c>
      <c r="AT555" s="115">
        <v>-0.39179999999999998</v>
      </c>
      <c r="AU555" s="114" t="str">
        <f>IF(A555&lt;&gt;"",INDEX(Index!$B$1:$B$77,MATCH($A555,Index!$A$1:$A$77,0)),"")</f>
        <v>BAL</v>
      </c>
      <c r="AV555" s="123" t="str">
        <f>IF(B555&lt;&gt;"",INDEX(Index!$C$1:$C$77,MATCH($A555,Index!$A$1:$A$77,0)),"")</f>
        <v>Rush</v>
      </c>
      <c r="AW555" s="123">
        <f t="shared" si="10"/>
        <v>50</v>
      </c>
      <c r="AX555" s="113">
        <v>14</v>
      </c>
    </row>
    <row r="556" spans="1:50" x14ac:dyDescent="0.25">
      <c r="A556" s="95" t="s">
        <v>581</v>
      </c>
      <c r="B556" s="96">
        <v>2025</v>
      </c>
      <c r="C556" s="96">
        <v>8</v>
      </c>
      <c r="D556" s="96">
        <v>-2.4226200000000002</v>
      </c>
      <c r="E556" s="96">
        <v>-0.47380100000000003</v>
      </c>
      <c r="F556" s="115">
        <v>0.738784</v>
      </c>
      <c r="G556" s="115">
        <v>-17.053899999999999</v>
      </c>
      <c r="H556" s="115">
        <v>-5.28E-2</v>
      </c>
      <c r="I556" s="115">
        <v>174</v>
      </c>
      <c r="J556" s="115">
        <v>253</v>
      </c>
      <c r="K556" s="115">
        <v>0.68769999999999998</v>
      </c>
      <c r="L556" s="115">
        <v>2.3567999999999998</v>
      </c>
      <c r="M556" s="115">
        <v>1586</v>
      </c>
      <c r="N556" s="115">
        <v>6.2687999999999997</v>
      </c>
      <c r="O556" s="115">
        <v>8</v>
      </c>
      <c r="P556" s="115">
        <v>5</v>
      </c>
      <c r="Q556" s="115">
        <v>18</v>
      </c>
      <c r="R556" s="115">
        <v>30</v>
      </c>
      <c r="S556" s="115">
        <v>168</v>
      </c>
      <c r="T556" s="115">
        <v>5.6</v>
      </c>
      <c r="U556" s="115">
        <v>0</v>
      </c>
      <c r="V556" s="115">
        <v>3.1600000000000003E-2</v>
      </c>
      <c r="W556" s="115">
        <v>1.9800000000000002E-2</v>
      </c>
      <c r="X556" s="115">
        <v>1.1900000000000001E-2</v>
      </c>
      <c r="Y556" s="115">
        <v>0.47989999999999999</v>
      </c>
      <c r="Z556" s="115">
        <v>87.821100000000001</v>
      </c>
      <c r="AA556" s="115">
        <v>5.2287999999999997</v>
      </c>
      <c r="AB556" s="115">
        <v>139.14599999999999</v>
      </c>
      <c r="AC556" s="115">
        <v>49.8</v>
      </c>
      <c r="AD556" s="115">
        <v>-1.4E-3</v>
      </c>
      <c r="AE556" s="115">
        <v>1.12E-2</v>
      </c>
      <c r="AF556" s="115">
        <v>2.87E-2</v>
      </c>
      <c r="AG556" s="115">
        <v>1.61E-2</v>
      </c>
      <c r="AH556" s="115">
        <v>-4.5999999999999999E-2</v>
      </c>
      <c r="AI556" s="115">
        <v>-0.1328</v>
      </c>
      <c r="AJ556" s="115">
        <v>6.3E-3</v>
      </c>
      <c r="AK556" s="115">
        <v>8.0078999999999994</v>
      </c>
      <c r="AL556" s="115">
        <v>-1.1028</v>
      </c>
      <c r="AM556" s="115">
        <v>1</v>
      </c>
      <c r="AN556" s="115">
        <v>7</v>
      </c>
      <c r="AO556" s="115">
        <v>0</v>
      </c>
      <c r="AP556" s="115">
        <v>0</v>
      </c>
      <c r="AQ556" s="115">
        <v>4</v>
      </c>
      <c r="AR556" s="115">
        <v>0</v>
      </c>
      <c r="AS556" s="115">
        <v>-2.8E-3</v>
      </c>
      <c r="AT556" s="115">
        <v>-0.89029999999999998</v>
      </c>
      <c r="AU556" s="114" t="str">
        <f>IF(A556&lt;&gt;"",INDEX(Index!$B$1:$B$77,MATCH($A556,Index!$A$1:$A$77,0)),"")</f>
        <v>NO</v>
      </c>
      <c r="AV556" s="123" t="str">
        <f>IF(B556&lt;&gt;"",INDEX(Index!$C$1:$C$77,MATCH($A556,Index!$A$1:$A$77,0)),"")</f>
        <v>Rattler</v>
      </c>
      <c r="AW556" s="123">
        <f t="shared" si="10"/>
        <v>24</v>
      </c>
      <c r="AX556" s="113">
        <v>14</v>
      </c>
    </row>
    <row r="557" spans="1:50" x14ac:dyDescent="0.25">
      <c r="A557" s="95" t="s">
        <v>572</v>
      </c>
      <c r="B557" s="96">
        <v>2025</v>
      </c>
      <c r="C557" s="96">
        <v>13</v>
      </c>
      <c r="D557" s="96">
        <v>-2.7245900000000001</v>
      </c>
      <c r="E557" s="96">
        <v>-2.73709E-2</v>
      </c>
      <c r="F557" s="115">
        <v>-2.81656</v>
      </c>
      <c r="G557" s="115">
        <v>-52.843299999999999</v>
      </c>
      <c r="H557" s="115">
        <v>-0.1046</v>
      </c>
      <c r="I557" s="115">
        <v>266</v>
      </c>
      <c r="J557" s="115">
        <v>395</v>
      </c>
      <c r="K557" s="115">
        <v>0.6734</v>
      </c>
      <c r="L557" s="115">
        <v>-1.2999999999999999E-3</v>
      </c>
      <c r="M557" s="115">
        <v>2648</v>
      </c>
      <c r="N557" s="115">
        <v>6.7038000000000002</v>
      </c>
      <c r="O557" s="115">
        <v>16</v>
      </c>
      <c r="P557" s="115">
        <v>14</v>
      </c>
      <c r="Q557" s="115">
        <v>49</v>
      </c>
      <c r="R557" s="115">
        <v>33</v>
      </c>
      <c r="S557" s="115">
        <v>114</v>
      </c>
      <c r="T557" s="115">
        <v>3.4544999999999999</v>
      </c>
      <c r="U557" s="115">
        <v>0</v>
      </c>
      <c r="V557" s="115">
        <v>4.0500000000000001E-2</v>
      </c>
      <c r="W557" s="115">
        <v>3.5400000000000001E-2</v>
      </c>
      <c r="X557" s="115">
        <v>5.1000000000000004E-3</v>
      </c>
      <c r="Y557" s="115">
        <v>0.44359999999999999</v>
      </c>
      <c r="Z557" s="115">
        <v>84.868099999999998</v>
      </c>
      <c r="AA557" s="115">
        <v>4.4775</v>
      </c>
      <c r="AB557" s="115">
        <v>71.190700000000007</v>
      </c>
      <c r="AC557" s="115">
        <v>32.5</v>
      </c>
      <c r="AD557" s="115">
        <v>-2.7099999999999999E-2</v>
      </c>
      <c r="AE557" s="115">
        <v>-7.9000000000000001E-2</v>
      </c>
      <c r="AF557" s="115">
        <v>3.8899999999999997E-2</v>
      </c>
      <c r="AG557" s="115">
        <v>-5.6399999999999999E-2</v>
      </c>
      <c r="AH557" s="115">
        <v>-0.114</v>
      </c>
      <c r="AI557" s="115">
        <v>5.9400000000000001E-2</v>
      </c>
      <c r="AJ557" s="115">
        <v>8.5000000000000006E-3</v>
      </c>
      <c r="AK557" s="115">
        <v>6.1315999999999997</v>
      </c>
      <c r="AL557" s="115">
        <v>-2.8100999999999998</v>
      </c>
      <c r="AM557" s="115">
        <v>2</v>
      </c>
      <c r="AN557" s="115">
        <v>11</v>
      </c>
      <c r="AO557" s="115">
        <v>0</v>
      </c>
      <c r="AP557" s="115">
        <v>0</v>
      </c>
      <c r="AQ557" s="115">
        <v>3</v>
      </c>
      <c r="AR557" s="115">
        <v>0</v>
      </c>
      <c r="AS557" s="115">
        <v>-2.2000000000000001E-3</v>
      </c>
      <c r="AT557" s="115">
        <v>-1.1273</v>
      </c>
      <c r="AU557" s="114" t="str">
        <f>IF(A557&lt;&gt;"",INDEX(Index!$B$1:$B$77,MATCH($A557,Index!$A$1:$A$77,0)),"")</f>
        <v>LV</v>
      </c>
      <c r="AV557" s="123" t="str">
        <f>IF(B557&lt;&gt;"",INDEX(Index!$C$1:$C$77,MATCH($A557,Index!$A$1:$A$77,0)),"")</f>
        <v>Smith</v>
      </c>
      <c r="AW557" s="123">
        <f t="shared" si="10"/>
        <v>1</v>
      </c>
      <c r="AX557" s="113">
        <v>14</v>
      </c>
    </row>
    <row r="558" spans="1:50" x14ac:dyDescent="0.25">
      <c r="A558" s="95" t="s">
        <v>598</v>
      </c>
      <c r="B558" s="96">
        <v>2025</v>
      </c>
      <c r="C558" s="96">
        <v>3</v>
      </c>
      <c r="D558" s="96">
        <v>-3.0478999999999998</v>
      </c>
      <c r="E558" s="96">
        <v>0.82176800000000005</v>
      </c>
      <c r="F558" s="115">
        <v>0.83460500000000004</v>
      </c>
      <c r="G558" s="115">
        <v>-20.5745</v>
      </c>
      <c r="H558" s="115">
        <v>-0.1646</v>
      </c>
      <c r="I558" s="115">
        <v>54</v>
      </c>
      <c r="J558" s="115">
        <v>103</v>
      </c>
      <c r="K558" s="115">
        <v>0.52429999999999999</v>
      </c>
      <c r="L558" s="115">
        <v>-8.6625999999999994</v>
      </c>
      <c r="M558" s="115">
        <v>769</v>
      </c>
      <c r="N558" s="115">
        <v>7.4660000000000002</v>
      </c>
      <c r="O558" s="115">
        <v>5</v>
      </c>
      <c r="P558" s="115">
        <v>3</v>
      </c>
      <c r="Q558" s="115">
        <v>8</v>
      </c>
      <c r="R558" s="115">
        <v>7</v>
      </c>
      <c r="S558" s="115">
        <v>51</v>
      </c>
      <c r="T558" s="115">
        <v>7.2857000000000003</v>
      </c>
      <c r="U558" s="115">
        <v>1</v>
      </c>
      <c r="V558" s="115">
        <v>4.8500000000000001E-2</v>
      </c>
      <c r="W558" s="115">
        <v>2.9100000000000001E-2</v>
      </c>
      <c r="X558" s="115">
        <v>1.9400000000000001E-2</v>
      </c>
      <c r="Y558" s="115">
        <v>0.36</v>
      </c>
      <c r="Z558" s="115">
        <v>80.926400000000001</v>
      </c>
      <c r="AA558" s="115">
        <v>5.9188999999999998</v>
      </c>
      <c r="AB558" s="115">
        <v>153.917</v>
      </c>
      <c r="AC558" s="115"/>
      <c r="AD558" s="115">
        <v>-1.7899999999999999E-2</v>
      </c>
      <c r="AE558" s="115">
        <v>-1.89E-2</v>
      </c>
      <c r="AF558" s="115">
        <v>-8.0100000000000005E-2</v>
      </c>
      <c r="AG558" s="115">
        <v>-4.5199999999999997E-2</v>
      </c>
      <c r="AH558" s="115">
        <v>-0.1217</v>
      </c>
      <c r="AI558" s="115">
        <v>9.1399999999999995E-2</v>
      </c>
      <c r="AJ558" s="115">
        <v>-3.7199999999999997E-2</v>
      </c>
      <c r="AK558" s="115">
        <v>7.6018999999999997</v>
      </c>
      <c r="AL558" s="115">
        <v>-2.6214</v>
      </c>
      <c r="AM558" s="115">
        <v>1</v>
      </c>
      <c r="AN558" s="115">
        <v>3</v>
      </c>
      <c r="AO558" s="115">
        <v>0</v>
      </c>
      <c r="AP558" s="115">
        <v>0</v>
      </c>
      <c r="AQ558" s="115">
        <v>2</v>
      </c>
      <c r="AR558" s="115">
        <v>0</v>
      </c>
      <c r="AS558" s="115">
        <v>-4.8999999999999998E-3</v>
      </c>
      <c r="AT558" s="115">
        <v>-0.6069</v>
      </c>
      <c r="AU558" s="114" t="str">
        <f>IF(A558&lt;&gt;"",INDEX(Index!$B$1:$B$77,MATCH($A558,Index!$A$1:$A$77,0)),"")</f>
        <v>CLE</v>
      </c>
      <c r="AV558" s="123" t="str">
        <f>IF(B558&lt;&gt;"",INDEX(Index!$C$1:$C$77,MATCH($A558,Index!$A$1:$A$77,0)),"")</f>
        <v>Sanders</v>
      </c>
      <c r="AW558" s="123">
        <f t="shared" si="10"/>
        <v>40</v>
      </c>
      <c r="AX558" s="113">
        <v>14</v>
      </c>
    </row>
    <row r="559" spans="1:50" x14ac:dyDescent="0.25">
      <c r="A559" s="95" t="s">
        <v>582</v>
      </c>
      <c r="B559" s="96">
        <v>2025</v>
      </c>
      <c r="C559" s="96">
        <v>13</v>
      </c>
      <c r="D559" s="96">
        <v>-3.2283300000000001</v>
      </c>
      <c r="E559" s="96">
        <v>8.8140900000000001E-3</v>
      </c>
      <c r="F559" s="115">
        <v>-1.8901699999999999</v>
      </c>
      <c r="G559" s="115">
        <v>-95.805099999999996</v>
      </c>
      <c r="H559" s="115">
        <v>-0.17549999999999999</v>
      </c>
      <c r="I559" s="115">
        <v>260</v>
      </c>
      <c r="J559" s="115">
        <v>437</v>
      </c>
      <c r="K559" s="115">
        <v>0.59499999999999997</v>
      </c>
      <c r="L559" s="115">
        <v>-4.2884000000000002</v>
      </c>
      <c r="M559" s="115">
        <v>2468</v>
      </c>
      <c r="N559" s="115">
        <v>5.6475999999999997</v>
      </c>
      <c r="O559" s="115">
        <v>9</v>
      </c>
      <c r="P559" s="115">
        <v>7</v>
      </c>
      <c r="Q559" s="115">
        <v>49</v>
      </c>
      <c r="R559" s="115">
        <v>25</v>
      </c>
      <c r="S559" s="115">
        <v>135</v>
      </c>
      <c r="T559" s="115">
        <v>5.4</v>
      </c>
      <c r="U559" s="115">
        <v>1</v>
      </c>
      <c r="V559" s="115">
        <v>2.06E-2</v>
      </c>
      <c r="W559" s="115">
        <v>1.6E-2</v>
      </c>
      <c r="X559" s="115">
        <v>4.5999999999999999E-3</v>
      </c>
      <c r="Y559" s="115">
        <v>0.39190000000000003</v>
      </c>
      <c r="Z559" s="115">
        <v>75.386200000000002</v>
      </c>
      <c r="AA559" s="115">
        <v>4.0369999999999999</v>
      </c>
      <c r="AB559" s="115">
        <v>49.081699999999998</v>
      </c>
      <c r="AC559" s="115">
        <v>30.9</v>
      </c>
      <c r="AD559" s="115">
        <v>-7.1000000000000004E-3</v>
      </c>
      <c r="AE559" s="115">
        <v>-8.4000000000000005E-2</v>
      </c>
      <c r="AF559" s="115">
        <v>-2.9000000000000001E-2</v>
      </c>
      <c r="AG559" s="115">
        <v>2.6599999999999999E-2</v>
      </c>
      <c r="AH559" s="115">
        <v>-9.7699999999999995E-2</v>
      </c>
      <c r="AI559" s="115">
        <v>-4.3099999999999999E-2</v>
      </c>
      <c r="AJ559" s="115">
        <v>-6.1999999999999998E-3</v>
      </c>
      <c r="AK559" s="115">
        <v>7.2815000000000003</v>
      </c>
      <c r="AL559" s="115">
        <v>-1.9428000000000001</v>
      </c>
      <c r="AM559" s="115">
        <v>2</v>
      </c>
      <c r="AN559" s="115">
        <v>11</v>
      </c>
      <c r="AO559" s="115">
        <v>0</v>
      </c>
      <c r="AP559" s="115">
        <v>1</v>
      </c>
      <c r="AQ559" s="115">
        <v>4</v>
      </c>
      <c r="AR559" s="115">
        <v>0.25</v>
      </c>
      <c r="AS559" s="115">
        <v>-3.5000000000000001E-3</v>
      </c>
      <c r="AT559" s="115">
        <v>-1.9137999999999999</v>
      </c>
      <c r="AU559" s="114" t="str">
        <f>IF(A559&lt;&gt;"",INDEX(Index!$B$1:$B$77,MATCH($A559,Index!$A$1:$A$77,0)),"")</f>
        <v>TEN</v>
      </c>
      <c r="AV559" s="123" t="str">
        <f>IF(B559&lt;&gt;"",INDEX(Index!$C$1:$C$77,MATCH($A559,Index!$A$1:$A$77,0)),"")</f>
        <v>Ward</v>
      </c>
      <c r="AW559" s="123">
        <f t="shared" si="10"/>
        <v>1</v>
      </c>
      <c r="AX559" s="113">
        <v>14</v>
      </c>
    </row>
    <row r="560" spans="1:50" x14ac:dyDescent="0.25">
      <c r="A560" s="95" t="s">
        <v>580</v>
      </c>
      <c r="B560" s="96">
        <v>2025</v>
      </c>
      <c r="C560" s="96">
        <v>7</v>
      </c>
      <c r="D560" s="96">
        <v>-3.6201599999999998</v>
      </c>
      <c r="E560" s="96">
        <v>0.2417</v>
      </c>
      <c r="F560" s="115">
        <v>-2.15219</v>
      </c>
      <c r="G560" s="115">
        <v>-42.721800000000002</v>
      </c>
      <c r="H560" s="115">
        <v>-0.18179999999999999</v>
      </c>
      <c r="I560" s="115">
        <v>102</v>
      </c>
      <c r="J560" s="115">
        <v>182</v>
      </c>
      <c r="K560" s="115">
        <v>0.56040000000000001</v>
      </c>
      <c r="L560" s="115">
        <v>-7.5183999999999997</v>
      </c>
      <c r="M560" s="115">
        <v>1092</v>
      </c>
      <c r="N560" s="115">
        <v>6</v>
      </c>
      <c r="O560" s="115">
        <v>9</v>
      </c>
      <c r="P560" s="115">
        <v>10</v>
      </c>
      <c r="Q560" s="115">
        <v>24</v>
      </c>
      <c r="R560" s="115">
        <v>18</v>
      </c>
      <c r="S560" s="115">
        <v>148</v>
      </c>
      <c r="T560" s="115">
        <v>8.2222000000000008</v>
      </c>
      <c r="U560" s="115">
        <v>2</v>
      </c>
      <c r="V560" s="115">
        <v>4.9500000000000002E-2</v>
      </c>
      <c r="W560" s="115">
        <v>5.4899999999999997E-2</v>
      </c>
      <c r="X560" s="115">
        <v>-5.4999999999999997E-3</v>
      </c>
      <c r="Y560" s="115">
        <v>0.40429999999999999</v>
      </c>
      <c r="Z560" s="115">
        <v>67.376400000000004</v>
      </c>
      <c r="AA560" s="115">
        <v>3.3883000000000001</v>
      </c>
      <c r="AB560" s="115">
        <v>16.151299999999999</v>
      </c>
      <c r="AC560" s="115"/>
      <c r="AD560" s="115">
        <v>1.4500000000000001E-2</v>
      </c>
      <c r="AE560" s="115">
        <v>-6.3399999999999998E-2</v>
      </c>
      <c r="AF560" s="115">
        <v>-7.0999999999999994E-2</v>
      </c>
      <c r="AG560" s="115">
        <v>-0.1043</v>
      </c>
      <c r="AH560" s="115">
        <v>8.9999999999999993E-3</v>
      </c>
      <c r="AI560" s="115">
        <v>-5.62E-2</v>
      </c>
      <c r="AJ560" s="115">
        <v>2.4500000000000001E-2</v>
      </c>
      <c r="AK560" s="115">
        <v>9.0495000000000001</v>
      </c>
      <c r="AL560" s="115">
        <v>0.5</v>
      </c>
      <c r="AM560" s="115">
        <v>3</v>
      </c>
      <c r="AN560" s="115">
        <v>4</v>
      </c>
      <c r="AO560" s="115">
        <v>0</v>
      </c>
      <c r="AP560" s="115">
        <v>1</v>
      </c>
      <c r="AQ560" s="115">
        <v>4</v>
      </c>
      <c r="AR560" s="115">
        <v>0.25</v>
      </c>
      <c r="AS560" s="115">
        <v>-1E-3</v>
      </c>
      <c r="AT560" s="115">
        <v>-0.2387</v>
      </c>
      <c r="AU560" s="114" t="str">
        <f>IF(A560&lt;&gt;"",INDEX(Index!$B$1:$B$77,MATCH($A560,Index!$A$1:$A$77,0)),"")</f>
        <v>MIN</v>
      </c>
      <c r="AV560" s="123" t="str">
        <f>IF(B560&lt;&gt;"",INDEX(Index!$C$1:$C$77,MATCH($A560,Index!$A$1:$A$77,0)),"")</f>
        <v>McCarthy</v>
      </c>
      <c r="AW560" s="123">
        <f t="shared" si="10"/>
        <v>14</v>
      </c>
      <c r="AX560" s="113">
        <v>14</v>
      </c>
    </row>
    <row r="561" spans="1:50" x14ac:dyDescent="0.25">
      <c r="A561" s="95" t="s">
        <v>589</v>
      </c>
      <c r="B561" s="96">
        <v>2025</v>
      </c>
      <c r="C561" s="96">
        <v>6</v>
      </c>
      <c r="D561" s="96">
        <v>-3.74281</v>
      </c>
      <c r="E561" s="96">
        <v>-8.9766799999999994E-2</v>
      </c>
      <c r="F561" s="115">
        <v>-0.13372500000000001</v>
      </c>
      <c r="G561" s="115">
        <v>-26.2545</v>
      </c>
      <c r="H561" s="115">
        <v>-0.11459999999999999</v>
      </c>
      <c r="I561" s="115">
        <v>110</v>
      </c>
      <c r="J561" s="115">
        <v>184</v>
      </c>
      <c r="K561" s="115">
        <v>0.5978</v>
      </c>
      <c r="L561" s="115">
        <v>-7.5071000000000003</v>
      </c>
      <c r="M561" s="115">
        <v>937</v>
      </c>
      <c r="N561" s="115">
        <v>5.0923999999999996</v>
      </c>
      <c r="O561" s="115">
        <v>7</v>
      </c>
      <c r="P561" s="115">
        <v>2</v>
      </c>
      <c r="Q561" s="115">
        <v>18</v>
      </c>
      <c r="R561" s="115">
        <v>13</v>
      </c>
      <c r="S561" s="115">
        <v>87</v>
      </c>
      <c r="T561" s="115">
        <v>6.6923000000000004</v>
      </c>
      <c r="U561" s="115">
        <v>0</v>
      </c>
      <c r="V561" s="115">
        <v>3.7999999999999999E-2</v>
      </c>
      <c r="W561" s="115">
        <v>1.09E-2</v>
      </c>
      <c r="X561" s="115">
        <v>2.7199999999999998E-2</v>
      </c>
      <c r="Y561" s="115">
        <v>0.35370000000000001</v>
      </c>
      <c r="Z561" s="115">
        <v>81.272599999999997</v>
      </c>
      <c r="AA561" s="115">
        <v>4.2672999999999996</v>
      </c>
      <c r="AB561" s="115">
        <v>72.512900000000002</v>
      </c>
      <c r="AC561" s="115"/>
      <c r="AD561" s="115">
        <v>-2.01E-2</v>
      </c>
      <c r="AE561" s="115">
        <v>-1.9599999999999999E-2</v>
      </c>
      <c r="AF561" s="115">
        <v>-3.6700000000000003E-2</v>
      </c>
      <c r="AG561" s="115">
        <v>4.58E-2</v>
      </c>
      <c r="AH561" s="115">
        <v>-0.15310000000000001</v>
      </c>
      <c r="AI561" s="115">
        <v>-3.32E-2</v>
      </c>
      <c r="AJ561" s="115">
        <v>3.7400000000000003E-2</v>
      </c>
      <c r="AK561" s="115">
        <v>5.8586999999999998</v>
      </c>
      <c r="AL561" s="115">
        <v>-4.0053999999999998</v>
      </c>
      <c r="AM561" s="115">
        <v>1</v>
      </c>
      <c r="AN561" s="115">
        <v>8</v>
      </c>
      <c r="AO561" s="115">
        <v>0</v>
      </c>
      <c r="AP561" s="115">
        <v>0</v>
      </c>
      <c r="AQ561" s="115">
        <v>2</v>
      </c>
      <c r="AR561" s="115">
        <v>0</v>
      </c>
      <c r="AS561" s="115">
        <v>-2.8999999999999998E-3</v>
      </c>
      <c r="AT561" s="115">
        <v>-0.65690000000000004</v>
      </c>
      <c r="AU561" s="114" t="str">
        <f>IF(A561&lt;&gt;"",INDEX(Index!$B$1:$B$77,MATCH($A561,Index!$A$1:$A$77,0)),"")</f>
        <v>CLE</v>
      </c>
      <c r="AV561" s="123" t="str">
        <f>IF(B561&lt;&gt;"",INDEX(Index!$C$1:$C$77,MATCH($A561,Index!$A$1:$A$77,0)),"")</f>
        <v>Gabriel</v>
      </c>
      <c r="AW561" s="123">
        <f t="shared" si="10"/>
        <v>24</v>
      </c>
      <c r="AX561" s="113">
        <v>14</v>
      </c>
    </row>
    <row r="562" spans="1:50" ht="15.75" thickBot="1" x14ac:dyDescent="0.3">
      <c r="A562" s="95" t="s">
        <v>599</v>
      </c>
      <c r="B562" s="96">
        <v>2025</v>
      </c>
      <c r="C562" s="96">
        <v>1</v>
      </c>
      <c r="D562" s="96">
        <v>-4.4514199999999997</v>
      </c>
      <c r="E562" s="96">
        <v>-0.90971500000000005</v>
      </c>
      <c r="F562" s="115">
        <v>-0.90971500000000005</v>
      </c>
      <c r="G562" s="115">
        <v>-33.426900000000003</v>
      </c>
      <c r="H562" s="115">
        <v>-0.77739999999999998</v>
      </c>
      <c r="I562" s="115">
        <v>24</v>
      </c>
      <c r="J562" s="115">
        <v>38</v>
      </c>
      <c r="K562" s="115">
        <v>0.63160000000000005</v>
      </c>
      <c r="L562" s="115">
        <v>-7.3724999999999996</v>
      </c>
      <c r="M562" s="115">
        <v>168</v>
      </c>
      <c r="N562" s="115">
        <v>4.4211</v>
      </c>
      <c r="O562" s="115">
        <v>0</v>
      </c>
      <c r="P562" s="115">
        <v>4</v>
      </c>
      <c r="Q562" s="115">
        <v>4</v>
      </c>
      <c r="R562" s="115">
        <v>0</v>
      </c>
      <c r="S562" s="115">
        <v>0</v>
      </c>
      <c r="T562" s="115"/>
      <c r="U562" s="115">
        <v>0</v>
      </c>
      <c r="V562" s="115">
        <v>0</v>
      </c>
      <c r="W562" s="115">
        <v>0.1053</v>
      </c>
      <c r="X562" s="115">
        <v>-0.1053</v>
      </c>
      <c r="Y562" s="115">
        <v>0.2326</v>
      </c>
      <c r="Z562" s="115">
        <v>33.552599999999998</v>
      </c>
      <c r="AA562" s="115">
        <v>-1</v>
      </c>
      <c r="AB562" s="115">
        <v>-186.73</v>
      </c>
      <c r="AC562" s="115"/>
      <c r="AD562" s="115">
        <v>-3.1099999999999999E-2</v>
      </c>
      <c r="AE562" s="115">
        <v>-5.8799999999999998E-2</v>
      </c>
      <c r="AF562" s="115">
        <v>2.7300000000000001E-2</v>
      </c>
      <c r="AG562" s="115">
        <v>-0.35870000000000002</v>
      </c>
      <c r="AH562" s="115">
        <v>-0.44400000000000001</v>
      </c>
      <c r="AI562" s="115">
        <v>8.9999999999999993E-3</v>
      </c>
      <c r="AJ562" s="115">
        <v>1.38E-2</v>
      </c>
      <c r="AK562" s="115">
        <v>4.4211</v>
      </c>
      <c r="AL562" s="115">
        <v>-4.6841999999999997</v>
      </c>
      <c r="AM562" s="115">
        <v>1</v>
      </c>
      <c r="AN562" s="115">
        <v>2</v>
      </c>
      <c r="AO562" s="115">
        <v>0</v>
      </c>
      <c r="AP562" s="115">
        <v>0</v>
      </c>
      <c r="AQ562" s="115">
        <v>0</v>
      </c>
      <c r="AR562" s="115"/>
      <c r="AS562" s="115">
        <v>-1.2699999999999999E-2</v>
      </c>
      <c r="AT562" s="115">
        <v>-0.54449999999999998</v>
      </c>
      <c r="AU562" s="114" t="str">
        <f>IF(A562&lt;&gt;"",INDEX(Index!$B$1:$B$77,MATCH($A562,Index!$A$1:$A$77,0)),"")</f>
        <v>MIN</v>
      </c>
      <c r="AV562" s="123" t="str">
        <f>IF(B562&lt;&gt;"",INDEX(Index!$C$1:$C$77,MATCH($A562,Index!$A$1:$A$77,0)),"")</f>
        <v>Brosmer</v>
      </c>
      <c r="AW562" s="123">
        <f t="shared" si="10"/>
        <v>46</v>
      </c>
      <c r="AX562" s="113">
        <v>14</v>
      </c>
    </row>
    <row r="563" spans="1:50" x14ac:dyDescent="0.25">
      <c r="A563" s="117" t="s">
        <v>551</v>
      </c>
      <c r="B563" s="118">
        <v>2025</v>
      </c>
      <c r="C563" s="118">
        <v>14</v>
      </c>
      <c r="D563" s="118">
        <v>3.5908000000000002</v>
      </c>
      <c r="E563" s="118">
        <v>3.4105200000000002E-2</v>
      </c>
      <c r="F563" s="119">
        <v>3.72083E-2</v>
      </c>
      <c r="G563" s="119">
        <v>149.77000000000001</v>
      </c>
      <c r="H563" s="119">
        <v>0.27529999999999999</v>
      </c>
      <c r="I563" s="119">
        <v>284</v>
      </c>
      <c r="J563" s="119">
        <v>405</v>
      </c>
      <c r="K563" s="119">
        <v>0.70120000000000005</v>
      </c>
      <c r="L563" s="119">
        <v>4.0429000000000004</v>
      </c>
      <c r="M563" s="119">
        <v>3276</v>
      </c>
      <c r="N563" s="119">
        <v>8.0889000000000006</v>
      </c>
      <c r="O563" s="119">
        <v>25</v>
      </c>
      <c r="P563" s="119">
        <v>10</v>
      </c>
      <c r="Q563" s="119">
        <v>33</v>
      </c>
      <c r="R563" s="119">
        <v>80</v>
      </c>
      <c r="S563" s="119">
        <v>552</v>
      </c>
      <c r="T563" s="119">
        <v>6.9</v>
      </c>
      <c r="U563" s="119">
        <v>12</v>
      </c>
      <c r="V563" s="119">
        <v>6.1699999999999998E-2</v>
      </c>
      <c r="W563" s="119">
        <v>2.47E-2</v>
      </c>
      <c r="X563" s="119">
        <v>3.6999999999999998E-2</v>
      </c>
      <c r="Y563" s="119">
        <v>0.52210000000000001</v>
      </c>
      <c r="Z563" s="119">
        <v>104.511</v>
      </c>
      <c r="AA563" s="119">
        <v>7.1096000000000004</v>
      </c>
      <c r="AB563" s="119">
        <v>261.94799999999998</v>
      </c>
      <c r="AC563" s="119">
        <v>66.400000000000006</v>
      </c>
      <c r="AD563" s="119">
        <v>6.0600000000000001E-2</v>
      </c>
      <c r="AE563" s="119">
        <v>2.41E-2</v>
      </c>
      <c r="AF563" s="119">
        <v>5.3199999999999997E-2</v>
      </c>
      <c r="AG563" s="119">
        <v>1.67E-2</v>
      </c>
      <c r="AH563" s="119">
        <v>-5.8999999999999997E-2</v>
      </c>
      <c r="AI563" s="119">
        <v>9.9400000000000002E-2</v>
      </c>
      <c r="AJ563" s="119">
        <v>8.3999999999999995E-3</v>
      </c>
      <c r="AK563" s="119">
        <v>7.3753000000000002</v>
      </c>
      <c r="AL563" s="119">
        <v>-0.88149999999999995</v>
      </c>
      <c r="AM563" s="119">
        <v>10</v>
      </c>
      <c r="AN563" s="119">
        <v>4</v>
      </c>
      <c r="AO563" s="119">
        <v>0</v>
      </c>
      <c r="AP563" s="119">
        <v>3</v>
      </c>
      <c r="AQ563" s="119">
        <v>6</v>
      </c>
      <c r="AR563" s="119">
        <v>0.5</v>
      </c>
      <c r="AS563" s="119">
        <v>6.4000000000000003E-3</v>
      </c>
      <c r="AT563" s="119">
        <v>3.4565000000000001</v>
      </c>
      <c r="AU563" s="121" t="str">
        <f>IF(A563&lt;&gt;"",INDEX(Index!$B$1:$B$77,MATCH($A563,Index!$A$1:$A$77,0)),"")</f>
        <v>BUF</v>
      </c>
      <c r="AV563" s="124" t="str">
        <f>IF(B563&lt;&gt;"",INDEX(Index!$C$1:$C$77,MATCH($A563,Index!$A$1:$A$77,0)),"")</f>
        <v>Allen</v>
      </c>
      <c r="AW563" s="124">
        <f t="shared" ref="AW563:AW615" si="11">IF(AT563&lt;&gt;"",COUNTIFS($AX$2:$AX$994,AX563,$Q$2:$Q$994,"&gt;"&amp;$Q563)+1,"")</f>
        <v>6</v>
      </c>
      <c r="AX563" s="120">
        <v>15</v>
      </c>
    </row>
    <row r="564" spans="1:50" x14ac:dyDescent="0.25">
      <c r="A564" s="95" t="s">
        <v>567</v>
      </c>
      <c r="B564" s="96">
        <v>2025</v>
      </c>
      <c r="C564" s="96">
        <v>14</v>
      </c>
      <c r="D564" s="96">
        <v>2.1581199999999998</v>
      </c>
      <c r="E564" s="96">
        <v>5.4650900000000002E-2</v>
      </c>
      <c r="F564" s="115">
        <v>2.0225900000000001</v>
      </c>
      <c r="G564" s="115">
        <v>113.7</v>
      </c>
      <c r="H564" s="115">
        <v>0.21779999999999999</v>
      </c>
      <c r="I564" s="115">
        <v>312</v>
      </c>
      <c r="J564" s="115">
        <v>468</v>
      </c>
      <c r="K564" s="115">
        <v>0.66669999999999996</v>
      </c>
      <c r="L564" s="115">
        <v>2.6899000000000002</v>
      </c>
      <c r="M564" s="115">
        <v>3722</v>
      </c>
      <c r="N564" s="115">
        <v>7.9530000000000003</v>
      </c>
      <c r="O564" s="115">
        <v>37</v>
      </c>
      <c r="P564" s="115">
        <v>5</v>
      </c>
      <c r="Q564" s="115">
        <v>19</v>
      </c>
      <c r="R564" s="115">
        <v>6</v>
      </c>
      <c r="S564" s="115">
        <v>13</v>
      </c>
      <c r="T564" s="115">
        <v>2.1667000000000001</v>
      </c>
      <c r="U564" s="115">
        <v>0</v>
      </c>
      <c r="V564" s="115">
        <v>7.9100000000000004E-2</v>
      </c>
      <c r="W564" s="115">
        <v>1.0699999999999999E-2</v>
      </c>
      <c r="X564" s="115">
        <v>6.8400000000000002E-2</v>
      </c>
      <c r="Y564" s="115">
        <v>0.54410000000000003</v>
      </c>
      <c r="Z564" s="115">
        <v>112.678</v>
      </c>
      <c r="AA564" s="115">
        <v>8.4497</v>
      </c>
      <c r="AB564" s="115">
        <v>242.35499999999999</v>
      </c>
      <c r="AC564" s="115">
        <v>69.7</v>
      </c>
      <c r="AD564" s="115">
        <v>-4.3499999999999997E-2</v>
      </c>
      <c r="AE564" s="115">
        <v>2.35E-2</v>
      </c>
      <c r="AF564" s="115">
        <v>-2.9499999999999998E-2</v>
      </c>
      <c r="AG564" s="115">
        <v>2.1700000000000001E-2</v>
      </c>
      <c r="AH564" s="115">
        <v>0.14979999999999999</v>
      </c>
      <c r="AI564" s="115">
        <v>1.26E-2</v>
      </c>
      <c r="AJ564" s="115">
        <v>1.12E-2</v>
      </c>
      <c r="AK564" s="115">
        <v>8.7157999999999998</v>
      </c>
      <c r="AL564" s="115">
        <v>0.60040000000000004</v>
      </c>
      <c r="AM564" s="115">
        <v>11</v>
      </c>
      <c r="AN564" s="115">
        <v>3</v>
      </c>
      <c r="AO564" s="115">
        <v>0</v>
      </c>
      <c r="AP564" s="115">
        <v>1</v>
      </c>
      <c r="AQ564" s="115">
        <v>4</v>
      </c>
      <c r="AR564" s="115">
        <v>0.25</v>
      </c>
      <c r="AS564" s="115">
        <v>6.6E-3</v>
      </c>
      <c r="AT564" s="115">
        <v>3.4319999999999999</v>
      </c>
      <c r="AU564" s="114" t="str">
        <f>IF(A564&lt;&gt;"",INDEX(Index!$B$1:$B$77,MATCH($A564,Index!$A$1:$A$77,0)),"")</f>
        <v>LAR</v>
      </c>
      <c r="AV564" s="123" t="str">
        <f>IF(B564&lt;&gt;"",INDEX(Index!$C$1:$C$77,MATCH($A564,Index!$A$1:$A$77,0)),"")</f>
        <v>Stafford</v>
      </c>
      <c r="AW564" s="123">
        <f t="shared" si="11"/>
        <v>25</v>
      </c>
      <c r="AX564" s="113">
        <v>15</v>
      </c>
    </row>
    <row r="565" spans="1:50" x14ac:dyDescent="0.25">
      <c r="A565" s="95" t="s">
        <v>555</v>
      </c>
      <c r="B565" s="96">
        <v>2025</v>
      </c>
      <c r="C565" s="96">
        <v>14</v>
      </c>
      <c r="D565" s="96">
        <v>2.0598100000000001</v>
      </c>
      <c r="E565" s="96">
        <v>-0.192745</v>
      </c>
      <c r="F565" s="115">
        <v>0.72039699999999995</v>
      </c>
      <c r="G565" s="115">
        <v>108.911</v>
      </c>
      <c r="H565" s="115">
        <v>0.17710000000000001</v>
      </c>
      <c r="I565" s="115">
        <v>357</v>
      </c>
      <c r="J565" s="115">
        <v>519</v>
      </c>
      <c r="K565" s="115">
        <v>0.68789999999999996</v>
      </c>
      <c r="L565" s="115">
        <v>3.1307</v>
      </c>
      <c r="M565" s="115">
        <v>3931</v>
      </c>
      <c r="N565" s="115">
        <v>7.5742000000000003</v>
      </c>
      <c r="O565" s="115">
        <v>26</v>
      </c>
      <c r="P565" s="115">
        <v>10</v>
      </c>
      <c r="Q565" s="115">
        <v>24</v>
      </c>
      <c r="R565" s="115">
        <v>27</v>
      </c>
      <c r="S565" s="115">
        <v>151</v>
      </c>
      <c r="T565" s="115">
        <v>5.5926</v>
      </c>
      <c r="U565" s="115">
        <v>2</v>
      </c>
      <c r="V565" s="115">
        <v>5.0099999999999999E-2</v>
      </c>
      <c r="W565" s="115">
        <v>1.9300000000000001E-2</v>
      </c>
      <c r="X565" s="115">
        <v>3.0800000000000001E-2</v>
      </c>
      <c r="Y565" s="115">
        <v>0.49109999999999998</v>
      </c>
      <c r="Z565" s="115">
        <v>99.634699999999995</v>
      </c>
      <c r="AA565" s="115">
        <v>7.0663</v>
      </c>
      <c r="AB565" s="115">
        <v>238.10300000000001</v>
      </c>
      <c r="AC565" s="115">
        <v>72.8</v>
      </c>
      <c r="AD565" s="115">
        <v>-1.5599999999999999E-2</v>
      </c>
      <c r="AE565" s="115">
        <v>3.2000000000000001E-2</v>
      </c>
      <c r="AF565" s="115">
        <v>8.6999999999999994E-3</v>
      </c>
      <c r="AG565" s="115">
        <v>1.0999999999999999E-2</v>
      </c>
      <c r="AH565" s="115">
        <v>4.36E-2</v>
      </c>
      <c r="AI565" s="115">
        <v>1.46E-2</v>
      </c>
      <c r="AJ565" s="115">
        <v>1.0699999999999999E-2</v>
      </c>
      <c r="AK565" s="115">
        <v>7.8708999999999998</v>
      </c>
      <c r="AL565" s="115">
        <v>-0.72640000000000005</v>
      </c>
      <c r="AM565" s="115">
        <v>6</v>
      </c>
      <c r="AN565" s="115">
        <v>7</v>
      </c>
      <c r="AO565" s="115">
        <v>1</v>
      </c>
      <c r="AP565" s="115">
        <v>3</v>
      </c>
      <c r="AQ565" s="115">
        <v>7</v>
      </c>
      <c r="AR565" s="115">
        <v>0.42859999999999998</v>
      </c>
      <c r="AS565" s="115">
        <v>7.7999999999999996E-3</v>
      </c>
      <c r="AT565" s="115">
        <v>4.7724000000000002</v>
      </c>
      <c r="AU565" s="114" t="str">
        <f>IF(A565&lt;&gt;"",INDEX(Index!$B$1:$B$77,MATCH($A565,Index!$A$1:$A$77,0)),"")</f>
        <v>DAL</v>
      </c>
      <c r="AV565" s="123" t="str">
        <f>IF(B565&lt;&gt;"",INDEX(Index!$C$1:$C$77,MATCH($A565,Index!$A$1:$A$77,0)),"")</f>
        <v>Prescott</v>
      </c>
      <c r="AW565" s="123">
        <f t="shared" si="11"/>
        <v>15</v>
      </c>
      <c r="AX565" s="113">
        <v>15</v>
      </c>
    </row>
    <row r="566" spans="1:50" x14ac:dyDescent="0.25">
      <c r="A566" s="95" t="s">
        <v>553</v>
      </c>
      <c r="B566" s="96">
        <v>2025</v>
      </c>
      <c r="C566" s="96">
        <v>14</v>
      </c>
      <c r="D566" s="96">
        <v>1.8258799999999999</v>
      </c>
      <c r="E566" s="96">
        <v>0.41719499999999998</v>
      </c>
      <c r="F566" s="115">
        <v>0.64380599999999999</v>
      </c>
      <c r="G566" s="115">
        <v>101.715</v>
      </c>
      <c r="H566" s="115">
        <v>0.20100000000000001</v>
      </c>
      <c r="I566" s="115">
        <v>314</v>
      </c>
      <c r="J566" s="115">
        <v>451</v>
      </c>
      <c r="K566" s="115">
        <v>0.69620000000000004</v>
      </c>
      <c r="L566" s="115">
        <v>3.4741</v>
      </c>
      <c r="M566" s="115">
        <v>3672</v>
      </c>
      <c r="N566" s="115">
        <v>8.1418999999999997</v>
      </c>
      <c r="O566" s="115">
        <v>29</v>
      </c>
      <c r="P566" s="115">
        <v>5</v>
      </c>
      <c r="Q566" s="115">
        <v>28</v>
      </c>
      <c r="R566" s="115">
        <v>7</v>
      </c>
      <c r="S566" s="115">
        <v>51</v>
      </c>
      <c r="T566" s="115">
        <v>7.2857000000000003</v>
      </c>
      <c r="U566" s="115">
        <v>0</v>
      </c>
      <c r="V566" s="115">
        <v>6.4299999999999996E-2</v>
      </c>
      <c r="W566" s="115">
        <v>1.11E-2</v>
      </c>
      <c r="X566" s="115">
        <v>5.3199999999999997E-2</v>
      </c>
      <c r="Y566" s="115">
        <v>0.49409999999999998</v>
      </c>
      <c r="Z566" s="115">
        <v>110.842</v>
      </c>
      <c r="AA566" s="115">
        <v>8.0062999999999995</v>
      </c>
      <c r="AB566" s="115">
        <v>222.125</v>
      </c>
      <c r="AC566" s="115">
        <v>60.6</v>
      </c>
      <c r="AD566" s="115">
        <v>-2.58E-2</v>
      </c>
      <c r="AE566" s="115">
        <v>-6.0000000000000001E-3</v>
      </c>
      <c r="AF566" s="115">
        <v>-2.2100000000000002E-2</v>
      </c>
      <c r="AG566" s="115">
        <v>3.9600000000000003E-2</v>
      </c>
      <c r="AH566" s="115">
        <v>2.3999999999999998E-3</v>
      </c>
      <c r="AI566" s="115">
        <v>0.1502</v>
      </c>
      <c r="AJ566" s="115">
        <v>-9.1000000000000004E-3</v>
      </c>
      <c r="AK566" s="115">
        <v>6.5476999999999999</v>
      </c>
      <c r="AL566" s="115">
        <v>-2.0177</v>
      </c>
      <c r="AM566" s="115">
        <v>8</v>
      </c>
      <c r="AN566" s="115">
        <v>6</v>
      </c>
      <c r="AO566" s="115">
        <v>0</v>
      </c>
      <c r="AP566" s="115">
        <v>1</v>
      </c>
      <c r="AQ566" s="115">
        <v>3</v>
      </c>
      <c r="AR566" s="115">
        <v>0.33329999999999999</v>
      </c>
      <c r="AS566" s="115">
        <v>4.1999999999999997E-3</v>
      </c>
      <c r="AT566" s="115">
        <v>2.1202000000000001</v>
      </c>
      <c r="AU566" s="114" t="str">
        <f>IF(A566&lt;&gt;"",INDEX(Index!$B$1:$B$77,MATCH($A566,Index!$A$1:$A$77,0)),"")</f>
        <v>DET</v>
      </c>
      <c r="AV566" s="123" t="str">
        <f>IF(B566&lt;&gt;"",INDEX(Index!$C$1:$C$77,MATCH($A566,Index!$A$1:$A$77,0)),"")</f>
        <v>Goff</v>
      </c>
      <c r="AW566" s="123">
        <f t="shared" si="11"/>
        <v>13</v>
      </c>
      <c r="AX566" s="113">
        <v>15</v>
      </c>
    </row>
    <row r="567" spans="1:50" x14ac:dyDescent="0.25">
      <c r="A567" s="95" t="s">
        <v>561</v>
      </c>
      <c r="B567" s="96">
        <v>2025</v>
      </c>
      <c r="C567" s="96">
        <v>14</v>
      </c>
      <c r="D567" s="96">
        <v>1.6272200000000001</v>
      </c>
      <c r="E567" s="96">
        <v>0.64193100000000003</v>
      </c>
      <c r="F567" s="115">
        <v>0.50305100000000003</v>
      </c>
      <c r="G567" s="115">
        <v>69.943299999999994</v>
      </c>
      <c r="H567" s="115">
        <v>0.11700000000000001</v>
      </c>
      <c r="I567" s="115">
        <v>320</v>
      </c>
      <c r="J567" s="115">
        <v>503</v>
      </c>
      <c r="K567" s="115">
        <v>0.63619999999999999</v>
      </c>
      <c r="L567" s="115">
        <v>-0.82840000000000003</v>
      </c>
      <c r="M567" s="115">
        <v>3256</v>
      </c>
      <c r="N567" s="115">
        <v>6.4732000000000003</v>
      </c>
      <c r="O567" s="115">
        <v>23</v>
      </c>
      <c r="P567" s="115">
        <v>9</v>
      </c>
      <c r="Q567" s="115">
        <v>16</v>
      </c>
      <c r="R567" s="115">
        <v>48</v>
      </c>
      <c r="S567" s="115">
        <v>268</v>
      </c>
      <c r="T567" s="115">
        <v>5.5833000000000004</v>
      </c>
      <c r="U567" s="115">
        <v>4</v>
      </c>
      <c r="V567" s="115">
        <v>4.5699999999999998E-2</v>
      </c>
      <c r="W567" s="115">
        <v>1.7899999999999999E-2</v>
      </c>
      <c r="X567" s="115">
        <v>2.7799999999999998E-2</v>
      </c>
      <c r="Y567" s="115">
        <v>0.44479999999999997</v>
      </c>
      <c r="Z567" s="115">
        <v>89.856700000000004</v>
      </c>
      <c r="AA567" s="115">
        <v>6.2119</v>
      </c>
      <c r="AB567" s="115">
        <v>207.983</v>
      </c>
      <c r="AC567" s="115">
        <v>59.1</v>
      </c>
      <c r="AD567" s="115">
        <v>-5.3E-3</v>
      </c>
      <c r="AE567" s="115">
        <v>6.3399999999999998E-2</v>
      </c>
      <c r="AF567" s="115">
        <v>-1.1299999999999999E-2</v>
      </c>
      <c r="AG567" s="115">
        <v>2.47E-2</v>
      </c>
      <c r="AH567" s="115">
        <v>-5.7799999999999997E-2</v>
      </c>
      <c r="AI567" s="115">
        <v>5.8999999999999997E-2</v>
      </c>
      <c r="AJ567" s="115">
        <v>-2.7699999999999999E-2</v>
      </c>
      <c r="AK567" s="115">
        <v>7.5666000000000002</v>
      </c>
      <c r="AL567" s="115">
        <v>-1.4334</v>
      </c>
      <c r="AM567" s="115">
        <v>12</v>
      </c>
      <c r="AN567" s="115">
        <v>2</v>
      </c>
      <c r="AO567" s="115">
        <v>0</v>
      </c>
      <c r="AP567" s="115">
        <v>5</v>
      </c>
      <c r="AQ567" s="115">
        <v>5</v>
      </c>
      <c r="AR567" s="115">
        <v>1</v>
      </c>
      <c r="AS567" s="115">
        <v>4.7999999999999996E-3</v>
      </c>
      <c r="AT567" s="115">
        <v>2.8752</v>
      </c>
      <c r="AU567" s="114" t="str">
        <f>IF(A567&lt;&gt;"",INDEX(Index!$B$1:$B$77,MATCH($A567,Index!$A$1:$A$77,0)),"")</f>
        <v>DEN</v>
      </c>
      <c r="AV567" s="123" t="str">
        <f>IF(B567&lt;&gt;"",INDEX(Index!$C$1:$C$77,MATCH($A567,Index!$A$1:$A$77,0)),"")</f>
        <v>Nix</v>
      </c>
      <c r="AW567" s="123">
        <f t="shared" si="11"/>
        <v>32</v>
      </c>
      <c r="AX567" s="113">
        <v>15</v>
      </c>
    </row>
    <row r="568" spans="1:50" x14ac:dyDescent="0.25">
      <c r="A568" s="95" t="s">
        <v>554</v>
      </c>
      <c r="B568" s="96">
        <v>2025</v>
      </c>
      <c r="C568" s="96">
        <v>14</v>
      </c>
      <c r="D568" s="96">
        <v>1.3085</v>
      </c>
      <c r="E568" s="96">
        <v>0.39483000000000001</v>
      </c>
      <c r="F568" s="115">
        <v>-0.21071699999999999</v>
      </c>
      <c r="G568" s="115">
        <v>54.754399999999997</v>
      </c>
      <c r="H568" s="115">
        <v>0.10249999999999999</v>
      </c>
      <c r="I568" s="115">
        <v>259</v>
      </c>
      <c r="J568" s="115">
        <v>395</v>
      </c>
      <c r="K568" s="115">
        <v>0.65569999999999995</v>
      </c>
      <c r="L568" s="115">
        <v>3.1558000000000002</v>
      </c>
      <c r="M568" s="115">
        <v>2929</v>
      </c>
      <c r="N568" s="115">
        <v>7.4151999999999996</v>
      </c>
      <c r="O568" s="115">
        <v>22</v>
      </c>
      <c r="P568" s="115">
        <v>6</v>
      </c>
      <c r="Q568" s="115">
        <v>29</v>
      </c>
      <c r="R568" s="115">
        <v>83</v>
      </c>
      <c r="S568" s="115">
        <v>390</v>
      </c>
      <c r="T568" s="115">
        <v>4.6988000000000003</v>
      </c>
      <c r="U568" s="115">
        <v>8</v>
      </c>
      <c r="V568" s="115">
        <v>5.57E-2</v>
      </c>
      <c r="W568" s="115">
        <v>1.52E-2</v>
      </c>
      <c r="X568" s="115">
        <v>4.0500000000000001E-2</v>
      </c>
      <c r="Y568" s="115">
        <v>0.46250000000000002</v>
      </c>
      <c r="Z568" s="115">
        <v>99.857600000000005</v>
      </c>
      <c r="AA568" s="115">
        <v>6.9032999999999998</v>
      </c>
      <c r="AB568" s="115">
        <v>204.61</v>
      </c>
      <c r="AC568" s="115">
        <v>54.6</v>
      </c>
      <c r="AD568" s="115">
        <v>1.24E-2</v>
      </c>
      <c r="AE568" s="115">
        <v>1.3299999999999999E-2</v>
      </c>
      <c r="AF568" s="115">
        <v>3.5200000000000002E-2</v>
      </c>
      <c r="AG568" s="115">
        <v>1.55E-2</v>
      </c>
      <c r="AH568" s="115">
        <v>3.4299999999999997E-2</v>
      </c>
      <c r="AI568" s="115">
        <v>-6.8900000000000003E-2</v>
      </c>
      <c r="AJ568" s="115">
        <v>-1.11E-2</v>
      </c>
      <c r="AK568" s="115">
        <v>9.1468000000000007</v>
      </c>
      <c r="AL568" s="115">
        <v>0.28610000000000002</v>
      </c>
      <c r="AM568" s="115">
        <v>9</v>
      </c>
      <c r="AN568" s="115">
        <v>5</v>
      </c>
      <c r="AO568" s="115">
        <v>0</v>
      </c>
      <c r="AP568" s="115">
        <v>1</v>
      </c>
      <c r="AQ568" s="115">
        <v>3</v>
      </c>
      <c r="AR568" s="115">
        <v>0.33329999999999999</v>
      </c>
      <c r="AS568" s="115">
        <v>8.0000000000000004E-4</v>
      </c>
      <c r="AT568" s="115">
        <v>0.4395</v>
      </c>
      <c r="AU568" s="114" t="str">
        <f>IF(A568&lt;&gt;"",INDEX(Index!$B$1:$B$77,MATCH($A568,Index!$A$1:$A$77,0)),"")</f>
        <v>PHI</v>
      </c>
      <c r="AV568" s="123" t="str">
        <f>IF(B568&lt;&gt;"",INDEX(Index!$C$1:$C$77,MATCH($A568,Index!$A$1:$A$77,0)),"")</f>
        <v>Hurts</v>
      </c>
      <c r="AW568" s="123">
        <f t="shared" si="11"/>
        <v>11</v>
      </c>
      <c r="AX568" s="113">
        <v>15</v>
      </c>
    </row>
    <row r="569" spans="1:50" x14ac:dyDescent="0.25">
      <c r="A569" s="95" t="s">
        <v>560</v>
      </c>
      <c r="B569" s="96">
        <v>2025</v>
      </c>
      <c r="C569" s="96">
        <v>6</v>
      </c>
      <c r="D569" s="96">
        <v>1.24373</v>
      </c>
      <c r="E569" s="96">
        <v>0.571469</v>
      </c>
      <c r="F569" s="115">
        <v>0.44080000000000003</v>
      </c>
      <c r="G569" s="115">
        <v>55.524900000000002</v>
      </c>
      <c r="H569" s="115">
        <v>0.24349999999999999</v>
      </c>
      <c r="I569" s="115">
        <v>129</v>
      </c>
      <c r="J569" s="115">
        <v>190</v>
      </c>
      <c r="K569" s="115">
        <v>0.67889999999999995</v>
      </c>
      <c r="L569" s="115">
        <v>7.2888000000000002</v>
      </c>
      <c r="M569" s="115">
        <v>1442</v>
      </c>
      <c r="N569" s="115">
        <v>7.5895000000000001</v>
      </c>
      <c r="O569" s="115">
        <v>12</v>
      </c>
      <c r="P569" s="115">
        <v>7</v>
      </c>
      <c r="Q569" s="115">
        <v>6</v>
      </c>
      <c r="R569" s="115">
        <v>19</v>
      </c>
      <c r="S569" s="115">
        <v>91</v>
      </c>
      <c r="T569" s="115">
        <v>4.7895000000000003</v>
      </c>
      <c r="U569" s="115">
        <v>1</v>
      </c>
      <c r="V569" s="115">
        <v>6.3200000000000006E-2</v>
      </c>
      <c r="W569" s="115">
        <v>3.6799999999999999E-2</v>
      </c>
      <c r="X569" s="115">
        <v>2.63E-2</v>
      </c>
      <c r="Y569" s="115">
        <v>0.55259999999999998</v>
      </c>
      <c r="Z569" s="115">
        <v>95.986800000000002</v>
      </c>
      <c r="AA569" s="115">
        <v>6.7755000000000001</v>
      </c>
      <c r="AB569" s="115">
        <v>211.28</v>
      </c>
      <c r="AC569" s="115">
        <v>72.900000000000006</v>
      </c>
      <c r="AD569" s="115">
        <v>1.7399999999999999E-2</v>
      </c>
      <c r="AE569" s="115">
        <v>3.04E-2</v>
      </c>
      <c r="AF569" s="115">
        <v>4.6800000000000001E-2</v>
      </c>
      <c r="AG569" s="115">
        <v>-5.1700000000000003E-2</v>
      </c>
      <c r="AH569" s="115">
        <v>0.1031</v>
      </c>
      <c r="AI569" s="115">
        <v>2.53E-2</v>
      </c>
      <c r="AJ569" s="115">
        <v>4.0000000000000002E-4</v>
      </c>
      <c r="AK569" s="115">
        <v>7.6421000000000001</v>
      </c>
      <c r="AL569" s="115">
        <v>-0.74209999999999998</v>
      </c>
      <c r="AM569" s="115">
        <v>5</v>
      </c>
      <c r="AN569" s="115">
        <v>1</v>
      </c>
      <c r="AO569" s="115">
        <v>0</v>
      </c>
      <c r="AP569" s="115">
        <v>1</v>
      </c>
      <c r="AQ569" s="115">
        <v>2</v>
      </c>
      <c r="AR569" s="115">
        <v>0.5</v>
      </c>
      <c r="AS569" s="115">
        <v>6.8999999999999999E-3</v>
      </c>
      <c r="AT569" s="115">
        <v>1.5839000000000001</v>
      </c>
      <c r="AU569" s="114" t="str">
        <f>IF(A569&lt;&gt;"",INDEX(Index!$B$1:$B$77,MATCH($A569,Index!$A$1:$A$77,0)),"")</f>
        <v>SF</v>
      </c>
      <c r="AV569" s="123" t="str">
        <f>IF(B569&lt;&gt;"",INDEX(Index!$C$1:$C$77,MATCH($A569,Index!$A$1:$A$77,0)),"")</f>
        <v>Purdy</v>
      </c>
      <c r="AW569" s="123">
        <f t="shared" si="11"/>
        <v>46</v>
      </c>
      <c r="AX569" s="113">
        <v>15</v>
      </c>
    </row>
    <row r="570" spans="1:50" x14ac:dyDescent="0.25">
      <c r="A570" s="95" t="s">
        <v>552</v>
      </c>
      <c r="B570" s="96">
        <v>2025</v>
      </c>
      <c r="C570" s="96">
        <v>14</v>
      </c>
      <c r="D570" s="96">
        <v>1.1084400000000001</v>
      </c>
      <c r="E570" s="96">
        <v>-0.56161399999999995</v>
      </c>
      <c r="F570" s="115">
        <v>-1.1893899999999999</v>
      </c>
      <c r="G570" s="115">
        <v>113.246</v>
      </c>
      <c r="H570" s="115">
        <v>0.18</v>
      </c>
      <c r="I570" s="115">
        <v>315</v>
      </c>
      <c r="J570" s="115">
        <v>500</v>
      </c>
      <c r="K570" s="115">
        <v>0.63</v>
      </c>
      <c r="L570" s="115">
        <v>0.33639999999999998</v>
      </c>
      <c r="M570" s="115">
        <v>3587</v>
      </c>
      <c r="N570" s="115">
        <v>7.1740000000000004</v>
      </c>
      <c r="O570" s="115">
        <v>22</v>
      </c>
      <c r="P570" s="115">
        <v>11</v>
      </c>
      <c r="Q570" s="115">
        <v>34</v>
      </c>
      <c r="R570" s="115">
        <v>56</v>
      </c>
      <c r="S570" s="115">
        <v>429</v>
      </c>
      <c r="T570" s="115">
        <v>7.6607000000000003</v>
      </c>
      <c r="U570" s="115">
        <v>5</v>
      </c>
      <c r="V570" s="115">
        <v>4.3999999999999997E-2</v>
      </c>
      <c r="W570" s="115">
        <v>2.1999999999999999E-2</v>
      </c>
      <c r="X570" s="115">
        <v>2.1999999999999999E-2</v>
      </c>
      <c r="Y570" s="115">
        <v>0.49919999999999998</v>
      </c>
      <c r="Z570" s="115">
        <v>89.974999999999994</v>
      </c>
      <c r="AA570" s="115">
        <v>6.2527999999999997</v>
      </c>
      <c r="AB570" s="115">
        <v>213.87200000000001</v>
      </c>
      <c r="AC570" s="115">
        <v>69.099999999999994</v>
      </c>
      <c r="AD570" s="115">
        <v>1.9199999999999998E-2</v>
      </c>
      <c r="AE570" s="115">
        <v>4.0599999999999997E-2</v>
      </c>
      <c r="AF570" s="115">
        <v>3.3999999999999998E-3</v>
      </c>
      <c r="AG570" s="115">
        <v>3.3999999999999998E-3</v>
      </c>
      <c r="AH570" s="115">
        <v>-2.01E-2</v>
      </c>
      <c r="AI570" s="115">
        <v>6.2E-2</v>
      </c>
      <c r="AJ570" s="115">
        <v>0</v>
      </c>
      <c r="AK570" s="115">
        <v>8.1</v>
      </c>
      <c r="AL570" s="115">
        <v>-0.60599999999999998</v>
      </c>
      <c r="AM570" s="115">
        <v>6</v>
      </c>
      <c r="AN570" s="115">
        <v>8</v>
      </c>
      <c r="AO570" s="115">
        <v>0</v>
      </c>
      <c r="AP570" s="115">
        <v>1</v>
      </c>
      <c r="AQ570" s="115">
        <v>9</v>
      </c>
      <c r="AR570" s="115">
        <v>0.1111</v>
      </c>
      <c r="AS570" s="115">
        <v>3.8999999999999998E-3</v>
      </c>
      <c r="AT570" s="115">
        <v>2.4460000000000002</v>
      </c>
      <c r="AU570" s="114" t="str">
        <f>IF(A570&lt;&gt;"",INDEX(Index!$B$1:$B$77,MATCH($A570,Index!$A$1:$A$77,0)),"")</f>
        <v>KC</v>
      </c>
      <c r="AV570" s="123" t="str">
        <f>IF(B570&lt;&gt;"",INDEX(Index!$C$1:$C$77,MATCH($A570,Index!$A$1:$A$77,0)),"")</f>
        <v>Mahomes</v>
      </c>
      <c r="AW570" s="123">
        <f t="shared" si="11"/>
        <v>5</v>
      </c>
      <c r="AX570" s="113">
        <v>15</v>
      </c>
    </row>
    <row r="571" spans="1:50" x14ac:dyDescent="0.25">
      <c r="A571" s="95" t="s">
        <v>557</v>
      </c>
      <c r="B571" s="96">
        <v>2025</v>
      </c>
      <c r="C571" s="96">
        <v>5</v>
      </c>
      <c r="D571" s="96">
        <v>0.92180200000000001</v>
      </c>
      <c r="E571" s="96">
        <v>-0.53454699999999999</v>
      </c>
      <c r="F571" s="115">
        <v>-1.55826</v>
      </c>
      <c r="G571" s="115">
        <v>4.7645</v>
      </c>
      <c r="H571" s="115">
        <v>2.58E-2</v>
      </c>
      <c r="I571" s="115">
        <v>95</v>
      </c>
      <c r="J571" s="115">
        <v>157</v>
      </c>
      <c r="K571" s="115">
        <v>0.60509999999999997</v>
      </c>
      <c r="L571" s="115">
        <v>0.19850000000000001</v>
      </c>
      <c r="M571" s="115">
        <v>959</v>
      </c>
      <c r="N571" s="115">
        <v>6.1082999999999998</v>
      </c>
      <c r="O571" s="115">
        <v>8</v>
      </c>
      <c r="P571" s="115">
        <v>4</v>
      </c>
      <c r="Q571" s="115">
        <v>10</v>
      </c>
      <c r="R571" s="115">
        <v>7</v>
      </c>
      <c r="S571" s="115">
        <v>16</v>
      </c>
      <c r="T571" s="115">
        <v>2.2856999999999998</v>
      </c>
      <c r="U571" s="115">
        <v>0</v>
      </c>
      <c r="V571" s="115">
        <v>5.0999999999999997E-2</v>
      </c>
      <c r="W571" s="115">
        <v>2.5499999999999998E-2</v>
      </c>
      <c r="X571" s="115">
        <v>2.5499999999999998E-2</v>
      </c>
      <c r="Y571" s="115">
        <v>0.4486</v>
      </c>
      <c r="Z571" s="115">
        <v>84.328599999999994</v>
      </c>
      <c r="AA571" s="115">
        <v>5.2156000000000002</v>
      </c>
      <c r="AB571" s="115">
        <v>120.42100000000001</v>
      </c>
      <c r="AC571" s="115">
        <v>56.5</v>
      </c>
      <c r="AD571" s="115">
        <v>-4.1300000000000003E-2</v>
      </c>
      <c r="AE571" s="115">
        <v>2.5600000000000001E-2</v>
      </c>
      <c r="AF571" s="115">
        <v>-2.1700000000000001E-2</v>
      </c>
      <c r="AG571" s="115">
        <v>-9.0300000000000005E-2</v>
      </c>
      <c r="AH571" s="115">
        <v>0.17879999999999999</v>
      </c>
      <c r="AI571" s="115">
        <v>-0.1026</v>
      </c>
      <c r="AJ571" s="115">
        <v>5.4000000000000003E-3</v>
      </c>
      <c r="AK571" s="115">
        <v>7.8981000000000003</v>
      </c>
      <c r="AL571" s="115">
        <v>-0.52229999999999999</v>
      </c>
      <c r="AM571" s="115">
        <v>3</v>
      </c>
      <c r="AN571" s="115">
        <v>2</v>
      </c>
      <c r="AO571" s="115">
        <v>0</v>
      </c>
      <c r="AP571" s="115">
        <v>0</v>
      </c>
      <c r="AQ571" s="115">
        <v>1</v>
      </c>
      <c r="AR571" s="115">
        <v>0</v>
      </c>
      <c r="AS571" s="115">
        <v>2.0000000000000001E-4</v>
      </c>
      <c r="AT571" s="115">
        <v>3.09E-2</v>
      </c>
      <c r="AU571" s="114" t="str">
        <f>IF(A571&lt;&gt;"",INDEX(Index!$B$1:$B$77,MATCH($A571,Index!$A$1:$A$77,0)),"")</f>
        <v>CIN</v>
      </c>
      <c r="AV571" s="123" t="str">
        <f>IF(B571&lt;&gt;"",INDEX(Index!$C$1:$C$77,MATCH($A571,Index!$A$1:$A$77,0)),"")</f>
        <v>Burrow</v>
      </c>
      <c r="AW571" s="123">
        <f t="shared" si="11"/>
        <v>39</v>
      </c>
      <c r="AX571" s="113">
        <v>15</v>
      </c>
    </row>
    <row r="572" spans="1:50" x14ac:dyDescent="0.25">
      <c r="A572" s="95" t="s">
        <v>570</v>
      </c>
      <c r="B572" s="96">
        <v>2025</v>
      </c>
      <c r="C572" s="96">
        <v>14</v>
      </c>
      <c r="D572" s="96">
        <v>0.860985</v>
      </c>
      <c r="E572" s="96">
        <v>-4.5050699999999999E-2</v>
      </c>
      <c r="F572" s="115">
        <v>1.4454100000000001</v>
      </c>
      <c r="G572" s="115">
        <v>135.285</v>
      </c>
      <c r="H572" s="115">
        <v>0.24779999999999999</v>
      </c>
      <c r="I572" s="115">
        <v>290</v>
      </c>
      <c r="J572" s="115">
        <v>409</v>
      </c>
      <c r="K572" s="115">
        <v>0.70899999999999996</v>
      </c>
      <c r="L572" s="115">
        <v>9.0547000000000004</v>
      </c>
      <c r="M572" s="115">
        <v>3567</v>
      </c>
      <c r="N572" s="115">
        <v>8.7212999999999994</v>
      </c>
      <c r="O572" s="115">
        <v>23</v>
      </c>
      <c r="P572" s="115">
        <v>7</v>
      </c>
      <c r="Q572" s="115">
        <v>43</v>
      </c>
      <c r="R572" s="115">
        <v>65</v>
      </c>
      <c r="S572" s="115">
        <v>383</v>
      </c>
      <c r="T572" s="115">
        <v>5.8922999999999996</v>
      </c>
      <c r="U572" s="115">
        <v>4</v>
      </c>
      <c r="V572" s="115">
        <v>5.62E-2</v>
      </c>
      <c r="W572" s="115">
        <v>1.7100000000000001E-2</v>
      </c>
      <c r="X572" s="115">
        <v>3.9100000000000003E-2</v>
      </c>
      <c r="Y572" s="115">
        <v>0.52380000000000004</v>
      </c>
      <c r="Z572" s="115">
        <v>109.123</v>
      </c>
      <c r="AA572" s="115">
        <v>7.7831999999999999</v>
      </c>
      <c r="AB572" s="115">
        <v>209.66800000000001</v>
      </c>
      <c r="AC572" s="115">
        <v>71.2</v>
      </c>
      <c r="AD572" s="115">
        <v>1.1999999999999999E-3</v>
      </c>
      <c r="AE572" s="115">
        <v>-1.77E-2</v>
      </c>
      <c r="AF572" s="115">
        <v>5.1299999999999998E-2</v>
      </c>
      <c r="AG572" s="115">
        <v>2.35E-2</v>
      </c>
      <c r="AH572" s="115">
        <v>0.15970000000000001</v>
      </c>
      <c r="AI572" s="115">
        <v>-3.8199999999999998E-2</v>
      </c>
      <c r="AJ572" s="115">
        <v>-3.8999999999999998E-3</v>
      </c>
      <c r="AK572" s="115">
        <v>8.8778000000000006</v>
      </c>
      <c r="AL572" s="115">
        <v>-5.1299999999999998E-2</v>
      </c>
      <c r="AM572" s="115">
        <v>11</v>
      </c>
      <c r="AN572" s="115">
        <v>3</v>
      </c>
      <c r="AO572" s="115">
        <v>0</v>
      </c>
      <c r="AP572" s="115">
        <v>0</v>
      </c>
      <c r="AQ572" s="115">
        <v>3</v>
      </c>
      <c r="AR572" s="115">
        <v>0</v>
      </c>
      <c r="AS572" s="115">
        <v>6.4999999999999997E-3</v>
      </c>
      <c r="AT572" s="115">
        <v>3.5665</v>
      </c>
      <c r="AU572" s="114" t="str">
        <f>IF(A572&lt;&gt;"",INDEX(Index!$B$1:$B$77,MATCH($A572,Index!$A$1:$A$77,0)),"")</f>
        <v>NE</v>
      </c>
      <c r="AV572" s="123" t="str">
        <f>IF(B572&lt;&gt;"",INDEX(Index!$C$1:$C$77,MATCH($A572,Index!$A$1:$A$77,0)),"")</f>
        <v>Maye</v>
      </c>
      <c r="AW572" s="123">
        <f t="shared" si="11"/>
        <v>4</v>
      </c>
      <c r="AX572" s="113">
        <v>15</v>
      </c>
    </row>
    <row r="573" spans="1:50" x14ac:dyDescent="0.25">
      <c r="A573" s="95" t="s">
        <v>566</v>
      </c>
      <c r="B573" s="96">
        <v>2025</v>
      </c>
      <c r="C573" s="96">
        <v>14</v>
      </c>
      <c r="D573" s="96">
        <v>0.83857599999999999</v>
      </c>
      <c r="E573" s="96">
        <v>-0.177983</v>
      </c>
      <c r="F573" s="115">
        <v>0.917875</v>
      </c>
      <c r="G573" s="115">
        <v>146.06299999999999</v>
      </c>
      <c r="H573" s="115">
        <v>0.29039999999999999</v>
      </c>
      <c r="I573" s="115">
        <v>283</v>
      </c>
      <c r="J573" s="115">
        <v>425</v>
      </c>
      <c r="K573" s="115">
        <v>0.66590000000000005</v>
      </c>
      <c r="L573" s="115">
        <v>5.7839999999999998</v>
      </c>
      <c r="M573" s="115">
        <v>3304</v>
      </c>
      <c r="N573" s="115">
        <v>7.7740999999999998</v>
      </c>
      <c r="O573" s="115">
        <v>23</v>
      </c>
      <c r="P573" s="115">
        <v>6</v>
      </c>
      <c r="Q573" s="115">
        <v>21</v>
      </c>
      <c r="R573" s="115">
        <v>31</v>
      </c>
      <c r="S573" s="115">
        <v>204</v>
      </c>
      <c r="T573" s="115">
        <v>6.5805999999999996</v>
      </c>
      <c r="U573" s="115">
        <v>0</v>
      </c>
      <c r="V573" s="115">
        <v>5.4100000000000002E-2</v>
      </c>
      <c r="W573" s="115">
        <v>1.41E-2</v>
      </c>
      <c r="X573" s="115">
        <v>0.04</v>
      </c>
      <c r="Y573" s="115">
        <v>0.51290000000000002</v>
      </c>
      <c r="Z573" s="115">
        <v>102.122</v>
      </c>
      <c r="AA573" s="115">
        <v>7.4551999999999996</v>
      </c>
      <c r="AB573" s="115">
        <v>206.84800000000001</v>
      </c>
      <c r="AC573" s="115">
        <v>73.8</v>
      </c>
      <c r="AD573" s="115">
        <v>1.0200000000000001E-2</v>
      </c>
      <c r="AE573" s="115">
        <v>3.1199999999999999E-2</v>
      </c>
      <c r="AF573" s="115">
        <v>8.9999999999999993E-3</v>
      </c>
      <c r="AG573" s="115">
        <v>2.7099999999999999E-2</v>
      </c>
      <c r="AH573" s="115">
        <v>8.9300000000000004E-2</v>
      </c>
      <c r="AI573" s="115">
        <v>4.1399999999999999E-2</v>
      </c>
      <c r="AJ573" s="115">
        <v>1.0200000000000001E-2</v>
      </c>
      <c r="AK573" s="115">
        <v>8.9293999999999993</v>
      </c>
      <c r="AL573" s="115">
        <v>0.10349999999999999</v>
      </c>
      <c r="AM573" s="115">
        <v>9</v>
      </c>
      <c r="AN573" s="115">
        <v>4</v>
      </c>
      <c r="AO573" s="115">
        <v>1</v>
      </c>
      <c r="AP573" s="115">
        <v>2</v>
      </c>
      <c r="AQ573" s="115">
        <v>6</v>
      </c>
      <c r="AR573" s="115">
        <v>0.33329999999999999</v>
      </c>
      <c r="AS573" s="115">
        <v>1.0999999999999999E-2</v>
      </c>
      <c r="AT573" s="115">
        <v>5.5114000000000001</v>
      </c>
      <c r="AU573" s="114" t="str">
        <f>IF(A573&lt;&gt;"",INDEX(Index!$B$1:$B$77,MATCH($A573,Index!$A$1:$A$77,0)),"")</f>
        <v>GB</v>
      </c>
      <c r="AV573" s="123" t="str">
        <f>IF(B573&lt;&gt;"",INDEX(Index!$C$1:$C$77,MATCH($A573,Index!$A$1:$A$77,0)),"")</f>
        <v>Love</v>
      </c>
      <c r="AW573" s="123">
        <f t="shared" si="11"/>
        <v>24</v>
      </c>
      <c r="AX573" s="113">
        <v>15</v>
      </c>
    </row>
    <row r="574" spans="1:50" x14ac:dyDescent="0.25">
      <c r="A574" s="95" t="s">
        <v>562</v>
      </c>
      <c r="B574" s="96">
        <v>2025</v>
      </c>
      <c r="C574" s="96">
        <v>6</v>
      </c>
      <c r="D574" s="96">
        <v>0.66839099999999996</v>
      </c>
      <c r="E574" s="96">
        <v>-0.27734900000000001</v>
      </c>
      <c r="F574" s="115">
        <v>-0.58660000000000001</v>
      </c>
      <c r="G574" s="115">
        <v>12.370200000000001</v>
      </c>
      <c r="H574" s="115">
        <v>4.4699999999999997E-2</v>
      </c>
      <c r="I574" s="115">
        <v>114</v>
      </c>
      <c r="J574" s="115">
        <v>186</v>
      </c>
      <c r="K574" s="115">
        <v>0.6129</v>
      </c>
      <c r="L574" s="115">
        <v>-2.7290999999999999</v>
      </c>
      <c r="M574" s="115">
        <v>1262</v>
      </c>
      <c r="N574" s="115">
        <v>6.7849000000000004</v>
      </c>
      <c r="O574" s="115">
        <v>8</v>
      </c>
      <c r="P574" s="115">
        <v>3</v>
      </c>
      <c r="Q574" s="115">
        <v>18</v>
      </c>
      <c r="R574" s="115">
        <v>52</v>
      </c>
      <c r="S574" s="115">
        <v>283</v>
      </c>
      <c r="T574" s="115">
        <v>5.4423000000000004</v>
      </c>
      <c r="U574" s="115">
        <v>2</v>
      </c>
      <c r="V574" s="115">
        <v>4.2999999999999997E-2</v>
      </c>
      <c r="W574" s="115">
        <v>1.61E-2</v>
      </c>
      <c r="X574" s="115">
        <v>2.69E-2</v>
      </c>
      <c r="Y574" s="115">
        <v>0.46929999999999999</v>
      </c>
      <c r="Z574" s="115">
        <v>89.045699999999997</v>
      </c>
      <c r="AA574" s="115">
        <v>5.9215999999999998</v>
      </c>
      <c r="AB574" s="115">
        <v>169.989</v>
      </c>
      <c r="AC574" s="115">
        <v>45.9</v>
      </c>
      <c r="AD574" s="115">
        <v>2E-3</v>
      </c>
      <c r="AE574" s="115">
        <v>4.0000000000000001E-3</v>
      </c>
      <c r="AF574" s="115">
        <v>-3.3700000000000001E-2</v>
      </c>
      <c r="AG574" s="115">
        <v>2.3599999999999999E-2</v>
      </c>
      <c r="AH574" s="115">
        <v>5.4000000000000003E-3</v>
      </c>
      <c r="AI574" s="115">
        <v>-3.8199999999999998E-2</v>
      </c>
      <c r="AJ574" s="115">
        <v>9.7000000000000003E-3</v>
      </c>
      <c r="AK574" s="115">
        <v>7.4730999999999996</v>
      </c>
      <c r="AL574" s="115">
        <v>-1.2473000000000001</v>
      </c>
      <c r="AM574" s="115">
        <v>2</v>
      </c>
      <c r="AN574" s="115">
        <v>5</v>
      </c>
      <c r="AO574" s="115">
        <v>0</v>
      </c>
      <c r="AP574" s="115">
        <v>0</v>
      </c>
      <c r="AQ574" s="115">
        <v>0</v>
      </c>
      <c r="AR574" s="115"/>
      <c r="AS574" s="115">
        <v>2.3999999999999998E-3</v>
      </c>
      <c r="AT574" s="115">
        <v>0.66879999999999995</v>
      </c>
      <c r="AU574" s="114" t="str">
        <f>IF(A574&lt;&gt;"",INDEX(Index!$B$1:$B$77,MATCH($A574,Index!$A$1:$A$77,0)),"")</f>
        <v>WAS</v>
      </c>
      <c r="AV574" s="123" t="str">
        <f>IF(B574&lt;&gt;"",INDEX(Index!$C$1:$C$77,MATCH($A574,Index!$A$1:$A$77,0)),"")</f>
        <v>Daniels</v>
      </c>
      <c r="AW574" s="123">
        <f t="shared" si="11"/>
        <v>27</v>
      </c>
      <c r="AX574" s="113">
        <v>15</v>
      </c>
    </row>
    <row r="575" spans="1:50" x14ac:dyDescent="0.25">
      <c r="A575" s="95" t="s">
        <v>556</v>
      </c>
      <c r="B575" s="96">
        <v>2025</v>
      </c>
      <c r="C575" s="96">
        <v>5</v>
      </c>
      <c r="D575" s="96">
        <v>0.66036399999999995</v>
      </c>
      <c r="E575" s="96">
        <v>3.6627199999999999E-2</v>
      </c>
      <c r="F575" s="115">
        <v>-0.83574700000000002</v>
      </c>
      <c r="G575" s="115">
        <v>23.545000000000002</v>
      </c>
      <c r="H575" s="115">
        <v>0.107</v>
      </c>
      <c r="I575" s="115">
        <v>110</v>
      </c>
      <c r="J575" s="115">
        <v>161</v>
      </c>
      <c r="K575" s="115">
        <v>0.68320000000000003</v>
      </c>
      <c r="L575" s="115">
        <v>-0.52880000000000005</v>
      </c>
      <c r="M575" s="115">
        <v>962</v>
      </c>
      <c r="N575" s="115">
        <v>5.9752000000000001</v>
      </c>
      <c r="O575" s="115">
        <v>6</v>
      </c>
      <c r="P575" s="115">
        <v>3</v>
      </c>
      <c r="Q575" s="115">
        <v>16</v>
      </c>
      <c r="R575" s="115">
        <v>27</v>
      </c>
      <c r="S575" s="115">
        <v>175</v>
      </c>
      <c r="T575" s="115">
        <v>6.4814999999999996</v>
      </c>
      <c r="U575" s="115">
        <v>1</v>
      </c>
      <c r="V575" s="115">
        <v>3.73E-2</v>
      </c>
      <c r="W575" s="115">
        <v>1.8599999999999998E-2</v>
      </c>
      <c r="X575" s="115">
        <v>1.8599999999999998E-2</v>
      </c>
      <c r="Y575" s="115">
        <v>0.45</v>
      </c>
      <c r="Z575" s="115">
        <v>88.573999999999998</v>
      </c>
      <c r="AA575" s="115">
        <v>4.7232000000000003</v>
      </c>
      <c r="AB575" s="115">
        <v>151.27199999999999</v>
      </c>
      <c r="AC575" s="115"/>
      <c r="AD575" s="115">
        <v>7.3000000000000001E-3</v>
      </c>
      <c r="AE575" s="115">
        <v>1.5E-3</v>
      </c>
      <c r="AF575" s="115">
        <v>4.87E-2</v>
      </c>
      <c r="AG575" s="115">
        <v>3.7499999999999999E-2</v>
      </c>
      <c r="AH575" s="115">
        <v>-9.69E-2</v>
      </c>
      <c r="AI575" s="115">
        <v>1.7500000000000002E-2</v>
      </c>
      <c r="AJ575" s="115">
        <v>1.9800000000000002E-2</v>
      </c>
      <c r="AK575" s="115">
        <v>5.8446999999999996</v>
      </c>
      <c r="AL575" s="115">
        <v>-3.0682999999999998</v>
      </c>
      <c r="AM575" s="115">
        <v>2</v>
      </c>
      <c r="AN575" s="115">
        <v>3</v>
      </c>
      <c r="AO575" s="115">
        <v>0</v>
      </c>
      <c r="AP575" s="115">
        <v>0</v>
      </c>
      <c r="AQ575" s="115">
        <v>2</v>
      </c>
      <c r="AR575" s="115">
        <v>0</v>
      </c>
      <c r="AS575" s="115">
        <v>4.1999999999999997E-3</v>
      </c>
      <c r="AT575" s="115">
        <v>0.92720000000000002</v>
      </c>
      <c r="AU575" s="114" t="str">
        <f>IF(A575&lt;&gt;"",INDEX(Index!$B$1:$B$77,MATCH($A575,Index!$A$1:$A$77,0)),"")</f>
        <v>ARI</v>
      </c>
      <c r="AV575" s="123" t="str">
        <f>IF(B575&lt;&gt;"",INDEX(Index!$C$1:$C$77,MATCH($A575,Index!$A$1:$A$77,0)),"")</f>
        <v>Murray</v>
      </c>
      <c r="AW575" s="123">
        <f t="shared" si="11"/>
        <v>32</v>
      </c>
      <c r="AX575" s="113">
        <v>15</v>
      </c>
    </row>
    <row r="576" spans="1:50" x14ac:dyDescent="0.25">
      <c r="A576" s="95" t="s">
        <v>571</v>
      </c>
      <c r="B576" s="96">
        <v>2025</v>
      </c>
      <c r="C576" s="96">
        <v>14</v>
      </c>
      <c r="D576" s="96">
        <v>0.61143499999999995</v>
      </c>
      <c r="E576" s="96">
        <v>1.3401400000000001</v>
      </c>
      <c r="F576" s="115">
        <v>0.89194799999999996</v>
      </c>
      <c r="G576" s="115">
        <v>53.196199999999997</v>
      </c>
      <c r="H576" s="115">
        <v>9.2200000000000004E-2</v>
      </c>
      <c r="I576" s="115">
        <v>273</v>
      </c>
      <c r="J576" s="115">
        <v>454</v>
      </c>
      <c r="K576" s="115">
        <v>0.60129999999999995</v>
      </c>
      <c r="L576" s="115">
        <v>-3.5003000000000002</v>
      </c>
      <c r="M576" s="115">
        <v>3210</v>
      </c>
      <c r="N576" s="115">
        <v>7.0705</v>
      </c>
      <c r="O576" s="115">
        <v>23</v>
      </c>
      <c r="P576" s="115">
        <v>11</v>
      </c>
      <c r="Q576" s="115">
        <v>32</v>
      </c>
      <c r="R576" s="115">
        <v>57</v>
      </c>
      <c r="S576" s="115">
        <v>311</v>
      </c>
      <c r="T576" s="115">
        <v>5.4561000000000002</v>
      </c>
      <c r="U576" s="115">
        <v>6</v>
      </c>
      <c r="V576" s="115">
        <v>5.0700000000000002E-2</v>
      </c>
      <c r="W576" s="115">
        <v>2.4199999999999999E-2</v>
      </c>
      <c r="X576" s="115">
        <v>2.64E-2</v>
      </c>
      <c r="Y576" s="115">
        <v>0.48530000000000001</v>
      </c>
      <c r="Z576" s="115">
        <v>88.445300000000003</v>
      </c>
      <c r="AA576" s="115">
        <v>6.1151999999999997</v>
      </c>
      <c r="AB576" s="115">
        <v>172.21899999999999</v>
      </c>
      <c r="AC576" s="115">
        <v>51.8</v>
      </c>
      <c r="AD576" s="115">
        <v>1.1599999999999999E-2</v>
      </c>
      <c r="AE576" s="115">
        <v>1.5800000000000002E-2</v>
      </c>
      <c r="AF576" s="115">
        <v>-3.0300000000000001E-2</v>
      </c>
      <c r="AG576" s="115">
        <v>-3.7000000000000002E-3</v>
      </c>
      <c r="AH576" s="115">
        <v>7.9500000000000001E-2</v>
      </c>
      <c r="AI576" s="115">
        <v>-5.3999999999999999E-2</v>
      </c>
      <c r="AJ576" s="115">
        <v>1.4E-3</v>
      </c>
      <c r="AK576" s="115">
        <v>8.6872000000000007</v>
      </c>
      <c r="AL576" s="115">
        <v>-0.47360000000000002</v>
      </c>
      <c r="AM576" s="115">
        <v>10</v>
      </c>
      <c r="AN576" s="115">
        <v>4</v>
      </c>
      <c r="AO576" s="115">
        <v>0</v>
      </c>
      <c r="AP576" s="115">
        <v>3</v>
      </c>
      <c r="AQ576" s="115">
        <v>6</v>
      </c>
      <c r="AR576" s="115">
        <v>0.5</v>
      </c>
      <c r="AS576" s="115">
        <v>2.0999999999999999E-3</v>
      </c>
      <c r="AT576" s="115">
        <v>1.1971000000000001</v>
      </c>
      <c r="AU576" s="114" t="str">
        <f>IF(A576&lt;&gt;"",INDEX(Index!$B$1:$B$77,MATCH($A576,Index!$A$1:$A$77,0)),"")</f>
        <v>JAX</v>
      </c>
      <c r="AV576" s="123" t="str">
        <f>IF(B576&lt;&gt;"",INDEX(Index!$C$1:$C$77,MATCH($A576,Index!$A$1:$A$77,0)),"")</f>
        <v>Lawrence</v>
      </c>
      <c r="AW576" s="123">
        <f t="shared" si="11"/>
        <v>8</v>
      </c>
      <c r="AX576" s="113">
        <v>15</v>
      </c>
    </row>
    <row r="577" spans="1:50" x14ac:dyDescent="0.25">
      <c r="A577" s="95" t="s">
        <v>550</v>
      </c>
      <c r="B577" s="96">
        <v>2025</v>
      </c>
      <c r="C577" s="96">
        <v>11</v>
      </c>
      <c r="D577" s="96">
        <v>0.52712300000000001</v>
      </c>
      <c r="E577" s="96">
        <v>-0.28409200000000001</v>
      </c>
      <c r="F577" s="115">
        <v>-3.1460900000000001</v>
      </c>
      <c r="G577" s="115">
        <v>26.606000000000002</v>
      </c>
      <c r="H577" s="115">
        <v>7.0599999999999996E-2</v>
      </c>
      <c r="I577" s="115">
        <v>174</v>
      </c>
      <c r="J577" s="115">
        <v>272</v>
      </c>
      <c r="K577" s="115">
        <v>0.63970000000000005</v>
      </c>
      <c r="L577" s="115">
        <v>1.4781</v>
      </c>
      <c r="M577" s="115">
        <v>2210</v>
      </c>
      <c r="N577" s="115">
        <v>8.125</v>
      </c>
      <c r="O577" s="115">
        <v>18</v>
      </c>
      <c r="P577" s="115">
        <v>6</v>
      </c>
      <c r="Q577" s="115">
        <v>33</v>
      </c>
      <c r="R577" s="115">
        <v>53</v>
      </c>
      <c r="S577" s="115">
        <v>341</v>
      </c>
      <c r="T577" s="115">
        <v>6.4340000000000002</v>
      </c>
      <c r="U577" s="115">
        <v>2</v>
      </c>
      <c r="V577" s="115">
        <v>6.6199999999999995E-2</v>
      </c>
      <c r="W577" s="115">
        <v>2.2100000000000002E-2</v>
      </c>
      <c r="X577" s="115">
        <v>4.41E-2</v>
      </c>
      <c r="Y577" s="115">
        <v>0.47749999999999998</v>
      </c>
      <c r="Z577" s="115">
        <v>102.114</v>
      </c>
      <c r="AA577" s="115">
        <v>6.8098000000000001</v>
      </c>
      <c r="AB577" s="115">
        <v>157.34399999999999</v>
      </c>
      <c r="AC577" s="115">
        <v>60.1</v>
      </c>
      <c r="AD577" s="115">
        <v>3.3099999999999997E-2</v>
      </c>
      <c r="AE577" s="115">
        <v>-5.9400000000000001E-2</v>
      </c>
      <c r="AF577" s="115">
        <v>2E-3</v>
      </c>
      <c r="AG577" s="115">
        <v>-3.0000000000000001E-3</v>
      </c>
      <c r="AH577" s="115">
        <v>8.5699999999999998E-2</v>
      </c>
      <c r="AI577" s="115">
        <v>-6.4699999999999994E-2</v>
      </c>
      <c r="AJ577" s="115">
        <v>5.1999999999999998E-3</v>
      </c>
      <c r="AK577" s="115">
        <v>8.6544000000000008</v>
      </c>
      <c r="AL577" s="115">
        <v>-0.42280000000000001</v>
      </c>
      <c r="AM577" s="115">
        <v>6</v>
      </c>
      <c r="AN577" s="115">
        <v>5</v>
      </c>
      <c r="AO577" s="115">
        <v>0</v>
      </c>
      <c r="AP577" s="115">
        <v>1</v>
      </c>
      <c r="AQ577" s="115">
        <v>3</v>
      </c>
      <c r="AR577" s="115">
        <v>0.33329999999999999</v>
      </c>
      <c r="AS577" s="115">
        <v>1.5E-3</v>
      </c>
      <c r="AT577" s="115">
        <v>0.57210000000000005</v>
      </c>
      <c r="AU577" s="114" t="str">
        <f>IF(A577&lt;&gt;"",INDEX(Index!$B$1:$B$77,MATCH($A577,Index!$A$1:$A$77,0)),"")</f>
        <v>BAL</v>
      </c>
      <c r="AV577" s="123" t="str">
        <f>IF(B577&lt;&gt;"",INDEX(Index!$C$1:$C$77,MATCH($A577,Index!$A$1:$A$77,0)),"")</f>
        <v>Jackson</v>
      </c>
      <c r="AW577" s="123">
        <f t="shared" si="11"/>
        <v>6</v>
      </c>
      <c r="AX577" s="113">
        <v>15</v>
      </c>
    </row>
    <row r="578" spans="1:50" x14ac:dyDescent="0.25">
      <c r="A578" s="95" t="s">
        <v>591</v>
      </c>
      <c r="B578" s="96">
        <v>2025</v>
      </c>
      <c r="C578" s="96">
        <v>5</v>
      </c>
      <c r="D578" s="96">
        <v>3.4270599999999998E-2</v>
      </c>
      <c r="E578" s="96">
        <v>0.66484799999999999</v>
      </c>
      <c r="F578" s="115">
        <v>-0.61543300000000001</v>
      </c>
      <c r="G578" s="115">
        <v>-4.8087999999999997</v>
      </c>
      <c r="H578" s="115">
        <v>-2.4299999999999999E-2</v>
      </c>
      <c r="I578" s="115">
        <v>114</v>
      </c>
      <c r="J578" s="115">
        <v>180</v>
      </c>
      <c r="K578" s="115">
        <v>0.63329999999999997</v>
      </c>
      <c r="L578" s="115">
        <v>-1.7093</v>
      </c>
      <c r="M578" s="115">
        <v>1218</v>
      </c>
      <c r="N578" s="115">
        <v>6.7667000000000002</v>
      </c>
      <c r="O578" s="115">
        <v>6</v>
      </c>
      <c r="P578" s="115">
        <v>3</v>
      </c>
      <c r="Q578" s="115">
        <v>8</v>
      </c>
      <c r="R578" s="115">
        <v>3</v>
      </c>
      <c r="S578" s="115">
        <v>11</v>
      </c>
      <c r="T578" s="115">
        <v>3.6667000000000001</v>
      </c>
      <c r="U578" s="115">
        <v>0</v>
      </c>
      <c r="V578" s="115">
        <v>3.3300000000000003E-2</v>
      </c>
      <c r="W578" s="115">
        <v>1.67E-2</v>
      </c>
      <c r="X578" s="115">
        <v>1.67E-2</v>
      </c>
      <c r="Y578" s="115">
        <v>0.45960000000000001</v>
      </c>
      <c r="Z578" s="115">
        <v>87.222200000000001</v>
      </c>
      <c r="AA578" s="115">
        <v>6.1276999999999999</v>
      </c>
      <c r="AB578" s="115">
        <v>137.803</v>
      </c>
      <c r="AC578" s="115"/>
      <c r="AD578" s="115">
        <v>-2.87E-2</v>
      </c>
      <c r="AE578" s="115">
        <v>2.9000000000000001E-2</v>
      </c>
      <c r="AF578" s="115">
        <v>-6.4000000000000001E-2</v>
      </c>
      <c r="AG578" s="115">
        <v>-8.9999999999999993E-3</v>
      </c>
      <c r="AH578" s="115">
        <v>-9.6600000000000005E-2</v>
      </c>
      <c r="AI578" s="115">
        <v>6.2199999999999998E-2</v>
      </c>
      <c r="AJ578" s="115">
        <v>1.0800000000000001E-2</v>
      </c>
      <c r="AK578" s="115">
        <v>7.1388999999999996</v>
      </c>
      <c r="AL578" s="115">
        <v>-1.9778</v>
      </c>
      <c r="AM578" s="115">
        <v>2</v>
      </c>
      <c r="AN578" s="115">
        <v>5</v>
      </c>
      <c r="AO578" s="115">
        <v>0</v>
      </c>
      <c r="AP578" s="115">
        <v>1</v>
      </c>
      <c r="AQ578" s="115">
        <v>2</v>
      </c>
      <c r="AR578" s="115">
        <v>0.5</v>
      </c>
      <c r="AS578" s="115">
        <v>1.1000000000000001E-3</v>
      </c>
      <c r="AT578" s="115">
        <v>0.21190000000000001</v>
      </c>
      <c r="AU578" s="114" t="str">
        <f>IF(A578&lt;&gt;"",INDEX(Index!$B$1:$B$77,MATCH($A578,Index!$A$1:$A$77,0)),"")</f>
        <v>ATL</v>
      </c>
      <c r="AV578" s="123" t="str">
        <f>IF(B578&lt;&gt;"",INDEX(Index!$C$1:$C$77,MATCH($A578,Index!$A$1:$A$77,0)),"")</f>
        <v>Cousins</v>
      </c>
      <c r="AW578" s="123">
        <f t="shared" si="11"/>
        <v>43</v>
      </c>
      <c r="AX578" s="113">
        <v>15</v>
      </c>
    </row>
    <row r="579" spans="1:50" x14ac:dyDescent="0.25">
      <c r="A579" s="95" t="s">
        <v>564</v>
      </c>
      <c r="B579" s="96">
        <v>2025</v>
      </c>
      <c r="C579" s="96">
        <v>3</v>
      </c>
      <c r="D579" s="96">
        <v>1.93762E-2</v>
      </c>
      <c r="E579" s="96">
        <v>-0.72087800000000002</v>
      </c>
      <c r="F579" s="115">
        <v>-0.42435</v>
      </c>
      <c r="G579" s="115">
        <v>-4.0004</v>
      </c>
      <c r="H579" s="115">
        <v>-2.53E-2</v>
      </c>
      <c r="I579" s="115">
        <v>69</v>
      </c>
      <c r="J579" s="115">
        <v>119</v>
      </c>
      <c r="K579" s="115">
        <v>0.57979999999999998</v>
      </c>
      <c r="L579" s="115">
        <v>-1.48</v>
      </c>
      <c r="M579" s="115">
        <v>831</v>
      </c>
      <c r="N579" s="115">
        <v>6.9832000000000001</v>
      </c>
      <c r="O579" s="115">
        <v>3</v>
      </c>
      <c r="P579" s="115">
        <v>3</v>
      </c>
      <c r="Q579" s="115">
        <v>10</v>
      </c>
      <c r="R579" s="115">
        <v>18</v>
      </c>
      <c r="S579" s="115">
        <v>106</v>
      </c>
      <c r="T579" s="115">
        <v>5.8888999999999996</v>
      </c>
      <c r="U579" s="115">
        <v>0</v>
      </c>
      <c r="V579" s="115">
        <v>2.52E-2</v>
      </c>
      <c r="W579" s="115">
        <v>2.52E-2</v>
      </c>
      <c r="X579" s="115">
        <v>0</v>
      </c>
      <c r="Y579" s="115">
        <v>0.40510000000000002</v>
      </c>
      <c r="Z579" s="115">
        <v>77.398499999999999</v>
      </c>
      <c r="AA579" s="115">
        <v>5.3487999999999998</v>
      </c>
      <c r="AB579" s="115">
        <v>140.05699999999999</v>
      </c>
      <c r="AC579" s="115"/>
      <c r="AD579" s="115">
        <v>-3.9800000000000002E-2</v>
      </c>
      <c r="AE579" s="115">
        <v>1.2999999999999999E-2</v>
      </c>
      <c r="AF579" s="115">
        <v>-9.5200000000000007E-2</v>
      </c>
      <c r="AG579" s="115">
        <v>2.3400000000000001E-2</v>
      </c>
      <c r="AH579" s="115">
        <v>1.0800000000000001E-2</v>
      </c>
      <c r="AI579" s="115">
        <v>-6.88E-2</v>
      </c>
      <c r="AJ579" s="115">
        <v>5.9400000000000001E-2</v>
      </c>
      <c r="AK579" s="115">
        <v>8.8908000000000005</v>
      </c>
      <c r="AL579" s="115">
        <v>-0.10920000000000001</v>
      </c>
      <c r="AM579" s="115">
        <v>2</v>
      </c>
      <c r="AN579" s="115">
        <v>4</v>
      </c>
      <c r="AO579" s="115">
        <v>0</v>
      </c>
      <c r="AP579" s="115">
        <v>0</v>
      </c>
      <c r="AQ579" s="115">
        <v>3</v>
      </c>
      <c r="AR579" s="115">
        <v>0</v>
      </c>
      <c r="AS579" s="115">
        <v>4.8999999999999998E-3</v>
      </c>
      <c r="AT579" s="115">
        <v>0.77270000000000005</v>
      </c>
      <c r="AU579" s="114" t="str">
        <f>IF(A579&lt;&gt;"",INDEX(Index!$B$1:$B$77,MATCH($A579,Index!$A$1:$A$77,0)),"")</f>
        <v>NYG</v>
      </c>
      <c r="AV579" s="123" t="str">
        <f>IF(B579&lt;&gt;"",INDEX(Index!$C$1:$C$77,MATCH($A579,Index!$A$1:$A$77,0)),"")</f>
        <v>Wilson</v>
      </c>
      <c r="AW579" s="123">
        <f t="shared" si="11"/>
        <v>39</v>
      </c>
      <c r="AX579" s="113">
        <v>15</v>
      </c>
    </row>
    <row r="580" spans="1:50" x14ac:dyDescent="0.25">
      <c r="A580" s="95" t="s">
        <v>600</v>
      </c>
      <c r="B580" s="96">
        <v>2025</v>
      </c>
      <c r="C580" s="96">
        <v>1</v>
      </c>
      <c r="D580" s="96">
        <v>1.51837E-2</v>
      </c>
      <c r="E580" s="96">
        <v>-0.32675700000000002</v>
      </c>
      <c r="F580" s="115">
        <v>-0.32675700000000002</v>
      </c>
      <c r="G580" s="115">
        <v>-1.7161</v>
      </c>
      <c r="H580" s="115">
        <v>-5.7200000000000001E-2</v>
      </c>
      <c r="I580" s="115">
        <v>18</v>
      </c>
      <c r="J580" s="115">
        <v>27</v>
      </c>
      <c r="K580" s="115">
        <v>0.66669999999999996</v>
      </c>
      <c r="L580" s="115">
        <v>-0.40079999999999999</v>
      </c>
      <c r="M580" s="115">
        <v>120</v>
      </c>
      <c r="N580" s="115">
        <v>4.4443999999999999</v>
      </c>
      <c r="O580" s="115">
        <v>1</v>
      </c>
      <c r="P580" s="115">
        <v>1</v>
      </c>
      <c r="Q580" s="115">
        <v>1</v>
      </c>
      <c r="R580" s="115">
        <v>1</v>
      </c>
      <c r="S580" s="115">
        <v>-5</v>
      </c>
      <c r="T580" s="115">
        <v>-5</v>
      </c>
      <c r="U580" s="115">
        <v>0</v>
      </c>
      <c r="V580" s="115">
        <v>3.6999999999999998E-2</v>
      </c>
      <c r="W580" s="115">
        <v>3.6999999999999998E-2</v>
      </c>
      <c r="X580" s="115">
        <v>0</v>
      </c>
      <c r="Y580" s="115">
        <v>0.36670000000000003</v>
      </c>
      <c r="Z580" s="115">
        <v>73.070999999999998</v>
      </c>
      <c r="AA580" s="115">
        <v>3.3214000000000001</v>
      </c>
      <c r="AB580" s="115">
        <v>86.772400000000005</v>
      </c>
      <c r="AC580" s="115">
        <v>52.5</v>
      </c>
      <c r="AD580" s="115">
        <v>-6.9900000000000004E-2</v>
      </c>
      <c r="AE580" s="115">
        <v>5.9499999999999997E-2</v>
      </c>
      <c r="AF580" s="115">
        <v>-7.0300000000000001E-2</v>
      </c>
      <c r="AG580" s="115">
        <v>7.7600000000000002E-2</v>
      </c>
      <c r="AH580" s="115">
        <v>-0.442</v>
      </c>
      <c r="AI580" s="115">
        <v>0.2732</v>
      </c>
      <c r="AJ580" s="115">
        <v>4.2799999999999998E-2</v>
      </c>
      <c r="AK580" s="115">
        <v>5.2592999999999996</v>
      </c>
      <c r="AL580" s="115">
        <v>-2.8519000000000001</v>
      </c>
      <c r="AM580" s="115">
        <v>0</v>
      </c>
      <c r="AN580" s="115">
        <v>1</v>
      </c>
      <c r="AO580" s="115">
        <v>0</v>
      </c>
      <c r="AP580" s="115">
        <v>0</v>
      </c>
      <c r="AQ580" s="115">
        <v>1</v>
      </c>
      <c r="AR580" s="115">
        <v>0</v>
      </c>
      <c r="AS580" s="115">
        <v>-4.7000000000000002E-3</v>
      </c>
      <c r="AT580" s="115">
        <v>-0.14069999999999999</v>
      </c>
      <c r="AU580" s="114" t="str">
        <f>IF(A580&lt;&gt;"",INDEX(Index!$B$1:$B$77,MATCH($A580,Index!$A$1:$A$77,0)),"")</f>
        <v>IND</v>
      </c>
      <c r="AV580" s="123" t="str">
        <f>IF(B580&lt;&gt;"",INDEX(Index!$C$1:$C$77,MATCH($A580,Index!$A$1:$A$77,0)),"")</f>
        <v>Rivers</v>
      </c>
      <c r="AW580" s="123">
        <f t="shared" si="11"/>
        <v>52</v>
      </c>
      <c r="AX580" s="113">
        <v>15</v>
      </c>
    </row>
    <row r="581" spans="1:50" x14ac:dyDescent="0.25">
      <c r="A581" s="95" t="s">
        <v>590</v>
      </c>
      <c r="B581" s="96">
        <v>2025</v>
      </c>
      <c r="C581" s="96">
        <v>9</v>
      </c>
      <c r="D581" s="96">
        <v>9.8876999999999993E-3</v>
      </c>
      <c r="E581" s="96">
        <v>0.39117200000000002</v>
      </c>
      <c r="F581" s="115">
        <v>2.0556700000000001</v>
      </c>
      <c r="G581" s="115">
        <v>13.6828</v>
      </c>
      <c r="H581" s="115">
        <v>2.92E-2</v>
      </c>
      <c r="I581" s="115">
        <v>256</v>
      </c>
      <c r="J581" s="115">
        <v>385</v>
      </c>
      <c r="K581" s="115">
        <v>0.66490000000000005</v>
      </c>
      <c r="L581" s="115">
        <v>2.6787999999999998</v>
      </c>
      <c r="M581" s="115">
        <v>2708</v>
      </c>
      <c r="N581" s="115">
        <v>7.0338000000000003</v>
      </c>
      <c r="O581" s="115">
        <v>18</v>
      </c>
      <c r="P581" s="115">
        <v>6</v>
      </c>
      <c r="Q581" s="115">
        <v>31</v>
      </c>
      <c r="R581" s="115">
        <v>31</v>
      </c>
      <c r="S581" s="115">
        <v>145</v>
      </c>
      <c r="T581" s="115">
        <v>4.6773999999999996</v>
      </c>
      <c r="U581" s="115">
        <v>1</v>
      </c>
      <c r="V581" s="115">
        <v>4.6800000000000001E-2</v>
      </c>
      <c r="W581" s="115">
        <v>1.5599999999999999E-2</v>
      </c>
      <c r="X581" s="115">
        <v>3.1199999999999999E-2</v>
      </c>
      <c r="Y581" s="115">
        <v>0.47860000000000003</v>
      </c>
      <c r="Z581" s="115">
        <v>95.892899999999997</v>
      </c>
      <c r="AA581" s="115">
        <v>6.1994999999999996</v>
      </c>
      <c r="AB581" s="115">
        <v>208.98699999999999</v>
      </c>
      <c r="AC581" s="115">
        <v>44.3</v>
      </c>
      <c r="AD581" s="115">
        <v>-1.5699999999999999E-2</v>
      </c>
      <c r="AE581" s="115">
        <v>-3.5099999999999999E-2</v>
      </c>
      <c r="AF581" s="115">
        <v>3.7000000000000002E-3</v>
      </c>
      <c r="AG581" s="115">
        <v>1.7500000000000002E-2</v>
      </c>
      <c r="AH581" s="115">
        <v>-3.3500000000000002E-2</v>
      </c>
      <c r="AI581" s="115">
        <v>3.1399999999999997E-2</v>
      </c>
      <c r="AJ581" s="115">
        <v>-1.09E-2</v>
      </c>
      <c r="AK581" s="115">
        <v>7.6675000000000004</v>
      </c>
      <c r="AL581" s="115">
        <v>-1.5922000000000001</v>
      </c>
      <c r="AM581" s="115">
        <v>2</v>
      </c>
      <c r="AN581" s="115">
        <v>9</v>
      </c>
      <c r="AO581" s="115">
        <v>0</v>
      </c>
      <c r="AP581" s="115">
        <v>0</v>
      </c>
      <c r="AQ581" s="115">
        <v>4</v>
      </c>
      <c r="AR581" s="115">
        <v>0</v>
      </c>
      <c r="AS581" s="115">
        <v>-1.4E-3</v>
      </c>
      <c r="AT581" s="115">
        <v>-0.65480000000000005</v>
      </c>
      <c r="AU581" s="114" t="str">
        <f>IF(A581&lt;&gt;"",INDEX(Index!$B$1:$B$77,MATCH($A581,Index!$A$1:$A$77,0)),"")</f>
        <v>ARI</v>
      </c>
      <c r="AV581" s="123" t="str">
        <f>IF(B581&lt;&gt;"",INDEX(Index!$C$1:$C$77,MATCH($A581,Index!$A$1:$A$77,0)),"")</f>
        <v>Brissett</v>
      </c>
      <c r="AW581" s="123">
        <f t="shared" si="11"/>
        <v>9</v>
      </c>
      <c r="AX581" s="113">
        <v>15</v>
      </c>
    </row>
    <row r="582" spans="1:50" x14ac:dyDescent="0.25">
      <c r="A582" s="95" t="s">
        <v>587</v>
      </c>
      <c r="B582" s="96">
        <v>2025</v>
      </c>
      <c r="C582" s="96">
        <v>9</v>
      </c>
      <c r="D582" s="96">
        <v>3.3349600000000001E-3</v>
      </c>
      <c r="E582" s="96">
        <v>0.27672099999999999</v>
      </c>
      <c r="F582" s="115">
        <v>2.4277199999999999</v>
      </c>
      <c r="G582" s="115">
        <v>48.407499999999999</v>
      </c>
      <c r="H582" s="115">
        <v>0.1298</v>
      </c>
      <c r="I582" s="115">
        <v>165</v>
      </c>
      <c r="J582" s="115">
        <v>263</v>
      </c>
      <c r="K582" s="115">
        <v>0.62739999999999996</v>
      </c>
      <c r="L582" s="115">
        <v>-0.52110000000000001</v>
      </c>
      <c r="M582" s="115">
        <v>1802</v>
      </c>
      <c r="N582" s="115">
        <v>6.8517000000000001</v>
      </c>
      <c r="O582" s="115">
        <v>13</v>
      </c>
      <c r="P582" s="115">
        <v>4</v>
      </c>
      <c r="Q582" s="115">
        <v>24</v>
      </c>
      <c r="R582" s="115">
        <v>65</v>
      </c>
      <c r="S582" s="115">
        <v>403</v>
      </c>
      <c r="T582" s="115">
        <v>6.2</v>
      </c>
      <c r="U582" s="115">
        <v>7</v>
      </c>
      <c r="V582" s="115">
        <v>4.9399999999999999E-2</v>
      </c>
      <c r="W582" s="115">
        <v>1.52E-2</v>
      </c>
      <c r="X582" s="115">
        <v>3.4200000000000001E-2</v>
      </c>
      <c r="Y582" s="115">
        <v>0.4718</v>
      </c>
      <c r="Z582" s="115">
        <v>93.052899999999994</v>
      </c>
      <c r="AA582" s="115">
        <v>6.2020999999999997</v>
      </c>
      <c r="AB582" s="115">
        <v>214.31899999999999</v>
      </c>
      <c r="AC582" s="115">
        <v>61.8</v>
      </c>
      <c r="AD582" s="115">
        <v>5.6899999999999999E-2</v>
      </c>
      <c r="AE582" s="115">
        <v>8.6999999999999994E-3</v>
      </c>
      <c r="AF582" s="115">
        <v>2.0899999999999998E-2</v>
      </c>
      <c r="AG582" s="115">
        <v>4.4699999999999997E-2</v>
      </c>
      <c r="AH582" s="115">
        <v>-6.9800000000000001E-2</v>
      </c>
      <c r="AI582" s="115">
        <v>-2.7199999999999998E-2</v>
      </c>
      <c r="AJ582" s="115">
        <v>2.3699999999999999E-2</v>
      </c>
      <c r="AK582" s="115">
        <v>8.9657999999999998</v>
      </c>
      <c r="AL582" s="115">
        <v>-0.27379999999999999</v>
      </c>
      <c r="AM582" s="115">
        <v>2</v>
      </c>
      <c r="AN582" s="115">
        <v>9</v>
      </c>
      <c r="AO582" s="115">
        <v>0</v>
      </c>
      <c r="AP582" s="115">
        <v>0</v>
      </c>
      <c r="AQ582" s="115">
        <v>3</v>
      </c>
      <c r="AR582" s="115">
        <v>0</v>
      </c>
      <c r="AS582" s="115">
        <v>2.8999999999999998E-3</v>
      </c>
      <c r="AT582" s="115">
        <v>1.0808</v>
      </c>
      <c r="AU582" s="114" t="str">
        <f>IF(A582&lt;&gt;"",INDEX(Index!$B$1:$B$77,MATCH($A582,Index!$A$1:$A$77,0)),"")</f>
        <v>NYG</v>
      </c>
      <c r="AV582" s="123" t="str">
        <f>IF(B582&lt;&gt;"",INDEX(Index!$C$1:$C$77,MATCH($A582,Index!$A$1:$A$77,0)),"")</f>
        <v>Dart</v>
      </c>
      <c r="AW582" s="123">
        <f t="shared" si="11"/>
        <v>15</v>
      </c>
      <c r="AX582" s="113">
        <v>15</v>
      </c>
    </row>
    <row r="583" spans="1:50" x14ac:dyDescent="0.25">
      <c r="A583" s="95" t="s">
        <v>574</v>
      </c>
      <c r="B583" s="96">
        <v>2025</v>
      </c>
      <c r="C583" s="96">
        <v>14</v>
      </c>
      <c r="D583" s="96">
        <v>-2.74902E-3</v>
      </c>
      <c r="E583" s="96">
        <v>0.36881700000000001</v>
      </c>
      <c r="F583" s="115">
        <v>1.38713</v>
      </c>
      <c r="G583" s="115">
        <v>43.116</v>
      </c>
      <c r="H583" s="115">
        <v>7.6300000000000007E-2</v>
      </c>
      <c r="I583" s="115">
        <v>266</v>
      </c>
      <c r="J583" s="115">
        <v>458</v>
      </c>
      <c r="K583" s="115">
        <v>0.58079999999999998</v>
      </c>
      <c r="L583" s="115">
        <v>-4.0991999999999997</v>
      </c>
      <c r="M583" s="115">
        <v>3150</v>
      </c>
      <c r="N583" s="115">
        <v>6.8776999999999999</v>
      </c>
      <c r="O583" s="115">
        <v>21</v>
      </c>
      <c r="P583" s="115">
        <v>6</v>
      </c>
      <c r="Q583" s="115">
        <v>23</v>
      </c>
      <c r="R583" s="115">
        <v>52</v>
      </c>
      <c r="S583" s="115">
        <v>346</v>
      </c>
      <c r="T583" s="115">
        <v>6.6538000000000004</v>
      </c>
      <c r="U583" s="115">
        <v>3</v>
      </c>
      <c r="V583" s="115">
        <v>4.5900000000000003E-2</v>
      </c>
      <c r="W583" s="115">
        <v>1.3100000000000001E-2</v>
      </c>
      <c r="X583" s="115">
        <v>3.2800000000000003E-2</v>
      </c>
      <c r="Y583" s="115">
        <v>0.44779999999999998</v>
      </c>
      <c r="Z583" s="115">
        <v>88.964699999999993</v>
      </c>
      <c r="AA583" s="115">
        <v>6.5321999999999996</v>
      </c>
      <c r="AB583" s="115">
        <v>185.792</v>
      </c>
      <c r="AC583" s="115">
        <v>54.4</v>
      </c>
      <c r="AD583" s="115">
        <v>-4.0000000000000002E-4</v>
      </c>
      <c r="AE583" s="115">
        <v>3.3399999999999999E-2</v>
      </c>
      <c r="AF583" s="115">
        <v>-4.0599999999999997E-2</v>
      </c>
      <c r="AG583" s="115">
        <v>3.4200000000000001E-2</v>
      </c>
      <c r="AH583" s="115">
        <v>-5.1999999999999998E-3</v>
      </c>
      <c r="AI583" s="115">
        <v>1.1000000000000001E-3</v>
      </c>
      <c r="AJ583" s="115">
        <v>-1.7999999999999999E-2</v>
      </c>
      <c r="AK583" s="115">
        <v>8.7467000000000006</v>
      </c>
      <c r="AL583" s="115">
        <v>-0.40610000000000002</v>
      </c>
      <c r="AM583" s="115">
        <v>10</v>
      </c>
      <c r="AN583" s="115">
        <v>4</v>
      </c>
      <c r="AO583" s="115">
        <v>0</v>
      </c>
      <c r="AP583" s="115">
        <v>4</v>
      </c>
      <c r="AQ583" s="115">
        <v>7</v>
      </c>
      <c r="AR583" s="115">
        <v>0.57140000000000002</v>
      </c>
      <c r="AS583" s="115">
        <v>3.2000000000000002E-3</v>
      </c>
      <c r="AT583" s="115">
        <v>1.8041</v>
      </c>
      <c r="AU583" s="114" t="str">
        <f>IF(A583&lt;&gt;"",INDEX(Index!$B$1:$B$77,MATCH($A583,Index!$A$1:$A$77,0)),"")</f>
        <v>CHI</v>
      </c>
      <c r="AV583" s="123" t="str">
        <f>IF(B583&lt;&gt;"",INDEX(Index!$C$1:$C$77,MATCH($A583,Index!$A$1:$A$77,0)),"")</f>
        <v>Williams</v>
      </c>
      <c r="AW583" s="123">
        <f t="shared" si="11"/>
        <v>18</v>
      </c>
      <c r="AX583" s="113">
        <v>15</v>
      </c>
    </row>
    <row r="584" spans="1:50" x14ac:dyDescent="0.25">
      <c r="A584" s="95" t="s">
        <v>558</v>
      </c>
      <c r="B584" s="96">
        <v>2025</v>
      </c>
      <c r="C584" s="96">
        <v>12</v>
      </c>
      <c r="D584" s="96">
        <v>-2.61383E-2</v>
      </c>
      <c r="E584" s="96">
        <v>0.52272700000000005</v>
      </c>
      <c r="F584" s="115">
        <v>-1.5586899999999999</v>
      </c>
      <c r="G584" s="115">
        <v>27.303599999999999</v>
      </c>
      <c r="H584" s="115">
        <v>6.4399999999999999E-2</v>
      </c>
      <c r="I584" s="115">
        <v>248</v>
      </c>
      <c r="J584" s="115">
        <v>371</v>
      </c>
      <c r="K584" s="115">
        <v>0.66849999999999998</v>
      </c>
      <c r="L584" s="115">
        <v>1.0089999999999999</v>
      </c>
      <c r="M584" s="115">
        <v>2594</v>
      </c>
      <c r="N584" s="115">
        <v>6.9919000000000002</v>
      </c>
      <c r="O584" s="115">
        <v>22</v>
      </c>
      <c r="P584" s="115">
        <v>7</v>
      </c>
      <c r="Q584" s="115">
        <v>23</v>
      </c>
      <c r="R584" s="115">
        <v>8</v>
      </c>
      <c r="S584" s="115">
        <v>33</v>
      </c>
      <c r="T584" s="115">
        <v>4.125</v>
      </c>
      <c r="U584" s="115">
        <v>1</v>
      </c>
      <c r="V584" s="115">
        <v>5.9299999999999999E-2</v>
      </c>
      <c r="W584" s="115">
        <v>1.89E-2</v>
      </c>
      <c r="X584" s="115">
        <v>4.0399999999999998E-2</v>
      </c>
      <c r="Y584" s="115">
        <v>0.4481</v>
      </c>
      <c r="Z584" s="115">
        <v>98.826400000000007</v>
      </c>
      <c r="AA584" s="115">
        <v>6.5126999999999997</v>
      </c>
      <c r="AB584" s="115">
        <v>152.93899999999999</v>
      </c>
      <c r="AC584" s="115">
        <v>43.3</v>
      </c>
      <c r="AD584" s="115">
        <v>-2.5899999999999999E-2</v>
      </c>
      <c r="AE584" s="115">
        <v>6.3E-3</v>
      </c>
      <c r="AF584" s="115">
        <v>-6.8999999999999999E-3</v>
      </c>
      <c r="AG584" s="115">
        <v>1.5599999999999999E-2</v>
      </c>
      <c r="AH584" s="115">
        <v>-0.17899999999999999</v>
      </c>
      <c r="AI584" s="115">
        <v>0.17680000000000001</v>
      </c>
      <c r="AJ584" s="115">
        <v>5.7000000000000002E-3</v>
      </c>
      <c r="AK584" s="115">
        <v>5.7142999999999997</v>
      </c>
      <c r="AL584" s="115">
        <v>-3.4043000000000001</v>
      </c>
      <c r="AM584" s="115">
        <v>8</v>
      </c>
      <c r="AN584" s="115">
        <v>5</v>
      </c>
      <c r="AO584" s="115">
        <v>0</v>
      </c>
      <c r="AP584" s="115">
        <v>1</v>
      </c>
      <c r="AQ584" s="115">
        <v>3</v>
      </c>
      <c r="AR584" s="115">
        <v>0.33329999999999999</v>
      </c>
      <c r="AS584" s="115">
        <v>1E-3</v>
      </c>
      <c r="AT584" s="115">
        <v>0.41639999999999999</v>
      </c>
      <c r="AU584" s="114" t="str">
        <f>IF(A584&lt;&gt;"",INDEX(Index!$B$1:$B$77,MATCH($A584,Index!$A$1:$A$77,0)),"")</f>
        <v>GB</v>
      </c>
      <c r="AV584" s="123" t="str">
        <f>IF(B584&lt;&gt;"",INDEX(Index!$C$1:$C$77,MATCH($A584,Index!$A$1:$A$77,0)),"")</f>
        <v>Rodgers</v>
      </c>
      <c r="AW584" s="123">
        <f t="shared" si="11"/>
        <v>18</v>
      </c>
      <c r="AX584" s="113">
        <v>15</v>
      </c>
    </row>
    <row r="585" spans="1:50" x14ac:dyDescent="0.25">
      <c r="A585" s="95" t="s">
        <v>575</v>
      </c>
      <c r="B585" s="96">
        <v>2025</v>
      </c>
      <c r="C585" s="96">
        <v>8</v>
      </c>
      <c r="D585" s="96">
        <v>-0.13710900000000001</v>
      </c>
      <c r="E585" s="96">
        <v>0.88405599999999995</v>
      </c>
      <c r="F585" s="115">
        <v>1.54932</v>
      </c>
      <c r="G585" s="115">
        <v>47.102899999999998</v>
      </c>
      <c r="H585" s="115">
        <v>0.14019999999999999</v>
      </c>
      <c r="I585" s="115">
        <v>201</v>
      </c>
      <c r="J585" s="115">
        <v>286</v>
      </c>
      <c r="K585" s="115">
        <v>0.70279999999999998</v>
      </c>
      <c r="L585" s="115">
        <v>3.6785999999999999</v>
      </c>
      <c r="M585" s="115">
        <v>2151</v>
      </c>
      <c r="N585" s="115">
        <v>7.5209999999999999</v>
      </c>
      <c r="O585" s="115">
        <v>13</v>
      </c>
      <c r="P585" s="115">
        <v>6</v>
      </c>
      <c r="Q585" s="115">
        <v>16</v>
      </c>
      <c r="R585" s="115">
        <v>22</v>
      </c>
      <c r="S585" s="115">
        <v>74</v>
      </c>
      <c r="T585" s="115">
        <v>3.3635999999999999</v>
      </c>
      <c r="U585" s="115">
        <v>0</v>
      </c>
      <c r="V585" s="115">
        <v>4.5499999999999999E-2</v>
      </c>
      <c r="W585" s="115">
        <v>2.1000000000000001E-2</v>
      </c>
      <c r="X585" s="115">
        <v>2.4500000000000001E-2</v>
      </c>
      <c r="Y585" s="115">
        <v>0.52680000000000005</v>
      </c>
      <c r="Z585" s="115">
        <v>98.397400000000005</v>
      </c>
      <c r="AA585" s="115">
        <v>6.7317999999999998</v>
      </c>
      <c r="AB585" s="115">
        <v>197.37700000000001</v>
      </c>
      <c r="AC585" s="115">
        <v>63.2</v>
      </c>
      <c r="AD585" s="115">
        <v>-9.7000000000000003E-3</v>
      </c>
      <c r="AE585" s="115">
        <v>1.29E-2</v>
      </c>
      <c r="AF585" s="115">
        <v>3.15E-2</v>
      </c>
      <c r="AG585" s="115">
        <v>7.7000000000000002E-3</v>
      </c>
      <c r="AH585" s="115">
        <v>5.1799999999999999E-2</v>
      </c>
      <c r="AI585" s="115">
        <v>-7.3000000000000001E-3</v>
      </c>
      <c r="AJ585" s="115">
        <v>-1.8700000000000001E-2</v>
      </c>
      <c r="AK585" s="115">
        <v>7.4265999999999996</v>
      </c>
      <c r="AL585" s="115">
        <v>-1.6608000000000001</v>
      </c>
      <c r="AM585" s="115">
        <v>6</v>
      </c>
      <c r="AN585" s="115">
        <v>3</v>
      </c>
      <c r="AO585" s="115">
        <v>0</v>
      </c>
      <c r="AP585" s="115">
        <v>1</v>
      </c>
      <c r="AQ585" s="115">
        <v>2</v>
      </c>
      <c r="AR585" s="115">
        <v>0.5</v>
      </c>
      <c r="AS585" s="115">
        <v>4.1999999999999997E-3</v>
      </c>
      <c r="AT585" s="115">
        <v>1.413</v>
      </c>
      <c r="AU585" s="114" t="str">
        <f>IF(A585&lt;&gt;"",INDEX(Index!$B$1:$B$77,MATCH($A585,Index!$A$1:$A$77,0)),"")</f>
        <v>SF</v>
      </c>
      <c r="AV585" s="123" t="str">
        <f>IF(B585&lt;&gt;"",INDEX(Index!$C$1:$C$77,MATCH($A585,Index!$A$1:$A$77,0)),"")</f>
        <v>Jones</v>
      </c>
      <c r="AW585" s="123">
        <f t="shared" si="11"/>
        <v>32</v>
      </c>
      <c r="AX585" s="113">
        <v>15</v>
      </c>
    </row>
    <row r="586" spans="1:50" x14ac:dyDescent="0.25">
      <c r="A586" s="95" t="s">
        <v>568</v>
      </c>
      <c r="B586" s="96">
        <v>2025</v>
      </c>
      <c r="C586" s="96">
        <v>13</v>
      </c>
      <c r="D586" s="96">
        <v>-0.21693799999999999</v>
      </c>
      <c r="E586" s="96">
        <v>-0.66387099999999999</v>
      </c>
      <c r="F586" s="115">
        <v>1.31358</v>
      </c>
      <c r="G586" s="115">
        <v>86.991200000000006</v>
      </c>
      <c r="H586" s="115">
        <v>0.1875</v>
      </c>
      <c r="I586" s="115">
        <v>261</v>
      </c>
      <c r="J586" s="115">
        <v>382</v>
      </c>
      <c r="K586" s="115">
        <v>0.68320000000000003</v>
      </c>
      <c r="L586" s="115">
        <v>2.2970999999999999</v>
      </c>
      <c r="M586" s="115">
        <v>3101</v>
      </c>
      <c r="N586" s="115">
        <v>8.1178000000000008</v>
      </c>
      <c r="O586" s="115">
        <v>19</v>
      </c>
      <c r="P586" s="115">
        <v>8</v>
      </c>
      <c r="Q586" s="115">
        <v>22</v>
      </c>
      <c r="R586" s="115">
        <v>36</v>
      </c>
      <c r="S586" s="115">
        <v>167</v>
      </c>
      <c r="T586" s="115">
        <v>4.6388999999999996</v>
      </c>
      <c r="U586" s="115">
        <v>5</v>
      </c>
      <c r="V586" s="115">
        <v>4.9700000000000001E-2</v>
      </c>
      <c r="W586" s="115">
        <v>2.0899999999999998E-2</v>
      </c>
      <c r="X586" s="115">
        <v>2.8799999999999999E-2</v>
      </c>
      <c r="Y586" s="115">
        <v>0.51719999999999999</v>
      </c>
      <c r="Z586" s="115">
        <v>100.69799999999999</v>
      </c>
      <c r="AA586" s="115">
        <v>7.3342000000000001</v>
      </c>
      <c r="AB586" s="115">
        <v>203.07</v>
      </c>
      <c r="AC586" s="115">
        <v>63.8</v>
      </c>
      <c r="AD586" s="115">
        <v>1.2E-2</v>
      </c>
      <c r="AE586" s="115">
        <v>9.1999999999999998E-3</v>
      </c>
      <c r="AF586" s="115">
        <v>3.0700000000000002E-2</v>
      </c>
      <c r="AG586" s="115">
        <v>6.7999999999999996E-3</v>
      </c>
      <c r="AH586" s="115">
        <v>3.6600000000000001E-2</v>
      </c>
      <c r="AI586" s="115">
        <v>2.7799999999999998E-2</v>
      </c>
      <c r="AJ586" s="115">
        <v>-7.4000000000000003E-3</v>
      </c>
      <c r="AK586" s="115">
        <v>8.0471000000000004</v>
      </c>
      <c r="AL586" s="115">
        <v>-0.79059999999999997</v>
      </c>
      <c r="AM586" s="115">
        <v>8</v>
      </c>
      <c r="AN586" s="115">
        <v>5</v>
      </c>
      <c r="AO586" s="115">
        <v>0</v>
      </c>
      <c r="AP586" s="115">
        <v>3</v>
      </c>
      <c r="AQ586" s="115">
        <v>5</v>
      </c>
      <c r="AR586" s="115">
        <v>0.6</v>
      </c>
      <c r="AS586" s="115">
        <v>3.8E-3</v>
      </c>
      <c r="AT586" s="115">
        <v>1.7748999999999999</v>
      </c>
      <c r="AU586" s="114" t="str">
        <f>IF(A586&lt;&gt;"",INDEX(Index!$B$1:$B$77,MATCH($A586,Index!$A$1:$A$77,0)),"")</f>
        <v>IND</v>
      </c>
      <c r="AV586" s="123" t="str">
        <f>IF(B586&lt;&gt;"",INDEX(Index!$C$1:$C$77,MATCH($A586,Index!$A$1:$A$77,0)),"")</f>
        <v>Jones</v>
      </c>
      <c r="AW586" s="123">
        <f t="shared" si="11"/>
        <v>22</v>
      </c>
      <c r="AX586" s="113">
        <v>15</v>
      </c>
    </row>
    <row r="587" spans="1:50" x14ac:dyDescent="0.25">
      <c r="A587" s="95" t="s">
        <v>573</v>
      </c>
      <c r="B587" s="96">
        <v>2025</v>
      </c>
      <c r="C587" s="96">
        <v>14</v>
      </c>
      <c r="D587" s="96">
        <v>-0.30719800000000003</v>
      </c>
      <c r="E587" s="96">
        <v>-3.7665400000000002E-2</v>
      </c>
      <c r="F587" s="115">
        <v>0.554033</v>
      </c>
      <c r="G587" s="115">
        <v>91.052999999999997</v>
      </c>
      <c r="H587" s="115">
        <v>0.2051</v>
      </c>
      <c r="I587" s="115">
        <v>263</v>
      </c>
      <c r="J587" s="115">
        <v>387</v>
      </c>
      <c r="K587" s="115">
        <v>0.67959999999999998</v>
      </c>
      <c r="L587" s="115">
        <v>5.7638999999999996</v>
      </c>
      <c r="M587" s="115">
        <v>3433</v>
      </c>
      <c r="N587" s="115">
        <v>8.8707999999999991</v>
      </c>
      <c r="O587" s="115">
        <v>22</v>
      </c>
      <c r="P587" s="115">
        <v>11</v>
      </c>
      <c r="Q587" s="115">
        <v>18</v>
      </c>
      <c r="R587" s="115">
        <v>13</v>
      </c>
      <c r="S587" s="115">
        <v>87</v>
      </c>
      <c r="T587" s="115">
        <v>6.6923000000000004</v>
      </c>
      <c r="U587" s="115">
        <v>0</v>
      </c>
      <c r="V587" s="115">
        <v>5.6800000000000003E-2</v>
      </c>
      <c r="W587" s="115">
        <v>2.8400000000000002E-2</v>
      </c>
      <c r="X587" s="115">
        <v>2.8400000000000002E-2</v>
      </c>
      <c r="Y587" s="115">
        <v>0.54279999999999995</v>
      </c>
      <c r="Z587" s="115">
        <v>102.783</v>
      </c>
      <c r="AA587" s="115">
        <v>8.0419999999999998</v>
      </c>
      <c r="AB587" s="115">
        <v>179.55699999999999</v>
      </c>
      <c r="AC587" s="115">
        <v>62.5</v>
      </c>
      <c r="AD587" s="115">
        <v>-1.66E-2</v>
      </c>
      <c r="AE587" s="115">
        <v>3.5999999999999999E-3</v>
      </c>
      <c r="AF587" s="115">
        <v>3.8199999999999998E-2</v>
      </c>
      <c r="AG587" s="115">
        <v>-4.4600000000000001E-2</v>
      </c>
      <c r="AH587" s="115">
        <v>0.1011</v>
      </c>
      <c r="AI587" s="115">
        <v>4.87E-2</v>
      </c>
      <c r="AJ587" s="115">
        <v>3.5999999999999999E-3</v>
      </c>
      <c r="AK587" s="115">
        <v>8.4625000000000004</v>
      </c>
      <c r="AL587" s="115">
        <v>-0.3256</v>
      </c>
      <c r="AM587" s="115">
        <v>11</v>
      </c>
      <c r="AN587" s="115">
        <v>3</v>
      </c>
      <c r="AO587" s="115">
        <v>0</v>
      </c>
      <c r="AP587" s="115">
        <v>1</v>
      </c>
      <c r="AQ587" s="115">
        <v>4</v>
      </c>
      <c r="AR587" s="115">
        <v>0.25</v>
      </c>
      <c r="AS587" s="115">
        <v>4.0000000000000001E-3</v>
      </c>
      <c r="AT587" s="115">
        <v>1.7884</v>
      </c>
      <c r="AU587" s="114" t="str">
        <f>IF(A587&lt;&gt;"",INDEX(Index!$B$1:$B$77,MATCH($A587,Index!$A$1:$A$77,0)),"")</f>
        <v>SEA</v>
      </c>
      <c r="AV587" s="123" t="str">
        <f>IF(B587&lt;&gt;"",INDEX(Index!$C$1:$C$77,MATCH($A587,Index!$A$1:$A$77,0)),"")</f>
        <v>Darnold</v>
      </c>
      <c r="AW587" s="123">
        <f t="shared" si="11"/>
        <v>27</v>
      </c>
      <c r="AX587" s="113">
        <v>15</v>
      </c>
    </row>
    <row r="588" spans="1:50" x14ac:dyDescent="0.25">
      <c r="A588" s="95" t="s">
        <v>559</v>
      </c>
      <c r="B588" s="96">
        <v>2025</v>
      </c>
      <c r="C588" s="96">
        <v>14</v>
      </c>
      <c r="D588" s="96">
        <v>-0.50311499999999998</v>
      </c>
      <c r="E588" s="96">
        <v>-0.39769900000000002</v>
      </c>
      <c r="F588" s="115">
        <v>-1.2888299999999999</v>
      </c>
      <c r="G588" s="115">
        <v>37.9739</v>
      </c>
      <c r="H588" s="115">
        <v>6.9000000000000006E-2</v>
      </c>
      <c r="I588" s="115">
        <v>276</v>
      </c>
      <c r="J588" s="115">
        <v>450</v>
      </c>
      <c r="K588" s="115">
        <v>0.61329999999999996</v>
      </c>
      <c r="L588" s="115">
        <v>-3.8506</v>
      </c>
      <c r="M588" s="115">
        <v>2999</v>
      </c>
      <c r="N588" s="115">
        <v>6.6643999999999997</v>
      </c>
      <c r="O588" s="115">
        <v>22</v>
      </c>
      <c r="P588" s="115">
        <v>7</v>
      </c>
      <c r="Q588" s="115">
        <v>29</v>
      </c>
      <c r="R588" s="115">
        <v>35</v>
      </c>
      <c r="S588" s="115">
        <v>294</v>
      </c>
      <c r="T588" s="115">
        <v>8.4</v>
      </c>
      <c r="U588" s="115">
        <v>1</v>
      </c>
      <c r="V588" s="115">
        <v>4.8899999999999999E-2</v>
      </c>
      <c r="W588" s="115">
        <v>1.5599999999999999E-2</v>
      </c>
      <c r="X588" s="115">
        <v>3.3300000000000003E-2</v>
      </c>
      <c r="Y588" s="115">
        <v>0.4491</v>
      </c>
      <c r="Z588" s="115">
        <v>90.777799999999999</v>
      </c>
      <c r="AA588" s="115">
        <v>6.1211000000000002</v>
      </c>
      <c r="AB588" s="115">
        <v>168.63900000000001</v>
      </c>
      <c r="AC588" s="115">
        <v>59</v>
      </c>
      <c r="AD588" s="115">
        <v>3.0200000000000001E-2</v>
      </c>
      <c r="AE588" s="115">
        <v>1.5699999999999999E-2</v>
      </c>
      <c r="AF588" s="115">
        <v>-2.4199999999999999E-2</v>
      </c>
      <c r="AG588" s="115">
        <v>1.8800000000000001E-2</v>
      </c>
      <c r="AH588" s="115">
        <v>-6.08E-2</v>
      </c>
      <c r="AI588" s="115">
        <v>9.1000000000000004E-3</v>
      </c>
      <c r="AJ588" s="115">
        <v>8.3000000000000001E-3</v>
      </c>
      <c r="AK588" s="115">
        <v>8.34</v>
      </c>
      <c r="AL588" s="115">
        <v>-0.5444</v>
      </c>
      <c r="AM588" s="115">
        <v>7</v>
      </c>
      <c r="AN588" s="115">
        <v>7</v>
      </c>
      <c r="AO588" s="115">
        <v>0</v>
      </c>
      <c r="AP588" s="115">
        <v>4</v>
      </c>
      <c r="AQ588" s="115">
        <v>8</v>
      </c>
      <c r="AR588" s="115">
        <v>0.5</v>
      </c>
      <c r="AS588" s="115">
        <v>2.8999999999999998E-3</v>
      </c>
      <c r="AT588" s="115">
        <v>1.5948</v>
      </c>
      <c r="AU588" s="114" t="str">
        <f>IF(A588&lt;&gt;"",INDEX(Index!$B$1:$B$77,MATCH($A588,Index!$A$1:$A$77,0)),"")</f>
        <v>TB</v>
      </c>
      <c r="AV588" s="123" t="str">
        <f>IF(B588&lt;&gt;"",INDEX(Index!$C$1:$C$77,MATCH($A588,Index!$A$1:$A$77,0)),"")</f>
        <v>Mayfield</v>
      </c>
      <c r="AW588" s="123">
        <f t="shared" si="11"/>
        <v>11</v>
      </c>
      <c r="AX588" s="113">
        <v>15</v>
      </c>
    </row>
    <row r="589" spans="1:50" x14ac:dyDescent="0.25">
      <c r="A589" s="95" t="s">
        <v>596</v>
      </c>
      <c r="B589" s="96">
        <v>2025</v>
      </c>
      <c r="C589" s="96">
        <v>2</v>
      </c>
      <c r="D589" s="96">
        <v>-0.66869599999999996</v>
      </c>
      <c r="E589" s="96">
        <v>0.24723500000000001</v>
      </c>
      <c r="F589" s="115">
        <v>0.20761199999999999</v>
      </c>
      <c r="G589" s="115">
        <v>24.134699999999999</v>
      </c>
      <c r="H589" s="115">
        <v>0.30170000000000002</v>
      </c>
      <c r="I589" s="115">
        <v>37</v>
      </c>
      <c r="J589" s="115">
        <v>66</v>
      </c>
      <c r="K589" s="115">
        <v>0.56059999999999999</v>
      </c>
      <c r="L589" s="115">
        <v>-3.0971000000000002</v>
      </c>
      <c r="M589" s="115">
        <v>567</v>
      </c>
      <c r="N589" s="115">
        <v>8.5908999999999995</v>
      </c>
      <c r="O589" s="115">
        <v>2</v>
      </c>
      <c r="P589" s="115">
        <v>2</v>
      </c>
      <c r="Q589" s="115">
        <v>3</v>
      </c>
      <c r="R589" s="115">
        <v>5</v>
      </c>
      <c r="S589" s="115">
        <v>25</v>
      </c>
      <c r="T589" s="115">
        <v>5</v>
      </c>
      <c r="U589" s="115">
        <v>1</v>
      </c>
      <c r="V589" s="115">
        <v>3.0300000000000001E-2</v>
      </c>
      <c r="W589" s="115">
        <v>3.0300000000000001E-2</v>
      </c>
      <c r="X589" s="115">
        <v>0</v>
      </c>
      <c r="Y589" s="115">
        <v>0.46250000000000002</v>
      </c>
      <c r="Z589" s="115">
        <v>82.070700000000002</v>
      </c>
      <c r="AA589" s="115">
        <v>7.3333000000000004</v>
      </c>
      <c r="AB589" s="115">
        <v>178.09</v>
      </c>
      <c r="AC589" s="115">
        <v>68.8</v>
      </c>
      <c r="AD589" s="115">
        <v>2.1899999999999999E-2</v>
      </c>
      <c r="AE589" s="115">
        <v>3.3599999999999998E-2</v>
      </c>
      <c r="AF589" s="115">
        <v>-8.8599999999999998E-2</v>
      </c>
      <c r="AG589" s="115">
        <v>-3.09E-2</v>
      </c>
      <c r="AH589" s="115">
        <v>0.29559999999999997</v>
      </c>
      <c r="AI589" s="115">
        <v>-3.49E-2</v>
      </c>
      <c r="AJ589" s="115">
        <v>3.3099999999999997E-2</v>
      </c>
      <c r="AK589" s="115">
        <v>9.3788</v>
      </c>
      <c r="AL589" s="115">
        <v>1.3938999999999999</v>
      </c>
      <c r="AM589" s="115">
        <v>0</v>
      </c>
      <c r="AN589" s="115">
        <v>3</v>
      </c>
      <c r="AO589" s="115">
        <v>0</v>
      </c>
      <c r="AP589" s="115">
        <v>0</v>
      </c>
      <c r="AQ589" s="115">
        <v>1</v>
      </c>
      <c r="AR589" s="115">
        <v>0</v>
      </c>
      <c r="AS589" s="115">
        <v>4.5999999999999999E-3</v>
      </c>
      <c r="AT589" s="115">
        <v>0.3664</v>
      </c>
      <c r="AU589" s="114" t="str">
        <f>IF(A589&lt;&gt;"",INDEX(Index!$B$1:$B$77,MATCH($A589,Index!$A$1:$A$77,0)),"")</f>
        <v>NYG</v>
      </c>
      <c r="AV589" s="123" t="str">
        <f>IF(B589&lt;&gt;"",INDEX(Index!$C$1:$C$77,MATCH($A589,Index!$A$1:$A$77,0)),"")</f>
        <v>Winston</v>
      </c>
      <c r="AW589" s="123">
        <f t="shared" si="11"/>
        <v>50</v>
      </c>
      <c r="AX589" s="113">
        <v>15</v>
      </c>
    </row>
    <row r="590" spans="1:50" x14ac:dyDescent="0.25">
      <c r="A590" s="95" t="s">
        <v>579</v>
      </c>
      <c r="B590" s="96">
        <v>2025</v>
      </c>
      <c r="C590" s="96">
        <v>11</v>
      </c>
      <c r="D590" s="96">
        <v>-0.70836399999999999</v>
      </c>
      <c r="E590" s="96">
        <v>0.56711999999999996</v>
      </c>
      <c r="F590" s="115">
        <v>0.92696199999999995</v>
      </c>
      <c r="G590" s="115">
        <v>65.238299999999995</v>
      </c>
      <c r="H590" s="115">
        <v>0.155</v>
      </c>
      <c r="I590" s="115">
        <v>220</v>
      </c>
      <c r="J590" s="115">
        <v>335</v>
      </c>
      <c r="K590" s="115">
        <v>0.65669999999999995</v>
      </c>
      <c r="L590" s="115">
        <v>1.5154000000000001</v>
      </c>
      <c r="M590" s="115">
        <v>2441</v>
      </c>
      <c r="N590" s="115">
        <v>7.2866</v>
      </c>
      <c r="O590" s="115">
        <v>15</v>
      </c>
      <c r="P590" s="115">
        <v>6</v>
      </c>
      <c r="Q590" s="115">
        <v>23</v>
      </c>
      <c r="R590" s="115">
        <v>32</v>
      </c>
      <c r="S590" s="115">
        <v>205</v>
      </c>
      <c r="T590" s="115">
        <v>6.4062000000000001</v>
      </c>
      <c r="U590" s="115">
        <v>0</v>
      </c>
      <c r="V590" s="115">
        <v>4.48E-2</v>
      </c>
      <c r="W590" s="115">
        <v>1.7899999999999999E-2</v>
      </c>
      <c r="X590" s="115">
        <v>2.69E-2</v>
      </c>
      <c r="Y590" s="115">
        <v>0.48220000000000002</v>
      </c>
      <c r="Z590" s="115">
        <v>94.633099999999999</v>
      </c>
      <c r="AA590" s="115">
        <v>6.3742999999999999</v>
      </c>
      <c r="AB590" s="115">
        <v>163.66499999999999</v>
      </c>
      <c r="AC590" s="115">
        <v>62.5</v>
      </c>
      <c r="AD590" s="115">
        <v>1.84E-2</v>
      </c>
      <c r="AE590" s="115">
        <v>1.11E-2</v>
      </c>
      <c r="AF590" s="115">
        <v>1.54E-2</v>
      </c>
      <c r="AG590" s="115">
        <v>3.4000000000000002E-2</v>
      </c>
      <c r="AH590" s="115">
        <v>2.12E-2</v>
      </c>
      <c r="AI590" s="115">
        <v>-6.0000000000000001E-3</v>
      </c>
      <c r="AJ590" s="115">
        <v>-1.0999999999999999E-2</v>
      </c>
      <c r="AK590" s="115">
        <v>8.0746000000000002</v>
      </c>
      <c r="AL590" s="115">
        <v>-1.0029999999999999</v>
      </c>
      <c r="AM590" s="115">
        <v>6</v>
      </c>
      <c r="AN590" s="115">
        <v>5</v>
      </c>
      <c r="AO590" s="115">
        <v>0</v>
      </c>
      <c r="AP590" s="115">
        <v>0</v>
      </c>
      <c r="AQ590" s="115">
        <v>3</v>
      </c>
      <c r="AR590" s="115">
        <v>0</v>
      </c>
      <c r="AS590" s="115">
        <v>2.2000000000000001E-3</v>
      </c>
      <c r="AT590" s="115">
        <v>0.94650000000000001</v>
      </c>
      <c r="AU590" s="114" t="str">
        <f>IF(A590&lt;&gt;"",INDEX(Index!$B$1:$B$77,MATCH($A590,Index!$A$1:$A$77,0)),"")</f>
        <v>HOU</v>
      </c>
      <c r="AV590" s="123" t="str">
        <f>IF(B590&lt;&gt;"",INDEX(Index!$C$1:$C$77,MATCH($A590,Index!$A$1:$A$77,0)),"")</f>
        <v>Stroud</v>
      </c>
      <c r="AW590" s="123">
        <f t="shared" si="11"/>
        <v>18</v>
      </c>
      <c r="AX590" s="113">
        <v>15</v>
      </c>
    </row>
    <row r="591" spans="1:50" x14ac:dyDescent="0.25">
      <c r="A591" s="95" t="s">
        <v>583</v>
      </c>
      <c r="B591" s="96">
        <v>2025</v>
      </c>
      <c r="C591" s="96">
        <v>8</v>
      </c>
      <c r="D591" s="96">
        <v>-0.88665799999999995</v>
      </c>
      <c r="E591" s="96">
        <v>4.0263100000000003E-2</v>
      </c>
      <c r="F591" s="115">
        <v>0.44651099999999999</v>
      </c>
      <c r="G591" s="115">
        <v>16.622900000000001</v>
      </c>
      <c r="H591" s="115">
        <v>5.7700000000000001E-2</v>
      </c>
      <c r="I591" s="115">
        <v>132</v>
      </c>
      <c r="J591" s="115">
        <v>211</v>
      </c>
      <c r="K591" s="115">
        <v>0.62560000000000004</v>
      </c>
      <c r="L591" s="115">
        <v>3.6783000000000001</v>
      </c>
      <c r="M591" s="115">
        <v>1600</v>
      </c>
      <c r="N591" s="115">
        <v>7.5829000000000004</v>
      </c>
      <c r="O591" s="115">
        <v>10</v>
      </c>
      <c r="P591" s="115">
        <v>7</v>
      </c>
      <c r="Q591" s="115">
        <v>15</v>
      </c>
      <c r="R591" s="115">
        <v>44</v>
      </c>
      <c r="S591" s="115">
        <v>303</v>
      </c>
      <c r="T591" s="115">
        <v>6.8864000000000001</v>
      </c>
      <c r="U591" s="115">
        <v>1</v>
      </c>
      <c r="V591" s="115">
        <v>4.7399999999999998E-2</v>
      </c>
      <c r="W591" s="115">
        <v>3.32E-2</v>
      </c>
      <c r="X591" s="115">
        <v>1.4200000000000001E-2</v>
      </c>
      <c r="Y591" s="115">
        <v>0.4965</v>
      </c>
      <c r="Z591" s="115">
        <v>87.786299999999997</v>
      </c>
      <c r="AA591" s="115">
        <v>6.1062000000000003</v>
      </c>
      <c r="AB591" s="115">
        <v>164.929</v>
      </c>
      <c r="AC591" s="115">
        <v>51.8</v>
      </c>
      <c r="AD591" s="115">
        <v>-8.3999999999999995E-3</v>
      </c>
      <c r="AE591" s="115">
        <v>2.7000000000000001E-3</v>
      </c>
      <c r="AF591" s="115">
        <v>-5.8999999999999999E-3</v>
      </c>
      <c r="AG591" s="115">
        <v>-4.9299999999999997E-2</v>
      </c>
      <c r="AH591" s="115">
        <v>0.1258</v>
      </c>
      <c r="AI591" s="115">
        <v>-8.2500000000000004E-2</v>
      </c>
      <c r="AJ591" s="115">
        <v>3.5000000000000001E-3</v>
      </c>
      <c r="AK591" s="115">
        <v>10.1706</v>
      </c>
      <c r="AL591" s="115">
        <v>1.0994999999999999</v>
      </c>
      <c r="AM591" s="115">
        <v>2</v>
      </c>
      <c r="AN591" s="115">
        <v>7</v>
      </c>
      <c r="AO591" s="115">
        <v>0</v>
      </c>
      <c r="AP591" s="115">
        <v>0</v>
      </c>
      <c r="AQ591" s="115">
        <v>1</v>
      </c>
      <c r="AR591" s="115">
        <v>0</v>
      </c>
      <c r="AS591" s="115">
        <v>1.1999999999999999E-3</v>
      </c>
      <c r="AT591" s="115">
        <v>0.3322</v>
      </c>
      <c r="AU591" s="114" t="str">
        <f>IF(A591&lt;&gt;"",INDEX(Index!$B$1:$B$77,MATCH($A591,Index!$A$1:$A$77,0)),"")</f>
        <v>WAS</v>
      </c>
      <c r="AV591" s="123" t="str">
        <f>IF(B591&lt;&gt;"",INDEX(Index!$C$1:$C$77,MATCH($A591,Index!$A$1:$A$77,0)),"")</f>
        <v>Mariota</v>
      </c>
      <c r="AW591" s="123">
        <f t="shared" si="11"/>
        <v>35</v>
      </c>
      <c r="AX591" s="113">
        <v>15</v>
      </c>
    </row>
    <row r="592" spans="1:50" x14ac:dyDescent="0.25">
      <c r="A592" s="95" t="s">
        <v>577</v>
      </c>
      <c r="B592" s="96">
        <v>2025</v>
      </c>
      <c r="C592" s="96">
        <v>10</v>
      </c>
      <c r="D592" s="96">
        <v>-1.01111</v>
      </c>
      <c r="E592" s="96">
        <v>-0.397565</v>
      </c>
      <c r="F592" s="115">
        <v>5.2841800000000001E-2</v>
      </c>
      <c r="G592" s="115">
        <v>-35.308</v>
      </c>
      <c r="H592" s="115">
        <v>-7.6799999999999993E-2</v>
      </c>
      <c r="I592" s="115">
        <v>247</v>
      </c>
      <c r="J592" s="115">
        <v>406</v>
      </c>
      <c r="K592" s="115">
        <v>0.60840000000000005</v>
      </c>
      <c r="L592" s="115">
        <v>-2.9264999999999999</v>
      </c>
      <c r="M592" s="115">
        <v>2451</v>
      </c>
      <c r="N592" s="115">
        <v>6.0369000000000002</v>
      </c>
      <c r="O592" s="115">
        <v>15</v>
      </c>
      <c r="P592" s="115">
        <v>10</v>
      </c>
      <c r="Q592" s="115">
        <v>18</v>
      </c>
      <c r="R592" s="115">
        <v>10</v>
      </c>
      <c r="S592" s="115">
        <v>45</v>
      </c>
      <c r="T592" s="115">
        <v>4.5</v>
      </c>
      <c r="U592" s="115">
        <v>1</v>
      </c>
      <c r="V592" s="115">
        <v>3.6900000000000002E-2</v>
      </c>
      <c r="W592" s="115">
        <v>2.46E-2</v>
      </c>
      <c r="X592" s="115">
        <v>1.23E-2</v>
      </c>
      <c r="Y592" s="115">
        <v>0.42609999999999998</v>
      </c>
      <c r="Z592" s="115">
        <v>79.987700000000004</v>
      </c>
      <c r="AA592" s="115">
        <v>5.1486000000000001</v>
      </c>
      <c r="AB592" s="115">
        <v>138.00299999999999</v>
      </c>
      <c r="AC592" s="115">
        <v>41.2</v>
      </c>
      <c r="AD592" s="115">
        <v>-1.8800000000000001E-2</v>
      </c>
      <c r="AE592" s="115">
        <v>9.2999999999999992E-3</v>
      </c>
      <c r="AF592" s="115">
        <v>-4.0099999999999997E-2</v>
      </c>
      <c r="AG592" s="115">
        <v>-2.76E-2</v>
      </c>
      <c r="AH592" s="115">
        <v>-5.2400000000000002E-2</v>
      </c>
      <c r="AI592" s="115">
        <v>-1.4999999999999999E-2</v>
      </c>
      <c r="AJ592" s="115">
        <v>-3.8E-3</v>
      </c>
      <c r="AK592" s="115">
        <v>7.4606000000000003</v>
      </c>
      <c r="AL592" s="115">
        <v>-1.5048999999999999</v>
      </c>
      <c r="AM592" s="115">
        <v>2</v>
      </c>
      <c r="AN592" s="115">
        <v>8</v>
      </c>
      <c r="AO592" s="115">
        <v>0</v>
      </c>
      <c r="AP592" s="115">
        <v>2</v>
      </c>
      <c r="AQ592" s="115">
        <v>6</v>
      </c>
      <c r="AR592" s="115">
        <v>0.33329999999999999</v>
      </c>
      <c r="AS592" s="115">
        <v>-2.0999999999999999E-3</v>
      </c>
      <c r="AT592" s="115">
        <v>-0.9879</v>
      </c>
      <c r="AU592" s="114" t="str">
        <f>IF(A592&lt;&gt;"",INDEX(Index!$B$1:$B$77,MATCH($A592,Index!$A$1:$A$77,0)),"")</f>
        <v>CIN</v>
      </c>
      <c r="AV592" s="123" t="str">
        <f>IF(B592&lt;&gt;"",INDEX(Index!$C$1:$C$77,MATCH($A592,Index!$A$1:$A$77,0)),"")</f>
        <v>Flacco</v>
      </c>
      <c r="AW592" s="123">
        <f t="shared" si="11"/>
        <v>27</v>
      </c>
      <c r="AX592" s="113">
        <v>15</v>
      </c>
    </row>
    <row r="593" spans="1:50" x14ac:dyDescent="0.25">
      <c r="A593" s="95" t="s">
        <v>576</v>
      </c>
      <c r="B593" s="96">
        <v>2025</v>
      </c>
      <c r="C593" s="96">
        <v>13</v>
      </c>
      <c r="D593" s="96">
        <v>-1.1216900000000001</v>
      </c>
      <c r="E593" s="96">
        <v>0.26912399999999997</v>
      </c>
      <c r="F593" s="115">
        <v>0.100269</v>
      </c>
      <c r="G593" s="115">
        <v>21.381399999999999</v>
      </c>
      <c r="H593" s="115">
        <v>4.58E-2</v>
      </c>
      <c r="I593" s="115">
        <v>245</v>
      </c>
      <c r="J593" s="115">
        <v>386</v>
      </c>
      <c r="K593" s="115">
        <v>0.63470000000000004</v>
      </c>
      <c r="L593" s="115">
        <v>0.12859999999999999</v>
      </c>
      <c r="M593" s="115">
        <v>2500</v>
      </c>
      <c r="N593" s="115">
        <v>6.4767000000000001</v>
      </c>
      <c r="O593" s="115">
        <v>19</v>
      </c>
      <c r="P593" s="115">
        <v>9</v>
      </c>
      <c r="Q593" s="115">
        <v>23</v>
      </c>
      <c r="R593" s="115">
        <v>28</v>
      </c>
      <c r="S593" s="115">
        <v>183</v>
      </c>
      <c r="T593" s="115">
        <v>6.5357000000000003</v>
      </c>
      <c r="U593" s="115">
        <v>1</v>
      </c>
      <c r="V593" s="115">
        <v>4.9200000000000001E-2</v>
      </c>
      <c r="W593" s="115">
        <v>2.3300000000000001E-2</v>
      </c>
      <c r="X593" s="115">
        <v>2.5899999999999999E-2</v>
      </c>
      <c r="Y593" s="115">
        <v>0.46039999999999998</v>
      </c>
      <c r="Z593" s="115">
        <v>88.655000000000001</v>
      </c>
      <c r="AA593" s="115">
        <v>5.6333000000000002</v>
      </c>
      <c r="AB593" s="115">
        <v>133.274</v>
      </c>
      <c r="AC593" s="115">
        <v>47.6</v>
      </c>
      <c r="AD593" s="115">
        <v>-3.2000000000000002E-3</v>
      </c>
      <c r="AE593" s="115">
        <v>-7.0000000000000001E-3</v>
      </c>
      <c r="AF593" s="115">
        <v>-1.3599999999999999E-2</v>
      </c>
      <c r="AG593" s="115">
        <v>-1.3899999999999999E-2</v>
      </c>
      <c r="AH593" s="115">
        <v>-2.2100000000000002E-2</v>
      </c>
      <c r="AI593" s="115">
        <v>1.7500000000000002E-2</v>
      </c>
      <c r="AJ593" s="115">
        <v>1.6400000000000001E-2</v>
      </c>
      <c r="AK593" s="115">
        <v>6.6087999999999996</v>
      </c>
      <c r="AL593" s="115">
        <v>-1.8549</v>
      </c>
      <c r="AM593" s="115">
        <v>7</v>
      </c>
      <c r="AN593" s="115">
        <v>6</v>
      </c>
      <c r="AO593" s="115">
        <v>0</v>
      </c>
      <c r="AP593" s="115">
        <v>4</v>
      </c>
      <c r="AQ593" s="115">
        <v>7</v>
      </c>
      <c r="AR593" s="115">
        <v>0.57140000000000002</v>
      </c>
      <c r="AS593" s="115">
        <v>2.5999999999999999E-3</v>
      </c>
      <c r="AT593" s="115">
        <v>1.2031000000000001</v>
      </c>
      <c r="AU593" s="114" t="str">
        <f>IF(A593&lt;&gt;"",INDEX(Index!$B$1:$B$77,MATCH($A593,Index!$A$1:$A$77,0)),"")</f>
        <v>CAR</v>
      </c>
      <c r="AV593" s="123" t="str">
        <f>IF(B593&lt;&gt;"",INDEX(Index!$C$1:$C$77,MATCH($A593,Index!$A$1:$A$77,0)),"")</f>
        <v>Young</v>
      </c>
      <c r="AW593" s="123">
        <f t="shared" si="11"/>
        <v>18</v>
      </c>
      <c r="AX593" s="113">
        <v>15</v>
      </c>
    </row>
    <row r="594" spans="1:50" x14ac:dyDescent="0.25">
      <c r="A594" s="95" t="s">
        <v>569</v>
      </c>
      <c r="B594" s="96">
        <v>2025</v>
      </c>
      <c r="C594" s="96">
        <v>9</v>
      </c>
      <c r="D594" s="96">
        <v>-1.24387</v>
      </c>
      <c r="E594" s="96">
        <v>0.21746399999999999</v>
      </c>
      <c r="F594" s="115">
        <v>-1.01745</v>
      </c>
      <c r="G594" s="115">
        <v>-10.984999999999999</v>
      </c>
      <c r="H594" s="115">
        <v>-3.5999999999999997E-2</v>
      </c>
      <c r="I594" s="115">
        <v>128</v>
      </c>
      <c r="J594" s="115">
        <v>202</v>
      </c>
      <c r="K594" s="115">
        <v>0.63370000000000004</v>
      </c>
      <c r="L594" s="115">
        <v>-1.8688</v>
      </c>
      <c r="M594" s="115">
        <v>1242</v>
      </c>
      <c r="N594" s="115">
        <v>6.1485000000000003</v>
      </c>
      <c r="O594" s="115">
        <v>7</v>
      </c>
      <c r="P594" s="115">
        <v>1</v>
      </c>
      <c r="Q594" s="115">
        <v>27</v>
      </c>
      <c r="R594" s="115">
        <v>65</v>
      </c>
      <c r="S594" s="115">
        <v>387</v>
      </c>
      <c r="T594" s="115">
        <v>5.9538000000000002</v>
      </c>
      <c r="U594" s="115">
        <v>4</v>
      </c>
      <c r="V594" s="115">
        <v>3.4700000000000002E-2</v>
      </c>
      <c r="W594" s="115">
        <v>5.0000000000000001E-3</v>
      </c>
      <c r="X594" s="115">
        <v>2.9700000000000001E-2</v>
      </c>
      <c r="Y594" s="115">
        <v>0.44919999999999999</v>
      </c>
      <c r="Z594" s="115">
        <v>89.995900000000006</v>
      </c>
      <c r="AA594" s="115">
        <v>5</v>
      </c>
      <c r="AB594" s="115">
        <v>128.06</v>
      </c>
      <c r="AC594" s="115">
        <v>37.700000000000003</v>
      </c>
      <c r="AD594" s="115">
        <v>1.7999999999999999E-2</v>
      </c>
      <c r="AE594" s="115">
        <v>-3.3399999999999999E-2</v>
      </c>
      <c r="AF594" s="115">
        <v>3.2899999999999999E-2</v>
      </c>
      <c r="AG594" s="115">
        <v>6.1600000000000002E-2</v>
      </c>
      <c r="AH594" s="115">
        <v>-4.7E-2</v>
      </c>
      <c r="AI594" s="115">
        <v>-0.1101</v>
      </c>
      <c r="AJ594" s="115">
        <v>-2.98E-2</v>
      </c>
      <c r="AK594" s="115">
        <v>6.8266999999999998</v>
      </c>
      <c r="AL594" s="115">
        <v>-2.1484999999999999</v>
      </c>
      <c r="AM594" s="115">
        <v>2</v>
      </c>
      <c r="AN594" s="115">
        <v>7</v>
      </c>
      <c r="AO594" s="115">
        <v>0</v>
      </c>
      <c r="AP594" s="115">
        <v>1</v>
      </c>
      <c r="AQ594" s="115">
        <v>4</v>
      </c>
      <c r="AR594" s="115">
        <v>0.25</v>
      </c>
      <c r="AS594" s="115">
        <v>-4.0000000000000001E-3</v>
      </c>
      <c r="AT594" s="115">
        <v>-1.2298</v>
      </c>
      <c r="AU594" s="114" t="str">
        <f>IF(A594&lt;&gt;"",INDEX(Index!$B$1:$B$77,MATCH($A594,Index!$A$1:$A$77,0)),"")</f>
        <v>NYJ</v>
      </c>
      <c r="AV594" s="123" t="str">
        <f>IF(B594&lt;&gt;"",INDEX(Index!$C$1:$C$77,MATCH($A594,Index!$A$1:$A$77,0)),"")</f>
        <v>Fields</v>
      </c>
      <c r="AW594" s="123">
        <f t="shared" si="11"/>
        <v>14</v>
      </c>
      <c r="AX594" s="113">
        <v>15</v>
      </c>
    </row>
    <row r="595" spans="1:50" x14ac:dyDescent="0.25">
      <c r="A595" s="95" t="s">
        <v>592</v>
      </c>
      <c r="B595" s="96">
        <v>2025</v>
      </c>
      <c r="C595" s="96">
        <v>1</v>
      </c>
      <c r="D595" s="96">
        <v>-1.35643</v>
      </c>
      <c r="E595" s="96">
        <v>0.366983</v>
      </c>
      <c r="F595" s="115">
        <v>0.366983</v>
      </c>
      <c r="G595" s="115">
        <v>7.5486000000000004</v>
      </c>
      <c r="H595" s="115">
        <v>0.13719999999999999</v>
      </c>
      <c r="I595" s="115">
        <v>27</v>
      </c>
      <c r="J595" s="115">
        <v>36</v>
      </c>
      <c r="K595" s="115">
        <v>0.75</v>
      </c>
      <c r="L595" s="115">
        <v>10.9704</v>
      </c>
      <c r="M595" s="115">
        <v>254</v>
      </c>
      <c r="N595" s="115">
        <v>7.0556000000000001</v>
      </c>
      <c r="O595" s="115">
        <v>1</v>
      </c>
      <c r="P595" s="115">
        <v>0</v>
      </c>
      <c r="Q595" s="115">
        <v>6</v>
      </c>
      <c r="R595" s="115">
        <v>11</v>
      </c>
      <c r="S595" s="115">
        <v>92</v>
      </c>
      <c r="T595" s="115">
        <v>8.3635999999999999</v>
      </c>
      <c r="U595" s="115">
        <v>0</v>
      </c>
      <c r="V595" s="115">
        <v>2.7799999999999998E-2</v>
      </c>
      <c r="W595" s="115">
        <v>0</v>
      </c>
      <c r="X595" s="115">
        <v>2.7799999999999998E-2</v>
      </c>
      <c r="Y595" s="115">
        <v>0.5091</v>
      </c>
      <c r="Z595" s="115">
        <v>103.241</v>
      </c>
      <c r="AA595" s="115">
        <v>5.7857000000000003</v>
      </c>
      <c r="AB595" s="115">
        <v>232.892</v>
      </c>
      <c r="AC595" s="115">
        <v>85.1</v>
      </c>
      <c r="AD595" s="115">
        <v>0.13250000000000001</v>
      </c>
      <c r="AE595" s="115">
        <v>-1.67E-2</v>
      </c>
      <c r="AF595" s="115">
        <v>3.49E-2</v>
      </c>
      <c r="AG595" s="115">
        <v>7.9200000000000007E-2</v>
      </c>
      <c r="AH595" s="115">
        <v>-5.5999999999999999E-3</v>
      </c>
      <c r="AI595" s="115">
        <v>-0.1429</v>
      </c>
      <c r="AJ595" s="115">
        <v>-1.5900000000000001E-2</v>
      </c>
      <c r="AK595" s="115">
        <v>8.1943999999999999</v>
      </c>
      <c r="AL595" s="115">
        <v>-1.4443999999999999</v>
      </c>
      <c r="AM595" s="115">
        <v>1</v>
      </c>
      <c r="AN595" s="115">
        <v>1</v>
      </c>
      <c r="AO595" s="115">
        <v>0</v>
      </c>
      <c r="AP595" s="115">
        <v>0</v>
      </c>
      <c r="AQ595" s="115">
        <v>0</v>
      </c>
      <c r="AR595" s="115"/>
      <c r="AS595" s="115">
        <v>3.8E-3</v>
      </c>
      <c r="AT595" s="115">
        <v>0.21</v>
      </c>
      <c r="AU595" s="114" t="str">
        <f>IF(A595&lt;&gt;"",INDEX(Index!$B$1:$B$77,MATCH($A595,Index!$A$1:$A$77,0)),"")</f>
        <v>BAL</v>
      </c>
      <c r="AV595" s="123" t="str">
        <f>IF(B595&lt;&gt;"",INDEX(Index!$C$1:$C$77,MATCH($A595,Index!$A$1:$A$77,0)),"")</f>
        <v>Huntley</v>
      </c>
      <c r="AW595" s="123">
        <f t="shared" si="11"/>
        <v>46</v>
      </c>
      <c r="AX595" s="113">
        <v>15</v>
      </c>
    </row>
    <row r="596" spans="1:50" x14ac:dyDescent="0.25">
      <c r="A596" s="95" t="s">
        <v>595</v>
      </c>
      <c r="B596" s="96">
        <v>2025</v>
      </c>
      <c r="C596" s="96">
        <v>3</v>
      </c>
      <c r="D596" s="96">
        <v>-1.4291499999999999</v>
      </c>
      <c r="E596" s="96">
        <v>0.156083</v>
      </c>
      <c r="F596" s="115">
        <v>0.53834000000000004</v>
      </c>
      <c r="G596" s="115">
        <v>-5.3174000000000001</v>
      </c>
      <c r="H596" s="115">
        <v>-3.0700000000000002E-2</v>
      </c>
      <c r="I596" s="115">
        <v>88</v>
      </c>
      <c r="J596" s="115">
        <v>150</v>
      </c>
      <c r="K596" s="115">
        <v>0.5867</v>
      </c>
      <c r="L596" s="115">
        <v>-5.2324999999999999</v>
      </c>
      <c r="M596" s="115">
        <v>879</v>
      </c>
      <c r="N596" s="115">
        <v>5.86</v>
      </c>
      <c r="O596" s="115">
        <v>5</v>
      </c>
      <c r="P596" s="115">
        <v>1</v>
      </c>
      <c r="Q596" s="115">
        <v>8</v>
      </c>
      <c r="R596" s="115">
        <v>8</v>
      </c>
      <c r="S596" s="115">
        <v>51</v>
      </c>
      <c r="T596" s="115">
        <v>6.375</v>
      </c>
      <c r="U596" s="115">
        <v>1</v>
      </c>
      <c r="V596" s="115">
        <v>3.3300000000000003E-2</v>
      </c>
      <c r="W596" s="115">
        <v>6.7000000000000002E-3</v>
      </c>
      <c r="X596" s="115">
        <v>2.6700000000000002E-2</v>
      </c>
      <c r="Y596" s="115">
        <v>0.41620000000000001</v>
      </c>
      <c r="Z596" s="115">
        <v>83.722200000000001</v>
      </c>
      <c r="AA596" s="115">
        <v>5.5316000000000001</v>
      </c>
      <c r="AB596" s="115">
        <v>178.798</v>
      </c>
      <c r="AC596" s="115"/>
      <c r="AD596" s="115">
        <v>-1.01E-2</v>
      </c>
      <c r="AE596" s="115">
        <v>1.43E-2</v>
      </c>
      <c r="AF596" s="115">
        <v>-6.54E-2</v>
      </c>
      <c r="AG596" s="115">
        <v>4.7300000000000002E-2</v>
      </c>
      <c r="AH596" s="115">
        <v>0.1081</v>
      </c>
      <c r="AI596" s="115">
        <v>-0.18429999999999999</v>
      </c>
      <c r="AJ596" s="115">
        <v>-1.24E-2</v>
      </c>
      <c r="AK596" s="115">
        <v>8.7066999999999997</v>
      </c>
      <c r="AL596" s="115">
        <v>-0.16669999999999999</v>
      </c>
      <c r="AM596" s="115">
        <v>4</v>
      </c>
      <c r="AN596" s="115">
        <v>1</v>
      </c>
      <c r="AO596" s="115">
        <v>0</v>
      </c>
      <c r="AP596" s="115">
        <v>1</v>
      </c>
      <c r="AQ596" s="115">
        <v>1</v>
      </c>
      <c r="AR596" s="115">
        <v>1</v>
      </c>
      <c r="AS596" s="115">
        <v>8.0000000000000004E-4</v>
      </c>
      <c r="AT596" s="115">
        <v>0.1444</v>
      </c>
      <c r="AU596" s="114" t="str">
        <f>IF(A596&lt;&gt;"",INDEX(Index!$B$1:$B$77,MATCH($A596,Index!$A$1:$A$77,0)),"")</f>
        <v>HOU</v>
      </c>
      <c r="AV596" s="123" t="str">
        <f>IF(B596&lt;&gt;"",INDEX(Index!$C$1:$C$77,MATCH($A596,Index!$A$1:$A$77,0)),"")</f>
        <v>Mills</v>
      </c>
      <c r="AW596" s="123">
        <f t="shared" si="11"/>
        <v>43</v>
      </c>
      <c r="AX596" s="113">
        <v>15</v>
      </c>
    </row>
    <row r="597" spans="1:50" x14ac:dyDescent="0.25">
      <c r="A597" s="95" t="s">
        <v>597</v>
      </c>
      <c r="B597" s="96">
        <v>2025</v>
      </c>
      <c r="C597" s="96">
        <v>1</v>
      </c>
      <c r="D597" s="96">
        <v>-1.43936</v>
      </c>
      <c r="E597" s="96">
        <v>-9.4016100000000005E-2</v>
      </c>
      <c r="F597" s="115">
        <v>-9.4016100000000005E-2</v>
      </c>
      <c r="G597" s="115">
        <v>6.1036999999999999</v>
      </c>
      <c r="H597" s="115">
        <v>0.10009999999999999</v>
      </c>
      <c r="I597" s="115">
        <v>38</v>
      </c>
      <c r="J597" s="115">
        <v>52</v>
      </c>
      <c r="K597" s="115">
        <v>0.73080000000000001</v>
      </c>
      <c r="L597" s="115">
        <v>5.7622999999999998</v>
      </c>
      <c r="M597" s="115">
        <v>310</v>
      </c>
      <c r="N597" s="115">
        <v>5.9615</v>
      </c>
      <c r="O597" s="115">
        <v>2</v>
      </c>
      <c r="P597" s="115">
        <v>2</v>
      </c>
      <c r="Q597" s="115">
        <v>2</v>
      </c>
      <c r="R597" s="115">
        <v>3</v>
      </c>
      <c r="S597" s="115">
        <v>7</v>
      </c>
      <c r="T597" s="115">
        <v>2.3332999999999999</v>
      </c>
      <c r="U597" s="115">
        <v>0</v>
      </c>
      <c r="V597" s="115">
        <v>3.85E-2</v>
      </c>
      <c r="W597" s="115">
        <v>3.85E-2</v>
      </c>
      <c r="X597" s="115">
        <v>0</v>
      </c>
      <c r="Y597" s="115">
        <v>0.52459999999999996</v>
      </c>
      <c r="Z597" s="115">
        <v>84.615399999999994</v>
      </c>
      <c r="AA597" s="115">
        <v>4.5926</v>
      </c>
      <c r="AB597" s="115">
        <v>110.53400000000001</v>
      </c>
      <c r="AC597" s="115"/>
      <c r="AD597" s="115">
        <v>-9.7000000000000003E-3</v>
      </c>
      <c r="AE597" s="115">
        <v>-3.5000000000000001E-3</v>
      </c>
      <c r="AF597" s="115">
        <v>0.13389999999999999</v>
      </c>
      <c r="AG597" s="115">
        <v>-5.45E-2</v>
      </c>
      <c r="AH597" s="115">
        <v>-0.36299999999999999</v>
      </c>
      <c r="AI597" s="115">
        <v>0.3105</v>
      </c>
      <c r="AJ597" s="115">
        <v>1.44E-2</v>
      </c>
      <c r="AK597" s="115">
        <v>5.2308000000000003</v>
      </c>
      <c r="AL597" s="115">
        <v>-2.9037999999999999</v>
      </c>
      <c r="AM597" s="115">
        <v>1</v>
      </c>
      <c r="AN597" s="115">
        <v>3</v>
      </c>
      <c r="AO597" s="115">
        <v>0</v>
      </c>
      <c r="AP597" s="115">
        <v>0</v>
      </c>
      <c r="AQ597" s="115">
        <v>1</v>
      </c>
      <c r="AR597" s="115">
        <v>0</v>
      </c>
      <c r="AS597" s="115">
        <v>-3.8E-3</v>
      </c>
      <c r="AT597" s="115">
        <v>-0.2298</v>
      </c>
      <c r="AU597" s="114" t="str">
        <f>IF(A597&lt;&gt;"",INDEX(Index!$B$1:$B$77,MATCH($A597,Index!$A$1:$A$77,0)),"")</f>
        <v>PIT</v>
      </c>
      <c r="AV597" s="123" t="str">
        <f>IF(B597&lt;&gt;"",INDEX(Index!$C$1:$C$77,MATCH($A597,Index!$A$1:$A$77,0)),"")</f>
        <v>Rudolph</v>
      </c>
      <c r="AW597" s="123">
        <f t="shared" si="11"/>
        <v>51</v>
      </c>
      <c r="AX597" s="113">
        <v>15</v>
      </c>
    </row>
    <row r="598" spans="1:50" x14ac:dyDescent="0.25">
      <c r="A598" s="95" t="s">
        <v>578</v>
      </c>
      <c r="B598" s="96">
        <v>2025</v>
      </c>
      <c r="C598" s="96">
        <v>9</v>
      </c>
      <c r="D598" s="96">
        <v>-1.5079800000000001</v>
      </c>
      <c r="E598" s="96">
        <v>0.10895100000000001</v>
      </c>
      <c r="F598" s="115">
        <v>0.26578200000000002</v>
      </c>
      <c r="G598" s="115">
        <v>19.752199999999998</v>
      </c>
      <c r="H598" s="115">
        <v>6.1199999999999997E-2</v>
      </c>
      <c r="I598" s="115">
        <v>166</v>
      </c>
      <c r="J598" s="115">
        <v>276</v>
      </c>
      <c r="K598" s="115">
        <v>0.60140000000000005</v>
      </c>
      <c r="L598" s="115">
        <v>-3.6196999999999999</v>
      </c>
      <c r="M598" s="115">
        <v>1982</v>
      </c>
      <c r="N598" s="115">
        <v>7.1811999999999996</v>
      </c>
      <c r="O598" s="115">
        <v>9</v>
      </c>
      <c r="P598" s="115">
        <v>3</v>
      </c>
      <c r="Q598" s="115">
        <v>13</v>
      </c>
      <c r="R598" s="115">
        <v>13</v>
      </c>
      <c r="S598" s="115">
        <v>77</v>
      </c>
      <c r="T598" s="115">
        <v>5.9230999999999998</v>
      </c>
      <c r="U598" s="115">
        <v>1</v>
      </c>
      <c r="V598" s="115">
        <v>3.2599999999999997E-2</v>
      </c>
      <c r="W598" s="115">
        <v>1.09E-2</v>
      </c>
      <c r="X598" s="115">
        <v>2.1700000000000001E-2</v>
      </c>
      <c r="Y598" s="115">
        <v>0.4768</v>
      </c>
      <c r="Z598" s="115">
        <v>88.466200000000001</v>
      </c>
      <c r="AA598" s="115">
        <v>6.6643999999999997</v>
      </c>
      <c r="AB598" s="115">
        <v>138.63399999999999</v>
      </c>
      <c r="AC598" s="115">
        <v>56.7</v>
      </c>
      <c r="AD598" s="115">
        <v>4.1999999999999997E-3</v>
      </c>
      <c r="AE598" s="115">
        <v>1.44E-2</v>
      </c>
      <c r="AF598" s="115">
        <v>-7.0099999999999996E-2</v>
      </c>
      <c r="AG598" s="115">
        <v>2.1299999999999999E-2</v>
      </c>
      <c r="AH598" s="115">
        <v>6.8199999999999997E-2</v>
      </c>
      <c r="AI598" s="115">
        <v>-5.8200000000000002E-2</v>
      </c>
      <c r="AJ598" s="115">
        <v>9.1000000000000004E-3</v>
      </c>
      <c r="AK598" s="115">
        <v>8.3332999999999995</v>
      </c>
      <c r="AL598" s="115">
        <v>-0.52900000000000003</v>
      </c>
      <c r="AM598" s="115">
        <v>3</v>
      </c>
      <c r="AN598" s="115">
        <v>6</v>
      </c>
      <c r="AO598" s="115">
        <v>0</v>
      </c>
      <c r="AP598" s="115">
        <v>0</v>
      </c>
      <c r="AQ598" s="115">
        <v>4</v>
      </c>
      <c r="AR598" s="115">
        <v>0</v>
      </c>
      <c r="AS598" s="115">
        <v>3.5000000000000001E-3</v>
      </c>
      <c r="AT598" s="115">
        <v>1.1247</v>
      </c>
      <c r="AU598" s="114" t="str">
        <f>IF(A598&lt;&gt;"",INDEX(Index!$B$1:$B$77,MATCH($A598,Index!$A$1:$A$77,0)),"")</f>
        <v>ATL</v>
      </c>
      <c r="AV598" s="123" t="str">
        <f>IF(B598&lt;&gt;"",INDEX(Index!$C$1:$C$77,MATCH($A598,Index!$A$1:$A$77,0)),"")</f>
        <v>Penix</v>
      </c>
      <c r="AW598" s="123">
        <f t="shared" si="11"/>
        <v>37</v>
      </c>
      <c r="AX598" s="113">
        <v>15</v>
      </c>
    </row>
    <row r="599" spans="1:50" x14ac:dyDescent="0.25">
      <c r="A599" s="95" t="s">
        <v>563</v>
      </c>
      <c r="B599" s="96">
        <v>2025</v>
      </c>
      <c r="C599" s="96">
        <v>14</v>
      </c>
      <c r="D599" s="96">
        <v>-1.5285299999999999</v>
      </c>
      <c r="E599" s="96">
        <v>-0.35064299999999998</v>
      </c>
      <c r="F599" s="115">
        <v>-1.6069500000000001</v>
      </c>
      <c r="G599" s="115">
        <v>34.676200000000001</v>
      </c>
      <c r="H599" s="115">
        <v>5.9400000000000001E-2</v>
      </c>
      <c r="I599" s="115">
        <v>296</v>
      </c>
      <c r="J599" s="115">
        <v>451</v>
      </c>
      <c r="K599" s="115">
        <v>0.65629999999999999</v>
      </c>
      <c r="L599" s="115">
        <v>0.49709999999999999</v>
      </c>
      <c r="M599" s="115">
        <v>3191</v>
      </c>
      <c r="N599" s="115">
        <v>7.0754000000000001</v>
      </c>
      <c r="O599" s="115">
        <v>23</v>
      </c>
      <c r="P599" s="115">
        <v>12</v>
      </c>
      <c r="Q599" s="115">
        <v>49</v>
      </c>
      <c r="R599" s="115">
        <v>58</v>
      </c>
      <c r="S599" s="115">
        <v>429</v>
      </c>
      <c r="T599" s="115">
        <v>7.3966000000000003</v>
      </c>
      <c r="U599" s="115">
        <v>1</v>
      </c>
      <c r="V599" s="115">
        <v>5.0999999999999997E-2</v>
      </c>
      <c r="W599" s="115">
        <v>2.6599999999999999E-2</v>
      </c>
      <c r="X599" s="115">
        <v>2.4400000000000002E-2</v>
      </c>
      <c r="Y599" s="115">
        <v>0.48630000000000001</v>
      </c>
      <c r="Z599" s="115">
        <v>92.170199999999994</v>
      </c>
      <c r="AA599" s="115">
        <v>5.69</v>
      </c>
      <c r="AB599" s="115">
        <v>143.251</v>
      </c>
      <c r="AC599" s="115">
        <v>58.2</v>
      </c>
      <c r="AD599" s="115">
        <v>2.53E-2</v>
      </c>
      <c r="AE599" s="115">
        <v>-2.63E-2</v>
      </c>
      <c r="AF599" s="115">
        <v>1.9E-2</v>
      </c>
      <c r="AG599" s="115">
        <v>-2.6800000000000001E-2</v>
      </c>
      <c r="AH599" s="115">
        <v>1.2800000000000001E-2</v>
      </c>
      <c r="AI599" s="115">
        <v>-1.3899999999999999E-2</v>
      </c>
      <c r="AJ599" s="115">
        <v>-2.5000000000000001E-3</v>
      </c>
      <c r="AK599" s="115">
        <v>7.6763000000000003</v>
      </c>
      <c r="AL599" s="115">
        <v>-1.1818</v>
      </c>
      <c r="AM599" s="115">
        <v>10</v>
      </c>
      <c r="AN599" s="115">
        <v>4</v>
      </c>
      <c r="AO599" s="115">
        <v>0</v>
      </c>
      <c r="AP599" s="115">
        <v>3</v>
      </c>
      <c r="AQ599" s="115">
        <v>4</v>
      </c>
      <c r="AR599" s="115">
        <v>0.75</v>
      </c>
      <c r="AS599" s="115">
        <v>1.6000000000000001E-3</v>
      </c>
      <c r="AT599" s="115">
        <v>0.92500000000000004</v>
      </c>
      <c r="AU599" s="114" t="str">
        <f>IF(A599&lt;&gt;"",INDEX(Index!$B$1:$B$77,MATCH($A599,Index!$A$1:$A$77,0)),"")</f>
        <v>LAC</v>
      </c>
      <c r="AV599" s="123" t="str">
        <f>IF(B599&lt;&gt;"",INDEX(Index!$C$1:$C$77,MATCH($A599,Index!$A$1:$A$77,0)),"")</f>
        <v>Herbert</v>
      </c>
      <c r="AW599" s="123">
        <f t="shared" si="11"/>
        <v>1</v>
      </c>
      <c r="AX599" s="113">
        <v>15</v>
      </c>
    </row>
    <row r="600" spans="1:50" x14ac:dyDescent="0.25">
      <c r="A600" s="95" t="s">
        <v>565</v>
      </c>
      <c r="B600" s="96">
        <v>2025</v>
      </c>
      <c r="C600" s="96">
        <v>13</v>
      </c>
      <c r="D600" s="96">
        <v>-1.69476</v>
      </c>
      <c r="E600" s="96">
        <v>-9.6607700000000005E-2</v>
      </c>
      <c r="F600" s="115">
        <v>-3.1164700000000001</v>
      </c>
      <c r="G600" s="115">
        <v>3.1613000000000002</v>
      </c>
      <c r="H600" s="115">
        <v>7.1000000000000004E-3</v>
      </c>
      <c r="I600" s="115">
        <v>260</v>
      </c>
      <c r="J600" s="115">
        <v>382</v>
      </c>
      <c r="K600" s="115">
        <v>0.68059999999999998</v>
      </c>
      <c r="L600" s="115">
        <v>2.0203000000000002</v>
      </c>
      <c r="M600" s="115">
        <v>2660</v>
      </c>
      <c r="N600" s="115">
        <v>6.9634</v>
      </c>
      <c r="O600" s="115">
        <v>20</v>
      </c>
      <c r="P600" s="115">
        <v>15</v>
      </c>
      <c r="Q600" s="115">
        <v>30</v>
      </c>
      <c r="R600" s="115">
        <v>11</v>
      </c>
      <c r="S600" s="115">
        <v>44</v>
      </c>
      <c r="T600" s="115">
        <v>4</v>
      </c>
      <c r="U600" s="115">
        <v>0</v>
      </c>
      <c r="V600" s="115">
        <v>5.2400000000000002E-2</v>
      </c>
      <c r="W600" s="115">
        <v>3.9300000000000002E-2</v>
      </c>
      <c r="X600" s="115">
        <v>1.3100000000000001E-2</v>
      </c>
      <c r="Y600" s="115">
        <v>0.44490000000000002</v>
      </c>
      <c r="Z600" s="115">
        <v>88.9071</v>
      </c>
      <c r="AA600" s="115">
        <v>5.3155000000000001</v>
      </c>
      <c r="AB600" s="115">
        <v>102.78</v>
      </c>
      <c r="AC600" s="115">
        <v>36.700000000000003</v>
      </c>
      <c r="AD600" s="115">
        <v>-3.4200000000000001E-2</v>
      </c>
      <c r="AE600" s="115">
        <v>-3.7000000000000002E-3</v>
      </c>
      <c r="AF600" s="115">
        <v>2.01E-2</v>
      </c>
      <c r="AG600" s="115">
        <v>-3.5700000000000003E-2</v>
      </c>
      <c r="AH600" s="115">
        <v>-1.9E-2</v>
      </c>
      <c r="AI600" s="115">
        <v>4.0500000000000001E-2</v>
      </c>
      <c r="AJ600" s="115">
        <v>-3.2800000000000003E-2</v>
      </c>
      <c r="AK600" s="115">
        <v>6.8403</v>
      </c>
      <c r="AL600" s="115">
        <v>-1.911</v>
      </c>
      <c r="AM600" s="115">
        <v>6</v>
      </c>
      <c r="AN600" s="115">
        <v>8</v>
      </c>
      <c r="AO600" s="115">
        <v>0</v>
      </c>
      <c r="AP600" s="115">
        <v>1</v>
      </c>
      <c r="AQ600" s="115">
        <v>5</v>
      </c>
      <c r="AR600" s="115">
        <v>0.2</v>
      </c>
      <c r="AS600" s="115">
        <v>-2.0000000000000001E-4</v>
      </c>
      <c r="AT600" s="115">
        <v>-9.4700000000000006E-2</v>
      </c>
      <c r="AU600" s="114" t="str">
        <f>IF(A600&lt;&gt;"",INDEX(Index!$B$1:$B$77,MATCH($A600,Index!$A$1:$A$77,0)),"")</f>
        <v>MIA</v>
      </c>
      <c r="AV600" s="123" t="str">
        <f>IF(B600&lt;&gt;"",INDEX(Index!$C$1:$C$77,MATCH($A600,Index!$A$1:$A$77,0)),"")</f>
        <v>Tagovailoa</v>
      </c>
      <c r="AW600" s="123">
        <f t="shared" si="11"/>
        <v>10</v>
      </c>
      <c r="AX600" s="113">
        <v>15</v>
      </c>
    </row>
    <row r="601" spans="1:50" x14ac:dyDescent="0.25">
      <c r="A601" s="95" t="s">
        <v>585</v>
      </c>
      <c r="B601" s="96">
        <v>2025</v>
      </c>
      <c r="C601" s="96">
        <v>3</v>
      </c>
      <c r="D601" s="96">
        <v>-1.83266</v>
      </c>
      <c r="E601" s="96">
        <v>0.13401099999999999</v>
      </c>
      <c r="F601" s="115">
        <v>-0.76969699999999996</v>
      </c>
      <c r="G601" s="115">
        <v>-35.722200000000001</v>
      </c>
      <c r="H601" s="115">
        <v>-0.23200000000000001</v>
      </c>
      <c r="I601" s="115">
        <v>81</v>
      </c>
      <c r="J601" s="115">
        <v>125</v>
      </c>
      <c r="K601" s="115">
        <v>0.64800000000000002</v>
      </c>
      <c r="L601" s="115">
        <v>0.37569999999999998</v>
      </c>
      <c r="M601" s="115">
        <v>771</v>
      </c>
      <c r="N601" s="115">
        <v>6.1680000000000001</v>
      </c>
      <c r="O601" s="115">
        <v>6</v>
      </c>
      <c r="P601" s="115">
        <v>8</v>
      </c>
      <c r="Q601" s="115">
        <v>9</v>
      </c>
      <c r="R601" s="115">
        <v>8</v>
      </c>
      <c r="S601" s="115">
        <v>40</v>
      </c>
      <c r="T601" s="115">
        <v>5</v>
      </c>
      <c r="U601" s="115">
        <v>1</v>
      </c>
      <c r="V601" s="115">
        <v>4.8000000000000001E-2</v>
      </c>
      <c r="W601" s="115">
        <v>6.4000000000000001E-2</v>
      </c>
      <c r="X601" s="115">
        <v>-1.6E-2</v>
      </c>
      <c r="Y601" s="115">
        <v>0.43509999999999999</v>
      </c>
      <c r="Z601" s="115">
        <v>71.116699999999994</v>
      </c>
      <c r="AA601" s="115">
        <v>3.5148999999999999</v>
      </c>
      <c r="AB601" s="115">
        <v>58.973999999999997</v>
      </c>
      <c r="AC601" s="115"/>
      <c r="AD601" s="115">
        <v>1.24E-2</v>
      </c>
      <c r="AE601" s="115">
        <v>7.9000000000000008E-3</v>
      </c>
      <c r="AF601" s="115">
        <v>2.9100000000000001E-2</v>
      </c>
      <c r="AG601" s="115">
        <v>-0.17430000000000001</v>
      </c>
      <c r="AH601" s="115">
        <v>-8.3900000000000002E-2</v>
      </c>
      <c r="AI601" s="115">
        <v>-0.13980000000000001</v>
      </c>
      <c r="AJ601" s="115">
        <v>4.48E-2</v>
      </c>
      <c r="AK601" s="115">
        <v>7.6719999999999997</v>
      </c>
      <c r="AL601" s="115">
        <v>-1.528</v>
      </c>
      <c r="AM601" s="115">
        <v>1</v>
      </c>
      <c r="AN601" s="115">
        <v>4</v>
      </c>
      <c r="AO601" s="115">
        <v>0</v>
      </c>
      <c r="AP601" s="115">
        <v>1</v>
      </c>
      <c r="AQ601" s="115">
        <v>1</v>
      </c>
      <c r="AR601" s="115">
        <v>1</v>
      </c>
      <c r="AS601" s="115">
        <v>-4.0000000000000002E-4</v>
      </c>
      <c r="AT601" s="115">
        <v>-5.45E-2</v>
      </c>
      <c r="AU601" s="114" t="str">
        <f>IF(A601&lt;&gt;"",INDEX(Index!$B$1:$B$77,MATCH($A601,Index!$A$1:$A$77,0)),"")</f>
        <v>CIN</v>
      </c>
      <c r="AV601" s="123" t="str">
        <f>IF(B601&lt;&gt;"",INDEX(Index!$C$1:$C$77,MATCH($A601,Index!$A$1:$A$77,0)),"")</f>
        <v>Browning</v>
      </c>
      <c r="AW601" s="123">
        <f t="shared" si="11"/>
        <v>41</v>
      </c>
      <c r="AX601" s="113">
        <v>15</v>
      </c>
    </row>
    <row r="602" spans="1:50" x14ac:dyDescent="0.25">
      <c r="A602" s="95" t="s">
        <v>594</v>
      </c>
      <c r="B602" s="96">
        <v>2025</v>
      </c>
      <c r="C602" s="96">
        <v>6</v>
      </c>
      <c r="D602" s="96">
        <v>-2.03451</v>
      </c>
      <c r="E602" s="96">
        <v>0.220473</v>
      </c>
      <c r="F602" s="115">
        <v>0.52850900000000001</v>
      </c>
      <c r="G602" s="115">
        <v>1.079</v>
      </c>
      <c r="H602" s="115">
        <v>3.8999999999999998E-3</v>
      </c>
      <c r="I602" s="115">
        <v>144</v>
      </c>
      <c r="J602" s="115">
        <v>214</v>
      </c>
      <c r="K602" s="115">
        <v>0.67290000000000005</v>
      </c>
      <c r="L602" s="115">
        <v>0.47399999999999998</v>
      </c>
      <c r="M602" s="115">
        <v>1484</v>
      </c>
      <c r="N602" s="115">
        <v>6.9345999999999997</v>
      </c>
      <c r="O602" s="115">
        <v>6</v>
      </c>
      <c r="P602" s="115">
        <v>5</v>
      </c>
      <c r="Q602" s="115">
        <v>22</v>
      </c>
      <c r="R602" s="115">
        <v>29</v>
      </c>
      <c r="S602" s="115">
        <v>148</v>
      </c>
      <c r="T602" s="115">
        <v>5.1033999999999997</v>
      </c>
      <c r="U602" s="115">
        <v>2</v>
      </c>
      <c r="V602" s="115">
        <v>2.8000000000000001E-2</v>
      </c>
      <c r="W602" s="115">
        <v>2.3400000000000001E-2</v>
      </c>
      <c r="X602" s="115">
        <v>4.7000000000000002E-3</v>
      </c>
      <c r="Y602" s="115">
        <v>0.47099999999999997</v>
      </c>
      <c r="Z602" s="115">
        <v>86.662800000000004</v>
      </c>
      <c r="AA602" s="115">
        <v>5.2626999999999997</v>
      </c>
      <c r="AB602" s="115">
        <v>136.61000000000001</v>
      </c>
      <c r="AC602" s="115">
        <v>46.3</v>
      </c>
      <c r="AD602" s="115">
        <v>1.03E-2</v>
      </c>
      <c r="AE602" s="115">
        <v>-5.5599999999999997E-2</v>
      </c>
      <c r="AF602" s="115">
        <v>4.0099999999999997E-2</v>
      </c>
      <c r="AG602" s="115">
        <v>6.0000000000000001E-3</v>
      </c>
      <c r="AH602" s="115">
        <v>6.7999999999999996E-3</v>
      </c>
      <c r="AI602" s="115">
        <v>-6.2E-2</v>
      </c>
      <c r="AJ602" s="115">
        <v>-1.3599999999999999E-2</v>
      </c>
      <c r="AK602" s="115">
        <v>8.2149999999999999</v>
      </c>
      <c r="AL602" s="115">
        <v>-0.77569999999999995</v>
      </c>
      <c r="AM602" s="115">
        <v>3</v>
      </c>
      <c r="AN602" s="115">
        <v>5</v>
      </c>
      <c r="AO602" s="115">
        <v>0</v>
      </c>
      <c r="AP602" s="115">
        <v>1</v>
      </c>
      <c r="AQ602" s="115">
        <v>2</v>
      </c>
      <c r="AR602" s="115">
        <v>0.5</v>
      </c>
      <c r="AS602" s="115">
        <v>3.8E-3</v>
      </c>
      <c r="AT602" s="115">
        <v>1.0571999999999999</v>
      </c>
      <c r="AU602" s="114" t="str">
        <f>IF(A602&lt;&gt;"",INDEX(Index!$B$1:$B$77,MATCH($A602,Index!$A$1:$A$77,0)),"")</f>
        <v>NO</v>
      </c>
      <c r="AV602" s="123" t="str">
        <f>IF(B602&lt;&gt;"",INDEX(Index!$C$1:$C$77,MATCH($A602,Index!$A$1:$A$77,0)),"")</f>
        <v>Shough</v>
      </c>
      <c r="AW602" s="123">
        <f t="shared" si="11"/>
        <v>22</v>
      </c>
      <c r="AX602" s="113">
        <v>15</v>
      </c>
    </row>
    <row r="603" spans="1:50" x14ac:dyDescent="0.25">
      <c r="A603" s="95" t="s">
        <v>593</v>
      </c>
      <c r="B603" s="96">
        <v>2025</v>
      </c>
      <c r="C603" s="96">
        <v>1</v>
      </c>
      <c r="D603" s="96">
        <v>-2.1767799999999999</v>
      </c>
      <c r="E603" s="96">
        <v>-0.78385899999999997</v>
      </c>
      <c r="F603" s="115">
        <v>-0.78385899999999997</v>
      </c>
      <c r="G603" s="115">
        <v>-8.7080000000000002</v>
      </c>
      <c r="H603" s="115">
        <v>-0.18140000000000001</v>
      </c>
      <c r="I603" s="115">
        <v>25</v>
      </c>
      <c r="J603" s="115">
        <v>37</v>
      </c>
      <c r="K603" s="115">
        <v>0.67569999999999997</v>
      </c>
      <c r="L603" s="115">
        <v>6.5959000000000003</v>
      </c>
      <c r="M603" s="115">
        <v>293</v>
      </c>
      <c r="N603" s="115">
        <v>7.9188999999999998</v>
      </c>
      <c r="O603" s="115">
        <v>1</v>
      </c>
      <c r="P603" s="115">
        <v>1</v>
      </c>
      <c r="Q603" s="115">
        <v>8</v>
      </c>
      <c r="R603" s="115">
        <v>1</v>
      </c>
      <c r="S603" s="115">
        <v>1</v>
      </c>
      <c r="T603" s="115">
        <v>1</v>
      </c>
      <c r="U603" s="115">
        <v>0</v>
      </c>
      <c r="V603" s="115">
        <v>2.7E-2</v>
      </c>
      <c r="W603" s="115">
        <v>2.7E-2</v>
      </c>
      <c r="X603" s="115">
        <v>0</v>
      </c>
      <c r="Y603" s="115">
        <v>0.45829999999999999</v>
      </c>
      <c r="Z603" s="115">
        <v>89.132900000000006</v>
      </c>
      <c r="AA603" s="115">
        <v>4.7556000000000003</v>
      </c>
      <c r="AB603" s="115">
        <v>-93.4208</v>
      </c>
      <c r="AC603" s="115"/>
      <c r="AD603" s="115">
        <v>-0.1211</v>
      </c>
      <c r="AE603" s="115">
        <v>-0.27350000000000002</v>
      </c>
      <c r="AF603" s="115">
        <v>2.1399999999999999E-2</v>
      </c>
      <c r="AG603" s="115">
        <v>-7.3300000000000004E-2</v>
      </c>
      <c r="AH603" s="115">
        <v>0.2843</v>
      </c>
      <c r="AI603" s="115">
        <v>-9.4500000000000001E-2</v>
      </c>
      <c r="AJ603" s="115">
        <v>3.3999999999999998E-3</v>
      </c>
      <c r="AK603" s="115">
        <v>9.4054000000000002</v>
      </c>
      <c r="AL603" s="115">
        <v>1.5405</v>
      </c>
      <c r="AM603" s="115">
        <v>1</v>
      </c>
      <c r="AN603" s="115">
        <v>2</v>
      </c>
      <c r="AO603" s="115">
        <v>0</v>
      </c>
      <c r="AP603" s="115">
        <v>0</v>
      </c>
      <c r="AQ603" s="115">
        <v>0</v>
      </c>
      <c r="AR603" s="115"/>
      <c r="AS603" s="115">
        <v>-8.2000000000000007E-3</v>
      </c>
      <c r="AT603" s="115">
        <v>-0.39529999999999998</v>
      </c>
      <c r="AU603" s="114" t="str">
        <f>IF(A603&lt;&gt;"",INDEX(Index!$B$1:$B$77,MATCH($A603,Index!$A$1:$A$77,0)),"")</f>
        <v>CAR</v>
      </c>
      <c r="AV603" s="123" t="str">
        <f>IF(B603&lt;&gt;"",INDEX(Index!$C$1:$C$77,MATCH($A603,Index!$A$1:$A$77,0)),"")</f>
        <v>Dalton</v>
      </c>
      <c r="AW603" s="123">
        <f t="shared" si="11"/>
        <v>43</v>
      </c>
      <c r="AX603" s="113">
        <v>15</v>
      </c>
    </row>
    <row r="604" spans="1:50" x14ac:dyDescent="0.25">
      <c r="A604" s="95" t="s">
        <v>584</v>
      </c>
      <c r="B604" s="96">
        <v>2025</v>
      </c>
      <c r="C604" s="96">
        <v>4</v>
      </c>
      <c r="D604" s="96">
        <v>-2.18994</v>
      </c>
      <c r="E604" s="96">
        <v>-0.72736699999999999</v>
      </c>
      <c r="F604" s="115">
        <v>-0.59244799999999997</v>
      </c>
      <c r="G604" s="115">
        <v>-4.5903</v>
      </c>
      <c r="H604" s="115">
        <v>-2.5499999999999998E-2</v>
      </c>
      <c r="I604" s="115">
        <v>80</v>
      </c>
      <c r="J604" s="115">
        <v>133</v>
      </c>
      <c r="K604" s="115">
        <v>0.60150000000000003</v>
      </c>
      <c r="L604" s="115">
        <v>-0.87760000000000005</v>
      </c>
      <c r="M604" s="115">
        <v>779</v>
      </c>
      <c r="N604" s="115">
        <v>5.8571</v>
      </c>
      <c r="O604" s="115">
        <v>5</v>
      </c>
      <c r="P604" s="115">
        <v>5</v>
      </c>
      <c r="Q604" s="115">
        <v>14</v>
      </c>
      <c r="R604" s="115">
        <v>25</v>
      </c>
      <c r="S604" s="115">
        <v>145</v>
      </c>
      <c r="T604" s="115">
        <v>5.8</v>
      </c>
      <c r="U604" s="115">
        <v>1</v>
      </c>
      <c r="V604" s="115">
        <v>3.7600000000000001E-2</v>
      </c>
      <c r="W604" s="115">
        <v>3.7600000000000001E-2</v>
      </c>
      <c r="X604" s="115">
        <v>0</v>
      </c>
      <c r="Y604" s="115">
        <v>0.44440000000000002</v>
      </c>
      <c r="Z604" s="115">
        <v>73.480599999999995</v>
      </c>
      <c r="AA604" s="115">
        <v>3.8912</v>
      </c>
      <c r="AB604" s="115">
        <v>87.315399999999997</v>
      </c>
      <c r="AC604" s="115">
        <v>51.8</v>
      </c>
      <c r="AD604" s="115">
        <v>-1.6000000000000001E-3</v>
      </c>
      <c r="AE604" s="115">
        <v>-2.9999999999999997E-4</v>
      </c>
      <c r="AF604" s="115">
        <v>-2.8799999999999999E-2</v>
      </c>
      <c r="AG604" s="115">
        <v>-2.1299999999999999E-2</v>
      </c>
      <c r="AH604" s="115">
        <v>3.2000000000000001E-2</v>
      </c>
      <c r="AI604" s="115">
        <v>-7.2400000000000006E-2</v>
      </c>
      <c r="AJ604" s="115">
        <v>-5.0000000000000001E-3</v>
      </c>
      <c r="AK604" s="115">
        <v>8.609</v>
      </c>
      <c r="AL604" s="115">
        <v>-0.41349999999999998</v>
      </c>
      <c r="AM604" s="115">
        <v>1</v>
      </c>
      <c r="AN604" s="115">
        <v>5</v>
      </c>
      <c r="AO604" s="115">
        <v>0</v>
      </c>
      <c r="AP604" s="115">
        <v>1</v>
      </c>
      <c r="AQ604" s="115">
        <v>2</v>
      </c>
      <c r="AR604" s="115">
        <v>0.5</v>
      </c>
      <c r="AS604" s="115">
        <v>-1.4E-3</v>
      </c>
      <c r="AT604" s="115">
        <v>-0.25390000000000001</v>
      </c>
      <c r="AU604" s="114" t="str">
        <f>IF(A604&lt;&gt;"",INDEX(Index!$B$1:$B$77,MATCH($A604,Index!$A$1:$A$77,0)),"")</f>
        <v>NYJ</v>
      </c>
      <c r="AV604" s="123" t="str">
        <f>IF(B604&lt;&gt;"",INDEX(Index!$C$1:$C$77,MATCH($A604,Index!$A$1:$A$77,0)),"")</f>
        <v>Taylor</v>
      </c>
      <c r="AW604" s="123">
        <f t="shared" si="11"/>
        <v>36</v>
      </c>
      <c r="AX604" s="113">
        <v>15</v>
      </c>
    </row>
    <row r="605" spans="1:50" x14ac:dyDescent="0.25">
      <c r="A605" s="95" t="s">
        <v>586</v>
      </c>
      <c r="B605" s="96">
        <v>2025</v>
      </c>
      <c r="C605" s="96">
        <v>5</v>
      </c>
      <c r="D605" s="96">
        <v>-2.3539500000000002</v>
      </c>
      <c r="E605" s="96">
        <v>-0.60543899999999995</v>
      </c>
      <c r="F605" s="115">
        <v>-0.248695</v>
      </c>
      <c r="G605" s="115">
        <v>12.968299999999999</v>
      </c>
      <c r="H605" s="115">
        <v>6.3E-2</v>
      </c>
      <c r="I605" s="115">
        <v>110</v>
      </c>
      <c r="J605" s="115">
        <v>168</v>
      </c>
      <c r="K605" s="115">
        <v>0.65480000000000005</v>
      </c>
      <c r="L605" s="115">
        <v>1.1112</v>
      </c>
      <c r="M605" s="115">
        <v>1216</v>
      </c>
      <c r="N605" s="115">
        <v>7.2381000000000002</v>
      </c>
      <c r="O605" s="115">
        <v>6</v>
      </c>
      <c r="P605" s="115">
        <v>5</v>
      </c>
      <c r="Q605" s="115">
        <v>19</v>
      </c>
      <c r="R605" s="115">
        <v>9</v>
      </c>
      <c r="S605" s="115">
        <v>57</v>
      </c>
      <c r="T605" s="115">
        <v>6.3333000000000004</v>
      </c>
      <c r="U605" s="115">
        <v>0</v>
      </c>
      <c r="V605" s="115">
        <v>3.5700000000000003E-2</v>
      </c>
      <c r="W605" s="115">
        <v>2.98E-2</v>
      </c>
      <c r="X605" s="115">
        <v>6.0000000000000001E-3</v>
      </c>
      <c r="Y605" s="115">
        <v>0.48060000000000003</v>
      </c>
      <c r="Z605" s="115">
        <v>86.3095</v>
      </c>
      <c r="AA605" s="115">
        <v>5.2727000000000004</v>
      </c>
      <c r="AB605" s="115">
        <v>107.76</v>
      </c>
      <c r="AC605" s="115"/>
      <c r="AD605" s="115">
        <v>-2.18E-2</v>
      </c>
      <c r="AE605" s="115">
        <v>-3.15E-2</v>
      </c>
      <c r="AF605" s="115">
        <v>2.7300000000000001E-2</v>
      </c>
      <c r="AG605" s="115">
        <v>-2.7E-2</v>
      </c>
      <c r="AH605" s="115">
        <v>6.7999999999999996E-3</v>
      </c>
      <c r="AI605" s="115">
        <v>3.2800000000000003E-2</v>
      </c>
      <c r="AJ605" s="115">
        <v>4.5999999999999999E-3</v>
      </c>
      <c r="AK605" s="115">
        <v>7.6666999999999996</v>
      </c>
      <c r="AL605" s="115">
        <v>-1.3571</v>
      </c>
      <c r="AM605" s="115">
        <v>2</v>
      </c>
      <c r="AN605" s="115">
        <v>3</v>
      </c>
      <c r="AO605" s="115">
        <v>0</v>
      </c>
      <c r="AP605" s="115">
        <v>1</v>
      </c>
      <c r="AQ605" s="115">
        <v>3</v>
      </c>
      <c r="AR605" s="115">
        <v>0.33329999999999999</v>
      </c>
      <c r="AS605" s="115">
        <v>1.1999999999999999E-3</v>
      </c>
      <c r="AT605" s="115">
        <v>0.23880000000000001</v>
      </c>
      <c r="AU605" s="114" t="str">
        <f>IF(A605&lt;&gt;"",INDEX(Index!$B$1:$B$77,MATCH($A605,Index!$A$1:$A$77,0)),"")</f>
        <v>MIN</v>
      </c>
      <c r="AV605" s="123" t="str">
        <f>IF(B605&lt;&gt;"",INDEX(Index!$C$1:$C$77,MATCH($A605,Index!$A$1:$A$77,0)),"")</f>
        <v>Wentz</v>
      </c>
      <c r="AW605" s="123">
        <f t="shared" si="11"/>
        <v>25</v>
      </c>
      <c r="AX605" s="113">
        <v>15</v>
      </c>
    </row>
    <row r="606" spans="1:50" x14ac:dyDescent="0.25">
      <c r="A606" s="95" t="s">
        <v>588</v>
      </c>
      <c r="B606" s="96">
        <v>2025</v>
      </c>
      <c r="C606" s="96">
        <v>2</v>
      </c>
      <c r="D606" s="96">
        <v>-2.4039799999999998</v>
      </c>
      <c r="E606" s="96">
        <v>-0.378133</v>
      </c>
      <c r="F606" s="115">
        <v>-0.79516200000000004</v>
      </c>
      <c r="G606" s="115">
        <v>-25.889299999999999</v>
      </c>
      <c r="H606" s="115">
        <v>-0.45419999999999999</v>
      </c>
      <c r="I606" s="115">
        <v>34</v>
      </c>
      <c r="J606" s="115">
        <v>52</v>
      </c>
      <c r="K606" s="115">
        <v>0.65380000000000005</v>
      </c>
      <c r="L606" s="115">
        <v>-1.9399</v>
      </c>
      <c r="M606" s="115">
        <v>303</v>
      </c>
      <c r="N606" s="115">
        <v>5.8269000000000002</v>
      </c>
      <c r="O606" s="115">
        <v>0</v>
      </c>
      <c r="P606" s="115">
        <v>4</v>
      </c>
      <c r="Q606" s="115">
        <v>1</v>
      </c>
      <c r="R606" s="115">
        <v>0</v>
      </c>
      <c r="S606" s="115">
        <v>0</v>
      </c>
      <c r="T606" s="115"/>
      <c r="U606" s="115">
        <v>0</v>
      </c>
      <c r="V606" s="115">
        <v>0</v>
      </c>
      <c r="W606" s="115">
        <v>7.6899999999999996E-2</v>
      </c>
      <c r="X606" s="115">
        <v>-7.6899999999999996E-2</v>
      </c>
      <c r="Y606" s="115">
        <v>0.42109999999999997</v>
      </c>
      <c r="Z606" s="115">
        <v>48.798099999999998</v>
      </c>
      <c r="AA606" s="115">
        <v>2.0188999999999999</v>
      </c>
      <c r="AB606" s="115">
        <v>12.234400000000001</v>
      </c>
      <c r="AC606" s="115"/>
      <c r="AD606" s="115">
        <v>-3.1699999999999999E-2</v>
      </c>
      <c r="AE606" s="115">
        <v>6.08E-2</v>
      </c>
      <c r="AF606" s="115">
        <v>-5.1799999999999999E-2</v>
      </c>
      <c r="AG606" s="115">
        <v>-0.2238</v>
      </c>
      <c r="AH606" s="115">
        <v>-0.22070000000000001</v>
      </c>
      <c r="AI606" s="115">
        <v>-2.1499999999999998E-2</v>
      </c>
      <c r="AJ606" s="115">
        <v>-3.73E-2</v>
      </c>
      <c r="AK606" s="115">
        <v>6.4423000000000004</v>
      </c>
      <c r="AL606" s="115">
        <v>-2.0577000000000001</v>
      </c>
      <c r="AM606" s="115">
        <v>0</v>
      </c>
      <c r="AN606" s="115">
        <v>3</v>
      </c>
      <c r="AO606" s="115">
        <v>0</v>
      </c>
      <c r="AP606" s="115">
        <v>0</v>
      </c>
      <c r="AQ606" s="115">
        <v>0</v>
      </c>
      <c r="AR606" s="115"/>
      <c r="AS606" s="115">
        <v>-6.8999999999999999E-3</v>
      </c>
      <c r="AT606" s="115">
        <v>-0.39179999999999998</v>
      </c>
      <c r="AU606" s="114" t="str">
        <f>IF(A606&lt;&gt;"",INDEX(Index!$B$1:$B$77,MATCH($A606,Index!$A$1:$A$77,0)),"")</f>
        <v>BAL</v>
      </c>
      <c r="AV606" s="123" t="str">
        <f>IF(B606&lt;&gt;"",INDEX(Index!$C$1:$C$77,MATCH($A606,Index!$A$1:$A$77,0)),"")</f>
        <v>Rush</v>
      </c>
      <c r="AW606" s="123">
        <f t="shared" si="11"/>
        <v>52</v>
      </c>
      <c r="AX606" s="113">
        <v>15</v>
      </c>
    </row>
    <row r="607" spans="1:50" x14ac:dyDescent="0.25">
      <c r="A607" s="95" t="s">
        <v>581</v>
      </c>
      <c r="B607" s="96">
        <v>2025</v>
      </c>
      <c r="C607" s="96">
        <v>8</v>
      </c>
      <c r="D607" s="96">
        <v>-2.4731800000000002</v>
      </c>
      <c r="E607" s="96">
        <v>-0.47380100000000003</v>
      </c>
      <c r="F607" s="115">
        <v>0.738784</v>
      </c>
      <c r="G607" s="115">
        <v>-16.940899999999999</v>
      </c>
      <c r="H607" s="115">
        <v>-5.2299999999999999E-2</v>
      </c>
      <c r="I607" s="115">
        <v>174</v>
      </c>
      <c r="J607" s="115">
        <v>254</v>
      </c>
      <c r="K607" s="115">
        <v>0.68500000000000005</v>
      </c>
      <c r="L607" s="115">
        <v>2.3567999999999998</v>
      </c>
      <c r="M607" s="115">
        <v>1586</v>
      </c>
      <c r="N607" s="115">
        <v>6.2441000000000004</v>
      </c>
      <c r="O607" s="115">
        <v>8</v>
      </c>
      <c r="P607" s="115">
        <v>5</v>
      </c>
      <c r="Q607" s="115">
        <v>18</v>
      </c>
      <c r="R607" s="115">
        <v>30</v>
      </c>
      <c r="S607" s="115">
        <v>168</v>
      </c>
      <c r="T607" s="115">
        <v>5.6</v>
      </c>
      <c r="U607" s="115">
        <v>0</v>
      </c>
      <c r="V607" s="115">
        <v>3.15E-2</v>
      </c>
      <c r="W607" s="115">
        <v>1.9699999999999999E-2</v>
      </c>
      <c r="X607" s="115">
        <v>1.18E-2</v>
      </c>
      <c r="Y607" s="115">
        <v>0.48149999999999998</v>
      </c>
      <c r="Z607" s="115">
        <v>87.483599999999996</v>
      </c>
      <c r="AA607" s="115">
        <v>5.2096</v>
      </c>
      <c r="AB607" s="115">
        <v>139.14599999999999</v>
      </c>
      <c r="AC607" s="115">
        <v>50.3</v>
      </c>
      <c r="AD607" s="115">
        <v>-2.0999999999999999E-3</v>
      </c>
      <c r="AE607" s="115">
        <v>1.15E-2</v>
      </c>
      <c r="AF607" s="115">
        <v>2.81E-2</v>
      </c>
      <c r="AG607" s="115">
        <v>1.6299999999999999E-2</v>
      </c>
      <c r="AH607" s="115">
        <v>-5.0700000000000002E-2</v>
      </c>
      <c r="AI607" s="115">
        <v>-0.13350000000000001</v>
      </c>
      <c r="AJ607" s="115">
        <v>6.1999999999999998E-3</v>
      </c>
      <c r="AK607" s="115">
        <v>7.9920999999999998</v>
      </c>
      <c r="AL607" s="115">
        <v>-1.1220000000000001</v>
      </c>
      <c r="AM607" s="115">
        <v>2</v>
      </c>
      <c r="AN607" s="115">
        <v>7</v>
      </c>
      <c r="AO607" s="115">
        <v>0</v>
      </c>
      <c r="AP607" s="115">
        <v>0</v>
      </c>
      <c r="AQ607" s="115">
        <v>4</v>
      </c>
      <c r="AR607" s="115">
        <v>0</v>
      </c>
      <c r="AS607" s="115">
        <v>-2.8E-3</v>
      </c>
      <c r="AT607" s="115">
        <v>-0.90159999999999996</v>
      </c>
      <c r="AU607" s="114" t="str">
        <f>IF(A607&lt;&gt;"",INDEX(Index!$B$1:$B$77,MATCH($A607,Index!$A$1:$A$77,0)),"")</f>
        <v>NO</v>
      </c>
      <c r="AV607" s="123" t="str">
        <f>IF(B607&lt;&gt;"",INDEX(Index!$C$1:$C$77,MATCH($A607,Index!$A$1:$A$77,0)),"")</f>
        <v>Rattler</v>
      </c>
      <c r="AW607" s="123">
        <f t="shared" si="11"/>
        <v>27</v>
      </c>
      <c r="AX607" s="113">
        <v>15</v>
      </c>
    </row>
    <row r="608" spans="1:50" x14ac:dyDescent="0.25">
      <c r="A608" s="95" t="s">
        <v>601</v>
      </c>
      <c r="B608" s="96">
        <v>2025</v>
      </c>
      <c r="C608" s="96">
        <v>1</v>
      </c>
      <c r="D608" s="96">
        <v>-2.4860899999999999</v>
      </c>
      <c r="E608" s="96">
        <v>-0.57393700000000003</v>
      </c>
      <c r="F608" s="115">
        <v>-0.57393700000000003</v>
      </c>
      <c r="G608" s="115">
        <v>-15.235099999999999</v>
      </c>
      <c r="H608" s="115">
        <v>-0.32419999999999999</v>
      </c>
      <c r="I608" s="115">
        <v>25</v>
      </c>
      <c r="J608" s="115">
        <v>38</v>
      </c>
      <c r="K608" s="115">
        <v>0.65790000000000004</v>
      </c>
      <c r="L608" s="115">
        <v>-4.2282000000000002</v>
      </c>
      <c r="M608" s="115">
        <v>169</v>
      </c>
      <c r="N608" s="115">
        <v>4.4474</v>
      </c>
      <c r="O608" s="115">
        <v>1</v>
      </c>
      <c r="P608" s="115">
        <v>1</v>
      </c>
      <c r="Q608" s="115">
        <v>5</v>
      </c>
      <c r="R608" s="115">
        <v>3</v>
      </c>
      <c r="S608" s="115">
        <v>13</v>
      </c>
      <c r="T608" s="115">
        <v>4.3333000000000004</v>
      </c>
      <c r="U608" s="115">
        <v>0</v>
      </c>
      <c r="V608" s="115">
        <v>2.63E-2</v>
      </c>
      <c r="W608" s="115">
        <v>2.63E-2</v>
      </c>
      <c r="X608" s="115">
        <v>0</v>
      </c>
      <c r="Y608" s="115">
        <v>0.31909999999999999</v>
      </c>
      <c r="Z608" s="115">
        <v>73.245599999999996</v>
      </c>
      <c r="AA608" s="115">
        <v>2.4186000000000001</v>
      </c>
      <c r="AB608" s="115">
        <v>-40.341000000000001</v>
      </c>
      <c r="AC608" s="115"/>
      <c r="AD608" s="115">
        <v>-2.3199999999999998E-2</v>
      </c>
      <c r="AE608" s="115">
        <v>5.0000000000000001E-4</v>
      </c>
      <c r="AF608" s="115">
        <v>-5.1999999999999998E-2</v>
      </c>
      <c r="AG608" s="115">
        <v>-1.15E-2</v>
      </c>
      <c r="AH608" s="115">
        <v>-0.13020000000000001</v>
      </c>
      <c r="AI608" s="115">
        <v>-0.17349999999999999</v>
      </c>
      <c r="AJ608" s="115">
        <v>-6.0000000000000001E-3</v>
      </c>
      <c r="AK608" s="115">
        <v>5.2895000000000003</v>
      </c>
      <c r="AL608" s="115">
        <v>-3.6316000000000002</v>
      </c>
      <c r="AM608" s="115">
        <v>0</v>
      </c>
      <c r="AN608" s="115">
        <v>4</v>
      </c>
      <c r="AO608" s="115">
        <v>0</v>
      </c>
      <c r="AP608" s="115">
        <v>0</v>
      </c>
      <c r="AQ608" s="115">
        <v>1</v>
      </c>
      <c r="AR608" s="115">
        <v>0</v>
      </c>
      <c r="AS608" s="115">
        <v>-6.6E-3</v>
      </c>
      <c r="AT608" s="115">
        <v>-0.3095</v>
      </c>
      <c r="AU608" s="114" t="str">
        <f>IF(A608&lt;&gt;"",INDEX(Index!$B$1:$B$77,MATCH($A608,Index!$A$1:$A$77,0)),"")</f>
        <v>LV</v>
      </c>
      <c r="AV608" s="123" t="str">
        <f>IF(B608&lt;&gt;"",INDEX(Index!$C$1:$C$77,MATCH($A608,Index!$A$1:$A$77,0)),"")</f>
        <v>Pickett</v>
      </c>
      <c r="AW608" s="123">
        <f t="shared" si="11"/>
        <v>48</v>
      </c>
      <c r="AX608" s="113">
        <v>15</v>
      </c>
    </row>
    <row r="609" spans="1:50" x14ac:dyDescent="0.25">
      <c r="A609" s="95" t="s">
        <v>572</v>
      </c>
      <c r="B609" s="96">
        <v>2025</v>
      </c>
      <c r="C609" s="96">
        <v>13</v>
      </c>
      <c r="D609" s="96">
        <v>-2.77515</v>
      </c>
      <c r="E609" s="96">
        <v>-2.73709E-2</v>
      </c>
      <c r="F609" s="115">
        <v>-2.81656</v>
      </c>
      <c r="G609" s="115">
        <v>-52.843299999999999</v>
      </c>
      <c r="H609" s="115">
        <v>-0.1046</v>
      </c>
      <c r="I609" s="115">
        <v>266</v>
      </c>
      <c r="J609" s="115">
        <v>395</v>
      </c>
      <c r="K609" s="115">
        <v>0.6734</v>
      </c>
      <c r="L609" s="115">
        <v>-1.2999999999999999E-3</v>
      </c>
      <c r="M609" s="115">
        <v>2648</v>
      </c>
      <c r="N609" s="115">
        <v>6.7038000000000002</v>
      </c>
      <c r="O609" s="115">
        <v>16</v>
      </c>
      <c r="P609" s="115">
        <v>14</v>
      </c>
      <c r="Q609" s="115">
        <v>49</v>
      </c>
      <c r="R609" s="115">
        <v>33</v>
      </c>
      <c r="S609" s="115">
        <v>114</v>
      </c>
      <c r="T609" s="115">
        <v>3.4544999999999999</v>
      </c>
      <c r="U609" s="115">
        <v>0</v>
      </c>
      <c r="V609" s="115">
        <v>4.0500000000000001E-2</v>
      </c>
      <c r="W609" s="115">
        <v>3.5400000000000001E-2</v>
      </c>
      <c r="X609" s="115">
        <v>5.1000000000000004E-3</v>
      </c>
      <c r="Y609" s="115">
        <v>0.44359999999999999</v>
      </c>
      <c r="Z609" s="115">
        <v>84.868099999999998</v>
      </c>
      <c r="AA609" s="115">
        <v>4.4775</v>
      </c>
      <c r="AB609" s="115">
        <v>71.190700000000007</v>
      </c>
      <c r="AC609" s="115">
        <v>32.4</v>
      </c>
      <c r="AD609" s="115">
        <v>-2.7699999999999999E-2</v>
      </c>
      <c r="AE609" s="115">
        <v>-7.8899999999999998E-2</v>
      </c>
      <c r="AF609" s="115">
        <v>3.73E-2</v>
      </c>
      <c r="AG609" s="115">
        <v>-5.6500000000000002E-2</v>
      </c>
      <c r="AH609" s="115">
        <v>-0.1186</v>
      </c>
      <c r="AI609" s="115">
        <v>5.9400000000000001E-2</v>
      </c>
      <c r="AJ609" s="115">
        <v>8.5000000000000006E-3</v>
      </c>
      <c r="AK609" s="115">
        <v>6.1315999999999997</v>
      </c>
      <c r="AL609" s="115">
        <v>-2.8100999999999998</v>
      </c>
      <c r="AM609" s="115">
        <v>2</v>
      </c>
      <c r="AN609" s="115">
        <v>11</v>
      </c>
      <c r="AO609" s="115">
        <v>0</v>
      </c>
      <c r="AP609" s="115">
        <v>0</v>
      </c>
      <c r="AQ609" s="115">
        <v>3</v>
      </c>
      <c r="AR609" s="115">
        <v>0</v>
      </c>
      <c r="AS609" s="115">
        <v>-2.2000000000000001E-3</v>
      </c>
      <c r="AT609" s="115">
        <v>-1.1273</v>
      </c>
      <c r="AU609" s="114" t="str">
        <f>IF(A609&lt;&gt;"",INDEX(Index!$B$1:$B$77,MATCH($A609,Index!$A$1:$A$77,0)),"")</f>
        <v>LV</v>
      </c>
      <c r="AV609" s="123" t="str">
        <f>IF(B609&lt;&gt;"",INDEX(Index!$C$1:$C$77,MATCH($A609,Index!$A$1:$A$77,0)),"")</f>
        <v>Smith</v>
      </c>
      <c r="AW609" s="123">
        <f t="shared" si="11"/>
        <v>1</v>
      </c>
      <c r="AX609" s="113">
        <v>15</v>
      </c>
    </row>
    <row r="610" spans="1:50" x14ac:dyDescent="0.25">
      <c r="A610" s="95" t="s">
        <v>582</v>
      </c>
      <c r="B610" s="96">
        <v>2025</v>
      </c>
      <c r="C610" s="96">
        <v>14</v>
      </c>
      <c r="D610" s="96">
        <v>-2.9960399999999998</v>
      </c>
      <c r="E610" s="96">
        <v>0.28285100000000002</v>
      </c>
      <c r="F610" s="115">
        <v>-1.6073200000000001</v>
      </c>
      <c r="G610" s="115">
        <v>-92.158199999999994</v>
      </c>
      <c r="H610" s="115">
        <v>-0.15939999999999999</v>
      </c>
      <c r="I610" s="115">
        <v>278</v>
      </c>
      <c r="J610" s="115">
        <v>466</v>
      </c>
      <c r="K610" s="115">
        <v>0.59660000000000002</v>
      </c>
      <c r="L610" s="115">
        <v>-4.1925999999999997</v>
      </c>
      <c r="M610" s="115">
        <v>2638</v>
      </c>
      <c r="N610" s="115">
        <v>5.6608999999999998</v>
      </c>
      <c r="O610" s="115">
        <v>11</v>
      </c>
      <c r="P610" s="115">
        <v>7</v>
      </c>
      <c r="Q610" s="115">
        <v>49</v>
      </c>
      <c r="R610" s="115">
        <v>26</v>
      </c>
      <c r="S610" s="115">
        <v>137</v>
      </c>
      <c r="T610" s="115">
        <v>5.2691999999999997</v>
      </c>
      <c r="U610" s="115">
        <v>1</v>
      </c>
      <c r="V610" s="115">
        <v>2.3599999999999999E-2</v>
      </c>
      <c r="W610" s="115">
        <v>1.4999999999999999E-2</v>
      </c>
      <c r="X610" s="115">
        <v>8.6E-3</v>
      </c>
      <c r="Y610" s="115">
        <v>0.39100000000000001</v>
      </c>
      <c r="Z610" s="115">
        <v>76.993899999999996</v>
      </c>
      <c r="AA610" s="115">
        <v>4.2175000000000002</v>
      </c>
      <c r="AB610" s="115">
        <v>57.6462</v>
      </c>
      <c r="AC610" s="115">
        <v>31.2</v>
      </c>
      <c r="AD610" s="115">
        <v>-5.8999999999999999E-3</v>
      </c>
      <c r="AE610" s="115">
        <v>-7.3700000000000002E-2</v>
      </c>
      <c r="AF610" s="115">
        <v>-2.7400000000000001E-2</v>
      </c>
      <c r="AG610" s="115">
        <v>2.9399999999999999E-2</v>
      </c>
      <c r="AH610" s="115">
        <v>-0.1085</v>
      </c>
      <c r="AI610" s="115">
        <v>-3.8399999999999997E-2</v>
      </c>
      <c r="AJ610" s="115">
        <v>-6.8999999999999999E-3</v>
      </c>
      <c r="AK610" s="115">
        <v>7.1952999999999996</v>
      </c>
      <c r="AL610" s="115">
        <v>-1.9893000000000001</v>
      </c>
      <c r="AM610" s="115">
        <v>2</v>
      </c>
      <c r="AN610" s="115">
        <v>12</v>
      </c>
      <c r="AO610" s="115">
        <v>0</v>
      </c>
      <c r="AP610" s="115">
        <v>1</v>
      </c>
      <c r="AQ610" s="115">
        <v>4</v>
      </c>
      <c r="AR610" s="115">
        <v>0.25</v>
      </c>
      <c r="AS610" s="115">
        <v>-3.3E-3</v>
      </c>
      <c r="AT610" s="115">
        <v>-1.8894</v>
      </c>
      <c r="AU610" s="114" t="str">
        <f>IF(A610&lt;&gt;"",INDEX(Index!$B$1:$B$77,MATCH($A610,Index!$A$1:$A$77,0)),"")</f>
        <v>TEN</v>
      </c>
      <c r="AV610" s="123" t="str">
        <f>IF(B610&lt;&gt;"",INDEX(Index!$C$1:$C$77,MATCH($A610,Index!$A$1:$A$77,0)),"")</f>
        <v>Ward</v>
      </c>
      <c r="AW610" s="123">
        <f t="shared" si="11"/>
        <v>1</v>
      </c>
      <c r="AX610" s="113">
        <v>15</v>
      </c>
    </row>
    <row r="611" spans="1:50" x14ac:dyDescent="0.25">
      <c r="A611" s="95" t="s">
        <v>580</v>
      </c>
      <c r="B611" s="96">
        <v>2025</v>
      </c>
      <c r="C611" s="96">
        <v>8</v>
      </c>
      <c r="D611" s="96">
        <v>-3.12669</v>
      </c>
      <c r="E611" s="96">
        <v>0.54403000000000001</v>
      </c>
      <c r="F611" s="115">
        <v>-1.60816</v>
      </c>
      <c r="G611" s="115">
        <v>-26.983599999999999</v>
      </c>
      <c r="H611" s="115">
        <v>-0.1022</v>
      </c>
      <c r="I611" s="115">
        <v>117</v>
      </c>
      <c r="J611" s="115">
        <v>206</v>
      </c>
      <c r="K611" s="115">
        <v>0.56799999999999995</v>
      </c>
      <c r="L611" s="115">
        <v>-6.4245000000000001</v>
      </c>
      <c r="M611" s="115">
        <v>1342</v>
      </c>
      <c r="N611" s="115">
        <v>6.5145999999999997</v>
      </c>
      <c r="O611" s="115">
        <v>11</v>
      </c>
      <c r="P611" s="115">
        <v>11</v>
      </c>
      <c r="Q611" s="115">
        <v>24</v>
      </c>
      <c r="R611" s="115">
        <v>21</v>
      </c>
      <c r="S611" s="115">
        <v>164</v>
      </c>
      <c r="T611" s="115">
        <v>7.8094999999999999</v>
      </c>
      <c r="U611" s="115">
        <v>3</v>
      </c>
      <c r="V611" s="115">
        <v>5.3400000000000003E-2</v>
      </c>
      <c r="W611" s="115">
        <v>5.3400000000000003E-2</v>
      </c>
      <c r="X611" s="115">
        <v>0</v>
      </c>
      <c r="Y611" s="115">
        <v>0.42420000000000002</v>
      </c>
      <c r="Z611" s="115">
        <v>72.107600000000005</v>
      </c>
      <c r="AA611" s="115">
        <v>4.0999999999999996</v>
      </c>
      <c r="AB611" s="115">
        <v>43.465400000000002</v>
      </c>
      <c r="AC611" s="115">
        <v>34.700000000000003</v>
      </c>
      <c r="AD611" s="115">
        <v>2.4400000000000002E-2</v>
      </c>
      <c r="AE611" s="115">
        <v>-4.5199999999999997E-2</v>
      </c>
      <c r="AF611" s="115">
        <v>-6.25E-2</v>
      </c>
      <c r="AG611" s="115">
        <v>-0.10539999999999999</v>
      </c>
      <c r="AH611" s="115">
        <v>4.1799999999999997E-2</v>
      </c>
      <c r="AI611" s="115">
        <v>-4.5100000000000001E-2</v>
      </c>
      <c r="AJ611" s="115">
        <v>1.7999999999999999E-2</v>
      </c>
      <c r="AK611" s="115">
        <v>9.2039000000000009</v>
      </c>
      <c r="AL611" s="115">
        <v>0.67959999999999998</v>
      </c>
      <c r="AM611" s="115">
        <v>4</v>
      </c>
      <c r="AN611" s="115">
        <v>4</v>
      </c>
      <c r="AO611" s="115">
        <v>0</v>
      </c>
      <c r="AP611" s="115">
        <v>1</v>
      </c>
      <c r="AQ611" s="115">
        <v>4</v>
      </c>
      <c r="AR611" s="115">
        <v>0.25</v>
      </c>
      <c r="AS611" s="115">
        <v>1.1000000000000001E-3</v>
      </c>
      <c r="AT611" s="115">
        <v>0.28439999999999999</v>
      </c>
      <c r="AU611" s="114" t="str">
        <f>IF(A611&lt;&gt;"",INDEX(Index!$B$1:$B$77,MATCH($A611,Index!$A$1:$A$77,0)),"")</f>
        <v>MIN</v>
      </c>
      <c r="AV611" s="123" t="str">
        <f>IF(B611&lt;&gt;"",INDEX(Index!$C$1:$C$77,MATCH($A611,Index!$A$1:$A$77,0)),"")</f>
        <v>McCarthy</v>
      </c>
      <c r="AW611" s="123">
        <f t="shared" si="11"/>
        <v>15</v>
      </c>
      <c r="AX611" s="113">
        <v>15</v>
      </c>
    </row>
    <row r="612" spans="1:50" x14ac:dyDescent="0.25">
      <c r="A612" s="95" t="s">
        <v>598</v>
      </c>
      <c r="B612" s="96">
        <v>2025</v>
      </c>
      <c r="C612" s="96">
        <v>4</v>
      </c>
      <c r="D612" s="96">
        <v>-3.7839800000000001</v>
      </c>
      <c r="E612" s="96">
        <v>-0.68550900000000003</v>
      </c>
      <c r="F612" s="115">
        <v>0.14909600000000001</v>
      </c>
      <c r="G612" s="115">
        <v>-42.231900000000003</v>
      </c>
      <c r="H612" s="115">
        <v>-0.25290000000000001</v>
      </c>
      <c r="I612" s="115">
        <v>72</v>
      </c>
      <c r="J612" s="115">
        <v>138</v>
      </c>
      <c r="K612" s="115">
        <v>0.52170000000000005</v>
      </c>
      <c r="L612" s="115">
        <v>-7.6379000000000001</v>
      </c>
      <c r="M612" s="115">
        <v>946</v>
      </c>
      <c r="N612" s="115">
        <v>6.8551000000000002</v>
      </c>
      <c r="O612" s="115">
        <v>5</v>
      </c>
      <c r="P612" s="115">
        <v>6</v>
      </c>
      <c r="Q612" s="115">
        <v>13</v>
      </c>
      <c r="R612" s="115">
        <v>9</v>
      </c>
      <c r="S612" s="115">
        <v>75</v>
      </c>
      <c r="T612" s="115">
        <v>8.3332999999999995</v>
      </c>
      <c r="U612" s="115">
        <v>1</v>
      </c>
      <c r="V612" s="115">
        <v>3.6200000000000003E-2</v>
      </c>
      <c r="W612" s="115">
        <v>4.3499999999999997E-2</v>
      </c>
      <c r="X612" s="115">
        <v>-7.1999999999999998E-3</v>
      </c>
      <c r="Y612" s="115">
        <v>0.34129999999999999</v>
      </c>
      <c r="Z612" s="115">
        <v>68.085700000000003</v>
      </c>
      <c r="AA612" s="115">
        <v>4.3974000000000002</v>
      </c>
      <c r="AB612" s="115">
        <v>89.550299999999993</v>
      </c>
      <c r="AC612" s="115"/>
      <c r="AD612" s="115">
        <v>-1.3899999999999999E-2</v>
      </c>
      <c r="AE612" s="115">
        <v>-4.7399999999999998E-2</v>
      </c>
      <c r="AF612" s="115">
        <v>-6.0100000000000001E-2</v>
      </c>
      <c r="AG612" s="115">
        <v>-0.10489999999999999</v>
      </c>
      <c r="AH612" s="115">
        <v>-0.1032</v>
      </c>
      <c r="AI612" s="115">
        <v>3.8399999999999997E-2</v>
      </c>
      <c r="AJ612" s="115">
        <v>-3.3599999999999998E-2</v>
      </c>
      <c r="AK612" s="115">
        <v>7.8696000000000002</v>
      </c>
      <c r="AL612" s="115">
        <v>-2.1377000000000002</v>
      </c>
      <c r="AM612" s="115">
        <v>1</v>
      </c>
      <c r="AN612" s="115">
        <v>4</v>
      </c>
      <c r="AO612" s="115">
        <v>0</v>
      </c>
      <c r="AP612" s="115">
        <v>0</v>
      </c>
      <c r="AQ612" s="115">
        <v>2</v>
      </c>
      <c r="AR612" s="115">
        <v>0</v>
      </c>
      <c r="AS612" s="115">
        <v>-4.7000000000000002E-3</v>
      </c>
      <c r="AT612" s="115">
        <v>-0.77680000000000005</v>
      </c>
      <c r="AU612" s="114" t="str">
        <f>IF(A612&lt;&gt;"",INDEX(Index!$B$1:$B$77,MATCH($A612,Index!$A$1:$A$77,0)),"")</f>
        <v>CLE</v>
      </c>
      <c r="AV612" s="123" t="str">
        <f>IF(B612&lt;&gt;"",INDEX(Index!$C$1:$C$77,MATCH($A612,Index!$A$1:$A$77,0)),"")</f>
        <v>Sanders</v>
      </c>
      <c r="AW612" s="123">
        <f t="shared" si="11"/>
        <v>37</v>
      </c>
      <c r="AX612" s="113">
        <v>15</v>
      </c>
    </row>
    <row r="613" spans="1:50" x14ac:dyDescent="0.25">
      <c r="A613" s="95" t="s">
        <v>589</v>
      </c>
      <c r="B613" s="96">
        <v>2025</v>
      </c>
      <c r="C613" s="96">
        <v>6</v>
      </c>
      <c r="D613" s="96">
        <v>-3.7933699999999999</v>
      </c>
      <c r="E613" s="96">
        <v>-8.9766799999999994E-2</v>
      </c>
      <c r="F613" s="115">
        <v>-0.13372500000000001</v>
      </c>
      <c r="G613" s="115">
        <v>-26.2545</v>
      </c>
      <c r="H613" s="115">
        <v>-0.11459999999999999</v>
      </c>
      <c r="I613" s="115">
        <v>110</v>
      </c>
      <c r="J613" s="115">
        <v>184</v>
      </c>
      <c r="K613" s="115">
        <v>0.5978</v>
      </c>
      <c r="L613" s="115">
        <v>-7.5071000000000003</v>
      </c>
      <c r="M613" s="115">
        <v>937</v>
      </c>
      <c r="N613" s="115">
        <v>5.0923999999999996</v>
      </c>
      <c r="O613" s="115">
        <v>7</v>
      </c>
      <c r="P613" s="115">
        <v>2</v>
      </c>
      <c r="Q613" s="115">
        <v>18</v>
      </c>
      <c r="R613" s="115">
        <v>13</v>
      </c>
      <c r="S613" s="115">
        <v>87</v>
      </c>
      <c r="T613" s="115">
        <v>6.6923000000000004</v>
      </c>
      <c r="U613" s="115">
        <v>0</v>
      </c>
      <c r="V613" s="115">
        <v>3.7999999999999999E-2</v>
      </c>
      <c r="W613" s="115">
        <v>1.09E-2</v>
      </c>
      <c r="X613" s="115">
        <v>2.7199999999999998E-2</v>
      </c>
      <c r="Y613" s="115">
        <v>0.35370000000000001</v>
      </c>
      <c r="Z613" s="115">
        <v>81.272599999999997</v>
      </c>
      <c r="AA613" s="115">
        <v>4.2672999999999996</v>
      </c>
      <c r="AB613" s="115">
        <v>72.512900000000002</v>
      </c>
      <c r="AC613" s="115"/>
      <c r="AD613" s="115">
        <v>-2.06E-2</v>
      </c>
      <c r="AE613" s="115">
        <v>-1.9599999999999999E-2</v>
      </c>
      <c r="AF613" s="115">
        <v>-3.8399999999999997E-2</v>
      </c>
      <c r="AG613" s="115">
        <v>4.58E-2</v>
      </c>
      <c r="AH613" s="115">
        <v>-0.15770000000000001</v>
      </c>
      <c r="AI613" s="115">
        <v>-3.32E-2</v>
      </c>
      <c r="AJ613" s="115">
        <v>3.7400000000000003E-2</v>
      </c>
      <c r="AK613" s="115">
        <v>5.8586999999999998</v>
      </c>
      <c r="AL613" s="115">
        <v>-4.0053999999999998</v>
      </c>
      <c r="AM613" s="115">
        <v>1</v>
      </c>
      <c r="AN613" s="115">
        <v>8</v>
      </c>
      <c r="AO613" s="115">
        <v>0</v>
      </c>
      <c r="AP613" s="115">
        <v>0</v>
      </c>
      <c r="AQ613" s="115">
        <v>2</v>
      </c>
      <c r="AR613" s="115">
        <v>0</v>
      </c>
      <c r="AS613" s="115">
        <v>-2.8999999999999998E-3</v>
      </c>
      <c r="AT613" s="115">
        <v>-0.65690000000000004</v>
      </c>
      <c r="AU613" s="114" t="str">
        <f>IF(A613&lt;&gt;"",INDEX(Index!$B$1:$B$77,MATCH($A613,Index!$A$1:$A$77,0)),"")</f>
        <v>CLE</v>
      </c>
      <c r="AV613" s="123" t="str">
        <f>IF(B613&lt;&gt;"",INDEX(Index!$C$1:$C$77,MATCH($A613,Index!$A$1:$A$77,0)),"")</f>
        <v>Gabriel</v>
      </c>
      <c r="AW613" s="123">
        <f t="shared" si="11"/>
        <v>27</v>
      </c>
      <c r="AX613" s="113">
        <v>15</v>
      </c>
    </row>
    <row r="614" spans="1:50" x14ac:dyDescent="0.25">
      <c r="A614" s="95" t="s">
        <v>602</v>
      </c>
      <c r="B614" s="96">
        <v>2025</v>
      </c>
      <c r="C614" s="96">
        <v>1</v>
      </c>
      <c r="D614" s="96">
        <v>-4.0219100000000001</v>
      </c>
      <c r="E614" s="96">
        <v>-0.22456400000000001</v>
      </c>
      <c r="F614" s="115">
        <v>-0.22456400000000001</v>
      </c>
      <c r="G614" s="115">
        <v>-23.3369</v>
      </c>
      <c r="H614" s="115">
        <v>-0.29170000000000001</v>
      </c>
      <c r="I614" s="115">
        <v>36</v>
      </c>
      <c r="J614" s="115">
        <v>63</v>
      </c>
      <c r="K614" s="115">
        <v>0.57140000000000002</v>
      </c>
      <c r="L614" s="115">
        <v>-7.0171999999999999</v>
      </c>
      <c r="M614" s="115">
        <v>339</v>
      </c>
      <c r="N614" s="115">
        <v>5.3810000000000002</v>
      </c>
      <c r="O614" s="115">
        <v>1</v>
      </c>
      <c r="P614" s="115">
        <v>5</v>
      </c>
      <c r="Q614" s="115">
        <v>9</v>
      </c>
      <c r="R614" s="115">
        <v>6</v>
      </c>
      <c r="S614" s="115">
        <v>39</v>
      </c>
      <c r="T614" s="115">
        <v>6.5</v>
      </c>
      <c r="U614" s="115">
        <v>0</v>
      </c>
      <c r="V614" s="115">
        <v>1.5900000000000001E-2</v>
      </c>
      <c r="W614" s="115">
        <v>7.9399999999999998E-2</v>
      </c>
      <c r="X614" s="115">
        <v>-6.3500000000000001E-2</v>
      </c>
      <c r="Y614" s="115">
        <v>0.38750000000000001</v>
      </c>
      <c r="Z614" s="115">
        <v>44.345199999999998</v>
      </c>
      <c r="AA614" s="115">
        <v>1.1806000000000001</v>
      </c>
      <c r="AB614" s="115">
        <v>11.9147</v>
      </c>
      <c r="AC614" s="115"/>
      <c r="AD614" s="115">
        <v>-3.09E-2</v>
      </c>
      <c r="AE614" s="115">
        <v>-7.9200000000000007E-2</v>
      </c>
      <c r="AF614" s="115">
        <v>-1.4E-2</v>
      </c>
      <c r="AG614" s="115">
        <v>-0.1623</v>
      </c>
      <c r="AH614" s="115">
        <v>1.4999999999999999E-2</v>
      </c>
      <c r="AI614" s="115">
        <v>-9.6600000000000005E-2</v>
      </c>
      <c r="AJ614" s="115">
        <v>4.4999999999999997E-3</v>
      </c>
      <c r="AK614" s="115">
        <v>7.6825000000000001</v>
      </c>
      <c r="AL614" s="115">
        <v>-1.0317000000000001</v>
      </c>
      <c r="AM614" s="115">
        <v>0</v>
      </c>
      <c r="AN614" s="115">
        <v>2</v>
      </c>
      <c r="AO614" s="115">
        <v>0</v>
      </c>
      <c r="AP614" s="115">
        <v>0</v>
      </c>
      <c r="AQ614" s="115">
        <v>0</v>
      </c>
      <c r="AR614" s="115"/>
      <c r="AS614" s="115">
        <v>-4.0000000000000002E-4</v>
      </c>
      <c r="AT614" s="115">
        <v>-3.0800000000000001E-2</v>
      </c>
      <c r="AU614" s="114" t="str">
        <f>IF(A614&lt;&gt;"",INDEX(Index!$B$1:$B$77,MATCH($A614,Index!$A$1:$A$77,0)),"")</f>
        <v>NYJ</v>
      </c>
      <c r="AV614" s="123" t="str">
        <f>IF(B614&lt;&gt;"",INDEX(Index!$C$1:$C$77,MATCH($A614,Index!$A$1:$A$77,0)),"")</f>
        <v>Cook</v>
      </c>
      <c r="AW614" s="123">
        <f t="shared" si="11"/>
        <v>41</v>
      </c>
      <c r="AX614" s="113">
        <v>15</v>
      </c>
    </row>
    <row r="615" spans="1:50" ht="15.75" thickBot="1" x14ac:dyDescent="0.3">
      <c r="A615" s="97" t="s">
        <v>599</v>
      </c>
      <c r="B615" s="98">
        <v>2025</v>
      </c>
      <c r="C615" s="98">
        <v>1</v>
      </c>
      <c r="D615" s="98">
        <v>-4.5019799999999996</v>
      </c>
      <c r="E615" s="98">
        <v>-0.90971500000000005</v>
      </c>
      <c r="F615" s="116">
        <v>-0.90971500000000005</v>
      </c>
      <c r="G615" s="116">
        <v>-33.426900000000003</v>
      </c>
      <c r="H615" s="116">
        <v>-0.77739999999999998</v>
      </c>
      <c r="I615" s="116">
        <v>24</v>
      </c>
      <c r="J615" s="116">
        <v>38</v>
      </c>
      <c r="K615" s="116">
        <v>0.63160000000000005</v>
      </c>
      <c r="L615" s="116">
        <v>-7.3724999999999996</v>
      </c>
      <c r="M615" s="116">
        <v>168</v>
      </c>
      <c r="N615" s="116">
        <v>4.4211</v>
      </c>
      <c r="O615" s="116">
        <v>0</v>
      </c>
      <c r="P615" s="116">
        <v>4</v>
      </c>
      <c r="Q615" s="116">
        <v>4</v>
      </c>
      <c r="R615" s="116">
        <v>0</v>
      </c>
      <c r="S615" s="116">
        <v>0</v>
      </c>
      <c r="T615" s="116"/>
      <c r="U615" s="116">
        <v>0</v>
      </c>
      <c r="V615" s="116">
        <v>0</v>
      </c>
      <c r="W615" s="116">
        <v>0.1053</v>
      </c>
      <c r="X615" s="116">
        <v>-0.1053</v>
      </c>
      <c r="Y615" s="116">
        <v>0.2326</v>
      </c>
      <c r="Z615" s="116">
        <v>33.552599999999998</v>
      </c>
      <c r="AA615" s="116">
        <v>-1</v>
      </c>
      <c r="AB615" s="116">
        <v>-186.73</v>
      </c>
      <c r="AC615" s="116"/>
      <c r="AD615" s="116">
        <v>-3.1699999999999999E-2</v>
      </c>
      <c r="AE615" s="116">
        <v>-5.8700000000000002E-2</v>
      </c>
      <c r="AF615" s="116">
        <v>2.5700000000000001E-2</v>
      </c>
      <c r="AG615" s="116">
        <v>-0.35880000000000001</v>
      </c>
      <c r="AH615" s="116">
        <v>-0.4486</v>
      </c>
      <c r="AI615" s="116">
        <v>8.9999999999999993E-3</v>
      </c>
      <c r="AJ615" s="116">
        <v>1.38E-2</v>
      </c>
      <c r="AK615" s="116">
        <v>4.4211</v>
      </c>
      <c r="AL615" s="116">
        <v>-4.6841999999999997</v>
      </c>
      <c r="AM615" s="116">
        <v>1</v>
      </c>
      <c r="AN615" s="116">
        <v>2</v>
      </c>
      <c r="AO615" s="116">
        <v>0</v>
      </c>
      <c r="AP615" s="116">
        <v>0</v>
      </c>
      <c r="AQ615" s="116">
        <v>0</v>
      </c>
      <c r="AR615" s="116"/>
      <c r="AS615" s="116">
        <v>-1.2699999999999999E-2</v>
      </c>
      <c r="AT615" s="116">
        <v>-0.54449999999999998</v>
      </c>
      <c r="AU615" s="114" t="str">
        <f>IF(A615&lt;&gt;"",INDEX(Index!$B$1:$B$77,MATCH($A615,Index!$A$1:$A$77,0)),"")</f>
        <v>MIN</v>
      </c>
      <c r="AV615" s="123" t="str">
        <f>IF(B615&lt;&gt;"",INDEX(Index!$C$1:$C$77,MATCH($A615,Index!$A$1:$A$77,0)),"")</f>
        <v>Brosmer</v>
      </c>
      <c r="AW615" s="123">
        <f t="shared" si="11"/>
        <v>49</v>
      </c>
      <c r="AX615" s="113">
        <v>15</v>
      </c>
    </row>
    <row r="616" spans="1:50" x14ac:dyDescent="0.25">
      <c r="A616" s="117" t="s">
        <v>551</v>
      </c>
      <c r="B616" s="118">
        <v>2025</v>
      </c>
      <c r="C616" s="118">
        <v>15</v>
      </c>
      <c r="D616" s="118">
        <v>3.1173600000000001</v>
      </c>
      <c r="E616" s="118">
        <v>-0.492475</v>
      </c>
      <c r="F616" s="119">
        <v>-0.45526699999999998</v>
      </c>
      <c r="G616" s="119">
        <v>143.95500000000001</v>
      </c>
      <c r="H616" s="119">
        <v>0.25259999999999999</v>
      </c>
      <c r="I616" s="119">
        <v>296</v>
      </c>
      <c r="J616" s="119">
        <v>424</v>
      </c>
      <c r="K616" s="119">
        <v>0.69810000000000005</v>
      </c>
      <c r="L616" s="119">
        <v>3.8279000000000001</v>
      </c>
      <c r="M616" s="119">
        <v>3406</v>
      </c>
      <c r="N616" s="119">
        <v>8.0329999999999995</v>
      </c>
      <c r="O616" s="119">
        <v>25</v>
      </c>
      <c r="P616" s="119">
        <v>10</v>
      </c>
      <c r="Q616" s="119">
        <v>35</v>
      </c>
      <c r="R616" s="119">
        <v>85</v>
      </c>
      <c r="S616" s="119">
        <v>571</v>
      </c>
      <c r="T616" s="119">
        <v>6.7176</v>
      </c>
      <c r="U616" s="119">
        <v>12</v>
      </c>
      <c r="V616" s="119">
        <v>5.8999999999999997E-2</v>
      </c>
      <c r="W616" s="119">
        <v>2.3599999999999999E-2</v>
      </c>
      <c r="X616" s="119">
        <v>3.5400000000000001E-2</v>
      </c>
      <c r="Y616" s="119">
        <v>0.52110000000000001</v>
      </c>
      <c r="Z616" s="119">
        <v>103.557</v>
      </c>
      <c r="AA616" s="119">
        <v>6.9912999999999998</v>
      </c>
      <c r="AB616" s="119">
        <v>252.55699999999999</v>
      </c>
      <c r="AC616" s="119">
        <v>65.400000000000006</v>
      </c>
      <c r="AD616" s="119">
        <v>6.2399999999999997E-2</v>
      </c>
      <c r="AE616" s="119">
        <v>2.1399999999999999E-2</v>
      </c>
      <c r="AF616" s="119">
        <v>4.1399999999999999E-2</v>
      </c>
      <c r="AG616" s="119">
        <v>1.8599999999999998E-2</v>
      </c>
      <c r="AH616" s="119">
        <v>-7.0400000000000004E-2</v>
      </c>
      <c r="AI616" s="119">
        <v>9.7100000000000006E-2</v>
      </c>
      <c r="AJ616" s="119">
        <v>7.4999999999999997E-3</v>
      </c>
      <c r="AK616" s="119">
        <v>7.3301999999999996</v>
      </c>
      <c r="AL616" s="119">
        <v>-0.89390000000000003</v>
      </c>
      <c r="AM616" s="119">
        <v>11</v>
      </c>
      <c r="AN616" s="119">
        <v>4</v>
      </c>
      <c r="AO616" s="119">
        <v>0</v>
      </c>
      <c r="AP616" s="119">
        <v>3</v>
      </c>
      <c r="AQ616" s="119">
        <v>6</v>
      </c>
      <c r="AR616" s="119">
        <v>0.5</v>
      </c>
      <c r="AS616" s="119">
        <v>5.5999999999999999E-3</v>
      </c>
      <c r="AT616" s="119">
        <v>3.1856</v>
      </c>
      <c r="AU616" s="121" t="str">
        <f>IF(A616&lt;&gt;"",INDEX(Index!$B$1:$B$77,MATCH($A616,Index!$A$1:$A$77,0)),"")</f>
        <v>BUF</v>
      </c>
      <c r="AV616" s="124" t="str">
        <f>IF(B616&lt;&gt;"",INDEX(Index!$C$1:$C$77,MATCH($A616,Index!$A$1:$A$77,0)),"")</f>
        <v>Allen</v>
      </c>
      <c r="AW616" s="124">
        <f t="shared" ref="AW616:AW670" si="12">IF(AT616&lt;&gt;"",COUNTIFS($AX$2:$AX$994,AX616,$Q$2:$Q$994,"&gt;"&amp;$Q616)+1,"")</f>
        <v>6</v>
      </c>
      <c r="AX616" s="120">
        <v>16</v>
      </c>
    </row>
    <row r="617" spans="1:50" x14ac:dyDescent="0.25">
      <c r="A617" s="95" t="s">
        <v>567</v>
      </c>
      <c r="B617" s="96">
        <v>2025</v>
      </c>
      <c r="C617" s="96">
        <v>15</v>
      </c>
      <c r="D617" s="96">
        <v>2.9950999999999999</v>
      </c>
      <c r="E617" s="96">
        <v>0.81794</v>
      </c>
      <c r="F617" s="115">
        <v>2.8405300000000002</v>
      </c>
      <c r="G617" s="115">
        <v>138.572</v>
      </c>
      <c r="H617" s="115">
        <v>0.24099999999999999</v>
      </c>
      <c r="I617" s="115">
        <v>341</v>
      </c>
      <c r="J617" s="115">
        <v>517</v>
      </c>
      <c r="K617" s="115">
        <v>0.65959999999999996</v>
      </c>
      <c r="L617" s="115">
        <v>2.1753999999999998</v>
      </c>
      <c r="M617" s="115">
        <v>4179</v>
      </c>
      <c r="N617" s="115">
        <v>8.0831999999999997</v>
      </c>
      <c r="O617" s="115">
        <v>40</v>
      </c>
      <c r="P617" s="115">
        <v>5</v>
      </c>
      <c r="Q617" s="115">
        <v>19</v>
      </c>
      <c r="R617" s="115">
        <v>8</v>
      </c>
      <c r="S617" s="115">
        <v>19</v>
      </c>
      <c r="T617" s="115">
        <v>2.375</v>
      </c>
      <c r="U617" s="115">
        <v>0</v>
      </c>
      <c r="V617" s="115">
        <v>7.7399999999999997E-2</v>
      </c>
      <c r="W617" s="115">
        <v>9.7000000000000003E-3</v>
      </c>
      <c r="X617" s="115">
        <v>6.7699999999999996E-2</v>
      </c>
      <c r="Y617" s="115">
        <v>0.53739999999999999</v>
      </c>
      <c r="Z617" s="115">
        <v>112.488</v>
      </c>
      <c r="AA617" s="115">
        <v>8.6417999999999999</v>
      </c>
      <c r="AB617" s="115">
        <v>257.64699999999999</v>
      </c>
      <c r="AC617" s="115">
        <v>71.8</v>
      </c>
      <c r="AD617" s="115">
        <v>-4.2000000000000003E-2</v>
      </c>
      <c r="AE617" s="115">
        <v>3.0200000000000001E-2</v>
      </c>
      <c r="AF617" s="115">
        <v>-3.1399999999999997E-2</v>
      </c>
      <c r="AG617" s="115">
        <v>2.6100000000000002E-2</v>
      </c>
      <c r="AH617" s="115">
        <v>0.15390000000000001</v>
      </c>
      <c r="AI617" s="115">
        <v>2.24E-2</v>
      </c>
      <c r="AJ617" s="115">
        <v>7.4000000000000003E-3</v>
      </c>
      <c r="AK617" s="115">
        <v>8.8124000000000002</v>
      </c>
      <c r="AL617" s="115">
        <v>0.74080000000000001</v>
      </c>
      <c r="AM617" s="115">
        <v>11</v>
      </c>
      <c r="AN617" s="115">
        <v>4</v>
      </c>
      <c r="AO617" s="115">
        <v>0</v>
      </c>
      <c r="AP617" s="115">
        <v>1</v>
      </c>
      <c r="AQ617" s="115">
        <v>4</v>
      </c>
      <c r="AR617" s="115">
        <v>0.25</v>
      </c>
      <c r="AS617" s="115">
        <v>7.7000000000000002E-3</v>
      </c>
      <c r="AT617" s="115">
        <v>4.4291</v>
      </c>
      <c r="AU617" s="114" t="str">
        <f>IF(A617&lt;&gt;"",INDEX(Index!$B$1:$B$77,MATCH($A617,Index!$A$1:$A$77,0)),"")</f>
        <v>LAR</v>
      </c>
      <c r="AV617" s="123" t="str">
        <f>IF(B617&lt;&gt;"",INDEX(Index!$C$1:$C$77,MATCH($A617,Index!$A$1:$A$77,0)),"")</f>
        <v>Stafford</v>
      </c>
      <c r="AW617" s="123">
        <f t="shared" si="12"/>
        <v>26</v>
      </c>
      <c r="AX617" s="113">
        <v>16</v>
      </c>
    </row>
    <row r="618" spans="1:50" x14ac:dyDescent="0.25">
      <c r="A618" s="95" t="s">
        <v>555</v>
      </c>
      <c r="B618" s="96">
        <v>2025</v>
      </c>
      <c r="C618" s="96">
        <v>15</v>
      </c>
      <c r="D618" s="96">
        <v>2.3906800000000001</v>
      </c>
      <c r="E618" s="96">
        <v>0.31183499999999997</v>
      </c>
      <c r="F618" s="115">
        <v>1.03223</v>
      </c>
      <c r="G618" s="115">
        <v>120.348</v>
      </c>
      <c r="H618" s="115">
        <v>0.18540000000000001</v>
      </c>
      <c r="I618" s="115">
        <v>378</v>
      </c>
      <c r="J618" s="115">
        <v>549</v>
      </c>
      <c r="K618" s="115">
        <v>0.6885</v>
      </c>
      <c r="L618" s="115">
        <v>3.1785000000000001</v>
      </c>
      <c r="M618" s="115">
        <v>4175</v>
      </c>
      <c r="N618" s="115">
        <v>7.6047000000000002</v>
      </c>
      <c r="O618" s="115">
        <v>28</v>
      </c>
      <c r="P618" s="115">
        <v>10</v>
      </c>
      <c r="Q618" s="115">
        <v>25</v>
      </c>
      <c r="R618" s="115">
        <v>29</v>
      </c>
      <c r="S618" s="115">
        <v>165</v>
      </c>
      <c r="T618" s="115">
        <v>5.6897000000000002</v>
      </c>
      <c r="U618" s="115">
        <v>2</v>
      </c>
      <c r="V618" s="115">
        <v>5.0999999999999997E-2</v>
      </c>
      <c r="W618" s="115">
        <v>1.8200000000000001E-2</v>
      </c>
      <c r="X618" s="115">
        <v>3.2800000000000003E-2</v>
      </c>
      <c r="Y618" s="115">
        <v>0.49309999999999998</v>
      </c>
      <c r="Z618" s="115">
        <v>100.55800000000001</v>
      </c>
      <c r="AA618" s="115">
        <v>7.1689999999999996</v>
      </c>
      <c r="AB618" s="115">
        <v>243.09800000000001</v>
      </c>
      <c r="AC618" s="115">
        <v>73.099999999999994</v>
      </c>
      <c r="AD618" s="115">
        <v>-1.54E-2</v>
      </c>
      <c r="AE618" s="115">
        <v>3.49E-2</v>
      </c>
      <c r="AF618" s="115">
        <v>4.3E-3</v>
      </c>
      <c r="AG618" s="115">
        <v>1.37E-2</v>
      </c>
      <c r="AH618" s="115">
        <v>5.0799999999999998E-2</v>
      </c>
      <c r="AI618" s="115">
        <v>1.4999999999999999E-2</v>
      </c>
      <c r="AJ618" s="115">
        <v>7.7000000000000002E-3</v>
      </c>
      <c r="AK618" s="115">
        <v>7.9945000000000004</v>
      </c>
      <c r="AL618" s="115">
        <v>-0.57920000000000005</v>
      </c>
      <c r="AM618" s="115">
        <v>6</v>
      </c>
      <c r="AN618" s="115">
        <v>8</v>
      </c>
      <c r="AO618" s="115">
        <v>1</v>
      </c>
      <c r="AP618" s="115">
        <v>3</v>
      </c>
      <c r="AQ618" s="115">
        <v>7</v>
      </c>
      <c r="AR618" s="115">
        <v>0.42859999999999998</v>
      </c>
      <c r="AS618" s="115">
        <v>7.9000000000000008E-3</v>
      </c>
      <c r="AT618" s="115">
        <v>5.1254</v>
      </c>
      <c r="AU618" s="114" t="str">
        <f>IF(A618&lt;&gt;"",INDEX(Index!$B$1:$B$77,MATCH($A618,Index!$A$1:$A$77,0)),"")</f>
        <v>DAL</v>
      </c>
      <c r="AV618" s="123" t="str">
        <f>IF(B618&lt;&gt;"",INDEX(Index!$C$1:$C$77,MATCH($A618,Index!$A$1:$A$77,0)),"")</f>
        <v>Prescott</v>
      </c>
      <c r="AW618" s="123">
        <f t="shared" si="12"/>
        <v>17</v>
      </c>
      <c r="AX618" s="113">
        <v>16</v>
      </c>
    </row>
    <row r="619" spans="1:50" x14ac:dyDescent="0.25">
      <c r="A619" s="95" t="s">
        <v>553</v>
      </c>
      <c r="B619" s="96">
        <v>2025</v>
      </c>
      <c r="C619" s="96">
        <v>15</v>
      </c>
      <c r="D619" s="96">
        <v>2.1020099999999999</v>
      </c>
      <c r="E619" s="96">
        <v>0.25708700000000001</v>
      </c>
      <c r="F619" s="115">
        <v>0.90089300000000005</v>
      </c>
      <c r="G619" s="115">
        <v>109.279</v>
      </c>
      <c r="H619" s="115">
        <v>0.19239999999999999</v>
      </c>
      <c r="I619" s="115">
        <v>348</v>
      </c>
      <c r="J619" s="115">
        <v>505</v>
      </c>
      <c r="K619" s="115">
        <v>0.68910000000000005</v>
      </c>
      <c r="L619" s="115">
        <v>2.1541000000000001</v>
      </c>
      <c r="M619" s="115">
        <v>4036</v>
      </c>
      <c r="N619" s="115">
        <v>7.9920999999999998</v>
      </c>
      <c r="O619" s="115">
        <v>32</v>
      </c>
      <c r="P619" s="115">
        <v>5</v>
      </c>
      <c r="Q619" s="115">
        <v>31</v>
      </c>
      <c r="R619" s="115">
        <v>7</v>
      </c>
      <c r="S619" s="115">
        <v>51</v>
      </c>
      <c r="T619" s="115">
        <v>7.2857000000000003</v>
      </c>
      <c r="U619" s="115">
        <v>0</v>
      </c>
      <c r="V619" s="115">
        <v>6.3399999999999998E-2</v>
      </c>
      <c r="W619" s="115">
        <v>9.9000000000000008E-3</v>
      </c>
      <c r="X619" s="115">
        <v>5.3499999999999999E-2</v>
      </c>
      <c r="Y619" s="115">
        <v>0.49120000000000003</v>
      </c>
      <c r="Z619" s="115">
        <v>109.806</v>
      </c>
      <c r="AA619" s="115">
        <v>7.9123000000000001</v>
      </c>
      <c r="AB619" s="115">
        <v>226.62899999999999</v>
      </c>
      <c r="AC619" s="115">
        <v>59.3</v>
      </c>
      <c r="AD619" s="115">
        <v>-2.5100000000000001E-2</v>
      </c>
      <c r="AE619" s="115">
        <v>-2.3999999999999998E-3</v>
      </c>
      <c r="AF619" s="115">
        <v>-2.1399999999999999E-2</v>
      </c>
      <c r="AG619" s="115">
        <v>4.3099999999999999E-2</v>
      </c>
      <c r="AH619" s="115">
        <v>-3.5999999999999999E-3</v>
      </c>
      <c r="AI619" s="115">
        <v>0.14330000000000001</v>
      </c>
      <c r="AJ619" s="115">
        <v>-1.5900000000000001E-2</v>
      </c>
      <c r="AK619" s="115">
        <v>6.4713000000000003</v>
      </c>
      <c r="AL619" s="115">
        <v>-2.202</v>
      </c>
      <c r="AM619" s="115">
        <v>8</v>
      </c>
      <c r="AN619" s="115">
        <v>7</v>
      </c>
      <c r="AO619" s="115">
        <v>0</v>
      </c>
      <c r="AP619" s="115">
        <v>1</v>
      </c>
      <c r="AQ619" s="115">
        <v>4</v>
      </c>
      <c r="AR619" s="115">
        <v>0.25</v>
      </c>
      <c r="AS619" s="115">
        <v>3.5000000000000001E-3</v>
      </c>
      <c r="AT619" s="115">
        <v>1.9782999999999999</v>
      </c>
      <c r="AU619" s="114" t="str">
        <f>IF(A619&lt;&gt;"",INDEX(Index!$B$1:$B$77,MATCH($A619,Index!$A$1:$A$77,0)),"")</f>
        <v>DET</v>
      </c>
      <c r="AV619" s="123" t="str">
        <f>IF(B619&lt;&gt;"",INDEX(Index!$C$1:$C$77,MATCH($A619,Index!$A$1:$A$77,0)),"")</f>
        <v>Goff</v>
      </c>
      <c r="AW619" s="123">
        <f t="shared" si="12"/>
        <v>10</v>
      </c>
      <c r="AX619" s="113">
        <v>16</v>
      </c>
    </row>
    <row r="620" spans="1:50" x14ac:dyDescent="0.25">
      <c r="A620" s="95" t="s">
        <v>560</v>
      </c>
      <c r="B620" s="96">
        <v>2025</v>
      </c>
      <c r="C620" s="96">
        <v>7</v>
      </c>
      <c r="D620" s="96">
        <v>1.8733500000000001</v>
      </c>
      <c r="E620" s="96">
        <v>0.61059200000000002</v>
      </c>
      <c r="F620" s="115">
        <v>1.05139</v>
      </c>
      <c r="G620" s="115">
        <v>78.224100000000007</v>
      </c>
      <c r="H620" s="115">
        <v>0.29520000000000002</v>
      </c>
      <c r="I620" s="115">
        <v>154</v>
      </c>
      <c r="J620" s="115">
        <v>224</v>
      </c>
      <c r="K620" s="115">
        <v>0.6875</v>
      </c>
      <c r="L620" s="115">
        <v>8.0869</v>
      </c>
      <c r="M620" s="115">
        <v>1737</v>
      </c>
      <c r="N620" s="115">
        <v>7.7545000000000002</v>
      </c>
      <c r="O620" s="115">
        <v>17</v>
      </c>
      <c r="P620" s="115">
        <v>8</v>
      </c>
      <c r="Q620" s="115">
        <v>7</v>
      </c>
      <c r="R620" s="115">
        <v>21</v>
      </c>
      <c r="S620" s="115">
        <v>102</v>
      </c>
      <c r="T620" s="115">
        <v>4.8571</v>
      </c>
      <c r="U620" s="115">
        <v>1</v>
      </c>
      <c r="V620" s="115">
        <v>7.5899999999999995E-2</v>
      </c>
      <c r="W620" s="115">
        <v>3.5700000000000003E-2</v>
      </c>
      <c r="X620" s="115">
        <v>4.02E-2</v>
      </c>
      <c r="Y620" s="115">
        <v>0.5585</v>
      </c>
      <c r="Z620" s="115">
        <v>102.102</v>
      </c>
      <c r="AA620" s="115">
        <v>7.2641</v>
      </c>
      <c r="AB620" s="115">
        <v>235.245</v>
      </c>
      <c r="AC620" s="115">
        <v>75.8</v>
      </c>
      <c r="AD620" s="115">
        <v>2.01E-2</v>
      </c>
      <c r="AE620" s="115">
        <v>3.8600000000000002E-2</v>
      </c>
      <c r="AF620" s="115">
        <v>4.8099999999999997E-2</v>
      </c>
      <c r="AG620" s="115">
        <v>-5.0099999999999999E-2</v>
      </c>
      <c r="AH620" s="115">
        <v>0.16839999999999999</v>
      </c>
      <c r="AI620" s="115">
        <v>-1.9E-3</v>
      </c>
      <c r="AJ620" s="115">
        <v>-2.3E-3</v>
      </c>
      <c r="AK620" s="115">
        <v>7.9286000000000003</v>
      </c>
      <c r="AL620" s="115">
        <v>-0.39729999999999999</v>
      </c>
      <c r="AM620" s="115">
        <v>6</v>
      </c>
      <c r="AN620" s="115">
        <v>1</v>
      </c>
      <c r="AO620" s="115">
        <v>0</v>
      </c>
      <c r="AP620" s="115">
        <v>1</v>
      </c>
      <c r="AQ620" s="115">
        <v>2</v>
      </c>
      <c r="AR620" s="115">
        <v>0.5</v>
      </c>
      <c r="AS620" s="115">
        <v>8.0999999999999996E-3</v>
      </c>
      <c r="AT620" s="115">
        <v>2.1549999999999998</v>
      </c>
      <c r="AU620" s="114" t="str">
        <f>IF(A620&lt;&gt;"",INDEX(Index!$B$1:$B$77,MATCH($A620,Index!$A$1:$A$77,0)),"")</f>
        <v>SF</v>
      </c>
      <c r="AV620" s="123" t="str">
        <f>IF(B620&lt;&gt;"",INDEX(Index!$C$1:$C$77,MATCH($A620,Index!$A$1:$A$77,0)),"")</f>
        <v>Purdy</v>
      </c>
      <c r="AW620" s="123">
        <f t="shared" si="12"/>
        <v>46</v>
      </c>
      <c r="AX620" s="113">
        <v>16</v>
      </c>
    </row>
    <row r="621" spans="1:50" x14ac:dyDescent="0.25">
      <c r="A621" s="95" t="s">
        <v>561</v>
      </c>
      <c r="B621" s="96">
        <v>2025</v>
      </c>
      <c r="C621" s="96">
        <v>15</v>
      </c>
      <c r="D621" s="96">
        <v>1.5805</v>
      </c>
      <c r="E621" s="96">
        <v>-6.57581E-2</v>
      </c>
      <c r="F621" s="115">
        <v>0.43729299999999999</v>
      </c>
      <c r="G621" s="115">
        <v>64.814099999999996</v>
      </c>
      <c r="H621" s="115">
        <v>9.9599999999999994E-2</v>
      </c>
      <c r="I621" s="115">
        <v>348</v>
      </c>
      <c r="J621" s="115">
        <v>550</v>
      </c>
      <c r="K621" s="115">
        <v>0.63270000000000004</v>
      </c>
      <c r="L621" s="115">
        <v>-1.0310999999999999</v>
      </c>
      <c r="M621" s="115">
        <v>3608</v>
      </c>
      <c r="N621" s="115">
        <v>6.56</v>
      </c>
      <c r="O621" s="115">
        <v>24</v>
      </c>
      <c r="P621" s="115">
        <v>10</v>
      </c>
      <c r="Q621" s="115">
        <v>17</v>
      </c>
      <c r="R621" s="115">
        <v>52</v>
      </c>
      <c r="S621" s="115">
        <v>279</v>
      </c>
      <c r="T621" s="115">
        <v>5.3654000000000002</v>
      </c>
      <c r="U621" s="115">
        <v>4</v>
      </c>
      <c r="V621" s="115">
        <v>4.36E-2</v>
      </c>
      <c r="W621" s="115">
        <v>1.8200000000000001E-2</v>
      </c>
      <c r="X621" s="115">
        <v>2.5499999999999998E-2</v>
      </c>
      <c r="Y621" s="115">
        <v>0.44550000000000001</v>
      </c>
      <c r="Z621" s="115">
        <v>89.113600000000005</v>
      </c>
      <c r="AA621" s="115">
        <v>6.2487000000000004</v>
      </c>
      <c r="AB621" s="115">
        <v>206.977</v>
      </c>
      <c r="AC621" s="115">
        <v>57</v>
      </c>
      <c r="AD621" s="115">
        <v>-1.5900000000000001E-2</v>
      </c>
      <c r="AE621" s="115">
        <v>6.3200000000000006E-2</v>
      </c>
      <c r="AF621" s="115">
        <v>-1.55E-2</v>
      </c>
      <c r="AG621" s="115">
        <v>2.5100000000000001E-2</v>
      </c>
      <c r="AH621" s="115">
        <v>-5.0799999999999998E-2</v>
      </c>
      <c r="AI621" s="115">
        <v>4.4299999999999999E-2</v>
      </c>
      <c r="AJ621" s="115">
        <v>-2.52E-2</v>
      </c>
      <c r="AK621" s="115">
        <v>7.7363999999999997</v>
      </c>
      <c r="AL621" s="115">
        <v>-1.1963999999999999</v>
      </c>
      <c r="AM621" s="115">
        <v>12</v>
      </c>
      <c r="AN621" s="115">
        <v>3</v>
      </c>
      <c r="AO621" s="115">
        <v>0</v>
      </c>
      <c r="AP621" s="115">
        <v>5</v>
      </c>
      <c r="AQ621" s="115">
        <v>5</v>
      </c>
      <c r="AR621" s="115">
        <v>1</v>
      </c>
      <c r="AS621" s="115">
        <v>4.5999999999999999E-3</v>
      </c>
      <c r="AT621" s="115">
        <v>2.9830000000000001</v>
      </c>
      <c r="AU621" s="114" t="str">
        <f>IF(A621&lt;&gt;"",INDEX(Index!$B$1:$B$77,MATCH($A621,Index!$A$1:$A$77,0)),"")</f>
        <v>DEN</v>
      </c>
      <c r="AV621" s="123" t="str">
        <f>IF(B621&lt;&gt;"",INDEX(Index!$C$1:$C$77,MATCH($A621,Index!$A$1:$A$77,0)),"")</f>
        <v>Nix</v>
      </c>
      <c r="AW621" s="123">
        <f t="shared" si="12"/>
        <v>32</v>
      </c>
      <c r="AX621" s="113">
        <v>16</v>
      </c>
    </row>
    <row r="622" spans="1:50" x14ac:dyDescent="0.25">
      <c r="A622" s="95" t="s">
        <v>557</v>
      </c>
      <c r="B622" s="96">
        <v>2025</v>
      </c>
      <c r="C622" s="96">
        <v>6</v>
      </c>
      <c r="D622" s="96">
        <v>1.52315</v>
      </c>
      <c r="E622" s="96">
        <v>0.582314</v>
      </c>
      <c r="F622" s="115">
        <v>-0.975943</v>
      </c>
      <c r="G622" s="115">
        <v>27.3309</v>
      </c>
      <c r="H622" s="115">
        <v>0.1237</v>
      </c>
      <c r="I622" s="115">
        <v>120</v>
      </c>
      <c r="J622" s="115">
        <v>189</v>
      </c>
      <c r="K622" s="115">
        <v>0.63490000000000002</v>
      </c>
      <c r="L622" s="115">
        <v>2.7864</v>
      </c>
      <c r="M622" s="115">
        <v>1268</v>
      </c>
      <c r="N622" s="115">
        <v>6.7089999999999996</v>
      </c>
      <c r="O622" s="115">
        <v>12</v>
      </c>
      <c r="P622" s="115">
        <v>4</v>
      </c>
      <c r="Q622" s="115">
        <v>12</v>
      </c>
      <c r="R622" s="115">
        <v>9</v>
      </c>
      <c r="S622" s="115">
        <v>22</v>
      </c>
      <c r="T622" s="115">
        <v>2.4443999999999999</v>
      </c>
      <c r="U622" s="115">
        <v>0</v>
      </c>
      <c r="V622" s="115">
        <v>6.3500000000000001E-2</v>
      </c>
      <c r="W622" s="115">
        <v>2.12E-2</v>
      </c>
      <c r="X622" s="115">
        <v>4.2299999999999997E-2</v>
      </c>
      <c r="Y622" s="115">
        <v>0.47510000000000002</v>
      </c>
      <c r="Z622" s="115">
        <v>95.293199999999999</v>
      </c>
      <c r="AA622" s="115">
        <v>6.2138999999999998</v>
      </c>
      <c r="AB622" s="115">
        <v>160.63200000000001</v>
      </c>
      <c r="AC622" s="115">
        <v>62.3</v>
      </c>
      <c r="AD622" s="115">
        <v>-2.9399999999999999E-2</v>
      </c>
      <c r="AE622" s="115">
        <v>2.2100000000000002E-2</v>
      </c>
      <c r="AF622" s="115">
        <v>-8.0000000000000004E-4</v>
      </c>
      <c r="AG622" s="115">
        <v>-6.3600000000000004E-2</v>
      </c>
      <c r="AH622" s="115">
        <v>0.15920000000000001</v>
      </c>
      <c r="AI622" s="115">
        <v>-3.95E-2</v>
      </c>
      <c r="AJ622" s="115">
        <v>1.2999999999999999E-3</v>
      </c>
      <c r="AK622" s="115">
        <v>7.5237999999999996</v>
      </c>
      <c r="AL622" s="115">
        <v>-0.85709999999999997</v>
      </c>
      <c r="AM622" s="115">
        <v>4</v>
      </c>
      <c r="AN622" s="115">
        <v>2</v>
      </c>
      <c r="AO622" s="115">
        <v>0</v>
      </c>
      <c r="AP622" s="115">
        <v>0</v>
      </c>
      <c r="AQ622" s="115">
        <v>1</v>
      </c>
      <c r="AR622" s="115">
        <v>0</v>
      </c>
      <c r="AS622" s="115">
        <v>2.3999999999999998E-3</v>
      </c>
      <c r="AT622" s="115">
        <v>0.53159999999999996</v>
      </c>
      <c r="AU622" s="114" t="str">
        <f>IF(A622&lt;&gt;"",INDEX(Index!$B$1:$B$77,MATCH($A622,Index!$A$1:$A$77,0)),"")</f>
        <v>CIN</v>
      </c>
      <c r="AV622" s="123" t="str">
        <f>IF(B622&lt;&gt;"",INDEX(Index!$C$1:$C$77,MATCH($A622,Index!$A$1:$A$77,0)),"")</f>
        <v>Burrow</v>
      </c>
      <c r="AW622" s="123">
        <f t="shared" si="12"/>
        <v>40</v>
      </c>
      <c r="AX622" s="113">
        <v>16</v>
      </c>
    </row>
    <row r="623" spans="1:50" x14ac:dyDescent="0.25">
      <c r="A623" s="95" t="s">
        <v>554</v>
      </c>
      <c r="B623" s="96">
        <v>2025</v>
      </c>
      <c r="C623" s="96">
        <v>15</v>
      </c>
      <c r="D623" s="96">
        <v>1.4132100000000001</v>
      </c>
      <c r="E623" s="96">
        <v>8.5667699999999999E-2</v>
      </c>
      <c r="F623" s="115">
        <v>-0.12504899999999999</v>
      </c>
      <c r="G623" s="115">
        <v>69.227000000000004</v>
      </c>
      <c r="H623" s="115">
        <v>0.1202</v>
      </c>
      <c r="I623" s="115">
        <v>281</v>
      </c>
      <c r="J623" s="115">
        <v>425</v>
      </c>
      <c r="K623" s="115">
        <v>0.66120000000000001</v>
      </c>
      <c r="L623" s="115">
        <v>3.4702999999999999</v>
      </c>
      <c r="M623" s="115">
        <v>3114</v>
      </c>
      <c r="N623" s="115">
        <v>7.3270999999999997</v>
      </c>
      <c r="O623" s="115">
        <v>24</v>
      </c>
      <c r="P623" s="115">
        <v>6</v>
      </c>
      <c r="Q623" s="115">
        <v>31</v>
      </c>
      <c r="R623" s="115">
        <v>90</v>
      </c>
      <c r="S623" s="115">
        <v>430</v>
      </c>
      <c r="T623" s="115">
        <v>4.7778</v>
      </c>
      <c r="U623" s="115">
        <v>8</v>
      </c>
      <c r="V623" s="115">
        <v>5.6500000000000002E-2</v>
      </c>
      <c r="W623" s="115">
        <v>1.41E-2</v>
      </c>
      <c r="X623" s="115">
        <v>4.24E-2</v>
      </c>
      <c r="Y623" s="115">
        <v>0.46879999999999999</v>
      </c>
      <c r="Z623" s="115">
        <v>100.652</v>
      </c>
      <c r="AA623" s="115">
        <v>6.8968999999999996</v>
      </c>
      <c r="AB623" s="115">
        <v>206.15100000000001</v>
      </c>
      <c r="AC623" s="115">
        <v>56</v>
      </c>
      <c r="AD623" s="115">
        <v>1.3100000000000001E-2</v>
      </c>
      <c r="AE623" s="115">
        <v>1.54E-2</v>
      </c>
      <c r="AF623" s="115">
        <v>4.1000000000000002E-2</v>
      </c>
      <c r="AG623" s="115">
        <v>1.9199999999999998E-2</v>
      </c>
      <c r="AH623" s="115">
        <v>2.9000000000000001E-2</v>
      </c>
      <c r="AI623" s="115">
        <v>-7.0099999999999996E-2</v>
      </c>
      <c r="AJ623" s="115">
        <v>-1.9E-3</v>
      </c>
      <c r="AK623" s="115">
        <v>8.9741</v>
      </c>
      <c r="AL623" s="115">
        <v>0.12</v>
      </c>
      <c r="AM623" s="115">
        <v>10</v>
      </c>
      <c r="AN623" s="115">
        <v>5</v>
      </c>
      <c r="AO623" s="115">
        <v>0</v>
      </c>
      <c r="AP623" s="115">
        <v>1</v>
      </c>
      <c r="AQ623" s="115">
        <v>3</v>
      </c>
      <c r="AR623" s="115">
        <v>0.33329999999999999</v>
      </c>
      <c r="AS623" s="115">
        <v>1.6999999999999999E-3</v>
      </c>
      <c r="AT623" s="115">
        <v>0.96989999999999998</v>
      </c>
      <c r="AU623" s="114" t="str">
        <f>IF(A623&lt;&gt;"",INDEX(Index!$B$1:$B$77,MATCH($A623,Index!$A$1:$A$77,0)),"")</f>
        <v>PHI</v>
      </c>
      <c r="AV623" s="123" t="str">
        <f>IF(B623&lt;&gt;"",INDEX(Index!$C$1:$C$77,MATCH($A623,Index!$A$1:$A$77,0)),"")</f>
        <v>Hurts</v>
      </c>
      <c r="AW623" s="123">
        <f t="shared" si="12"/>
        <v>10</v>
      </c>
      <c r="AX623" s="113">
        <v>16</v>
      </c>
    </row>
    <row r="624" spans="1:50" x14ac:dyDescent="0.25">
      <c r="A624" s="95" t="s">
        <v>570</v>
      </c>
      <c r="B624" s="96">
        <v>2025</v>
      </c>
      <c r="C624" s="96">
        <v>15</v>
      </c>
      <c r="D624" s="96">
        <v>1.17448</v>
      </c>
      <c r="E624" s="96">
        <v>0.294462</v>
      </c>
      <c r="F624" s="115">
        <v>1.73987</v>
      </c>
      <c r="G624" s="115">
        <v>152.94200000000001</v>
      </c>
      <c r="H624" s="115">
        <v>0.2545</v>
      </c>
      <c r="I624" s="115">
        <v>321</v>
      </c>
      <c r="J624" s="115">
        <v>453</v>
      </c>
      <c r="K624" s="115">
        <v>0.70860000000000001</v>
      </c>
      <c r="L624" s="115">
        <v>9.3712</v>
      </c>
      <c r="M624" s="115">
        <v>3947</v>
      </c>
      <c r="N624" s="115">
        <v>8.7129999999999992</v>
      </c>
      <c r="O624" s="115">
        <v>25</v>
      </c>
      <c r="P624" s="115">
        <v>8</v>
      </c>
      <c r="Q624" s="115">
        <v>46</v>
      </c>
      <c r="R624" s="115">
        <v>71</v>
      </c>
      <c r="S624" s="115">
        <v>414</v>
      </c>
      <c r="T624" s="115">
        <v>5.8310000000000004</v>
      </c>
      <c r="U624" s="115">
        <v>4</v>
      </c>
      <c r="V624" s="115">
        <v>5.5199999999999999E-2</v>
      </c>
      <c r="W624" s="115">
        <v>1.77E-2</v>
      </c>
      <c r="X624" s="115">
        <v>3.7499999999999999E-2</v>
      </c>
      <c r="Y624" s="115">
        <v>0.52749999999999997</v>
      </c>
      <c r="Z624" s="115">
        <v>108.476</v>
      </c>
      <c r="AA624" s="115">
        <v>7.7896000000000001</v>
      </c>
      <c r="AB624" s="115">
        <v>214.12200000000001</v>
      </c>
      <c r="AC624" s="115">
        <v>73.400000000000006</v>
      </c>
      <c r="AD624" s="115">
        <v>4.5999999999999999E-3</v>
      </c>
      <c r="AE624" s="115">
        <v>-1.52E-2</v>
      </c>
      <c r="AF624" s="115">
        <v>4.7500000000000001E-2</v>
      </c>
      <c r="AG624" s="115">
        <v>2.2100000000000002E-2</v>
      </c>
      <c r="AH624" s="115">
        <v>0.17280000000000001</v>
      </c>
      <c r="AI624" s="115">
        <v>-4.6399999999999997E-2</v>
      </c>
      <c r="AJ624" s="115">
        <v>-5.3E-3</v>
      </c>
      <c r="AK624" s="115">
        <v>9.0508000000000006</v>
      </c>
      <c r="AL624" s="115">
        <v>0.1678</v>
      </c>
      <c r="AM624" s="115">
        <v>12</v>
      </c>
      <c r="AN624" s="115">
        <v>3</v>
      </c>
      <c r="AO624" s="115">
        <v>0</v>
      </c>
      <c r="AP624" s="115">
        <v>1</v>
      </c>
      <c r="AQ624" s="115">
        <v>4</v>
      </c>
      <c r="AR624" s="115">
        <v>0.25</v>
      </c>
      <c r="AS624" s="115">
        <v>6.7999999999999996E-3</v>
      </c>
      <c r="AT624" s="115">
        <v>4.1163999999999996</v>
      </c>
      <c r="AU624" s="114" t="str">
        <f>IF(A624&lt;&gt;"",INDEX(Index!$B$1:$B$77,MATCH($A624,Index!$A$1:$A$77,0)),"")</f>
        <v>NE</v>
      </c>
      <c r="AV624" s="123" t="str">
        <f>IF(B624&lt;&gt;"",INDEX(Index!$C$1:$C$77,MATCH($A624,Index!$A$1:$A$77,0)),"")</f>
        <v>Maye</v>
      </c>
      <c r="AW624" s="123">
        <f t="shared" si="12"/>
        <v>4</v>
      </c>
      <c r="AX624" s="113">
        <v>16</v>
      </c>
    </row>
    <row r="625" spans="1:50" x14ac:dyDescent="0.25">
      <c r="A625" s="95" t="s">
        <v>552</v>
      </c>
      <c r="B625" s="96">
        <v>2025</v>
      </c>
      <c r="C625" s="96">
        <v>14</v>
      </c>
      <c r="D625" s="96">
        <v>1.12748</v>
      </c>
      <c r="E625" s="96">
        <v>-0.56161399999999995</v>
      </c>
      <c r="F625" s="115">
        <v>-1.1893899999999999</v>
      </c>
      <c r="G625" s="115">
        <v>113.246</v>
      </c>
      <c r="H625" s="115">
        <v>0.18</v>
      </c>
      <c r="I625" s="115">
        <v>315</v>
      </c>
      <c r="J625" s="115">
        <v>500</v>
      </c>
      <c r="K625" s="115">
        <v>0.63</v>
      </c>
      <c r="L625" s="115">
        <v>0.33639999999999998</v>
      </c>
      <c r="M625" s="115">
        <v>3587</v>
      </c>
      <c r="N625" s="115">
        <v>7.1740000000000004</v>
      </c>
      <c r="O625" s="115">
        <v>22</v>
      </c>
      <c r="P625" s="115">
        <v>11</v>
      </c>
      <c r="Q625" s="115">
        <v>34</v>
      </c>
      <c r="R625" s="115">
        <v>56</v>
      </c>
      <c r="S625" s="115">
        <v>429</v>
      </c>
      <c r="T625" s="115">
        <v>7.6607000000000003</v>
      </c>
      <c r="U625" s="115">
        <v>5</v>
      </c>
      <c r="V625" s="115">
        <v>4.3999999999999997E-2</v>
      </c>
      <c r="W625" s="115">
        <v>2.1999999999999999E-2</v>
      </c>
      <c r="X625" s="115">
        <v>2.1999999999999999E-2</v>
      </c>
      <c r="Y625" s="115">
        <v>0.49919999999999998</v>
      </c>
      <c r="Z625" s="115">
        <v>89.974999999999994</v>
      </c>
      <c r="AA625" s="115">
        <v>6.2527999999999997</v>
      </c>
      <c r="AB625" s="115">
        <v>213.87200000000001</v>
      </c>
      <c r="AC625" s="115">
        <v>68.5</v>
      </c>
      <c r="AD625" s="115">
        <v>2.06E-2</v>
      </c>
      <c r="AE625" s="115">
        <v>0.04</v>
      </c>
      <c r="AF625" s="115">
        <v>2.5000000000000001E-3</v>
      </c>
      <c r="AG625" s="115">
        <v>2.5000000000000001E-3</v>
      </c>
      <c r="AH625" s="115">
        <v>-2.1700000000000001E-2</v>
      </c>
      <c r="AI625" s="115">
        <v>6.1600000000000002E-2</v>
      </c>
      <c r="AJ625" s="115">
        <v>5.0000000000000001E-4</v>
      </c>
      <c r="AK625" s="115">
        <v>8.1</v>
      </c>
      <c r="AL625" s="115">
        <v>-0.60599999999999998</v>
      </c>
      <c r="AM625" s="115">
        <v>6</v>
      </c>
      <c r="AN625" s="115">
        <v>8</v>
      </c>
      <c r="AO625" s="115">
        <v>0</v>
      </c>
      <c r="AP625" s="115">
        <v>1</v>
      </c>
      <c r="AQ625" s="115">
        <v>9</v>
      </c>
      <c r="AR625" s="115">
        <v>0.1111</v>
      </c>
      <c r="AS625" s="115">
        <v>3.8999999999999998E-3</v>
      </c>
      <c r="AT625" s="115">
        <v>2.4460000000000002</v>
      </c>
      <c r="AU625" s="114" t="str">
        <f>IF(A625&lt;&gt;"",INDEX(Index!$B$1:$B$77,MATCH($A625,Index!$A$1:$A$77,0)),"")</f>
        <v>KC</v>
      </c>
      <c r="AV625" s="123" t="str">
        <f>IF(B625&lt;&gt;"",INDEX(Index!$C$1:$C$77,MATCH($A625,Index!$A$1:$A$77,0)),"")</f>
        <v>Mahomes</v>
      </c>
      <c r="AW625" s="123">
        <f t="shared" si="12"/>
        <v>7</v>
      </c>
      <c r="AX625" s="113">
        <v>16</v>
      </c>
    </row>
    <row r="626" spans="1:50" x14ac:dyDescent="0.25">
      <c r="A626" s="95" t="s">
        <v>571</v>
      </c>
      <c r="B626" s="96">
        <v>2025</v>
      </c>
      <c r="C626" s="96">
        <v>15</v>
      </c>
      <c r="D626" s="96">
        <v>1.0366899999999999</v>
      </c>
      <c r="E626" s="96">
        <v>0.406221</v>
      </c>
      <c r="F626" s="115">
        <v>1.29817</v>
      </c>
      <c r="G626" s="115">
        <v>68.401799999999994</v>
      </c>
      <c r="H626" s="115">
        <v>0.10929999999999999</v>
      </c>
      <c r="I626" s="115">
        <v>296</v>
      </c>
      <c r="J626" s="115">
        <v>490</v>
      </c>
      <c r="K626" s="115">
        <v>0.60409999999999997</v>
      </c>
      <c r="L626" s="115">
        <v>-2.8405</v>
      </c>
      <c r="M626" s="115">
        <v>3489</v>
      </c>
      <c r="N626" s="115">
        <v>7.1204000000000001</v>
      </c>
      <c r="O626" s="115">
        <v>26</v>
      </c>
      <c r="P626" s="115">
        <v>11</v>
      </c>
      <c r="Q626" s="115">
        <v>37</v>
      </c>
      <c r="R626" s="115">
        <v>63</v>
      </c>
      <c r="S626" s="115">
        <v>331</v>
      </c>
      <c r="T626" s="115">
        <v>5.2539999999999996</v>
      </c>
      <c r="U626" s="115">
        <v>7</v>
      </c>
      <c r="V626" s="115">
        <v>5.3100000000000001E-2</v>
      </c>
      <c r="W626" s="115">
        <v>2.24E-2</v>
      </c>
      <c r="X626" s="115">
        <v>3.0599999999999999E-2</v>
      </c>
      <c r="Y626" s="115">
        <v>0.48559999999999998</v>
      </c>
      <c r="Z626" s="115">
        <v>90.425200000000004</v>
      </c>
      <c r="AA626" s="115">
        <v>6.2561999999999998</v>
      </c>
      <c r="AB626" s="115">
        <v>181.09100000000001</v>
      </c>
      <c r="AC626" s="115">
        <v>55</v>
      </c>
      <c r="AD626" s="115">
        <v>1.4500000000000001E-2</v>
      </c>
      <c r="AE626" s="115">
        <v>1.2E-2</v>
      </c>
      <c r="AF626" s="115">
        <v>-2.4E-2</v>
      </c>
      <c r="AG626" s="115">
        <v>1.9E-3</v>
      </c>
      <c r="AH626" s="115">
        <v>7.4499999999999997E-2</v>
      </c>
      <c r="AI626" s="115">
        <v>-4.8800000000000003E-2</v>
      </c>
      <c r="AJ626" s="115">
        <v>4.7999999999999996E-3</v>
      </c>
      <c r="AK626" s="115">
        <v>8.6224000000000007</v>
      </c>
      <c r="AL626" s="115">
        <v>-0.5</v>
      </c>
      <c r="AM626" s="115">
        <v>11</v>
      </c>
      <c r="AN626" s="115">
        <v>4</v>
      </c>
      <c r="AO626" s="115">
        <v>0</v>
      </c>
      <c r="AP626" s="115">
        <v>3</v>
      </c>
      <c r="AQ626" s="115">
        <v>6</v>
      </c>
      <c r="AR626" s="115">
        <v>0.5</v>
      </c>
      <c r="AS626" s="115">
        <v>2.8E-3</v>
      </c>
      <c r="AT626" s="115">
        <v>1.7816000000000001</v>
      </c>
      <c r="AU626" s="114" t="str">
        <f>IF(A626&lt;&gt;"",INDEX(Index!$B$1:$B$77,MATCH($A626,Index!$A$1:$A$77,0)),"")</f>
        <v>JAX</v>
      </c>
      <c r="AV626" s="123" t="str">
        <f>IF(B626&lt;&gt;"",INDEX(Index!$C$1:$C$77,MATCH($A626,Index!$A$1:$A$77,0)),"")</f>
        <v>Lawrence</v>
      </c>
      <c r="AW626" s="123">
        <f t="shared" si="12"/>
        <v>5</v>
      </c>
      <c r="AX626" s="113">
        <v>16</v>
      </c>
    </row>
    <row r="627" spans="1:50" x14ac:dyDescent="0.25">
      <c r="A627" s="95" t="s">
        <v>562</v>
      </c>
      <c r="B627" s="96">
        <v>2025</v>
      </c>
      <c r="C627" s="96">
        <v>6</v>
      </c>
      <c r="D627" s="96">
        <v>0.68742700000000001</v>
      </c>
      <c r="E627" s="96">
        <v>-0.27734900000000001</v>
      </c>
      <c r="F627" s="115">
        <v>-0.58660000000000001</v>
      </c>
      <c r="G627" s="115">
        <v>12.370200000000001</v>
      </c>
      <c r="H627" s="115">
        <v>4.4699999999999997E-2</v>
      </c>
      <c r="I627" s="115">
        <v>114</v>
      </c>
      <c r="J627" s="115">
        <v>186</v>
      </c>
      <c r="K627" s="115">
        <v>0.6129</v>
      </c>
      <c r="L627" s="115">
        <v>-2.7290999999999999</v>
      </c>
      <c r="M627" s="115">
        <v>1262</v>
      </c>
      <c r="N627" s="115">
        <v>6.7849000000000004</v>
      </c>
      <c r="O627" s="115">
        <v>8</v>
      </c>
      <c r="P627" s="115">
        <v>3</v>
      </c>
      <c r="Q627" s="115">
        <v>18</v>
      </c>
      <c r="R627" s="115">
        <v>52</v>
      </c>
      <c r="S627" s="115">
        <v>283</v>
      </c>
      <c r="T627" s="115">
        <v>5.4423000000000004</v>
      </c>
      <c r="U627" s="115">
        <v>2</v>
      </c>
      <c r="V627" s="115">
        <v>4.2999999999999997E-2</v>
      </c>
      <c r="W627" s="115">
        <v>1.61E-2</v>
      </c>
      <c r="X627" s="115">
        <v>2.69E-2</v>
      </c>
      <c r="Y627" s="115">
        <v>0.46929999999999999</v>
      </c>
      <c r="Z627" s="115">
        <v>89.045699999999997</v>
      </c>
      <c r="AA627" s="115">
        <v>5.9215999999999998</v>
      </c>
      <c r="AB627" s="115">
        <v>169.989</v>
      </c>
      <c r="AC627" s="115"/>
      <c r="AD627" s="115">
        <v>3.3E-3</v>
      </c>
      <c r="AE627" s="115">
        <v>3.3999999999999998E-3</v>
      </c>
      <c r="AF627" s="115">
        <v>-3.4599999999999999E-2</v>
      </c>
      <c r="AG627" s="115">
        <v>2.2700000000000001E-2</v>
      </c>
      <c r="AH627" s="115">
        <v>3.8E-3</v>
      </c>
      <c r="AI627" s="115">
        <v>-3.8600000000000002E-2</v>
      </c>
      <c r="AJ627" s="115">
        <v>1.0200000000000001E-2</v>
      </c>
      <c r="AK627" s="115">
        <v>7.4730999999999996</v>
      </c>
      <c r="AL627" s="115">
        <v>-1.2473000000000001</v>
      </c>
      <c r="AM627" s="115">
        <v>2</v>
      </c>
      <c r="AN627" s="115">
        <v>5</v>
      </c>
      <c r="AO627" s="115">
        <v>0</v>
      </c>
      <c r="AP627" s="115">
        <v>0</v>
      </c>
      <c r="AQ627" s="115">
        <v>0</v>
      </c>
      <c r="AR627" s="115"/>
      <c r="AS627" s="115">
        <v>2.3999999999999998E-3</v>
      </c>
      <c r="AT627" s="115">
        <v>0.66879999999999995</v>
      </c>
      <c r="AU627" s="114" t="str">
        <f>IF(A627&lt;&gt;"",INDEX(Index!$B$1:$B$77,MATCH($A627,Index!$A$1:$A$77,0)),"")</f>
        <v>WAS</v>
      </c>
      <c r="AV627" s="123" t="str">
        <f>IF(B627&lt;&gt;"",INDEX(Index!$C$1:$C$77,MATCH($A627,Index!$A$1:$A$77,0)),"")</f>
        <v>Daniels</v>
      </c>
      <c r="AW627" s="123">
        <f t="shared" si="12"/>
        <v>29</v>
      </c>
      <c r="AX627" s="113">
        <v>16</v>
      </c>
    </row>
    <row r="628" spans="1:50" x14ac:dyDescent="0.25">
      <c r="A628" s="95" t="s">
        <v>556</v>
      </c>
      <c r="B628" s="96">
        <v>2025</v>
      </c>
      <c r="C628" s="96">
        <v>5</v>
      </c>
      <c r="D628" s="96">
        <v>0.6794</v>
      </c>
      <c r="E628" s="96">
        <v>3.6627199999999999E-2</v>
      </c>
      <c r="F628" s="115">
        <v>-0.83574700000000002</v>
      </c>
      <c r="G628" s="115">
        <v>23.545000000000002</v>
      </c>
      <c r="H628" s="115">
        <v>0.107</v>
      </c>
      <c r="I628" s="115">
        <v>110</v>
      </c>
      <c r="J628" s="115">
        <v>161</v>
      </c>
      <c r="K628" s="115">
        <v>0.68320000000000003</v>
      </c>
      <c r="L628" s="115">
        <v>-0.52880000000000005</v>
      </c>
      <c r="M628" s="115">
        <v>962</v>
      </c>
      <c r="N628" s="115">
        <v>5.9752000000000001</v>
      </c>
      <c r="O628" s="115">
        <v>6</v>
      </c>
      <c r="P628" s="115">
        <v>3</v>
      </c>
      <c r="Q628" s="115">
        <v>16</v>
      </c>
      <c r="R628" s="115">
        <v>27</v>
      </c>
      <c r="S628" s="115">
        <v>175</v>
      </c>
      <c r="T628" s="115">
        <v>6.4814999999999996</v>
      </c>
      <c r="U628" s="115">
        <v>1</v>
      </c>
      <c r="V628" s="115">
        <v>3.73E-2</v>
      </c>
      <c r="W628" s="115">
        <v>1.8599999999999998E-2</v>
      </c>
      <c r="X628" s="115">
        <v>1.8599999999999998E-2</v>
      </c>
      <c r="Y628" s="115">
        <v>0.45</v>
      </c>
      <c r="Z628" s="115">
        <v>88.573999999999998</v>
      </c>
      <c r="AA628" s="115">
        <v>4.7232000000000003</v>
      </c>
      <c r="AB628" s="115">
        <v>151.27199999999999</v>
      </c>
      <c r="AC628" s="115"/>
      <c r="AD628" s="115">
        <v>8.6E-3</v>
      </c>
      <c r="AE628" s="115">
        <v>8.9999999999999998E-4</v>
      </c>
      <c r="AF628" s="115">
        <v>4.7800000000000002E-2</v>
      </c>
      <c r="AG628" s="115">
        <v>3.6700000000000003E-2</v>
      </c>
      <c r="AH628" s="115">
        <v>-9.8400000000000001E-2</v>
      </c>
      <c r="AI628" s="115">
        <v>1.7100000000000001E-2</v>
      </c>
      <c r="AJ628" s="115">
        <v>2.0299999999999999E-2</v>
      </c>
      <c r="AK628" s="115">
        <v>5.8446999999999996</v>
      </c>
      <c r="AL628" s="115">
        <v>-3.0682999999999998</v>
      </c>
      <c r="AM628" s="115">
        <v>2</v>
      </c>
      <c r="AN628" s="115">
        <v>3</v>
      </c>
      <c r="AO628" s="115">
        <v>0</v>
      </c>
      <c r="AP628" s="115">
        <v>0</v>
      </c>
      <c r="AQ628" s="115">
        <v>2</v>
      </c>
      <c r="AR628" s="115">
        <v>0</v>
      </c>
      <c r="AS628" s="115">
        <v>4.1999999999999997E-3</v>
      </c>
      <c r="AT628" s="115">
        <v>0.92720000000000002</v>
      </c>
      <c r="AU628" s="114" t="str">
        <f>IF(A628&lt;&gt;"",INDEX(Index!$B$1:$B$77,MATCH($A628,Index!$A$1:$A$77,0)),"")</f>
        <v>ARI</v>
      </c>
      <c r="AV628" s="123" t="str">
        <f>IF(B628&lt;&gt;"",INDEX(Index!$C$1:$C$77,MATCH($A628,Index!$A$1:$A$77,0)),"")</f>
        <v>Murray</v>
      </c>
      <c r="AW628" s="123">
        <f t="shared" si="12"/>
        <v>34</v>
      </c>
      <c r="AX628" s="113">
        <v>16</v>
      </c>
    </row>
    <row r="629" spans="1:50" x14ac:dyDescent="0.25">
      <c r="A629" s="95" t="s">
        <v>566</v>
      </c>
      <c r="B629" s="96">
        <v>2025</v>
      </c>
      <c r="C629" s="96">
        <v>15</v>
      </c>
      <c r="D629" s="96">
        <v>0.38997999999999999</v>
      </c>
      <c r="E629" s="96">
        <v>-0.46763199999999999</v>
      </c>
      <c r="F629" s="115">
        <v>0.45024199999999998</v>
      </c>
      <c r="G629" s="115">
        <v>150.346</v>
      </c>
      <c r="H629" s="115">
        <v>0.28970000000000001</v>
      </c>
      <c r="I629" s="115">
        <v>291</v>
      </c>
      <c r="J629" s="115">
        <v>438</v>
      </c>
      <c r="K629" s="115">
        <v>0.66439999999999999</v>
      </c>
      <c r="L629" s="115">
        <v>5.5330000000000004</v>
      </c>
      <c r="M629" s="115">
        <v>3381</v>
      </c>
      <c r="N629" s="115">
        <v>7.7191999999999998</v>
      </c>
      <c r="O629" s="115">
        <v>23</v>
      </c>
      <c r="P629" s="115">
        <v>6</v>
      </c>
      <c r="Q629" s="115">
        <v>21</v>
      </c>
      <c r="R629" s="115">
        <v>32</v>
      </c>
      <c r="S629" s="115">
        <v>211</v>
      </c>
      <c r="T629" s="115">
        <v>6.5937999999999999</v>
      </c>
      <c r="U629" s="115">
        <v>0</v>
      </c>
      <c r="V629" s="115">
        <v>5.2499999999999998E-2</v>
      </c>
      <c r="W629" s="115">
        <v>1.37E-2</v>
      </c>
      <c r="X629" s="115">
        <v>3.8800000000000001E-2</v>
      </c>
      <c r="Y629" s="115">
        <v>0.51639999999999997</v>
      </c>
      <c r="Z629" s="115">
        <v>101.408</v>
      </c>
      <c r="AA629" s="115">
        <v>7.4118000000000004</v>
      </c>
      <c r="AB629" s="115">
        <v>196.858</v>
      </c>
      <c r="AC629" s="115">
        <v>72.900000000000006</v>
      </c>
      <c r="AD629" s="115">
        <v>1.34E-2</v>
      </c>
      <c r="AE629" s="115">
        <v>3.2899999999999999E-2</v>
      </c>
      <c r="AF629" s="115">
        <v>1.9E-3</v>
      </c>
      <c r="AG629" s="115">
        <v>2.7799999999999998E-2</v>
      </c>
      <c r="AH629" s="115">
        <v>8.7800000000000003E-2</v>
      </c>
      <c r="AI629" s="115">
        <v>3.6799999999999999E-2</v>
      </c>
      <c r="AJ629" s="115">
        <v>1.46E-2</v>
      </c>
      <c r="AK629" s="115">
        <v>8.8378999999999994</v>
      </c>
      <c r="AL629" s="115">
        <v>3.2000000000000001E-2</v>
      </c>
      <c r="AM629" s="115">
        <v>9</v>
      </c>
      <c r="AN629" s="115">
        <v>5</v>
      </c>
      <c r="AO629" s="115">
        <v>1</v>
      </c>
      <c r="AP629" s="115">
        <v>2</v>
      </c>
      <c r="AQ629" s="115">
        <v>6</v>
      </c>
      <c r="AR629" s="115">
        <v>0.33329999999999999</v>
      </c>
      <c r="AS629" s="115">
        <v>1.0800000000000001E-2</v>
      </c>
      <c r="AT629" s="115">
        <v>5.6158000000000001</v>
      </c>
      <c r="AU629" s="114" t="str">
        <f>IF(A629&lt;&gt;"",INDEX(Index!$B$1:$B$77,MATCH($A629,Index!$A$1:$A$77,0)),"")</f>
        <v>GB</v>
      </c>
      <c r="AV629" s="123" t="str">
        <f>IF(B629&lt;&gt;"",INDEX(Index!$C$1:$C$77,MATCH($A629,Index!$A$1:$A$77,0)),"")</f>
        <v>Love</v>
      </c>
      <c r="AW629" s="123">
        <f t="shared" si="12"/>
        <v>25</v>
      </c>
      <c r="AX629" s="113">
        <v>16</v>
      </c>
    </row>
    <row r="630" spans="1:50" x14ac:dyDescent="0.25">
      <c r="A630" s="95" t="s">
        <v>558</v>
      </c>
      <c r="B630" s="96">
        <v>2025</v>
      </c>
      <c r="C630" s="96">
        <v>14</v>
      </c>
      <c r="D630" s="96">
        <v>0.38107099999999999</v>
      </c>
      <c r="E630" s="96">
        <v>9.8474699999999998E-2</v>
      </c>
      <c r="F630" s="115">
        <v>-1.17052</v>
      </c>
      <c r="G630" s="115">
        <v>28.6326</v>
      </c>
      <c r="H630" s="115">
        <v>6.0499999999999998E-2</v>
      </c>
      <c r="I630" s="115">
        <v>275</v>
      </c>
      <c r="J630" s="115">
        <v>412</v>
      </c>
      <c r="K630" s="115">
        <v>0.66749999999999998</v>
      </c>
      <c r="L630" s="115">
        <v>0.77659999999999996</v>
      </c>
      <c r="M630" s="115">
        <v>2860</v>
      </c>
      <c r="N630" s="115">
        <v>6.9417</v>
      </c>
      <c r="O630" s="115">
        <v>23</v>
      </c>
      <c r="P630" s="115">
        <v>7</v>
      </c>
      <c r="Q630" s="115">
        <v>25</v>
      </c>
      <c r="R630" s="115">
        <v>10</v>
      </c>
      <c r="S630" s="115">
        <v>42</v>
      </c>
      <c r="T630" s="115">
        <v>4.2</v>
      </c>
      <c r="U630" s="115">
        <v>1</v>
      </c>
      <c r="V630" s="115">
        <v>5.5800000000000002E-2</v>
      </c>
      <c r="W630" s="115">
        <v>1.7000000000000001E-2</v>
      </c>
      <c r="X630" s="115">
        <v>3.8800000000000001E-2</v>
      </c>
      <c r="Y630" s="115">
        <v>0.43340000000000001</v>
      </c>
      <c r="Z630" s="115">
        <v>98.159400000000005</v>
      </c>
      <c r="AA630" s="115">
        <v>6.492</v>
      </c>
      <c r="AB630" s="115">
        <v>163.86699999999999</v>
      </c>
      <c r="AC630" s="115">
        <v>44.3</v>
      </c>
      <c r="AD630" s="115">
        <v>-2.75E-2</v>
      </c>
      <c r="AE630" s="115">
        <v>6.7999999999999996E-3</v>
      </c>
      <c r="AF630" s="115">
        <v>-8.9999999999999998E-4</v>
      </c>
      <c r="AG630" s="115">
        <v>2.1299999999999999E-2</v>
      </c>
      <c r="AH630" s="115">
        <v>-0.15890000000000001</v>
      </c>
      <c r="AI630" s="115">
        <v>0.14979999999999999</v>
      </c>
      <c r="AJ630" s="115">
        <v>-4.4999999999999997E-3</v>
      </c>
      <c r="AK630" s="115">
        <v>5.9587000000000003</v>
      </c>
      <c r="AL630" s="115">
        <v>-3.1917</v>
      </c>
      <c r="AM630" s="115">
        <v>9</v>
      </c>
      <c r="AN630" s="115">
        <v>5</v>
      </c>
      <c r="AO630" s="115">
        <v>0</v>
      </c>
      <c r="AP630" s="115">
        <v>1</v>
      </c>
      <c r="AQ630" s="115">
        <v>3</v>
      </c>
      <c r="AR630" s="115">
        <v>0.33329999999999999</v>
      </c>
      <c r="AS630" s="115">
        <v>1.1999999999999999E-3</v>
      </c>
      <c r="AT630" s="115">
        <v>0.56299999999999994</v>
      </c>
      <c r="AU630" s="114" t="str">
        <f>IF(A630&lt;&gt;"",INDEX(Index!$B$1:$B$77,MATCH($A630,Index!$A$1:$A$77,0)),"")</f>
        <v>GB</v>
      </c>
      <c r="AV630" s="123" t="str">
        <f>IF(B630&lt;&gt;"",INDEX(Index!$C$1:$C$77,MATCH($A630,Index!$A$1:$A$77,0)),"")</f>
        <v>Rodgers</v>
      </c>
      <c r="AW630" s="123">
        <f t="shared" si="12"/>
        <v>17</v>
      </c>
      <c r="AX630" s="113">
        <v>16</v>
      </c>
    </row>
    <row r="631" spans="1:50" x14ac:dyDescent="0.25">
      <c r="A631" s="95" t="s">
        <v>574</v>
      </c>
      <c r="B631" s="96">
        <v>2025</v>
      </c>
      <c r="C631" s="96">
        <v>15</v>
      </c>
      <c r="D631" s="96">
        <v>0.37590800000000002</v>
      </c>
      <c r="E631" s="96">
        <v>0.35962</v>
      </c>
      <c r="F631" s="115">
        <v>1.74675</v>
      </c>
      <c r="G631" s="115">
        <v>52.226399999999998</v>
      </c>
      <c r="H631" s="115">
        <v>8.6300000000000002E-2</v>
      </c>
      <c r="I631" s="115">
        <v>285</v>
      </c>
      <c r="J631" s="115">
        <v>492</v>
      </c>
      <c r="K631" s="115">
        <v>0.57930000000000004</v>
      </c>
      <c r="L631" s="115">
        <v>-3.7221000000000002</v>
      </c>
      <c r="M631" s="115">
        <v>3400</v>
      </c>
      <c r="N631" s="115">
        <v>6.9105999999999996</v>
      </c>
      <c r="O631" s="115">
        <v>23</v>
      </c>
      <c r="P631" s="115">
        <v>6</v>
      </c>
      <c r="Q631" s="115">
        <v>23</v>
      </c>
      <c r="R631" s="115">
        <v>55</v>
      </c>
      <c r="S631" s="115">
        <v>376</v>
      </c>
      <c r="T631" s="115">
        <v>6.8364000000000003</v>
      </c>
      <c r="U631" s="115">
        <v>3</v>
      </c>
      <c r="V631" s="115">
        <v>4.6699999999999998E-2</v>
      </c>
      <c r="W631" s="115">
        <v>1.2200000000000001E-2</v>
      </c>
      <c r="X631" s="115">
        <v>3.4599999999999999E-2</v>
      </c>
      <c r="Y631" s="115">
        <v>0.44629999999999997</v>
      </c>
      <c r="Z631" s="115">
        <v>89.6511</v>
      </c>
      <c r="AA631" s="115">
        <v>6.6641000000000004</v>
      </c>
      <c r="AB631" s="115">
        <v>191.65299999999999</v>
      </c>
      <c r="AC631" s="115">
        <v>56.7</v>
      </c>
      <c r="AD631" s="115">
        <v>3.8999999999999998E-3</v>
      </c>
      <c r="AE631" s="115">
        <v>3.7400000000000003E-2</v>
      </c>
      <c r="AF631" s="115">
        <v>-4.36E-2</v>
      </c>
      <c r="AG631" s="115">
        <v>3.6299999999999999E-2</v>
      </c>
      <c r="AH631" s="115">
        <v>3.7000000000000002E-3</v>
      </c>
      <c r="AI631" s="115">
        <v>-8.3999999999999995E-3</v>
      </c>
      <c r="AJ631" s="115">
        <v>-1.7299999999999999E-2</v>
      </c>
      <c r="AK631" s="115">
        <v>8.8149999999999995</v>
      </c>
      <c r="AL631" s="115">
        <v>-0.28860000000000002</v>
      </c>
      <c r="AM631" s="115">
        <v>11</v>
      </c>
      <c r="AN631" s="115">
        <v>4</v>
      </c>
      <c r="AO631" s="115">
        <v>0</v>
      </c>
      <c r="AP631" s="115">
        <v>5</v>
      </c>
      <c r="AQ631" s="115">
        <v>8</v>
      </c>
      <c r="AR631" s="115">
        <v>0.625</v>
      </c>
      <c r="AS631" s="115">
        <v>3.8999999999999998E-3</v>
      </c>
      <c r="AT631" s="115">
        <v>2.3856999999999999</v>
      </c>
      <c r="AU631" s="114" t="str">
        <f>IF(A631&lt;&gt;"",INDEX(Index!$B$1:$B$77,MATCH($A631,Index!$A$1:$A$77,0)),"")</f>
        <v>CHI</v>
      </c>
      <c r="AV631" s="123" t="str">
        <f>IF(B631&lt;&gt;"",INDEX(Index!$C$1:$C$77,MATCH($A631,Index!$A$1:$A$77,0)),"")</f>
        <v>Williams</v>
      </c>
      <c r="AW631" s="123">
        <f t="shared" si="12"/>
        <v>21</v>
      </c>
      <c r="AX631" s="113">
        <v>16</v>
      </c>
    </row>
    <row r="632" spans="1:50" x14ac:dyDescent="0.25">
      <c r="A632" s="95" t="s">
        <v>550</v>
      </c>
      <c r="B632" s="96">
        <v>2025</v>
      </c>
      <c r="C632" s="96">
        <v>12</v>
      </c>
      <c r="D632" s="96">
        <v>0.18837200000000001</v>
      </c>
      <c r="E632" s="96">
        <v>-0.35778799999999999</v>
      </c>
      <c r="F632" s="115">
        <v>-3.5038800000000001</v>
      </c>
      <c r="G632" s="115">
        <v>32.432099999999998</v>
      </c>
      <c r="H632" s="115">
        <v>8.3400000000000002E-2</v>
      </c>
      <c r="I632" s="115">
        <v>181</v>
      </c>
      <c r="J632" s="115">
        <v>282</v>
      </c>
      <c r="K632" s="115">
        <v>0.64180000000000004</v>
      </c>
      <c r="L632" s="115">
        <v>1.7077</v>
      </c>
      <c r="M632" s="115">
        <v>2311</v>
      </c>
      <c r="N632" s="115">
        <v>8.1950000000000003</v>
      </c>
      <c r="O632" s="115">
        <v>18</v>
      </c>
      <c r="P632" s="115">
        <v>6</v>
      </c>
      <c r="Q632" s="115">
        <v>33</v>
      </c>
      <c r="R632" s="115">
        <v>55</v>
      </c>
      <c r="S632" s="115">
        <v>348</v>
      </c>
      <c r="T632" s="115">
        <v>6.3273000000000001</v>
      </c>
      <c r="U632" s="115">
        <v>2</v>
      </c>
      <c r="V632" s="115">
        <v>6.3799999999999996E-2</v>
      </c>
      <c r="W632" s="115">
        <v>2.1299999999999999E-2</v>
      </c>
      <c r="X632" s="115">
        <v>4.2599999999999999E-2</v>
      </c>
      <c r="Y632" s="115">
        <v>0.48070000000000002</v>
      </c>
      <c r="Z632" s="115">
        <v>102.128</v>
      </c>
      <c r="AA632" s="115">
        <v>6.9142999999999999</v>
      </c>
      <c r="AB632" s="115">
        <v>151.02099999999999</v>
      </c>
      <c r="AC632" s="115">
        <v>62.7</v>
      </c>
      <c r="AD632" s="115">
        <v>3.1300000000000001E-2</v>
      </c>
      <c r="AE632" s="115">
        <v>-5.5E-2</v>
      </c>
      <c r="AF632" s="115">
        <v>2E-3</v>
      </c>
      <c r="AG632" s="115">
        <v>-1.4E-3</v>
      </c>
      <c r="AH632" s="115">
        <v>9.2100000000000001E-2</v>
      </c>
      <c r="AI632" s="115">
        <v>-6.4600000000000005E-2</v>
      </c>
      <c r="AJ632" s="115">
        <v>4.7999999999999996E-3</v>
      </c>
      <c r="AK632" s="115">
        <v>8.7623999999999995</v>
      </c>
      <c r="AL632" s="115">
        <v>-0.28370000000000001</v>
      </c>
      <c r="AM632" s="115">
        <v>6</v>
      </c>
      <c r="AN632" s="115">
        <v>6</v>
      </c>
      <c r="AO632" s="115">
        <v>0</v>
      </c>
      <c r="AP632" s="115">
        <v>1</v>
      </c>
      <c r="AQ632" s="115">
        <v>3</v>
      </c>
      <c r="AR632" s="115">
        <v>0.33329999999999999</v>
      </c>
      <c r="AS632" s="115">
        <v>2E-3</v>
      </c>
      <c r="AT632" s="115">
        <v>0.76180000000000003</v>
      </c>
      <c r="AU632" s="114" t="str">
        <f>IF(A632&lt;&gt;"",INDEX(Index!$B$1:$B$77,MATCH($A632,Index!$A$1:$A$77,0)),"")</f>
        <v>BAL</v>
      </c>
      <c r="AV632" s="123" t="str">
        <f>IF(B632&lt;&gt;"",INDEX(Index!$C$1:$C$77,MATCH($A632,Index!$A$1:$A$77,0)),"")</f>
        <v>Jackson</v>
      </c>
      <c r="AW632" s="123">
        <f t="shared" si="12"/>
        <v>8</v>
      </c>
      <c r="AX632" s="113">
        <v>16</v>
      </c>
    </row>
    <row r="633" spans="1:50" x14ac:dyDescent="0.25">
      <c r="A633" s="95" t="s">
        <v>564</v>
      </c>
      <c r="B633" s="96">
        <v>2025</v>
      </c>
      <c r="C633" s="96">
        <v>3</v>
      </c>
      <c r="D633" s="96">
        <v>3.8412500000000002E-2</v>
      </c>
      <c r="E633" s="96">
        <v>-0.72087800000000002</v>
      </c>
      <c r="F633" s="115">
        <v>-0.42435</v>
      </c>
      <c r="G633" s="115">
        <v>-4.0004</v>
      </c>
      <c r="H633" s="115">
        <v>-2.53E-2</v>
      </c>
      <c r="I633" s="115">
        <v>69</v>
      </c>
      <c r="J633" s="115">
        <v>119</v>
      </c>
      <c r="K633" s="115">
        <v>0.57979999999999998</v>
      </c>
      <c r="L633" s="115">
        <v>-1.48</v>
      </c>
      <c r="M633" s="115">
        <v>831</v>
      </c>
      <c r="N633" s="115">
        <v>6.9832000000000001</v>
      </c>
      <c r="O633" s="115">
        <v>3</v>
      </c>
      <c r="P633" s="115">
        <v>3</v>
      </c>
      <c r="Q633" s="115">
        <v>10</v>
      </c>
      <c r="R633" s="115">
        <v>18</v>
      </c>
      <c r="S633" s="115">
        <v>106</v>
      </c>
      <c r="T633" s="115">
        <v>5.8888999999999996</v>
      </c>
      <c r="U633" s="115">
        <v>0</v>
      </c>
      <c r="V633" s="115">
        <v>2.52E-2</v>
      </c>
      <c r="W633" s="115">
        <v>2.52E-2</v>
      </c>
      <c r="X633" s="115">
        <v>0</v>
      </c>
      <c r="Y633" s="115">
        <v>0.40510000000000002</v>
      </c>
      <c r="Z633" s="115">
        <v>77.398499999999999</v>
      </c>
      <c r="AA633" s="115">
        <v>5.3487999999999998</v>
      </c>
      <c r="AB633" s="115">
        <v>140.05699999999999</v>
      </c>
      <c r="AC633" s="115"/>
      <c r="AD633" s="115">
        <v>-3.8399999999999997E-2</v>
      </c>
      <c r="AE633" s="115">
        <v>1.24E-2</v>
      </c>
      <c r="AF633" s="115">
        <v>-9.6199999999999994E-2</v>
      </c>
      <c r="AG633" s="115">
        <v>2.2499999999999999E-2</v>
      </c>
      <c r="AH633" s="115">
        <v>9.2999999999999992E-3</v>
      </c>
      <c r="AI633" s="115">
        <v>-6.9199999999999998E-2</v>
      </c>
      <c r="AJ633" s="115">
        <v>5.9900000000000002E-2</v>
      </c>
      <c r="AK633" s="115">
        <v>8.8908000000000005</v>
      </c>
      <c r="AL633" s="115">
        <v>-0.10920000000000001</v>
      </c>
      <c r="AM633" s="115">
        <v>2</v>
      </c>
      <c r="AN633" s="115">
        <v>4</v>
      </c>
      <c r="AO633" s="115">
        <v>0</v>
      </c>
      <c r="AP633" s="115">
        <v>0</v>
      </c>
      <c r="AQ633" s="115">
        <v>3</v>
      </c>
      <c r="AR633" s="115">
        <v>0</v>
      </c>
      <c r="AS633" s="115">
        <v>4.8999999999999998E-3</v>
      </c>
      <c r="AT633" s="115">
        <v>0.77270000000000005</v>
      </c>
      <c r="AU633" s="114" t="str">
        <f>IF(A633&lt;&gt;"",INDEX(Index!$B$1:$B$77,MATCH($A633,Index!$A$1:$A$77,0)),"")</f>
        <v>NYG</v>
      </c>
      <c r="AV633" s="123" t="str">
        <f>IF(B633&lt;&gt;"",INDEX(Index!$C$1:$C$77,MATCH($A633,Index!$A$1:$A$77,0)),"")</f>
        <v>Wilson</v>
      </c>
      <c r="AW633" s="123">
        <f t="shared" si="12"/>
        <v>41</v>
      </c>
      <c r="AX633" s="113">
        <v>16</v>
      </c>
    </row>
    <row r="634" spans="1:50" x14ac:dyDescent="0.25">
      <c r="A634" s="95" t="s">
        <v>600</v>
      </c>
      <c r="B634" s="96">
        <v>2025</v>
      </c>
      <c r="C634" s="96">
        <v>2</v>
      </c>
      <c r="D634" s="96">
        <v>7.1020500000000004E-3</v>
      </c>
      <c r="E634" s="96">
        <v>-6.1695600000000003E-2</v>
      </c>
      <c r="F634" s="115">
        <v>-0.353875</v>
      </c>
      <c r="G634" s="115">
        <v>3.1025999999999998</v>
      </c>
      <c r="H634" s="115">
        <v>4.5600000000000002E-2</v>
      </c>
      <c r="I634" s="115">
        <v>41</v>
      </c>
      <c r="J634" s="115">
        <v>62</v>
      </c>
      <c r="K634" s="115">
        <v>0.6613</v>
      </c>
      <c r="L634" s="115">
        <v>-0.84209999999999996</v>
      </c>
      <c r="M634" s="115">
        <v>397</v>
      </c>
      <c r="N634" s="115">
        <v>6.4032</v>
      </c>
      <c r="O634" s="115">
        <v>3</v>
      </c>
      <c r="P634" s="115">
        <v>2</v>
      </c>
      <c r="Q634" s="115">
        <v>3</v>
      </c>
      <c r="R634" s="115">
        <v>0</v>
      </c>
      <c r="S634" s="115">
        <v>0</v>
      </c>
      <c r="T634" s="115"/>
      <c r="U634" s="115">
        <v>0</v>
      </c>
      <c r="V634" s="115">
        <v>4.8399999999999999E-2</v>
      </c>
      <c r="W634" s="115">
        <v>3.2300000000000002E-2</v>
      </c>
      <c r="X634" s="115">
        <v>1.61E-2</v>
      </c>
      <c r="Y634" s="115">
        <v>0.47060000000000002</v>
      </c>
      <c r="Z634" s="115">
        <v>86.559100000000001</v>
      </c>
      <c r="AA634" s="115">
        <v>5.2614999999999998</v>
      </c>
      <c r="AB634" s="115">
        <v>125.548</v>
      </c>
      <c r="AC634" s="115">
        <v>50.9</v>
      </c>
      <c r="AD634" s="115">
        <v>-3.0300000000000001E-2</v>
      </c>
      <c r="AE634" s="115">
        <v>1.8499999999999999E-2</v>
      </c>
      <c r="AF634" s="115">
        <v>-1.14E-2</v>
      </c>
      <c r="AG634" s="115">
        <v>-7.8100000000000003E-2</v>
      </c>
      <c r="AH634" s="115">
        <v>-0.18840000000000001</v>
      </c>
      <c r="AI634" s="115">
        <v>0.2427</v>
      </c>
      <c r="AJ634" s="115">
        <v>1.83E-2</v>
      </c>
      <c r="AK634" s="115">
        <v>7.6935000000000002</v>
      </c>
      <c r="AL634" s="115">
        <v>-1.5323</v>
      </c>
      <c r="AM634" s="115">
        <v>0</v>
      </c>
      <c r="AN634" s="115">
        <v>2</v>
      </c>
      <c r="AO634" s="115">
        <v>0</v>
      </c>
      <c r="AP634" s="115">
        <v>0</v>
      </c>
      <c r="AQ634" s="115">
        <v>1</v>
      </c>
      <c r="AR634" s="115">
        <v>0</v>
      </c>
      <c r="AS634" s="115">
        <v>5.0000000000000001E-3</v>
      </c>
      <c r="AT634" s="115">
        <v>0.3377</v>
      </c>
      <c r="AU634" s="114" t="str">
        <f>IF(A634&lt;&gt;"",INDEX(Index!$B$1:$B$77,MATCH($A634,Index!$A$1:$A$77,0)),"")</f>
        <v>IND</v>
      </c>
      <c r="AV634" s="123" t="str">
        <f>IF(B634&lt;&gt;"",INDEX(Index!$C$1:$C$77,MATCH($A634,Index!$A$1:$A$77,0)),"")</f>
        <v>Rivers</v>
      </c>
      <c r="AW634" s="123">
        <f t="shared" si="12"/>
        <v>50</v>
      </c>
      <c r="AX634" s="113">
        <v>16</v>
      </c>
    </row>
    <row r="635" spans="1:50" x14ac:dyDescent="0.25">
      <c r="A635" s="95" t="s">
        <v>591</v>
      </c>
      <c r="B635" s="96">
        <v>2025</v>
      </c>
      <c r="C635" s="96">
        <v>6</v>
      </c>
      <c r="D635" s="96">
        <v>-3.8294700000000001E-2</v>
      </c>
      <c r="E635" s="96">
        <v>-9.1601600000000005E-2</v>
      </c>
      <c r="F635" s="115">
        <v>-0.70703400000000005</v>
      </c>
      <c r="G635" s="115">
        <v>8.2683</v>
      </c>
      <c r="H635" s="115">
        <v>3.4700000000000002E-2</v>
      </c>
      <c r="I635" s="115">
        <v>135</v>
      </c>
      <c r="J635" s="115">
        <v>215</v>
      </c>
      <c r="K635" s="115">
        <v>0.62790000000000001</v>
      </c>
      <c r="L635" s="115">
        <v>-2.5642</v>
      </c>
      <c r="M635" s="115">
        <v>1415</v>
      </c>
      <c r="N635" s="115">
        <v>6.5814000000000004</v>
      </c>
      <c r="O635" s="115">
        <v>8</v>
      </c>
      <c r="P635" s="115">
        <v>4</v>
      </c>
      <c r="Q635" s="115">
        <v>9</v>
      </c>
      <c r="R635" s="115">
        <v>5</v>
      </c>
      <c r="S635" s="115">
        <v>14</v>
      </c>
      <c r="T635" s="115">
        <v>2.8</v>
      </c>
      <c r="U635" s="115">
        <v>1</v>
      </c>
      <c r="V635" s="115">
        <v>3.7199999999999997E-2</v>
      </c>
      <c r="W635" s="115">
        <v>1.8599999999999998E-2</v>
      </c>
      <c r="X635" s="115">
        <v>1.8599999999999998E-2</v>
      </c>
      <c r="Y635" s="115">
        <v>0.4622</v>
      </c>
      <c r="Z635" s="115">
        <v>86.482600000000005</v>
      </c>
      <c r="AA635" s="115">
        <v>5.9687999999999999</v>
      </c>
      <c r="AB635" s="115">
        <v>139.113</v>
      </c>
      <c r="AC635" s="115"/>
      <c r="AD635" s="115">
        <v>-1.78E-2</v>
      </c>
      <c r="AE635" s="115">
        <v>3.3399999999999999E-2</v>
      </c>
      <c r="AF635" s="115">
        <v>-5.5E-2</v>
      </c>
      <c r="AG635" s="115">
        <v>-6.4999999999999997E-3</v>
      </c>
      <c r="AH635" s="115">
        <v>-8.6800000000000002E-2</v>
      </c>
      <c r="AI635" s="115">
        <v>7.6499999999999999E-2</v>
      </c>
      <c r="AJ635" s="115">
        <v>1.66E-2</v>
      </c>
      <c r="AK635" s="115">
        <v>6.8929999999999998</v>
      </c>
      <c r="AL635" s="115">
        <v>-2.0651000000000002</v>
      </c>
      <c r="AM635" s="115">
        <v>3</v>
      </c>
      <c r="AN635" s="115">
        <v>5</v>
      </c>
      <c r="AO635" s="115">
        <v>0</v>
      </c>
      <c r="AP635" s="115">
        <v>1</v>
      </c>
      <c r="AQ635" s="115">
        <v>2</v>
      </c>
      <c r="AR635" s="115">
        <v>0.5</v>
      </c>
      <c r="AS635" s="115">
        <v>2.3E-3</v>
      </c>
      <c r="AT635" s="115">
        <v>0.55269999999999997</v>
      </c>
      <c r="AU635" s="114" t="str">
        <f>IF(A635&lt;&gt;"",INDEX(Index!$B$1:$B$77,MATCH($A635,Index!$A$1:$A$77,0)),"")</f>
        <v>ATL</v>
      </c>
      <c r="AV635" s="123" t="str">
        <f>IF(B635&lt;&gt;"",INDEX(Index!$C$1:$C$77,MATCH($A635,Index!$A$1:$A$77,0)),"")</f>
        <v>Cousins</v>
      </c>
      <c r="AW635" s="123">
        <f t="shared" si="12"/>
        <v>42</v>
      </c>
      <c r="AX635" s="113">
        <v>16</v>
      </c>
    </row>
    <row r="636" spans="1:50" x14ac:dyDescent="0.25">
      <c r="A636" s="95" t="s">
        <v>575</v>
      </c>
      <c r="B636" s="96">
        <v>2025</v>
      </c>
      <c r="C636" s="96">
        <v>8</v>
      </c>
      <c r="D636" s="96">
        <v>-0.118073</v>
      </c>
      <c r="E636" s="96">
        <v>0.88405599999999995</v>
      </c>
      <c r="F636" s="115">
        <v>1.54932</v>
      </c>
      <c r="G636" s="115">
        <v>47.102899999999998</v>
      </c>
      <c r="H636" s="115">
        <v>0.14019999999999999</v>
      </c>
      <c r="I636" s="115">
        <v>201</v>
      </c>
      <c r="J636" s="115">
        <v>286</v>
      </c>
      <c r="K636" s="115">
        <v>0.70279999999999998</v>
      </c>
      <c r="L636" s="115">
        <v>3.6785999999999999</v>
      </c>
      <c r="M636" s="115">
        <v>2151</v>
      </c>
      <c r="N636" s="115">
        <v>7.5209999999999999</v>
      </c>
      <c r="O636" s="115">
        <v>13</v>
      </c>
      <c r="P636" s="115">
        <v>6</v>
      </c>
      <c r="Q636" s="115">
        <v>16</v>
      </c>
      <c r="R636" s="115">
        <v>22</v>
      </c>
      <c r="S636" s="115">
        <v>74</v>
      </c>
      <c r="T636" s="115">
        <v>3.3635999999999999</v>
      </c>
      <c r="U636" s="115">
        <v>0</v>
      </c>
      <c r="V636" s="115">
        <v>4.5499999999999999E-2</v>
      </c>
      <c r="W636" s="115">
        <v>2.1000000000000001E-2</v>
      </c>
      <c r="X636" s="115">
        <v>2.4500000000000001E-2</v>
      </c>
      <c r="Y636" s="115">
        <v>0.52680000000000005</v>
      </c>
      <c r="Z636" s="115">
        <v>98.397400000000005</v>
      </c>
      <c r="AA636" s="115">
        <v>6.7317999999999998</v>
      </c>
      <c r="AB636" s="115">
        <v>197.37700000000001</v>
      </c>
      <c r="AC636" s="115">
        <v>63.6</v>
      </c>
      <c r="AD636" s="115">
        <v>-8.3000000000000001E-3</v>
      </c>
      <c r="AE636" s="115">
        <v>1.24E-2</v>
      </c>
      <c r="AF636" s="115">
        <v>3.0599999999999999E-2</v>
      </c>
      <c r="AG636" s="115">
        <v>6.7999999999999996E-3</v>
      </c>
      <c r="AH636" s="115">
        <v>5.0299999999999997E-2</v>
      </c>
      <c r="AI636" s="115">
        <v>-7.7000000000000002E-3</v>
      </c>
      <c r="AJ636" s="115">
        <v>-1.8200000000000001E-2</v>
      </c>
      <c r="AK636" s="115">
        <v>7.4265999999999996</v>
      </c>
      <c r="AL636" s="115">
        <v>-1.6608000000000001</v>
      </c>
      <c r="AM636" s="115">
        <v>6</v>
      </c>
      <c r="AN636" s="115">
        <v>3</v>
      </c>
      <c r="AO636" s="115">
        <v>0</v>
      </c>
      <c r="AP636" s="115">
        <v>1</v>
      </c>
      <c r="AQ636" s="115">
        <v>2</v>
      </c>
      <c r="AR636" s="115">
        <v>0.5</v>
      </c>
      <c r="AS636" s="115">
        <v>4.1999999999999997E-3</v>
      </c>
      <c r="AT636" s="115">
        <v>1.413</v>
      </c>
      <c r="AU636" s="114" t="str">
        <f>IF(A636&lt;&gt;"",INDEX(Index!$B$1:$B$77,MATCH($A636,Index!$A$1:$A$77,0)),"")</f>
        <v>SF</v>
      </c>
      <c r="AV636" s="123" t="str">
        <f>IF(B636&lt;&gt;"",INDEX(Index!$C$1:$C$77,MATCH($A636,Index!$A$1:$A$77,0)),"")</f>
        <v>Jones</v>
      </c>
      <c r="AW636" s="123">
        <f t="shared" si="12"/>
        <v>34</v>
      </c>
      <c r="AX636" s="113">
        <v>16</v>
      </c>
    </row>
    <row r="637" spans="1:50" x14ac:dyDescent="0.25">
      <c r="A637" s="95" t="s">
        <v>568</v>
      </c>
      <c r="B637" s="96">
        <v>2025</v>
      </c>
      <c r="C637" s="96">
        <v>13</v>
      </c>
      <c r="D637" s="96">
        <v>-0.19790199999999999</v>
      </c>
      <c r="E637" s="96">
        <v>-0.66387099999999999</v>
      </c>
      <c r="F637" s="115">
        <v>1.31358</v>
      </c>
      <c r="G637" s="115">
        <v>86.991200000000006</v>
      </c>
      <c r="H637" s="115">
        <v>0.1875</v>
      </c>
      <c r="I637" s="115">
        <v>261</v>
      </c>
      <c r="J637" s="115">
        <v>382</v>
      </c>
      <c r="K637" s="115">
        <v>0.68320000000000003</v>
      </c>
      <c r="L637" s="115">
        <v>2.2970999999999999</v>
      </c>
      <c r="M637" s="115">
        <v>3101</v>
      </c>
      <c r="N637" s="115">
        <v>8.1178000000000008</v>
      </c>
      <c r="O637" s="115">
        <v>19</v>
      </c>
      <c r="P637" s="115">
        <v>8</v>
      </c>
      <c r="Q637" s="115">
        <v>22</v>
      </c>
      <c r="R637" s="115">
        <v>36</v>
      </c>
      <c r="S637" s="115">
        <v>167</v>
      </c>
      <c r="T637" s="115">
        <v>4.6388999999999996</v>
      </c>
      <c r="U637" s="115">
        <v>5</v>
      </c>
      <c r="V637" s="115">
        <v>4.9700000000000001E-2</v>
      </c>
      <c r="W637" s="115">
        <v>2.0899999999999998E-2</v>
      </c>
      <c r="X637" s="115">
        <v>2.8799999999999999E-2</v>
      </c>
      <c r="Y637" s="115">
        <v>0.51719999999999999</v>
      </c>
      <c r="Z637" s="115">
        <v>100.69799999999999</v>
      </c>
      <c r="AA637" s="115">
        <v>7.3342000000000001</v>
      </c>
      <c r="AB637" s="115">
        <v>203.07</v>
      </c>
      <c r="AC637" s="115">
        <v>63.8</v>
      </c>
      <c r="AD637" s="115">
        <v>1.3299999999999999E-2</v>
      </c>
      <c r="AE637" s="115">
        <v>8.6E-3</v>
      </c>
      <c r="AF637" s="115">
        <v>2.9700000000000001E-2</v>
      </c>
      <c r="AG637" s="115">
        <v>5.8999999999999999E-3</v>
      </c>
      <c r="AH637" s="115">
        <v>3.5000000000000003E-2</v>
      </c>
      <c r="AI637" s="115">
        <v>2.7400000000000001E-2</v>
      </c>
      <c r="AJ637" s="115">
        <v>-6.8999999999999999E-3</v>
      </c>
      <c r="AK637" s="115">
        <v>8.0471000000000004</v>
      </c>
      <c r="AL637" s="115">
        <v>-0.79059999999999997</v>
      </c>
      <c r="AM637" s="115">
        <v>8</v>
      </c>
      <c r="AN637" s="115">
        <v>5</v>
      </c>
      <c r="AO637" s="115">
        <v>0</v>
      </c>
      <c r="AP637" s="115">
        <v>3</v>
      </c>
      <c r="AQ637" s="115">
        <v>5</v>
      </c>
      <c r="AR637" s="115">
        <v>0.6</v>
      </c>
      <c r="AS637" s="115">
        <v>3.8E-3</v>
      </c>
      <c r="AT637" s="115">
        <v>1.7748999999999999</v>
      </c>
      <c r="AU637" s="114" t="str">
        <f>IF(A637&lt;&gt;"",INDEX(Index!$B$1:$B$77,MATCH($A637,Index!$A$1:$A$77,0)),"")</f>
        <v>IND</v>
      </c>
      <c r="AV637" s="123" t="str">
        <f>IF(B637&lt;&gt;"",INDEX(Index!$C$1:$C$77,MATCH($A637,Index!$A$1:$A$77,0)),"")</f>
        <v>Jones</v>
      </c>
      <c r="AW637" s="123">
        <f t="shared" si="12"/>
        <v>23</v>
      </c>
      <c r="AX637" s="113">
        <v>16</v>
      </c>
    </row>
    <row r="638" spans="1:50" x14ac:dyDescent="0.25">
      <c r="A638" s="95" t="s">
        <v>590</v>
      </c>
      <c r="B638" s="96">
        <v>2025</v>
      </c>
      <c r="C638" s="96">
        <v>10</v>
      </c>
      <c r="D638" s="96">
        <v>-0.41192600000000001</v>
      </c>
      <c r="E638" s="96">
        <v>-0.44085000000000002</v>
      </c>
      <c r="F638" s="115">
        <v>1.6148199999999999</v>
      </c>
      <c r="G638" s="115">
        <v>13.564299999999999</v>
      </c>
      <c r="H638" s="115">
        <v>2.7E-2</v>
      </c>
      <c r="I638" s="115">
        <v>272</v>
      </c>
      <c r="J638" s="115">
        <v>416</v>
      </c>
      <c r="K638" s="115">
        <v>0.65380000000000005</v>
      </c>
      <c r="L638" s="115">
        <v>1.4842</v>
      </c>
      <c r="M638" s="115">
        <v>2911</v>
      </c>
      <c r="N638" s="115">
        <v>6.9976000000000003</v>
      </c>
      <c r="O638" s="115">
        <v>19</v>
      </c>
      <c r="P638" s="115">
        <v>7</v>
      </c>
      <c r="Q638" s="115">
        <v>33</v>
      </c>
      <c r="R638" s="115">
        <v>32</v>
      </c>
      <c r="S638" s="115">
        <v>150</v>
      </c>
      <c r="T638" s="115">
        <v>4.6875</v>
      </c>
      <c r="U638" s="115">
        <v>1</v>
      </c>
      <c r="V638" s="115">
        <v>4.5699999999999998E-2</v>
      </c>
      <c r="W638" s="115">
        <v>1.6799999999999999E-2</v>
      </c>
      <c r="X638" s="115">
        <v>2.8799999999999999E-2</v>
      </c>
      <c r="Y638" s="115">
        <v>0.47320000000000001</v>
      </c>
      <c r="Z638" s="115">
        <v>93.940299999999993</v>
      </c>
      <c r="AA638" s="115">
        <v>6.1069000000000004</v>
      </c>
      <c r="AB638" s="115">
        <v>192.505</v>
      </c>
      <c r="AC638" s="115">
        <v>42.3</v>
      </c>
      <c r="AD638" s="115">
        <v>-1.4200000000000001E-2</v>
      </c>
      <c r="AE638" s="115">
        <v>-3.3399999999999999E-2</v>
      </c>
      <c r="AF638" s="115">
        <v>-5.7999999999999996E-3</v>
      </c>
      <c r="AG638" s="115">
        <v>1.4999999999999999E-2</v>
      </c>
      <c r="AH638" s="115">
        <v>-3.3300000000000003E-2</v>
      </c>
      <c r="AI638" s="115">
        <v>3.2199999999999999E-2</v>
      </c>
      <c r="AJ638" s="115">
        <v>-8.0000000000000002E-3</v>
      </c>
      <c r="AK638" s="115">
        <v>7.6441999999999997</v>
      </c>
      <c r="AL638" s="115">
        <v>-1.5481</v>
      </c>
      <c r="AM638" s="115">
        <v>2</v>
      </c>
      <c r="AN638" s="115">
        <v>10</v>
      </c>
      <c r="AO638" s="115">
        <v>0</v>
      </c>
      <c r="AP638" s="115">
        <v>0</v>
      </c>
      <c r="AQ638" s="115">
        <v>5</v>
      </c>
      <c r="AR638" s="115">
        <v>0</v>
      </c>
      <c r="AS638" s="115">
        <v>-1.2999999999999999E-3</v>
      </c>
      <c r="AT638" s="115">
        <v>-0.63380000000000003</v>
      </c>
      <c r="AU638" s="114" t="str">
        <f>IF(A638&lt;&gt;"",INDEX(Index!$B$1:$B$77,MATCH($A638,Index!$A$1:$A$77,0)),"")</f>
        <v>ARI</v>
      </c>
      <c r="AV638" s="123" t="str">
        <f>IF(B638&lt;&gt;"",INDEX(Index!$C$1:$C$77,MATCH($A638,Index!$A$1:$A$77,0)),"")</f>
        <v>Brissett</v>
      </c>
      <c r="AW638" s="123">
        <f t="shared" si="12"/>
        <v>8</v>
      </c>
      <c r="AX638" s="113">
        <v>16</v>
      </c>
    </row>
    <row r="639" spans="1:50" x14ac:dyDescent="0.25">
      <c r="A639" s="95" t="s">
        <v>573</v>
      </c>
      <c r="B639" s="96">
        <v>2025</v>
      </c>
      <c r="C639" s="96">
        <v>15</v>
      </c>
      <c r="D639" s="96">
        <v>-0.482242</v>
      </c>
      <c r="E639" s="96">
        <v>-0.20108899999999999</v>
      </c>
      <c r="F639" s="115">
        <v>0.35995199999999999</v>
      </c>
      <c r="G639" s="115">
        <v>82.300299999999993</v>
      </c>
      <c r="H639" s="115">
        <v>0.16930000000000001</v>
      </c>
      <c r="I639" s="115">
        <v>285</v>
      </c>
      <c r="J639" s="115">
        <v>420</v>
      </c>
      <c r="K639" s="115">
        <v>0.67859999999999998</v>
      </c>
      <c r="L639" s="115">
        <v>5.4204999999999997</v>
      </c>
      <c r="M639" s="115">
        <v>3703</v>
      </c>
      <c r="N639" s="115">
        <v>8.8167000000000009</v>
      </c>
      <c r="O639" s="115">
        <v>24</v>
      </c>
      <c r="P639" s="115">
        <v>13</v>
      </c>
      <c r="Q639" s="115">
        <v>22</v>
      </c>
      <c r="R639" s="115">
        <v>16</v>
      </c>
      <c r="S639" s="115">
        <v>94</v>
      </c>
      <c r="T639" s="115">
        <v>5.875</v>
      </c>
      <c r="U639" s="115">
        <v>0</v>
      </c>
      <c r="V639" s="115">
        <v>5.7099999999999998E-2</v>
      </c>
      <c r="W639" s="115">
        <v>3.1E-2</v>
      </c>
      <c r="X639" s="115">
        <v>2.6200000000000001E-2</v>
      </c>
      <c r="Y639" s="115">
        <v>0.53500000000000003</v>
      </c>
      <c r="Z639" s="115">
        <v>101.518</v>
      </c>
      <c r="AA639" s="115">
        <v>7.8076999999999996</v>
      </c>
      <c r="AB639" s="115">
        <v>174.82</v>
      </c>
      <c r="AC639" s="115">
        <v>60.8</v>
      </c>
      <c r="AD639" s="115">
        <v>-1.5800000000000002E-2</v>
      </c>
      <c r="AE639" s="115">
        <v>5.1000000000000004E-3</v>
      </c>
      <c r="AF639" s="115">
        <v>3.9100000000000003E-2</v>
      </c>
      <c r="AG639" s="115">
        <v>-0.06</v>
      </c>
      <c r="AH639" s="115">
        <v>9.06E-2</v>
      </c>
      <c r="AI639" s="115">
        <v>3.4500000000000003E-2</v>
      </c>
      <c r="AJ639" s="115">
        <v>2.0999999999999999E-3</v>
      </c>
      <c r="AK639" s="115">
        <v>8.2786000000000008</v>
      </c>
      <c r="AL639" s="115">
        <v>-0.54049999999999998</v>
      </c>
      <c r="AM639" s="115">
        <v>12</v>
      </c>
      <c r="AN639" s="115">
        <v>3</v>
      </c>
      <c r="AO639" s="115">
        <v>0</v>
      </c>
      <c r="AP639" s="115">
        <v>2</v>
      </c>
      <c r="AQ639" s="115">
        <v>5</v>
      </c>
      <c r="AR639" s="115">
        <v>0.4</v>
      </c>
      <c r="AS639" s="115">
        <v>2.5999999999999999E-3</v>
      </c>
      <c r="AT639" s="115">
        <v>1.2589999999999999</v>
      </c>
      <c r="AU639" s="114" t="str">
        <f>IF(A639&lt;&gt;"",INDEX(Index!$B$1:$B$77,MATCH($A639,Index!$A$1:$A$77,0)),"")</f>
        <v>SEA</v>
      </c>
      <c r="AV639" s="123" t="str">
        <f>IF(B639&lt;&gt;"",INDEX(Index!$C$1:$C$77,MATCH($A639,Index!$A$1:$A$77,0)),"")</f>
        <v>Darnold</v>
      </c>
      <c r="AW639" s="123">
        <f t="shared" si="12"/>
        <v>23</v>
      </c>
      <c r="AX639" s="113">
        <v>16</v>
      </c>
    </row>
    <row r="640" spans="1:50" x14ac:dyDescent="0.25">
      <c r="A640" s="95" t="s">
        <v>559</v>
      </c>
      <c r="B640" s="96">
        <v>2025</v>
      </c>
      <c r="C640" s="96">
        <v>15</v>
      </c>
      <c r="D640" s="96">
        <v>-0.53588100000000005</v>
      </c>
      <c r="E640" s="96">
        <v>-5.1803000000000002E-2</v>
      </c>
      <c r="F640" s="115">
        <v>-1.3406400000000001</v>
      </c>
      <c r="G640" s="115">
        <v>43.308500000000002</v>
      </c>
      <c r="H640" s="115">
        <v>7.4200000000000002E-2</v>
      </c>
      <c r="I640" s="115">
        <v>294</v>
      </c>
      <c r="J640" s="115">
        <v>476</v>
      </c>
      <c r="K640" s="115">
        <v>0.61760000000000004</v>
      </c>
      <c r="L640" s="115">
        <v>-3.5680999999999998</v>
      </c>
      <c r="M640" s="115">
        <v>3144</v>
      </c>
      <c r="N640" s="115">
        <v>6.6050000000000004</v>
      </c>
      <c r="O640" s="115">
        <v>23</v>
      </c>
      <c r="P640" s="115">
        <v>8</v>
      </c>
      <c r="Q640" s="115">
        <v>31</v>
      </c>
      <c r="R640" s="115">
        <v>38</v>
      </c>
      <c r="S640" s="115">
        <v>344</v>
      </c>
      <c r="T640" s="115">
        <v>9.0526</v>
      </c>
      <c r="U640" s="115">
        <v>1</v>
      </c>
      <c r="V640" s="115">
        <v>4.8300000000000003E-2</v>
      </c>
      <c r="W640" s="115">
        <v>1.6799999999999999E-2</v>
      </c>
      <c r="X640" s="115">
        <v>3.15E-2</v>
      </c>
      <c r="Y640" s="115">
        <v>0.4486</v>
      </c>
      <c r="Z640" s="115">
        <v>90.178600000000003</v>
      </c>
      <c r="AA640" s="115">
        <v>5.9842000000000004</v>
      </c>
      <c r="AB640" s="115">
        <v>166.971</v>
      </c>
      <c r="AC640" s="115">
        <v>59.9</v>
      </c>
      <c r="AD640" s="115">
        <v>3.4599999999999999E-2</v>
      </c>
      <c r="AE640" s="115">
        <v>1.4200000000000001E-2</v>
      </c>
      <c r="AF640" s="115">
        <v>-1.8599999999999998E-2</v>
      </c>
      <c r="AG640" s="115">
        <v>1.8100000000000002E-2</v>
      </c>
      <c r="AH640" s="115">
        <v>-5.7799999999999997E-2</v>
      </c>
      <c r="AI640" s="115">
        <v>4.5999999999999999E-3</v>
      </c>
      <c r="AJ640" s="115">
        <v>4.5999999999999999E-3</v>
      </c>
      <c r="AK640" s="115">
        <v>8.2017000000000007</v>
      </c>
      <c r="AL640" s="115">
        <v>-0.68489999999999995</v>
      </c>
      <c r="AM640" s="115">
        <v>7</v>
      </c>
      <c r="AN640" s="115">
        <v>8</v>
      </c>
      <c r="AO640" s="115">
        <v>0</v>
      </c>
      <c r="AP640" s="115">
        <v>4</v>
      </c>
      <c r="AQ640" s="115">
        <v>9</v>
      </c>
      <c r="AR640" s="115">
        <v>0.44440000000000002</v>
      </c>
      <c r="AS640" s="115">
        <v>2.5000000000000001E-3</v>
      </c>
      <c r="AT640" s="115">
        <v>1.4396</v>
      </c>
      <c r="AU640" s="114" t="str">
        <f>IF(A640&lt;&gt;"",INDEX(Index!$B$1:$B$77,MATCH($A640,Index!$A$1:$A$77,0)),"")</f>
        <v>TB</v>
      </c>
      <c r="AV640" s="123" t="str">
        <f>IF(B640&lt;&gt;"",INDEX(Index!$C$1:$C$77,MATCH($A640,Index!$A$1:$A$77,0)),"")</f>
        <v>Mayfield</v>
      </c>
      <c r="AW640" s="123">
        <f t="shared" si="12"/>
        <v>10</v>
      </c>
      <c r="AX640" s="113">
        <v>16</v>
      </c>
    </row>
    <row r="641" spans="1:50" x14ac:dyDescent="0.25">
      <c r="A641" s="95" t="s">
        <v>563</v>
      </c>
      <c r="B641" s="96">
        <v>2025</v>
      </c>
      <c r="C641" s="96">
        <v>15</v>
      </c>
      <c r="D641" s="96">
        <v>-0.56395399999999996</v>
      </c>
      <c r="E641" s="96">
        <v>0.94554199999999999</v>
      </c>
      <c r="F641" s="115">
        <v>-0.66140600000000005</v>
      </c>
      <c r="G641" s="115">
        <v>60.725999999999999</v>
      </c>
      <c r="H641" s="115">
        <v>9.7900000000000001E-2</v>
      </c>
      <c r="I641" s="115">
        <v>319</v>
      </c>
      <c r="J641" s="115">
        <v>480</v>
      </c>
      <c r="K641" s="115">
        <v>0.66459999999999997</v>
      </c>
      <c r="L641" s="115">
        <v>1.6032999999999999</v>
      </c>
      <c r="M641" s="115">
        <v>3491</v>
      </c>
      <c r="N641" s="115">
        <v>7.2728999999999999</v>
      </c>
      <c r="O641" s="115">
        <v>25</v>
      </c>
      <c r="P641" s="115">
        <v>12</v>
      </c>
      <c r="Q641" s="115">
        <v>49</v>
      </c>
      <c r="R641" s="115">
        <v>65</v>
      </c>
      <c r="S641" s="115">
        <v>473</v>
      </c>
      <c r="T641" s="115">
        <v>7.2769000000000004</v>
      </c>
      <c r="U641" s="115">
        <v>2</v>
      </c>
      <c r="V641" s="115">
        <v>5.21E-2</v>
      </c>
      <c r="W641" s="115">
        <v>2.5000000000000001E-2</v>
      </c>
      <c r="X641" s="115">
        <v>2.7099999999999999E-2</v>
      </c>
      <c r="Y641" s="115">
        <v>0.49519999999999997</v>
      </c>
      <c r="Z641" s="115">
        <v>94.713499999999996</v>
      </c>
      <c r="AA641" s="115">
        <v>6.0208000000000004</v>
      </c>
      <c r="AB641" s="115">
        <v>160.94999999999999</v>
      </c>
      <c r="AC641" s="115">
        <v>61.5</v>
      </c>
      <c r="AD641" s="115">
        <v>2.7099999999999999E-2</v>
      </c>
      <c r="AE641" s="115">
        <v>-1.9400000000000001E-2</v>
      </c>
      <c r="AF641" s="115">
        <v>2.1399999999999999E-2</v>
      </c>
      <c r="AG641" s="115">
        <v>-2.1499999999999998E-2</v>
      </c>
      <c r="AH641" s="115">
        <v>2.8299999999999999E-2</v>
      </c>
      <c r="AI641" s="115">
        <v>-9.1000000000000004E-3</v>
      </c>
      <c r="AJ641" s="115">
        <v>-3.2000000000000002E-3</v>
      </c>
      <c r="AK641" s="115">
        <v>7.7728999999999999</v>
      </c>
      <c r="AL641" s="115">
        <v>-1.0667</v>
      </c>
      <c r="AM641" s="115">
        <v>11</v>
      </c>
      <c r="AN641" s="115">
        <v>4</v>
      </c>
      <c r="AO641" s="115">
        <v>0</v>
      </c>
      <c r="AP641" s="115">
        <v>3</v>
      </c>
      <c r="AQ641" s="115">
        <v>4</v>
      </c>
      <c r="AR641" s="115">
        <v>0.75</v>
      </c>
      <c r="AS641" s="115">
        <v>2.8E-3</v>
      </c>
      <c r="AT641" s="115">
        <v>1.7539</v>
      </c>
      <c r="AU641" s="114" t="str">
        <f>IF(A641&lt;&gt;"",INDEX(Index!$B$1:$B$77,MATCH($A641,Index!$A$1:$A$77,0)),"")</f>
        <v>LAC</v>
      </c>
      <c r="AV641" s="123" t="str">
        <f>IF(B641&lt;&gt;"",INDEX(Index!$C$1:$C$77,MATCH($A641,Index!$A$1:$A$77,0)),"")</f>
        <v>Herbert</v>
      </c>
      <c r="AW641" s="123">
        <f t="shared" si="12"/>
        <v>3</v>
      </c>
      <c r="AX641" s="113">
        <v>16</v>
      </c>
    </row>
    <row r="642" spans="1:50" x14ac:dyDescent="0.25">
      <c r="A642" s="95" t="s">
        <v>596</v>
      </c>
      <c r="B642" s="96">
        <v>2025</v>
      </c>
      <c r="C642" s="96">
        <v>2</v>
      </c>
      <c r="D642" s="96">
        <v>-0.64965899999999999</v>
      </c>
      <c r="E642" s="96">
        <v>0.24723500000000001</v>
      </c>
      <c r="F642" s="115">
        <v>0.20761199999999999</v>
      </c>
      <c r="G642" s="115">
        <v>24.134699999999999</v>
      </c>
      <c r="H642" s="115">
        <v>0.30170000000000002</v>
      </c>
      <c r="I642" s="115">
        <v>37</v>
      </c>
      <c r="J642" s="115">
        <v>66</v>
      </c>
      <c r="K642" s="115">
        <v>0.56059999999999999</v>
      </c>
      <c r="L642" s="115">
        <v>-3.0971000000000002</v>
      </c>
      <c r="M642" s="115">
        <v>567</v>
      </c>
      <c r="N642" s="115">
        <v>8.5908999999999995</v>
      </c>
      <c r="O642" s="115">
        <v>2</v>
      </c>
      <c r="P642" s="115">
        <v>2</v>
      </c>
      <c r="Q642" s="115">
        <v>3</v>
      </c>
      <c r="R642" s="115">
        <v>5</v>
      </c>
      <c r="S642" s="115">
        <v>25</v>
      </c>
      <c r="T642" s="115">
        <v>5</v>
      </c>
      <c r="U642" s="115">
        <v>1</v>
      </c>
      <c r="V642" s="115">
        <v>3.0300000000000001E-2</v>
      </c>
      <c r="W642" s="115">
        <v>3.0300000000000001E-2</v>
      </c>
      <c r="X642" s="115">
        <v>0</v>
      </c>
      <c r="Y642" s="115">
        <v>0.46250000000000002</v>
      </c>
      <c r="Z642" s="115">
        <v>82.070700000000002</v>
      </c>
      <c r="AA642" s="115">
        <v>7.3333000000000004</v>
      </c>
      <c r="AB642" s="115">
        <v>178.09</v>
      </c>
      <c r="AC642" s="115">
        <v>68.3</v>
      </c>
      <c r="AD642" s="115">
        <v>2.3300000000000001E-2</v>
      </c>
      <c r="AE642" s="115">
        <v>3.3099999999999997E-2</v>
      </c>
      <c r="AF642" s="115">
        <v>-8.9599999999999999E-2</v>
      </c>
      <c r="AG642" s="115">
        <v>-3.1800000000000002E-2</v>
      </c>
      <c r="AH642" s="115">
        <v>0.29399999999999998</v>
      </c>
      <c r="AI642" s="115">
        <v>-3.5299999999999998E-2</v>
      </c>
      <c r="AJ642" s="115">
        <v>3.3599999999999998E-2</v>
      </c>
      <c r="AK642" s="115">
        <v>9.3788</v>
      </c>
      <c r="AL642" s="115">
        <v>1.3938999999999999</v>
      </c>
      <c r="AM642" s="115">
        <v>0</v>
      </c>
      <c r="AN642" s="115">
        <v>3</v>
      </c>
      <c r="AO642" s="115">
        <v>0</v>
      </c>
      <c r="AP642" s="115">
        <v>0</v>
      </c>
      <c r="AQ642" s="115">
        <v>1</v>
      </c>
      <c r="AR642" s="115">
        <v>0</v>
      </c>
      <c r="AS642" s="115">
        <v>4.5999999999999999E-3</v>
      </c>
      <c r="AT642" s="115">
        <v>0.3664</v>
      </c>
      <c r="AU642" s="114" t="str">
        <f>IF(A642&lt;&gt;"",INDEX(Index!$B$1:$B$77,MATCH($A642,Index!$A$1:$A$77,0)),"")</f>
        <v>NYG</v>
      </c>
      <c r="AV642" s="123" t="str">
        <f>IF(B642&lt;&gt;"",INDEX(Index!$C$1:$C$77,MATCH($A642,Index!$A$1:$A$77,0)),"")</f>
        <v>Winston</v>
      </c>
      <c r="AW642" s="123">
        <f t="shared" si="12"/>
        <v>50</v>
      </c>
      <c r="AX642" s="113">
        <v>16</v>
      </c>
    </row>
    <row r="643" spans="1:50" x14ac:dyDescent="0.25">
      <c r="A643" s="95" t="s">
        <v>579</v>
      </c>
      <c r="B643" s="96">
        <v>2025</v>
      </c>
      <c r="C643" s="96">
        <v>12</v>
      </c>
      <c r="D643" s="96">
        <v>-0.67716799999999999</v>
      </c>
      <c r="E643" s="96">
        <v>1.2160000000000001E-2</v>
      </c>
      <c r="F643" s="115">
        <v>0.93912200000000001</v>
      </c>
      <c r="G643" s="115">
        <v>71.483999999999995</v>
      </c>
      <c r="H643" s="115">
        <v>0.15509999999999999</v>
      </c>
      <c r="I643" s="115">
        <v>243</v>
      </c>
      <c r="J643" s="115">
        <v>370</v>
      </c>
      <c r="K643" s="115">
        <v>0.65680000000000005</v>
      </c>
      <c r="L643" s="115">
        <v>1.2242999999999999</v>
      </c>
      <c r="M643" s="115">
        <v>2628</v>
      </c>
      <c r="N643" s="115">
        <v>7.1026999999999996</v>
      </c>
      <c r="O643" s="115">
        <v>16</v>
      </c>
      <c r="P643" s="115">
        <v>6</v>
      </c>
      <c r="Q643" s="115">
        <v>23</v>
      </c>
      <c r="R643" s="115">
        <v>33</v>
      </c>
      <c r="S643" s="115">
        <v>207</v>
      </c>
      <c r="T643" s="115">
        <v>6.2727000000000004</v>
      </c>
      <c r="U643" s="115">
        <v>0</v>
      </c>
      <c r="V643" s="115">
        <v>4.3200000000000002E-2</v>
      </c>
      <c r="W643" s="115">
        <v>1.6199999999999999E-2</v>
      </c>
      <c r="X643" s="115">
        <v>2.7E-2</v>
      </c>
      <c r="Y643" s="115">
        <v>0.48159999999999997</v>
      </c>
      <c r="Z643" s="115">
        <v>94.065299999999993</v>
      </c>
      <c r="AA643" s="115">
        <v>6.3333000000000004</v>
      </c>
      <c r="AB643" s="115">
        <v>163.072</v>
      </c>
      <c r="AC643" s="115">
        <v>63</v>
      </c>
      <c r="AD643" s="115">
        <v>1.43E-2</v>
      </c>
      <c r="AE643" s="115">
        <v>1.84E-2</v>
      </c>
      <c r="AF643" s="115">
        <v>9.1999999999999998E-3</v>
      </c>
      <c r="AG643" s="115">
        <v>3.7100000000000001E-2</v>
      </c>
      <c r="AH643" s="115">
        <v>2.1600000000000001E-2</v>
      </c>
      <c r="AI643" s="115">
        <v>-1.6799999999999999E-2</v>
      </c>
      <c r="AJ643" s="115">
        <v>-3.0999999999999999E-3</v>
      </c>
      <c r="AK643" s="115">
        <v>8.1350999999999996</v>
      </c>
      <c r="AL643" s="115">
        <v>-0.85409999999999997</v>
      </c>
      <c r="AM643" s="115">
        <v>7</v>
      </c>
      <c r="AN643" s="115">
        <v>5</v>
      </c>
      <c r="AO643" s="115">
        <v>0</v>
      </c>
      <c r="AP643" s="115">
        <v>0</v>
      </c>
      <c r="AQ643" s="115">
        <v>3</v>
      </c>
      <c r="AR643" s="115">
        <v>0</v>
      </c>
      <c r="AS643" s="115">
        <v>2.8E-3</v>
      </c>
      <c r="AT643" s="115">
        <v>1.2887999999999999</v>
      </c>
      <c r="AU643" s="114" t="str">
        <f>IF(A643&lt;&gt;"",INDEX(Index!$B$1:$B$77,MATCH($A643,Index!$A$1:$A$77,0)),"")</f>
        <v>HOU</v>
      </c>
      <c r="AV643" s="123" t="str">
        <f>IF(B643&lt;&gt;"",INDEX(Index!$C$1:$C$77,MATCH($A643,Index!$A$1:$A$77,0)),"")</f>
        <v>Stroud</v>
      </c>
      <c r="AW643" s="123">
        <f t="shared" si="12"/>
        <v>21</v>
      </c>
      <c r="AX643" s="113">
        <v>16</v>
      </c>
    </row>
    <row r="644" spans="1:50" x14ac:dyDescent="0.25">
      <c r="A644" s="95" t="s">
        <v>587</v>
      </c>
      <c r="B644" s="96">
        <v>2025</v>
      </c>
      <c r="C644" s="96">
        <v>10</v>
      </c>
      <c r="D644" s="96">
        <v>-0.93259899999999996</v>
      </c>
      <c r="E644" s="96">
        <v>-0.95497100000000001</v>
      </c>
      <c r="F644" s="115">
        <v>1.47275</v>
      </c>
      <c r="G644" s="115">
        <v>38.589199999999998</v>
      </c>
      <c r="H644" s="115">
        <v>9.6699999999999994E-2</v>
      </c>
      <c r="I644" s="115">
        <v>172</v>
      </c>
      <c r="J644" s="115">
        <v>276</v>
      </c>
      <c r="K644" s="115">
        <v>0.62319999999999998</v>
      </c>
      <c r="L644" s="115">
        <v>-1.4944</v>
      </c>
      <c r="M644" s="115">
        <v>1835</v>
      </c>
      <c r="N644" s="115">
        <v>6.6486000000000001</v>
      </c>
      <c r="O644" s="115">
        <v>13</v>
      </c>
      <c r="P644" s="115">
        <v>5</v>
      </c>
      <c r="Q644" s="115">
        <v>29</v>
      </c>
      <c r="R644" s="115">
        <v>67</v>
      </c>
      <c r="S644" s="115">
        <v>410</v>
      </c>
      <c r="T644" s="115">
        <v>6.1193999999999997</v>
      </c>
      <c r="U644" s="115">
        <v>7</v>
      </c>
      <c r="V644" s="115">
        <v>4.7100000000000003E-2</v>
      </c>
      <c r="W644" s="115">
        <v>1.8100000000000002E-2</v>
      </c>
      <c r="X644" s="115">
        <v>2.9000000000000001E-2</v>
      </c>
      <c r="Y644" s="115">
        <v>0.45860000000000001</v>
      </c>
      <c r="Z644" s="115">
        <v>89.870199999999997</v>
      </c>
      <c r="AA644" s="115">
        <v>5.7310999999999996</v>
      </c>
      <c r="AB644" s="115">
        <v>182.18199999999999</v>
      </c>
      <c r="AC644" s="115">
        <v>56.1</v>
      </c>
      <c r="AD644" s="115">
        <v>5.3800000000000001E-2</v>
      </c>
      <c r="AE644" s="115">
        <v>-9.4000000000000004E-3</v>
      </c>
      <c r="AF644" s="115">
        <v>2.52E-2</v>
      </c>
      <c r="AG644" s="115">
        <v>3.6200000000000003E-2</v>
      </c>
      <c r="AH644" s="115">
        <v>-7.7100000000000002E-2</v>
      </c>
      <c r="AI644" s="115">
        <v>-4.4200000000000003E-2</v>
      </c>
      <c r="AJ644" s="115">
        <v>3.7999999999999999E-2</v>
      </c>
      <c r="AK644" s="115">
        <v>8.8477999999999994</v>
      </c>
      <c r="AL644" s="115">
        <v>-0.50360000000000005</v>
      </c>
      <c r="AM644" s="115">
        <v>2</v>
      </c>
      <c r="AN644" s="115">
        <v>10</v>
      </c>
      <c r="AO644" s="115">
        <v>0</v>
      </c>
      <c r="AP644" s="115">
        <v>0</v>
      </c>
      <c r="AQ644" s="115">
        <v>4</v>
      </c>
      <c r="AR644" s="115">
        <v>0</v>
      </c>
      <c r="AS644" s="115">
        <v>1.5E-3</v>
      </c>
      <c r="AT644" s="115">
        <v>0.61550000000000005</v>
      </c>
      <c r="AU644" s="114" t="str">
        <f>IF(A644&lt;&gt;"",INDEX(Index!$B$1:$B$77,MATCH($A644,Index!$A$1:$A$77,0)),"")</f>
        <v>NYG</v>
      </c>
      <c r="AV644" s="123" t="str">
        <f>IF(B644&lt;&gt;"",INDEX(Index!$C$1:$C$77,MATCH($A644,Index!$A$1:$A$77,0)),"")</f>
        <v>Dart</v>
      </c>
      <c r="AW644" s="123">
        <f t="shared" si="12"/>
        <v>14</v>
      </c>
      <c r="AX644" s="113">
        <v>16</v>
      </c>
    </row>
    <row r="645" spans="1:50" x14ac:dyDescent="0.25">
      <c r="A645" s="95" t="s">
        <v>577</v>
      </c>
      <c r="B645" s="96">
        <v>2025</v>
      </c>
      <c r="C645" s="96">
        <v>10</v>
      </c>
      <c r="D645" s="96">
        <v>-0.99207100000000004</v>
      </c>
      <c r="E645" s="96">
        <v>-0.397565</v>
      </c>
      <c r="F645" s="115">
        <v>5.2841800000000001E-2</v>
      </c>
      <c r="G645" s="115">
        <v>-36.286099999999998</v>
      </c>
      <c r="H645" s="115">
        <v>-7.8700000000000006E-2</v>
      </c>
      <c r="I645" s="115">
        <v>248</v>
      </c>
      <c r="J645" s="115">
        <v>407</v>
      </c>
      <c r="K645" s="115">
        <v>0.60929999999999995</v>
      </c>
      <c r="L645" s="115">
        <v>-2.8548</v>
      </c>
      <c r="M645" s="115">
        <v>2455</v>
      </c>
      <c r="N645" s="115">
        <v>6.0319000000000003</v>
      </c>
      <c r="O645" s="115">
        <v>15</v>
      </c>
      <c r="P645" s="115">
        <v>10</v>
      </c>
      <c r="Q645" s="115">
        <v>18</v>
      </c>
      <c r="R645" s="115">
        <v>10</v>
      </c>
      <c r="S645" s="115">
        <v>45</v>
      </c>
      <c r="T645" s="115">
        <v>4.5</v>
      </c>
      <c r="U645" s="115">
        <v>1</v>
      </c>
      <c r="V645" s="115">
        <v>3.6900000000000002E-2</v>
      </c>
      <c r="W645" s="115">
        <v>2.46E-2</v>
      </c>
      <c r="X645" s="115">
        <v>1.23E-2</v>
      </c>
      <c r="Y645" s="115">
        <v>0.42520000000000002</v>
      </c>
      <c r="Z645" s="115">
        <v>80.042000000000002</v>
      </c>
      <c r="AA645" s="115">
        <v>5.1459000000000001</v>
      </c>
      <c r="AB645" s="115">
        <v>138.00299999999999</v>
      </c>
      <c r="AC645" s="115">
        <v>41.1</v>
      </c>
      <c r="AD645" s="115">
        <v>-1.7500000000000002E-2</v>
      </c>
      <c r="AE645" s="115">
        <v>8.8999999999999999E-3</v>
      </c>
      <c r="AF645" s="115">
        <v>-4.0500000000000001E-2</v>
      </c>
      <c r="AG645" s="115">
        <v>-2.8199999999999999E-2</v>
      </c>
      <c r="AH645" s="115">
        <v>-5.62E-2</v>
      </c>
      <c r="AI645" s="115">
        <v>-1.6199999999999999E-2</v>
      </c>
      <c r="AJ645" s="115">
        <v>-3.3999999999999998E-3</v>
      </c>
      <c r="AK645" s="115">
        <v>7.4520999999999997</v>
      </c>
      <c r="AL645" s="115">
        <v>-1.5111000000000001</v>
      </c>
      <c r="AM645" s="115">
        <v>3</v>
      </c>
      <c r="AN645" s="115">
        <v>8</v>
      </c>
      <c r="AO645" s="115">
        <v>0</v>
      </c>
      <c r="AP645" s="115">
        <v>2</v>
      </c>
      <c r="AQ645" s="115">
        <v>6</v>
      </c>
      <c r="AR645" s="115">
        <v>0.33329999999999999</v>
      </c>
      <c r="AS645" s="115">
        <v>-2.0999999999999999E-3</v>
      </c>
      <c r="AT645" s="115">
        <v>-0.9879</v>
      </c>
      <c r="AU645" s="114" t="str">
        <f>IF(A645&lt;&gt;"",INDEX(Index!$B$1:$B$77,MATCH($A645,Index!$A$1:$A$77,0)),"")</f>
        <v>CIN</v>
      </c>
      <c r="AV645" s="123" t="str">
        <f>IF(B645&lt;&gt;"",INDEX(Index!$C$1:$C$77,MATCH($A645,Index!$A$1:$A$77,0)),"")</f>
        <v>Flacco</v>
      </c>
      <c r="AW645" s="123">
        <f t="shared" si="12"/>
        <v>29</v>
      </c>
      <c r="AX645" s="113">
        <v>16</v>
      </c>
    </row>
    <row r="646" spans="1:50" x14ac:dyDescent="0.25">
      <c r="A646" s="95" t="s">
        <v>576</v>
      </c>
      <c r="B646" s="96">
        <v>2025</v>
      </c>
      <c r="C646" s="96">
        <v>14</v>
      </c>
      <c r="D646" s="96">
        <v>-1.04338</v>
      </c>
      <c r="E646" s="96">
        <v>5.9275500000000002E-2</v>
      </c>
      <c r="F646" s="115">
        <v>0.15954399999999999</v>
      </c>
      <c r="G646" s="115">
        <v>26.048200000000001</v>
      </c>
      <c r="H646" s="115">
        <v>5.1700000000000003E-2</v>
      </c>
      <c r="I646" s="115">
        <v>266</v>
      </c>
      <c r="J646" s="115">
        <v>418</v>
      </c>
      <c r="K646" s="115">
        <v>0.63639999999999997</v>
      </c>
      <c r="L646" s="115">
        <v>0.64929999999999999</v>
      </c>
      <c r="M646" s="115">
        <v>2691</v>
      </c>
      <c r="N646" s="115">
        <v>6.4378000000000002</v>
      </c>
      <c r="O646" s="115">
        <v>21</v>
      </c>
      <c r="P646" s="115">
        <v>9</v>
      </c>
      <c r="Q646" s="115">
        <v>25</v>
      </c>
      <c r="R646" s="115">
        <v>31</v>
      </c>
      <c r="S646" s="115">
        <v>204</v>
      </c>
      <c r="T646" s="115">
        <v>6.5805999999999996</v>
      </c>
      <c r="U646" s="115">
        <v>1</v>
      </c>
      <c r="V646" s="115">
        <v>5.0200000000000002E-2</v>
      </c>
      <c r="W646" s="115">
        <v>2.1499999999999998E-2</v>
      </c>
      <c r="X646" s="115">
        <v>2.87E-2</v>
      </c>
      <c r="Y646" s="115">
        <v>0.46029999999999999</v>
      </c>
      <c r="Z646" s="115">
        <v>89.712900000000005</v>
      </c>
      <c r="AA646" s="115">
        <v>5.6840000000000002</v>
      </c>
      <c r="AB646" s="115">
        <v>135.14599999999999</v>
      </c>
      <c r="AC646" s="115">
        <v>50.3</v>
      </c>
      <c r="AD646" s="115">
        <v>-2.3E-3</v>
      </c>
      <c r="AE646" s="115">
        <v>-4.8999999999999998E-3</v>
      </c>
      <c r="AF646" s="115">
        <v>-1.3599999999999999E-2</v>
      </c>
      <c r="AG646" s="115">
        <v>-8.0000000000000002E-3</v>
      </c>
      <c r="AH646" s="115">
        <v>-1.0800000000000001E-2</v>
      </c>
      <c r="AI646" s="115">
        <v>2.8999999999999998E-3</v>
      </c>
      <c r="AJ646" s="115">
        <v>1.4E-2</v>
      </c>
      <c r="AK646" s="115">
        <v>6.7153</v>
      </c>
      <c r="AL646" s="115">
        <v>-1.7967</v>
      </c>
      <c r="AM646" s="115">
        <v>8</v>
      </c>
      <c r="AN646" s="115">
        <v>6</v>
      </c>
      <c r="AO646" s="115">
        <v>0</v>
      </c>
      <c r="AP646" s="115">
        <v>4</v>
      </c>
      <c r="AQ646" s="115">
        <v>7</v>
      </c>
      <c r="AR646" s="115">
        <v>0.57140000000000002</v>
      </c>
      <c r="AS646" s="115">
        <v>2.8E-3</v>
      </c>
      <c r="AT646" s="115">
        <v>1.4319999999999999</v>
      </c>
      <c r="AU646" s="114" t="str">
        <f>IF(A646&lt;&gt;"",INDEX(Index!$B$1:$B$77,MATCH($A646,Index!$A$1:$A$77,0)),"")</f>
        <v>CAR</v>
      </c>
      <c r="AV646" s="123" t="str">
        <f>IF(B646&lt;&gt;"",INDEX(Index!$C$1:$C$77,MATCH($A646,Index!$A$1:$A$77,0)),"")</f>
        <v>Young</v>
      </c>
      <c r="AW646" s="123">
        <f t="shared" si="12"/>
        <v>17</v>
      </c>
      <c r="AX646" s="113">
        <v>16</v>
      </c>
    </row>
    <row r="647" spans="1:50" x14ac:dyDescent="0.25">
      <c r="A647" s="95" t="s">
        <v>583</v>
      </c>
      <c r="B647" s="96">
        <v>2025</v>
      </c>
      <c r="C647" s="96">
        <v>9</v>
      </c>
      <c r="D647" s="96">
        <v>-1.20268</v>
      </c>
      <c r="E647" s="96">
        <v>-0.33505600000000002</v>
      </c>
      <c r="F647" s="115">
        <v>0.111455</v>
      </c>
      <c r="G647" s="115">
        <v>11.5778</v>
      </c>
      <c r="H647" s="115">
        <v>3.8100000000000002E-2</v>
      </c>
      <c r="I647" s="115">
        <v>139</v>
      </c>
      <c r="J647" s="115">
        <v>225</v>
      </c>
      <c r="K647" s="115">
        <v>0.61780000000000002</v>
      </c>
      <c r="L647" s="115">
        <v>3.1970999999999998</v>
      </c>
      <c r="M647" s="115">
        <v>1695</v>
      </c>
      <c r="N647" s="115">
        <v>7.5332999999999997</v>
      </c>
      <c r="O647" s="115">
        <v>10</v>
      </c>
      <c r="P647" s="115">
        <v>7</v>
      </c>
      <c r="Q647" s="115">
        <v>16</v>
      </c>
      <c r="R647" s="115">
        <v>44</v>
      </c>
      <c r="S647" s="115">
        <v>303</v>
      </c>
      <c r="T647" s="115">
        <v>6.8864000000000001</v>
      </c>
      <c r="U647" s="115">
        <v>1</v>
      </c>
      <c r="V647" s="115">
        <v>4.4400000000000002E-2</v>
      </c>
      <c r="W647" s="115">
        <v>3.1099999999999999E-2</v>
      </c>
      <c r="X647" s="115">
        <v>1.3299999999999999E-2</v>
      </c>
      <c r="Y647" s="115">
        <v>0.48680000000000001</v>
      </c>
      <c r="Z647" s="115">
        <v>86.805599999999998</v>
      </c>
      <c r="AA647" s="115">
        <v>6.1120000000000001</v>
      </c>
      <c r="AB647" s="115">
        <v>152.57900000000001</v>
      </c>
      <c r="AC647" s="115">
        <v>49.7</v>
      </c>
      <c r="AD647" s="115">
        <v>-8.3000000000000001E-3</v>
      </c>
      <c r="AE647" s="115">
        <v>2.2000000000000001E-3</v>
      </c>
      <c r="AF647" s="115">
        <v>-2.01E-2</v>
      </c>
      <c r="AG647" s="115">
        <v>-4.3499999999999997E-2</v>
      </c>
      <c r="AH647" s="115">
        <v>0.11940000000000001</v>
      </c>
      <c r="AI647" s="115">
        <v>-8.3400000000000002E-2</v>
      </c>
      <c r="AJ647" s="115">
        <v>-2.7000000000000001E-3</v>
      </c>
      <c r="AK647" s="115">
        <v>10.195600000000001</v>
      </c>
      <c r="AL647" s="115">
        <v>1.1867000000000001</v>
      </c>
      <c r="AM647" s="115">
        <v>2</v>
      </c>
      <c r="AN647" s="115">
        <v>8</v>
      </c>
      <c r="AO647" s="115">
        <v>0</v>
      </c>
      <c r="AP647" s="115">
        <v>0</v>
      </c>
      <c r="AQ647" s="115">
        <v>1</v>
      </c>
      <c r="AR647" s="115">
        <v>0</v>
      </c>
      <c r="AS647" s="115">
        <v>8.9999999999999998E-4</v>
      </c>
      <c r="AT647" s="115">
        <v>0.2651</v>
      </c>
      <c r="AU647" s="114" t="str">
        <f>IF(A647&lt;&gt;"",INDEX(Index!$B$1:$B$77,MATCH($A647,Index!$A$1:$A$77,0)),"")</f>
        <v>WAS</v>
      </c>
      <c r="AV647" s="123" t="str">
        <f>IF(B647&lt;&gt;"",INDEX(Index!$C$1:$C$77,MATCH($A647,Index!$A$1:$A$77,0)),"")</f>
        <v>Mariota</v>
      </c>
      <c r="AW647" s="123">
        <f t="shared" si="12"/>
        <v>34</v>
      </c>
      <c r="AX647" s="113">
        <v>16</v>
      </c>
    </row>
    <row r="648" spans="1:50" x14ac:dyDescent="0.25">
      <c r="A648" s="95" t="s">
        <v>569</v>
      </c>
      <c r="B648" s="96">
        <v>2025</v>
      </c>
      <c r="C648" s="96">
        <v>9</v>
      </c>
      <c r="D648" s="96">
        <v>-1.2248300000000001</v>
      </c>
      <c r="E648" s="96">
        <v>0.21746399999999999</v>
      </c>
      <c r="F648" s="115">
        <v>-1.01745</v>
      </c>
      <c r="G648" s="115">
        <v>-10.984999999999999</v>
      </c>
      <c r="H648" s="115">
        <v>-3.5999999999999997E-2</v>
      </c>
      <c r="I648" s="115">
        <v>128</v>
      </c>
      <c r="J648" s="115">
        <v>202</v>
      </c>
      <c r="K648" s="115">
        <v>0.63370000000000004</v>
      </c>
      <c r="L648" s="115">
        <v>-1.8688</v>
      </c>
      <c r="M648" s="115">
        <v>1242</v>
      </c>
      <c r="N648" s="115">
        <v>6.1485000000000003</v>
      </c>
      <c r="O648" s="115">
        <v>7</v>
      </c>
      <c r="P648" s="115">
        <v>1</v>
      </c>
      <c r="Q648" s="115">
        <v>27</v>
      </c>
      <c r="R648" s="115">
        <v>65</v>
      </c>
      <c r="S648" s="115">
        <v>387</v>
      </c>
      <c r="T648" s="115">
        <v>5.9538000000000002</v>
      </c>
      <c r="U648" s="115">
        <v>4</v>
      </c>
      <c r="V648" s="115">
        <v>3.4700000000000002E-2</v>
      </c>
      <c r="W648" s="115">
        <v>5.0000000000000001E-3</v>
      </c>
      <c r="X648" s="115">
        <v>2.9700000000000001E-2</v>
      </c>
      <c r="Y648" s="115">
        <v>0.44919999999999999</v>
      </c>
      <c r="Z648" s="115">
        <v>89.995900000000006</v>
      </c>
      <c r="AA648" s="115">
        <v>5</v>
      </c>
      <c r="AB648" s="115">
        <v>128.06</v>
      </c>
      <c r="AC648" s="115">
        <v>37.299999999999997</v>
      </c>
      <c r="AD648" s="115">
        <v>1.9400000000000001E-2</v>
      </c>
      <c r="AE648" s="115">
        <v>-3.4000000000000002E-2</v>
      </c>
      <c r="AF648" s="115">
        <v>3.1899999999999998E-2</v>
      </c>
      <c r="AG648" s="115">
        <v>6.0699999999999997E-2</v>
      </c>
      <c r="AH648" s="115">
        <v>-4.8500000000000001E-2</v>
      </c>
      <c r="AI648" s="115">
        <v>-0.1105</v>
      </c>
      <c r="AJ648" s="115">
        <v>-2.93E-2</v>
      </c>
      <c r="AK648" s="115">
        <v>6.8266999999999998</v>
      </c>
      <c r="AL648" s="115">
        <v>-2.1484999999999999</v>
      </c>
      <c r="AM648" s="115">
        <v>2</v>
      </c>
      <c r="AN648" s="115">
        <v>7</v>
      </c>
      <c r="AO648" s="115">
        <v>0</v>
      </c>
      <c r="AP648" s="115">
        <v>1</v>
      </c>
      <c r="AQ648" s="115">
        <v>4</v>
      </c>
      <c r="AR648" s="115">
        <v>0.25</v>
      </c>
      <c r="AS648" s="115">
        <v>-4.0000000000000001E-3</v>
      </c>
      <c r="AT648" s="115">
        <v>-1.2298</v>
      </c>
      <c r="AU648" s="114" t="str">
        <f>IF(A648&lt;&gt;"",INDEX(Index!$B$1:$B$77,MATCH($A648,Index!$A$1:$A$77,0)),"")</f>
        <v>NYJ</v>
      </c>
      <c r="AV648" s="123" t="str">
        <f>IF(B648&lt;&gt;"",INDEX(Index!$C$1:$C$77,MATCH($A648,Index!$A$1:$A$77,0)),"")</f>
        <v>Fields</v>
      </c>
      <c r="AW648" s="123">
        <f t="shared" si="12"/>
        <v>15</v>
      </c>
      <c r="AX648" s="113">
        <v>16</v>
      </c>
    </row>
    <row r="649" spans="1:50" x14ac:dyDescent="0.25">
      <c r="A649" s="95" t="s">
        <v>592</v>
      </c>
      <c r="B649" s="96">
        <v>2025</v>
      </c>
      <c r="C649" s="96">
        <v>1</v>
      </c>
      <c r="D649" s="96">
        <v>-1.3373900000000001</v>
      </c>
      <c r="E649" s="96">
        <v>0.366983</v>
      </c>
      <c r="F649" s="115">
        <v>0.366983</v>
      </c>
      <c r="G649" s="115">
        <v>4.4345999999999997</v>
      </c>
      <c r="H649" s="115">
        <v>6.5199999999999994E-2</v>
      </c>
      <c r="I649" s="115">
        <v>36</v>
      </c>
      <c r="J649" s="115">
        <v>46</v>
      </c>
      <c r="K649" s="115">
        <v>0.78259999999999996</v>
      </c>
      <c r="L649" s="115">
        <v>14.0373</v>
      </c>
      <c r="M649" s="115">
        <v>319</v>
      </c>
      <c r="N649" s="115">
        <v>6.9348000000000001</v>
      </c>
      <c r="O649" s="115">
        <v>1</v>
      </c>
      <c r="P649" s="115">
        <v>0</v>
      </c>
      <c r="Q649" s="115">
        <v>7</v>
      </c>
      <c r="R649" s="115">
        <v>12</v>
      </c>
      <c r="S649" s="115">
        <v>95</v>
      </c>
      <c r="T649" s="115">
        <v>7.9166999999999996</v>
      </c>
      <c r="U649" s="115">
        <v>0</v>
      </c>
      <c r="V649" s="115">
        <v>2.1700000000000001E-2</v>
      </c>
      <c r="W649" s="115">
        <v>0</v>
      </c>
      <c r="X649" s="115">
        <v>2.1700000000000001E-2</v>
      </c>
      <c r="Y649" s="115">
        <v>0.48530000000000001</v>
      </c>
      <c r="Z649" s="115">
        <v>102.80800000000001</v>
      </c>
      <c r="AA649" s="115">
        <v>5.6791999999999998</v>
      </c>
      <c r="AB649" s="115">
        <v>232.892</v>
      </c>
      <c r="AC649" s="115">
        <v>75.400000000000006</v>
      </c>
      <c r="AD649" s="115">
        <v>9.3799999999999994E-2</v>
      </c>
      <c r="AE649" s="115">
        <v>-1.7899999999999999E-2</v>
      </c>
      <c r="AF649" s="115">
        <v>6.4000000000000001E-2</v>
      </c>
      <c r="AG649" s="115">
        <v>7.8299999999999995E-2</v>
      </c>
      <c r="AH649" s="115">
        <v>-1.7500000000000002E-2</v>
      </c>
      <c r="AI649" s="115">
        <v>-0.18959999999999999</v>
      </c>
      <c r="AJ649" s="115">
        <v>-1.67E-2</v>
      </c>
      <c r="AK649" s="115">
        <v>7.5869999999999997</v>
      </c>
      <c r="AL649" s="115">
        <v>-2.3043</v>
      </c>
      <c r="AM649" s="115">
        <v>1</v>
      </c>
      <c r="AN649" s="115">
        <v>2</v>
      </c>
      <c r="AO649" s="115">
        <v>0</v>
      </c>
      <c r="AP649" s="115">
        <v>0</v>
      </c>
      <c r="AQ649" s="115">
        <v>1</v>
      </c>
      <c r="AR649" s="115">
        <v>0</v>
      </c>
      <c r="AS649" s="115">
        <v>1.1999999999999999E-3</v>
      </c>
      <c r="AT649" s="115">
        <v>8.2500000000000004E-2</v>
      </c>
      <c r="AU649" s="114" t="str">
        <f>IF(A649&lt;&gt;"",INDEX(Index!$B$1:$B$77,MATCH($A649,Index!$A$1:$A$77,0)),"")</f>
        <v>BAL</v>
      </c>
      <c r="AV649" s="123" t="str">
        <f>IF(B649&lt;&gt;"",INDEX(Index!$C$1:$C$77,MATCH($A649,Index!$A$1:$A$77,0)),"")</f>
        <v>Huntley</v>
      </c>
      <c r="AW649" s="123">
        <f t="shared" si="12"/>
        <v>46</v>
      </c>
      <c r="AX649" s="113">
        <v>16</v>
      </c>
    </row>
    <row r="650" spans="1:50" x14ac:dyDescent="0.25">
      <c r="A650" s="95" t="s">
        <v>595</v>
      </c>
      <c r="B650" s="96">
        <v>2025</v>
      </c>
      <c r="C650" s="96">
        <v>3</v>
      </c>
      <c r="D650" s="96">
        <v>-1.41012</v>
      </c>
      <c r="E650" s="96">
        <v>0.156083</v>
      </c>
      <c r="F650" s="115">
        <v>0.53834000000000004</v>
      </c>
      <c r="G650" s="115">
        <v>-5.3174000000000001</v>
      </c>
      <c r="H650" s="115">
        <v>-3.0700000000000002E-2</v>
      </c>
      <c r="I650" s="115">
        <v>88</v>
      </c>
      <c r="J650" s="115">
        <v>150</v>
      </c>
      <c r="K650" s="115">
        <v>0.5867</v>
      </c>
      <c r="L650" s="115">
        <v>-5.2324999999999999</v>
      </c>
      <c r="M650" s="115">
        <v>879</v>
      </c>
      <c r="N650" s="115">
        <v>5.86</v>
      </c>
      <c r="O650" s="115">
        <v>5</v>
      </c>
      <c r="P650" s="115">
        <v>1</v>
      </c>
      <c r="Q650" s="115">
        <v>8</v>
      </c>
      <c r="R650" s="115">
        <v>8</v>
      </c>
      <c r="S650" s="115">
        <v>51</v>
      </c>
      <c r="T650" s="115">
        <v>6.375</v>
      </c>
      <c r="U650" s="115">
        <v>1</v>
      </c>
      <c r="V650" s="115">
        <v>3.3300000000000003E-2</v>
      </c>
      <c r="W650" s="115">
        <v>6.7000000000000002E-3</v>
      </c>
      <c r="X650" s="115">
        <v>2.6700000000000002E-2</v>
      </c>
      <c r="Y650" s="115">
        <v>0.41620000000000001</v>
      </c>
      <c r="Z650" s="115">
        <v>83.722200000000001</v>
      </c>
      <c r="AA650" s="115">
        <v>5.5316000000000001</v>
      </c>
      <c r="AB650" s="115">
        <v>178.798</v>
      </c>
      <c r="AC650" s="115"/>
      <c r="AD650" s="115">
        <v>-8.8000000000000005E-3</v>
      </c>
      <c r="AE650" s="115">
        <v>1.38E-2</v>
      </c>
      <c r="AF650" s="115">
        <v>-6.6400000000000001E-2</v>
      </c>
      <c r="AG650" s="115">
        <v>4.6399999999999997E-2</v>
      </c>
      <c r="AH650" s="115">
        <v>0.1065</v>
      </c>
      <c r="AI650" s="115">
        <v>-0.1847</v>
      </c>
      <c r="AJ650" s="115">
        <v>-1.1900000000000001E-2</v>
      </c>
      <c r="AK650" s="115">
        <v>8.7066999999999997</v>
      </c>
      <c r="AL650" s="115">
        <v>-0.16669999999999999</v>
      </c>
      <c r="AM650" s="115">
        <v>4</v>
      </c>
      <c r="AN650" s="115">
        <v>1</v>
      </c>
      <c r="AO650" s="115">
        <v>0</v>
      </c>
      <c r="AP650" s="115">
        <v>1</v>
      </c>
      <c r="AQ650" s="115">
        <v>1</v>
      </c>
      <c r="AR650" s="115">
        <v>1</v>
      </c>
      <c r="AS650" s="115">
        <v>8.0000000000000004E-4</v>
      </c>
      <c r="AT650" s="115">
        <v>0.1444</v>
      </c>
      <c r="AU650" s="114" t="str">
        <f>IF(A650&lt;&gt;"",INDEX(Index!$B$1:$B$77,MATCH($A650,Index!$A$1:$A$77,0)),"")</f>
        <v>HOU</v>
      </c>
      <c r="AV650" s="123" t="str">
        <f>IF(B650&lt;&gt;"",INDEX(Index!$C$1:$C$77,MATCH($A650,Index!$A$1:$A$77,0)),"")</f>
        <v>Mills</v>
      </c>
      <c r="AW650" s="123">
        <f t="shared" si="12"/>
        <v>44</v>
      </c>
      <c r="AX650" s="113">
        <v>16</v>
      </c>
    </row>
    <row r="651" spans="1:50" x14ac:dyDescent="0.25">
      <c r="A651" s="95" t="s">
        <v>597</v>
      </c>
      <c r="B651" s="96">
        <v>2025</v>
      </c>
      <c r="C651" s="96">
        <v>1</v>
      </c>
      <c r="D651" s="96">
        <v>-1.42032</v>
      </c>
      <c r="E651" s="96">
        <v>-9.4016100000000005E-2</v>
      </c>
      <c r="F651" s="115">
        <v>-9.4016100000000005E-2</v>
      </c>
      <c r="G651" s="115">
        <v>6.1036999999999999</v>
      </c>
      <c r="H651" s="115">
        <v>0.10009999999999999</v>
      </c>
      <c r="I651" s="115">
        <v>38</v>
      </c>
      <c r="J651" s="115">
        <v>52</v>
      </c>
      <c r="K651" s="115">
        <v>0.73080000000000001</v>
      </c>
      <c r="L651" s="115">
        <v>5.7622999999999998</v>
      </c>
      <c r="M651" s="115">
        <v>310</v>
      </c>
      <c r="N651" s="115">
        <v>5.9615</v>
      </c>
      <c r="O651" s="115">
        <v>2</v>
      </c>
      <c r="P651" s="115">
        <v>2</v>
      </c>
      <c r="Q651" s="115">
        <v>2</v>
      </c>
      <c r="R651" s="115">
        <v>3</v>
      </c>
      <c r="S651" s="115">
        <v>7</v>
      </c>
      <c r="T651" s="115">
        <v>2.3332999999999999</v>
      </c>
      <c r="U651" s="115">
        <v>0</v>
      </c>
      <c r="V651" s="115">
        <v>3.85E-2</v>
      </c>
      <c r="W651" s="115">
        <v>3.85E-2</v>
      </c>
      <c r="X651" s="115">
        <v>0</v>
      </c>
      <c r="Y651" s="115">
        <v>0.52459999999999996</v>
      </c>
      <c r="Z651" s="115">
        <v>84.615399999999994</v>
      </c>
      <c r="AA651" s="115">
        <v>4.5926</v>
      </c>
      <c r="AB651" s="115">
        <v>110.53400000000001</v>
      </c>
      <c r="AC651" s="115"/>
      <c r="AD651" s="115">
        <v>-8.3000000000000001E-3</v>
      </c>
      <c r="AE651" s="115">
        <v>-4.1000000000000003E-3</v>
      </c>
      <c r="AF651" s="115">
        <v>0.13300000000000001</v>
      </c>
      <c r="AG651" s="115">
        <v>-5.5399999999999998E-2</v>
      </c>
      <c r="AH651" s="115">
        <v>-0.36449999999999999</v>
      </c>
      <c r="AI651" s="115">
        <v>0.31</v>
      </c>
      <c r="AJ651" s="115">
        <v>1.49E-2</v>
      </c>
      <c r="AK651" s="115">
        <v>5.2308000000000003</v>
      </c>
      <c r="AL651" s="115">
        <v>-2.9037999999999999</v>
      </c>
      <c r="AM651" s="115">
        <v>1</v>
      </c>
      <c r="AN651" s="115">
        <v>3</v>
      </c>
      <c r="AO651" s="115">
        <v>0</v>
      </c>
      <c r="AP651" s="115">
        <v>0</v>
      </c>
      <c r="AQ651" s="115">
        <v>1</v>
      </c>
      <c r="AR651" s="115">
        <v>0</v>
      </c>
      <c r="AS651" s="115">
        <v>-3.8E-3</v>
      </c>
      <c r="AT651" s="115">
        <v>-0.2298</v>
      </c>
      <c r="AU651" s="114" t="str">
        <f>IF(A651&lt;&gt;"",INDEX(Index!$B$1:$B$77,MATCH($A651,Index!$A$1:$A$77,0)),"")</f>
        <v>PIT</v>
      </c>
      <c r="AV651" s="123" t="str">
        <f>IF(B651&lt;&gt;"",INDEX(Index!$C$1:$C$77,MATCH($A651,Index!$A$1:$A$77,0)),"")</f>
        <v>Rudolph</v>
      </c>
      <c r="AW651" s="123">
        <f t="shared" si="12"/>
        <v>52</v>
      </c>
      <c r="AX651" s="113">
        <v>16</v>
      </c>
    </row>
    <row r="652" spans="1:50" x14ac:dyDescent="0.25">
      <c r="A652" s="95" t="s">
        <v>565</v>
      </c>
      <c r="B652" s="96">
        <v>2025</v>
      </c>
      <c r="C652" s="96">
        <v>14</v>
      </c>
      <c r="D652" s="96">
        <v>-1.44835</v>
      </c>
      <c r="E652" s="96">
        <v>0.22736999999999999</v>
      </c>
      <c r="F652" s="115">
        <v>-2.8891</v>
      </c>
      <c r="G652" s="115">
        <v>3.1613000000000002</v>
      </c>
      <c r="H652" s="115">
        <v>7.1000000000000004E-3</v>
      </c>
      <c r="I652" s="115">
        <v>260</v>
      </c>
      <c r="J652" s="115">
        <v>382</v>
      </c>
      <c r="K652" s="115">
        <v>0.68059999999999998</v>
      </c>
      <c r="L652" s="115">
        <v>2.0203000000000002</v>
      </c>
      <c r="M652" s="115">
        <v>2660</v>
      </c>
      <c r="N652" s="115">
        <v>6.9634</v>
      </c>
      <c r="O652" s="115">
        <v>20</v>
      </c>
      <c r="P652" s="115">
        <v>15</v>
      </c>
      <c r="Q652" s="115">
        <v>30</v>
      </c>
      <c r="R652" s="115">
        <v>11</v>
      </c>
      <c r="S652" s="115">
        <v>44</v>
      </c>
      <c r="T652" s="115">
        <v>4</v>
      </c>
      <c r="U652" s="115">
        <v>0</v>
      </c>
      <c r="V652" s="115">
        <v>5.2400000000000002E-2</v>
      </c>
      <c r="W652" s="115">
        <v>3.9300000000000002E-2</v>
      </c>
      <c r="X652" s="115">
        <v>1.3100000000000001E-2</v>
      </c>
      <c r="Y652" s="115">
        <v>0.44490000000000002</v>
      </c>
      <c r="Z652" s="115">
        <v>88.9071</v>
      </c>
      <c r="AA652" s="115">
        <v>5.3155000000000001</v>
      </c>
      <c r="AB652" s="115">
        <v>109.31100000000001</v>
      </c>
      <c r="AC652" s="115">
        <v>37.200000000000003</v>
      </c>
      <c r="AD652" s="115">
        <v>-3.2800000000000003E-2</v>
      </c>
      <c r="AE652" s="115">
        <v>-4.3E-3</v>
      </c>
      <c r="AF652" s="115">
        <v>1.9199999999999998E-2</v>
      </c>
      <c r="AG652" s="115">
        <v>-3.6600000000000001E-2</v>
      </c>
      <c r="AH652" s="115">
        <v>-2.0500000000000001E-2</v>
      </c>
      <c r="AI652" s="115">
        <v>0.04</v>
      </c>
      <c r="AJ652" s="115">
        <v>-3.2300000000000002E-2</v>
      </c>
      <c r="AK652" s="115">
        <v>6.8403</v>
      </c>
      <c r="AL652" s="115">
        <v>-1.911</v>
      </c>
      <c r="AM652" s="115">
        <v>6</v>
      </c>
      <c r="AN652" s="115">
        <v>8</v>
      </c>
      <c r="AO652" s="115">
        <v>0</v>
      </c>
      <c r="AP652" s="115">
        <v>1</v>
      </c>
      <c r="AQ652" s="115">
        <v>5</v>
      </c>
      <c r="AR652" s="115">
        <v>0.2</v>
      </c>
      <c r="AS652" s="115">
        <v>-2.0000000000000001E-4</v>
      </c>
      <c r="AT652" s="115">
        <v>-9.4700000000000006E-2</v>
      </c>
      <c r="AU652" s="114" t="str">
        <f>IF(A652&lt;&gt;"",INDEX(Index!$B$1:$B$77,MATCH($A652,Index!$A$1:$A$77,0)),"")</f>
        <v>MIA</v>
      </c>
      <c r="AV652" s="123" t="str">
        <f>IF(B652&lt;&gt;"",INDEX(Index!$C$1:$C$77,MATCH($A652,Index!$A$1:$A$77,0)),"")</f>
        <v>Tagovailoa</v>
      </c>
      <c r="AW652" s="123">
        <f t="shared" si="12"/>
        <v>13</v>
      </c>
      <c r="AX652" s="113">
        <v>16</v>
      </c>
    </row>
    <row r="653" spans="1:50" x14ac:dyDescent="0.25">
      <c r="A653" s="95" t="s">
        <v>578</v>
      </c>
      <c r="B653" s="96">
        <v>2025</v>
      </c>
      <c r="C653" s="96">
        <v>9</v>
      </c>
      <c r="D653" s="96">
        <v>-1.48895</v>
      </c>
      <c r="E653" s="96">
        <v>0.10895100000000001</v>
      </c>
      <c r="F653" s="115">
        <v>0.26578200000000002</v>
      </c>
      <c r="G653" s="115">
        <v>19.752199999999998</v>
      </c>
      <c r="H653" s="115">
        <v>6.1199999999999997E-2</v>
      </c>
      <c r="I653" s="115">
        <v>166</v>
      </c>
      <c r="J653" s="115">
        <v>276</v>
      </c>
      <c r="K653" s="115">
        <v>0.60140000000000005</v>
      </c>
      <c r="L653" s="115">
        <v>-3.6196999999999999</v>
      </c>
      <c r="M653" s="115">
        <v>1982</v>
      </c>
      <c r="N653" s="115">
        <v>7.1811999999999996</v>
      </c>
      <c r="O653" s="115">
        <v>9</v>
      </c>
      <c r="P653" s="115">
        <v>3</v>
      </c>
      <c r="Q653" s="115">
        <v>13</v>
      </c>
      <c r="R653" s="115">
        <v>13</v>
      </c>
      <c r="S653" s="115">
        <v>77</v>
      </c>
      <c r="T653" s="115">
        <v>5.9230999999999998</v>
      </c>
      <c r="U653" s="115">
        <v>1</v>
      </c>
      <c r="V653" s="115">
        <v>3.2599999999999997E-2</v>
      </c>
      <c r="W653" s="115">
        <v>1.09E-2</v>
      </c>
      <c r="X653" s="115">
        <v>2.1700000000000001E-2</v>
      </c>
      <c r="Y653" s="115">
        <v>0.4768</v>
      </c>
      <c r="Z653" s="115">
        <v>88.466200000000001</v>
      </c>
      <c r="AA653" s="115">
        <v>6.6643999999999997</v>
      </c>
      <c r="AB653" s="115">
        <v>138.63399999999999</v>
      </c>
      <c r="AC653" s="115">
        <v>56.8</v>
      </c>
      <c r="AD653" s="115">
        <v>5.5999999999999999E-3</v>
      </c>
      <c r="AE653" s="115">
        <v>1.3899999999999999E-2</v>
      </c>
      <c r="AF653" s="115">
        <v>-7.0999999999999994E-2</v>
      </c>
      <c r="AG653" s="115">
        <v>2.0400000000000001E-2</v>
      </c>
      <c r="AH653" s="115">
        <v>6.6600000000000006E-2</v>
      </c>
      <c r="AI653" s="115">
        <v>-5.8599999999999999E-2</v>
      </c>
      <c r="AJ653" s="115">
        <v>9.5999999999999992E-3</v>
      </c>
      <c r="AK653" s="115">
        <v>8.3332999999999995</v>
      </c>
      <c r="AL653" s="115">
        <v>-0.52900000000000003</v>
      </c>
      <c r="AM653" s="115">
        <v>3</v>
      </c>
      <c r="AN653" s="115">
        <v>6</v>
      </c>
      <c r="AO653" s="115">
        <v>0</v>
      </c>
      <c r="AP653" s="115">
        <v>0</v>
      </c>
      <c r="AQ653" s="115">
        <v>4</v>
      </c>
      <c r="AR653" s="115">
        <v>0</v>
      </c>
      <c r="AS653" s="115">
        <v>3.5000000000000001E-3</v>
      </c>
      <c r="AT653" s="115">
        <v>1.1247</v>
      </c>
      <c r="AU653" s="114" t="str">
        <f>IF(A653&lt;&gt;"",INDEX(Index!$B$1:$B$77,MATCH($A653,Index!$A$1:$A$77,0)),"")</f>
        <v>ATL</v>
      </c>
      <c r="AV653" s="123" t="str">
        <f>IF(B653&lt;&gt;"",INDEX(Index!$C$1:$C$77,MATCH($A653,Index!$A$1:$A$77,0)),"")</f>
        <v>Penix</v>
      </c>
      <c r="AW653" s="123">
        <f t="shared" si="12"/>
        <v>39</v>
      </c>
      <c r="AX653" s="113">
        <v>16</v>
      </c>
    </row>
    <row r="654" spans="1:50" x14ac:dyDescent="0.25">
      <c r="A654" s="95" t="s">
        <v>594</v>
      </c>
      <c r="B654" s="96">
        <v>2025</v>
      </c>
      <c r="C654" s="96">
        <v>7</v>
      </c>
      <c r="D654" s="96">
        <v>-1.74796</v>
      </c>
      <c r="E654" s="96">
        <v>0.26752100000000001</v>
      </c>
      <c r="F654" s="115">
        <v>0.79603100000000004</v>
      </c>
      <c r="G654" s="115">
        <v>2.5091000000000001</v>
      </c>
      <c r="H654" s="115">
        <v>7.6E-3</v>
      </c>
      <c r="I654" s="115">
        <v>176</v>
      </c>
      <c r="J654" s="115">
        <v>262</v>
      </c>
      <c r="K654" s="115">
        <v>0.67179999999999995</v>
      </c>
      <c r="L654" s="115">
        <v>0.11360000000000001</v>
      </c>
      <c r="M654" s="115">
        <v>1792</v>
      </c>
      <c r="N654" s="115">
        <v>6.8396999999999997</v>
      </c>
      <c r="O654" s="115">
        <v>7</v>
      </c>
      <c r="P654" s="115">
        <v>5</v>
      </c>
      <c r="Q654" s="115">
        <v>25</v>
      </c>
      <c r="R654" s="115">
        <v>31</v>
      </c>
      <c r="S654" s="115">
        <v>156</v>
      </c>
      <c r="T654" s="115">
        <v>5.0323000000000002</v>
      </c>
      <c r="U654" s="115">
        <v>2</v>
      </c>
      <c r="V654" s="115">
        <v>2.6700000000000002E-2</v>
      </c>
      <c r="W654" s="115">
        <v>1.9099999999999999E-2</v>
      </c>
      <c r="X654" s="115">
        <v>7.6E-3</v>
      </c>
      <c r="Y654" s="115">
        <v>0.45760000000000001</v>
      </c>
      <c r="Z654" s="115">
        <v>87.515900000000002</v>
      </c>
      <c r="AA654" s="115">
        <v>5.4077000000000002</v>
      </c>
      <c r="AB654" s="115">
        <v>145.09399999999999</v>
      </c>
      <c r="AC654" s="115">
        <v>43.5</v>
      </c>
      <c r="AD654" s="115">
        <v>4.0000000000000001E-3</v>
      </c>
      <c r="AE654" s="115">
        <v>-4.65E-2</v>
      </c>
      <c r="AF654" s="115">
        <v>4.41E-2</v>
      </c>
      <c r="AG654" s="115">
        <v>1.7100000000000001E-2</v>
      </c>
      <c r="AH654" s="115">
        <v>-2.6499999999999999E-2</v>
      </c>
      <c r="AI654" s="115">
        <v>-4.1200000000000001E-2</v>
      </c>
      <c r="AJ654" s="115">
        <v>-1.78E-2</v>
      </c>
      <c r="AK654" s="115">
        <v>8.1907999999999994</v>
      </c>
      <c r="AL654" s="115">
        <v>-0.7863</v>
      </c>
      <c r="AM654" s="115">
        <v>4</v>
      </c>
      <c r="AN654" s="115">
        <v>5</v>
      </c>
      <c r="AO654" s="115">
        <v>0</v>
      </c>
      <c r="AP654" s="115">
        <v>1</v>
      </c>
      <c r="AQ654" s="115">
        <v>2</v>
      </c>
      <c r="AR654" s="115">
        <v>0.5</v>
      </c>
      <c r="AS654" s="115">
        <v>3.5000000000000001E-3</v>
      </c>
      <c r="AT654" s="115">
        <v>1.1556999999999999</v>
      </c>
      <c r="AU654" s="114" t="str">
        <f>IF(A654&lt;&gt;"",INDEX(Index!$B$1:$B$77,MATCH($A654,Index!$A$1:$A$77,0)),"")</f>
        <v>NO</v>
      </c>
      <c r="AV654" s="123" t="str">
        <f>IF(B654&lt;&gt;"",INDEX(Index!$C$1:$C$77,MATCH($A654,Index!$A$1:$A$77,0)),"")</f>
        <v>Shough</v>
      </c>
      <c r="AW654" s="123">
        <f t="shared" si="12"/>
        <v>17</v>
      </c>
      <c r="AX654" s="113">
        <v>16</v>
      </c>
    </row>
    <row r="655" spans="1:50" x14ac:dyDescent="0.25">
      <c r="A655" s="95" t="s">
        <v>585</v>
      </c>
      <c r="B655" s="96">
        <v>2025</v>
      </c>
      <c r="C655" s="96">
        <v>3</v>
      </c>
      <c r="D655" s="96">
        <v>-1.81362</v>
      </c>
      <c r="E655" s="96">
        <v>0.13401099999999999</v>
      </c>
      <c r="F655" s="115">
        <v>-0.76969699999999996</v>
      </c>
      <c r="G655" s="115">
        <v>-35.722200000000001</v>
      </c>
      <c r="H655" s="115">
        <v>-0.23200000000000001</v>
      </c>
      <c r="I655" s="115">
        <v>81</v>
      </c>
      <c r="J655" s="115">
        <v>125</v>
      </c>
      <c r="K655" s="115">
        <v>0.64800000000000002</v>
      </c>
      <c r="L655" s="115">
        <v>0.37569999999999998</v>
      </c>
      <c r="M655" s="115">
        <v>771</v>
      </c>
      <c r="N655" s="115">
        <v>6.1680000000000001</v>
      </c>
      <c r="O655" s="115">
        <v>6</v>
      </c>
      <c r="P655" s="115">
        <v>8</v>
      </c>
      <c r="Q655" s="115">
        <v>9</v>
      </c>
      <c r="R655" s="115">
        <v>8</v>
      </c>
      <c r="S655" s="115">
        <v>40</v>
      </c>
      <c r="T655" s="115">
        <v>5</v>
      </c>
      <c r="U655" s="115">
        <v>1</v>
      </c>
      <c r="V655" s="115">
        <v>4.8000000000000001E-2</v>
      </c>
      <c r="W655" s="115">
        <v>6.4000000000000001E-2</v>
      </c>
      <c r="X655" s="115">
        <v>-1.6E-2</v>
      </c>
      <c r="Y655" s="115">
        <v>0.43509999999999999</v>
      </c>
      <c r="Z655" s="115">
        <v>71.116699999999994</v>
      </c>
      <c r="AA655" s="115">
        <v>3.5148999999999999</v>
      </c>
      <c r="AB655" s="115">
        <v>58.973999999999997</v>
      </c>
      <c r="AC655" s="115"/>
      <c r="AD655" s="115">
        <v>1.38E-2</v>
      </c>
      <c r="AE655" s="115">
        <v>7.3000000000000001E-3</v>
      </c>
      <c r="AF655" s="115">
        <v>2.8199999999999999E-2</v>
      </c>
      <c r="AG655" s="115">
        <v>-0.17519999999999999</v>
      </c>
      <c r="AH655" s="115">
        <v>-8.5500000000000007E-2</v>
      </c>
      <c r="AI655" s="115">
        <v>-0.14019999999999999</v>
      </c>
      <c r="AJ655" s="115">
        <v>4.53E-2</v>
      </c>
      <c r="AK655" s="115">
        <v>7.6719999999999997</v>
      </c>
      <c r="AL655" s="115">
        <v>-1.528</v>
      </c>
      <c r="AM655" s="115">
        <v>1</v>
      </c>
      <c r="AN655" s="115">
        <v>4</v>
      </c>
      <c r="AO655" s="115">
        <v>0</v>
      </c>
      <c r="AP655" s="115">
        <v>1</v>
      </c>
      <c r="AQ655" s="115">
        <v>1</v>
      </c>
      <c r="AR655" s="115">
        <v>1</v>
      </c>
      <c r="AS655" s="115">
        <v>-4.0000000000000002E-4</v>
      </c>
      <c r="AT655" s="115">
        <v>-5.45E-2</v>
      </c>
      <c r="AU655" s="114" t="str">
        <f>IF(A655&lt;&gt;"",INDEX(Index!$B$1:$B$77,MATCH($A655,Index!$A$1:$A$77,0)),"")</f>
        <v>CIN</v>
      </c>
      <c r="AV655" s="123" t="str">
        <f>IF(B655&lt;&gt;"",INDEX(Index!$C$1:$C$77,MATCH($A655,Index!$A$1:$A$77,0)),"")</f>
        <v>Browning</v>
      </c>
      <c r="AW655" s="123">
        <f t="shared" si="12"/>
        <v>42</v>
      </c>
      <c r="AX655" s="113">
        <v>16</v>
      </c>
    </row>
    <row r="656" spans="1:50" x14ac:dyDescent="0.25">
      <c r="A656" s="95" t="s">
        <v>603</v>
      </c>
      <c r="B656" s="96">
        <v>2025</v>
      </c>
      <c r="C656" s="96">
        <v>1</v>
      </c>
      <c r="D656" s="96">
        <v>-2.12636</v>
      </c>
      <c r="E656" s="96">
        <v>-0.55177799999999999</v>
      </c>
      <c r="F656" s="115">
        <v>-0.55177799999999999</v>
      </c>
      <c r="G656" s="115">
        <v>-6.3404999999999996</v>
      </c>
      <c r="H656" s="115">
        <v>-0.42270000000000002</v>
      </c>
      <c r="I656" s="115">
        <v>6</v>
      </c>
      <c r="J656" s="115">
        <v>13</v>
      </c>
      <c r="K656" s="115">
        <v>0.46150000000000002</v>
      </c>
      <c r="L656" s="115">
        <v>-20.5305</v>
      </c>
      <c r="M656" s="115">
        <v>37</v>
      </c>
      <c r="N656" s="115">
        <v>2.8462000000000001</v>
      </c>
      <c r="O656" s="115">
        <v>0</v>
      </c>
      <c r="P656" s="115">
        <v>1</v>
      </c>
      <c r="Q656" s="115">
        <v>0</v>
      </c>
      <c r="R656" s="115">
        <v>1</v>
      </c>
      <c r="S656" s="115">
        <v>8</v>
      </c>
      <c r="T656" s="115">
        <v>8</v>
      </c>
      <c r="U656" s="115">
        <v>0</v>
      </c>
      <c r="V656" s="115">
        <v>0</v>
      </c>
      <c r="W656" s="115">
        <v>7.6899999999999996E-2</v>
      </c>
      <c r="X656" s="115">
        <v>-7.6899999999999996E-2</v>
      </c>
      <c r="Y656" s="115">
        <v>0.26669999999999999</v>
      </c>
      <c r="Z656" s="115">
        <v>20.993600000000001</v>
      </c>
      <c r="AA656" s="115">
        <v>-0.61539999999999995</v>
      </c>
      <c r="AB656" s="115">
        <v>-30.699400000000001</v>
      </c>
      <c r="AC656" s="115"/>
      <c r="AD656" s="115">
        <v>-6.3600000000000004E-2</v>
      </c>
      <c r="AE656" s="115">
        <v>0.1019</v>
      </c>
      <c r="AF656" s="115">
        <v>-0.1143</v>
      </c>
      <c r="AG656" s="115">
        <v>-3.9600000000000003E-2</v>
      </c>
      <c r="AH656" s="115">
        <v>-0.26029999999999998</v>
      </c>
      <c r="AI656" s="115">
        <v>-0.13739999999999999</v>
      </c>
      <c r="AJ656" s="115">
        <v>1.61E-2</v>
      </c>
      <c r="AK656" s="115">
        <v>5.2308000000000003</v>
      </c>
      <c r="AL656" s="115">
        <v>-6.3076999999999996</v>
      </c>
      <c r="AM656" s="115">
        <v>0</v>
      </c>
      <c r="AN656" s="115">
        <v>2</v>
      </c>
      <c r="AO656" s="115">
        <v>0</v>
      </c>
      <c r="AP656" s="115">
        <v>0</v>
      </c>
      <c r="AQ656" s="115">
        <v>1</v>
      </c>
      <c r="AR656" s="115">
        <v>0</v>
      </c>
      <c r="AS656" s="115">
        <v>-3.0300000000000001E-2</v>
      </c>
      <c r="AT656" s="115">
        <v>-0.45450000000000002</v>
      </c>
      <c r="AU656" s="114" t="str">
        <f>IF(A656&lt;&gt;"",INDEX(Index!$B$1:$B$77,MATCH($A656,Index!$A$1:$A$77,0)),"")</f>
        <v>KC</v>
      </c>
      <c r="AV656" s="123" t="str">
        <f>IF(B656&lt;&gt;"",INDEX(Index!$C$1:$C$77,MATCH($A656,Index!$A$1:$A$77,0)),"")</f>
        <v>Minshew</v>
      </c>
      <c r="AW656" s="123">
        <f t="shared" si="12"/>
        <v>55</v>
      </c>
      <c r="AX656" s="113">
        <v>16</v>
      </c>
    </row>
    <row r="657" spans="1:50" x14ac:dyDescent="0.25">
      <c r="A657" s="95" t="s">
        <v>593</v>
      </c>
      <c r="B657" s="96">
        <v>2025</v>
      </c>
      <c r="C657" s="96">
        <v>1</v>
      </c>
      <c r="D657" s="96">
        <v>-2.15774</v>
      </c>
      <c r="E657" s="96">
        <v>-0.78385899999999997</v>
      </c>
      <c r="F657" s="115">
        <v>-0.78385899999999997</v>
      </c>
      <c r="G657" s="115">
        <v>-8.7080000000000002</v>
      </c>
      <c r="H657" s="115">
        <v>-0.18140000000000001</v>
      </c>
      <c r="I657" s="115">
        <v>25</v>
      </c>
      <c r="J657" s="115">
        <v>37</v>
      </c>
      <c r="K657" s="115">
        <v>0.67569999999999997</v>
      </c>
      <c r="L657" s="115">
        <v>6.5959000000000003</v>
      </c>
      <c r="M657" s="115">
        <v>293</v>
      </c>
      <c r="N657" s="115">
        <v>7.9188999999999998</v>
      </c>
      <c r="O657" s="115">
        <v>1</v>
      </c>
      <c r="P657" s="115">
        <v>1</v>
      </c>
      <c r="Q657" s="115">
        <v>8</v>
      </c>
      <c r="R657" s="115">
        <v>1</v>
      </c>
      <c r="S657" s="115">
        <v>1</v>
      </c>
      <c r="T657" s="115">
        <v>1</v>
      </c>
      <c r="U657" s="115">
        <v>0</v>
      </c>
      <c r="V657" s="115">
        <v>2.7E-2</v>
      </c>
      <c r="W657" s="115">
        <v>2.7E-2</v>
      </c>
      <c r="X657" s="115">
        <v>0</v>
      </c>
      <c r="Y657" s="115">
        <v>0.45829999999999999</v>
      </c>
      <c r="Z657" s="115">
        <v>89.132900000000006</v>
      </c>
      <c r="AA657" s="115">
        <v>4.7556000000000003</v>
      </c>
      <c r="AB657" s="115">
        <v>-93.4208</v>
      </c>
      <c r="AC657" s="115"/>
      <c r="AD657" s="115">
        <v>-0.1197</v>
      </c>
      <c r="AE657" s="115">
        <v>-0.27400000000000002</v>
      </c>
      <c r="AF657" s="115">
        <v>2.0500000000000001E-2</v>
      </c>
      <c r="AG657" s="115">
        <v>-7.4200000000000002E-2</v>
      </c>
      <c r="AH657" s="115">
        <v>0.2828</v>
      </c>
      <c r="AI657" s="115">
        <v>-9.5000000000000001E-2</v>
      </c>
      <c r="AJ657" s="115">
        <v>3.8999999999999998E-3</v>
      </c>
      <c r="AK657" s="115">
        <v>9.4054000000000002</v>
      </c>
      <c r="AL657" s="115">
        <v>1.5405</v>
      </c>
      <c r="AM657" s="115">
        <v>1</v>
      </c>
      <c r="AN657" s="115">
        <v>2</v>
      </c>
      <c r="AO657" s="115">
        <v>0</v>
      </c>
      <c r="AP657" s="115">
        <v>0</v>
      </c>
      <c r="AQ657" s="115">
        <v>0</v>
      </c>
      <c r="AR657" s="115"/>
      <c r="AS657" s="115">
        <v>-8.2000000000000007E-3</v>
      </c>
      <c r="AT657" s="115">
        <v>-0.39529999999999998</v>
      </c>
      <c r="AU657" s="114" t="str">
        <f>IF(A657&lt;&gt;"",INDEX(Index!$B$1:$B$77,MATCH($A657,Index!$A$1:$A$77,0)),"")</f>
        <v>CAR</v>
      </c>
      <c r="AV657" s="123" t="str">
        <f>IF(B657&lt;&gt;"",INDEX(Index!$C$1:$C$77,MATCH($A657,Index!$A$1:$A$77,0)),"")</f>
        <v>Dalton</v>
      </c>
      <c r="AW657" s="123">
        <f t="shared" si="12"/>
        <v>44</v>
      </c>
      <c r="AX657" s="113">
        <v>16</v>
      </c>
    </row>
    <row r="658" spans="1:50" x14ac:dyDescent="0.25">
      <c r="A658" s="95" t="s">
        <v>584</v>
      </c>
      <c r="B658" s="96">
        <v>2025</v>
      </c>
      <c r="C658" s="96">
        <v>4</v>
      </c>
      <c r="D658" s="96">
        <v>-2.1709100000000001</v>
      </c>
      <c r="E658" s="96">
        <v>-0.72736699999999999</v>
      </c>
      <c r="F658" s="115">
        <v>-0.59244799999999997</v>
      </c>
      <c r="G658" s="115">
        <v>-4.5903</v>
      </c>
      <c r="H658" s="115">
        <v>-2.5499999999999998E-2</v>
      </c>
      <c r="I658" s="115">
        <v>80</v>
      </c>
      <c r="J658" s="115">
        <v>133</v>
      </c>
      <c r="K658" s="115">
        <v>0.60150000000000003</v>
      </c>
      <c r="L658" s="115">
        <v>-0.87760000000000005</v>
      </c>
      <c r="M658" s="115">
        <v>779</v>
      </c>
      <c r="N658" s="115">
        <v>5.8571</v>
      </c>
      <c r="O658" s="115">
        <v>5</v>
      </c>
      <c r="P658" s="115">
        <v>5</v>
      </c>
      <c r="Q658" s="115">
        <v>14</v>
      </c>
      <c r="R658" s="115">
        <v>25</v>
      </c>
      <c r="S658" s="115">
        <v>145</v>
      </c>
      <c r="T658" s="115">
        <v>5.8</v>
      </c>
      <c r="U658" s="115">
        <v>1</v>
      </c>
      <c r="V658" s="115">
        <v>3.7600000000000001E-2</v>
      </c>
      <c r="W658" s="115">
        <v>3.7600000000000001E-2</v>
      </c>
      <c r="X658" s="115">
        <v>0</v>
      </c>
      <c r="Y658" s="115">
        <v>0.44440000000000002</v>
      </c>
      <c r="Z658" s="115">
        <v>73.480599999999995</v>
      </c>
      <c r="AA658" s="115">
        <v>3.8912</v>
      </c>
      <c r="AB658" s="115">
        <v>87.315399999999997</v>
      </c>
      <c r="AC658" s="115">
        <v>51.3</v>
      </c>
      <c r="AD658" s="115">
        <v>-2.0000000000000001E-4</v>
      </c>
      <c r="AE658" s="115">
        <v>-8.9999999999999998E-4</v>
      </c>
      <c r="AF658" s="115">
        <v>-2.9700000000000001E-2</v>
      </c>
      <c r="AG658" s="115">
        <v>-2.2200000000000001E-2</v>
      </c>
      <c r="AH658" s="115">
        <v>3.0499999999999999E-2</v>
      </c>
      <c r="AI658" s="115">
        <v>-7.2900000000000006E-2</v>
      </c>
      <c r="AJ658" s="115">
        <v>-4.4999999999999997E-3</v>
      </c>
      <c r="AK658" s="115">
        <v>8.609</v>
      </c>
      <c r="AL658" s="115">
        <v>-0.41349999999999998</v>
      </c>
      <c r="AM658" s="115">
        <v>1</v>
      </c>
      <c r="AN658" s="115">
        <v>5</v>
      </c>
      <c r="AO658" s="115">
        <v>0</v>
      </c>
      <c r="AP658" s="115">
        <v>1</v>
      </c>
      <c r="AQ658" s="115">
        <v>2</v>
      </c>
      <c r="AR658" s="115">
        <v>0.5</v>
      </c>
      <c r="AS658" s="115">
        <v>-1.4E-3</v>
      </c>
      <c r="AT658" s="115">
        <v>-0.25390000000000001</v>
      </c>
      <c r="AU658" s="114" t="str">
        <f>IF(A658&lt;&gt;"",INDEX(Index!$B$1:$B$77,MATCH($A658,Index!$A$1:$A$77,0)),"")</f>
        <v>NYJ</v>
      </c>
      <c r="AV658" s="123" t="str">
        <f>IF(B658&lt;&gt;"",INDEX(Index!$C$1:$C$77,MATCH($A658,Index!$A$1:$A$77,0)),"")</f>
        <v>Taylor</v>
      </c>
      <c r="AW658" s="123">
        <f t="shared" si="12"/>
        <v>38</v>
      </c>
      <c r="AX658" s="113">
        <v>16</v>
      </c>
    </row>
    <row r="659" spans="1:50" x14ac:dyDescent="0.25">
      <c r="A659" s="95" t="s">
        <v>586</v>
      </c>
      <c r="B659" s="96">
        <v>2025</v>
      </c>
      <c r="C659" s="96">
        <v>5</v>
      </c>
      <c r="D659" s="96">
        <v>-2.3349199999999999</v>
      </c>
      <c r="E659" s="96">
        <v>-0.60543899999999995</v>
      </c>
      <c r="F659" s="115">
        <v>-0.248695</v>
      </c>
      <c r="G659" s="115">
        <v>12.968299999999999</v>
      </c>
      <c r="H659" s="115">
        <v>6.3E-2</v>
      </c>
      <c r="I659" s="115">
        <v>110</v>
      </c>
      <c r="J659" s="115">
        <v>168</v>
      </c>
      <c r="K659" s="115">
        <v>0.65480000000000005</v>
      </c>
      <c r="L659" s="115">
        <v>1.1112</v>
      </c>
      <c r="M659" s="115">
        <v>1216</v>
      </c>
      <c r="N659" s="115">
        <v>7.2381000000000002</v>
      </c>
      <c r="O659" s="115">
        <v>6</v>
      </c>
      <c r="P659" s="115">
        <v>5</v>
      </c>
      <c r="Q659" s="115">
        <v>19</v>
      </c>
      <c r="R659" s="115">
        <v>9</v>
      </c>
      <c r="S659" s="115">
        <v>57</v>
      </c>
      <c r="T659" s="115">
        <v>6.3333000000000004</v>
      </c>
      <c r="U659" s="115">
        <v>0</v>
      </c>
      <c r="V659" s="115">
        <v>3.5700000000000003E-2</v>
      </c>
      <c r="W659" s="115">
        <v>2.98E-2</v>
      </c>
      <c r="X659" s="115">
        <v>6.0000000000000001E-3</v>
      </c>
      <c r="Y659" s="115">
        <v>0.48060000000000003</v>
      </c>
      <c r="Z659" s="115">
        <v>86.3095</v>
      </c>
      <c r="AA659" s="115">
        <v>5.2727000000000004</v>
      </c>
      <c r="AB659" s="115">
        <v>107.76</v>
      </c>
      <c r="AC659" s="115"/>
      <c r="AD659" s="115">
        <v>-2.0400000000000001E-2</v>
      </c>
      <c r="AE659" s="115">
        <v>-3.2099999999999997E-2</v>
      </c>
      <c r="AF659" s="115">
        <v>2.63E-2</v>
      </c>
      <c r="AG659" s="115">
        <v>-2.7900000000000001E-2</v>
      </c>
      <c r="AH659" s="115">
        <v>5.1999999999999998E-3</v>
      </c>
      <c r="AI659" s="115">
        <v>3.2399999999999998E-2</v>
      </c>
      <c r="AJ659" s="115">
        <v>5.1000000000000004E-3</v>
      </c>
      <c r="AK659" s="115">
        <v>7.6666999999999996</v>
      </c>
      <c r="AL659" s="115">
        <v>-1.3571</v>
      </c>
      <c r="AM659" s="115">
        <v>2</v>
      </c>
      <c r="AN659" s="115">
        <v>3</v>
      </c>
      <c r="AO659" s="115">
        <v>0</v>
      </c>
      <c r="AP659" s="115">
        <v>1</v>
      </c>
      <c r="AQ659" s="115">
        <v>3</v>
      </c>
      <c r="AR659" s="115">
        <v>0.33329999999999999</v>
      </c>
      <c r="AS659" s="115">
        <v>1.1999999999999999E-3</v>
      </c>
      <c r="AT659" s="115">
        <v>0.23880000000000001</v>
      </c>
      <c r="AU659" s="114" t="str">
        <f>IF(A659&lt;&gt;"",INDEX(Index!$B$1:$B$77,MATCH($A659,Index!$A$1:$A$77,0)),"")</f>
        <v>MIN</v>
      </c>
      <c r="AV659" s="123" t="str">
        <f>IF(B659&lt;&gt;"",INDEX(Index!$C$1:$C$77,MATCH($A659,Index!$A$1:$A$77,0)),"")</f>
        <v>Wentz</v>
      </c>
      <c r="AW659" s="123">
        <f t="shared" si="12"/>
        <v>26</v>
      </c>
      <c r="AX659" s="113">
        <v>16</v>
      </c>
    </row>
    <row r="660" spans="1:50" x14ac:dyDescent="0.25">
      <c r="A660" s="95" t="s">
        <v>588</v>
      </c>
      <c r="B660" s="96">
        <v>2025</v>
      </c>
      <c r="C660" s="96">
        <v>2</v>
      </c>
      <c r="D660" s="96">
        <v>-2.3849499999999999</v>
      </c>
      <c r="E660" s="96">
        <v>-0.378133</v>
      </c>
      <c r="F660" s="115">
        <v>-0.79516200000000004</v>
      </c>
      <c r="G660" s="115">
        <v>-25.889299999999999</v>
      </c>
      <c r="H660" s="115">
        <v>-0.45419999999999999</v>
      </c>
      <c r="I660" s="115">
        <v>34</v>
      </c>
      <c r="J660" s="115">
        <v>52</v>
      </c>
      <c r="K660" s="115">
        <v>0.65380000000000005</v>
      </c>
      <c r="L660" s="115">
        <v>-1.9399</v>
      </c>
      <c r="M660" s="115">
        <v>303</v>
      </c>
      <c r="N660" s="115">
        <v>5.8269000000000002</v>
      </c>
      <c r="O660" s="115">
        <v>0</v>
      </c>
      <c r="P660" s="115">
        <v>4</v>
      </c>
      <c r="Q660" s="115">
        <v>1</v>
      </c>
      <c r="R660" s="115">
        <v>0</v>
      </c>
      <c r="S660" s="115">
        <v>0</v>
      </c>
      <c r="T660" s="115"/>
      <c r="U660" s="115">
        <v>0</v>
      </c>
      <c r="V660" s="115">
        <v>0</v>
      </c>
      <c r="W660" s="115">
        <v>7.6899999999999996E-2</v>
      </c>
      <c r="X660" s="115">
        <v>-7.6899999999999996E-2</v>
      </c>
      <c r="Y660" s="115">
        <v>0.42109999999999997</v>
      </c>
      <c r="Z660" s="115">
        <v>48.798099999999998</v>
      </c>
      <c r="AA660" s="115">
        <v>2.0188999999999999</v>
      </c>
      <c r="AB660" s="115">
        <v>12.234400000000001</v>
      </c>
      <c r="AC660" s="115"/>
      <c r="AD660" s="115">
        <v>-3.0300000000000001E-2</v>
      </c>
      <c r="AE660" s="115">
        <v>6.0199999999999997E-2</v>
      </c>
      <c r="AF660" s="115">
        <v>-5.2699999999999997E-2</v>
      </c>
      <c r="AG660" s="115">
        <v>-0.22470000000000001</v>
      </c>
      <c r="AH660" s="115">
        <v>-0.2223</v>
      </c>
      <c r="AI660" s="115">
        <v>-2.1899999999999999E-2</v>
      </c>
      <c r="AJ660" s="115">
        <v>-3.6799999999999999E-2</v>
      </c>
      <c r="AK660" s="115">
        <v>6.4423000000000004</v>
      </c>
      <c r="AL660" s="115">
        <v>-2.0577000000000001</v>
      </c>
      <c r="AM660" s="115">
        <v>0</v>
      </c>
      <c r="AN660" s="115">
        <v>3</v>
      </c>
      <c r="AO660" s="115">
        <v>0</v>
      </c>
      <c r="AP660" s="115">
        <v>0</v>
      </c>
      <c r="AQ660" s="115">
        <v>0</v>
      </c>
      <c r="AR660" s="115"/>
      <c r="AS660" s="115">
        <v>-6.8999999999999999E-3</v>
      </c>
      <c r="AT660" s="115">
        <v>-0.39179999999999998</v>
      </c>
      <c r="AU660" s="114" t="str">
        <f>IF(A660&lt;&gt;"",INDEX(Index!$B$1:$B$77,MATCH($A660,Index!$A$1:$A$77,0)),"")</f>
        <v>BAL</v>
      </c>
      <c r="AV660" s="123" t="str">
        <f>IF(B660&lt;&gt;"",INDEX(Index!$C$1:$C$77,MATCH($A660,Index!$A$1:$A$77,0)),"")</f>
        <v>Rush</v>
      </c>
      <c r="AW660" s="123">
        <f t="shared" si="12"/>
        <v>54</v>
      </c>
      <c r="AX660" s="113">
        <v>16</v>
      </c>
    </row>
    <row r="661" spans="1:50" x14ac:dyDescent="0.25">
      <c r="A661" s="95" t="s">
        <v>581</v>
      </c>
      <c r="B661" s="96">
        <v>2025</v>
      </c>
      <c r="C661" s="96">
        <v>8</v>
      </c>
      <c r="D661" s="96">
        <v>-2.4541499999999998</v>
      </c>
      <c r="E661" s="96">
        <v>-0.47380100000000003</v>
      </c>
      <c r="F661" s="115">
        <v>0.738784</v>
      </c>
      <c r="G661" s="115">
        <v>-16.940899999999999</v>
      </c>
      <c r="H661" s="115">
        <v>-5.2299999999999999E-2</v>
      </c>
      <c r="I661" s="115">
        <v>174</v>
      </c>
      <c r="J661" s="115">
        <v>254</v>
      </c>
      <c r="K661" s="115">
        <v>0.68500000000000005</v>
      </c>
      <c r="L661" s="115">
        <v>2.3567999999999998</v>
      </c>
      <c r="M661" s="115">
        <v>1586</v>
      </c>
      <c r="N661" s="115">
        <v>6.2441000000000004</v>
      </c>
      <c r="O661" s="115">
        <v>8</v>
      </c>
      <c r="P661" s="115">
        <v>5</v>
      </c>
      <c r="Q661" s="115">
        <v>18</v>
      </c>
      <c r="R661" s="115">
        <v>30</v>
      </c>
      <c r="S661" s="115">
        <v>168</v>
      </c>
      <c r="T661" s="115">
        <v>5.6</v>
      </c>
      <c r="U661" s="115">
        <v>0</v>
      </c>
      <c r="V661" s="115">
        <v>3.15E-2</v>
      </c>
      <c r="W661" s="115">
        <v>1.9699999999999999E-2</v>
      </c>
      <c r="X661" s="115">
        <v>1.18E-2</v>
      </c>
      <c r="Y661" s="115">
        <v>0.48149999999999998</v>
      </c>
      <c r="Z661" s="115">
        <v>87.483599999999996</v>
      </c>
      <c r="AA661" s="115">
        <v>5.2096</v>
      </c>
      <c r="AB661" s="115">
        <v>139.14599999999999</v>
      </c>
      <c r="AC661" s="115">
        <v>49.8</v>
      </c>
      <c r="AD661" s="115">
        <v>-6.9999999999999999E-4</v>
      </c>
      <c r="AE661" s="115">
        <v>1.0999999999999999E-2</v>
      </c>
      <c r="AF661" s="115">
        <v>2.7099999999999999E-2</v>
      </c>
      <c r="AG661" s="115">
        <v>1.54E-2</v>
      </c>
      <c r="AH661" s="115">
        <v>-5.2200000000000003E-2</v>
      </c>
      <c r="AI661" s="115">
        <v>-0.13389999999999999</v>
      </c>
      <c r="AJ661" s="115">
        <v>6.7000000000000002E-3</v>
      </c>
      <c r="AK661" s="115">
        <v>7.9920999999999998</v>
      </c>
      <c r="AL661" s="115">
        <v>-1.1220000000000001</v>
      </c>
      <c r="AM661" s="115">
        <v>2</v>
      </c>
      <c r="AN661" s="115">
        <v>7</v>
      </c>
      <c r="AO661" s="115">
        <v>0</v>
      </c>
      <c r="AP661" s="115">
        <v>0</v>
      </c>
      <c r="AQ661" s="115">
        <v>4</v>
      </c>
      <c r="AR661" s="115">
        <v>0</v>
      </c>
      <c r="AS661" s="115">
        <v>-2.8E-3</v>
      </c>
      <c r="AT661" s="115">
        <v>-0.90159999999999996</v>
      </c>
      <c r="AU661" s="114" t="str">
        <f>IF(A661&lt;&gt;"",INDEX(Index!$B$1:$B$77,MATCH($A661,Index!$A$1:$A$77,0)),"")</f>
        <v>NO</v>
      </c>
      <c r="AV661" s="123" t="str">
        <f>IF(B661&lt;&gt;"",INDEX(Index!$C$1:$C$77,MATCH($A661,Index!$A$1:$A$77,0)),"")</f>
        <v>Rattler</v>
      </c>
      <c r="AW661" s="123">
        <f t="shared" si="12"/>
        <v>29</v>
      </c>
      <c r="AX661" s="113">
        <v>16</v>
      </c>
    </row>
    <row r="662" spans="1:50" x14ac:dyDescent="0.25">
      <c r="A662" s="95" t="s">
        <v>601</v>
      </c>
      <c r="B662" s="96">
        <v>2025</v>
      </c>
      <c r="C662" s="96">
        <v>1</v>
      </c>
      <c r="D662" s="96">
        <v>-2.46705</v>
      </c>
      <c r="E662" s="96">
        <v>-0.57393700000000003</v>
      </c>
      <c r="F662" s="115">
        <v>-0.57393700000000003</v>
      </c>
      <c r="G662" s="115">
        <v>-15.235099999999999</v>
      </c>
      <c r="H662" s="115">
        <v>-0.32419999999999999</v>
      </c>
      <c r="I662" s="115">
        <v>25</v>
      </c>
      <c r="J662" s="115">
        <v>38</v>
      </c>
      <c r="K662" s="115">
        <v>0.65790000000000004</v>
      </c>
      <c r="L662" s="115">
        <v>-4.1412000000000004</v>
      </c>
      <c r="M662" s="115">
        <v>169</v>
      </c>
      <c r="N662" s="115">
        <v>4.4474</v>
      </c>
      <c r="O662" s="115">
        <v>1</v>
      </c>
      <c r="P662" s="115">
        <v>1</v>
      </c>
      <c r="Q662" s="115">
        <v>5</v>
      </c>
      <c r="R662" s="115">
        <v>3</v>
      </c>
      <c r="S662" s="115">
        <v>13</v>
      </c>
      <c r="T662" s="115">
        <v>4.3333000000000004</v>
      </c>
      <c r="U662" s="115">
        <v>0</v>
      </c>
      <c r="V662" s="115">
        <v>2.63E-2</v>
      </c>
      <c r="W662" s="115">
        <v>2.63E-2</v>
      </c>
      <c r="X662" s="115">
        <v>0</v>
      </c>
      <c r="Y662" s="115">
        <v>0.31909999999999999</v>
      </c>
      <c r="Z662" s="115">
        <v>73.245599999999996</v>
      </c>
      <c r="AA662" s="115">
        <v>2.4186000000000001</v>
      </c>
      <c r="AB662" s="115">
        <v>-40.341000000000001</v>
      </c>
      <c r="AC662" s="115"/>
      <c r="AD662" s="115">
        <v>-2.1899999999999999E-2</v>
      </c>
      <c r="AE662" s="115">
        <v>-1E-4</v>
      </c>
      <c r="AF662" s="115">
        <v>-5.2999999999999999E-2</v>
      </c>
      <c r="AG662" s="115">
        <v>-1.24E-2</v>
      </c>
      <c r="AH662" s="115">
        <v>-0.12089999999999999</v>
      </c>
      <c r="AI662" s="115">
        <v>-0.18479999999999999</v>
      </c>
      <c r="AJ662" s="115">
        <v>-5.4999999999999997E-3</v>
      </c>
      <c r="AK662" s="115">
        <v>5.3684000000000003</v>
      </c>
      <c r="AL662" s="115">
        <v>-3.5526</v>
      </c>
      <c r="AM662" s="115">
        <v>0</v>
      </c>
      <c r="AN662" s="115">
        <v>4</v>
      </c>
      <c r="AO662" s="115">
        <v>0</v>
      </c>
      <c r="AP662" s="115">
        <v>0</v>
      </c>
      <c r="AQ662" s="115">
        <v>1</v>
      </c>
      <c r="AR662" s="115">
        <v>0</v>
      </c>
      <c r="AS662" s="115">
        <v>-6.6E-3</v>
      </c>
      <c r="AT662" s="115">
        <v>-0.3095</v>
      </c>
      <c r="AU662" s="114" t="str">
        <f>IF(A662&lt;&gt;"",INDEX(Index!$B$1:$B$77,MATCH($A662,Index!$A$1:$A$77,0)),"")</f>
        <v>LV</v>
      </c>
      <c r="AV662" s="123" t="str">
        <f>IF(B662&lt;&gt;"",INDEX(Index!$C$1:$C$77,MATCH($A662,Index!$A$1:$A$77,0)),"")</f>
        <v>Pickett</v>
      </c>
      <c r="AW662" s="123">
        <f t="shared" si="12"/>
        <v>48</v>
      </c>
      <c r="AX662" s="113">
        <v>16</v>
      </c>
    </row>
    <row r="663" spans="1:50" x14ac:dyDescent="0.25">
      <c r="A663" s="95" t="s">
        <v>582</v>
      </c>
      <c r="B663" s="96">
        <v>2025</v>
      </c>
      <c r="C663" s="96">
        <v>15</v>
      </c>
      <c r="D663" s="96">
        <v>-2.4883299999999999</v>
      </c>
      <c r="E663" s="96">
        <v>0.48867100000000002</v>
      </c>
      <c r="F663" s="115">
        <v>-1.1186499999999999</v>
      </c>
      <c r="G663" s="115">
        <v>-87.016900000000007</v>
      </c>
      <c r="H663" s="115">
        <v>-0.1424</v>
      </c>
      <c r="I663" s="115">
        <v>299</v>
      </c>
      <c r="J663" s="115">
        <v>494</v>
      </c>
      <c r="K663" s="115">
        <v>0.60529999999999995</v>
      </c>
      <c r="L663" s="115">
        <v>-3.3376000000000001</v>
      </c>
      <c r="M663" s="115">
        <v>2866</v>
      </c>
      <c r="N663" s="115">
        <v>5.8015999999999996</v>
      </c>
      <c r="O663" s="115">
        <v>13</v>
      </c>
      <c r="P663" s="115">
        <v>7</v>
      </c>
      <c r="Q663" s="115">
        <v>51</v>
      </c>
      <c r="R663" s="115">
        <v>28</v>
      </c>
      <c r="S663" s="115">
        <v>148</v>
      </c>
      <c r="T663" s="115">
        <v>5.2857000000000003</v>
      </c>
      <c r="U663" s="115">
        <v>1</v>
      </c>
      <c r="V663" s="115">
        <v>2.63E-2</v>
      </c>
      <c r="W663" s="115">
        <v>1.4200000000000001E-2</v>
      </c>
      <c r="X663" s="115">
        <v>1.21E-2</v>
      </c>
      <c r="Y663" s="115">
        <v>0.39610000000000001</v>
      </c>
      <c r="Z663" s="115">
        <v>79.563100000000006</v>
      </c>
      <c r="AA663" s="115">
        <v>4.4477000000000002</v>
      </c>
      <c r="AB663" s="115">
        <v>69.618200000000002</v>
      </c>
      <c r="AC663" s="115">
        <v>30.6</v>
      </c>
      <c r="AD663" s="115">
        <v>-1.0800000000000001E-2</v>
      </c>
      <c r="AE663" s="115">
        <v>-7.1599999999999997E-2</v>
      </c>
      <c r="AF663" s="115">
        <v>-2.9700000000000001E-2</v>
      </c>
      <c r="AG663" s="115">
        <v>3.1199999999999999E-2</v>
      </c>
      <c r="AH663" s="115">
        <v>-0.1091</v>
      </c>
      <c r="AI663" s="115">
        <v>-2.18E-2</v>
      </c>
      <c r="AJ663" s="115">
        <v>-5.0000000000000001E-3</v>
      </c>
      <c r="AK663" s="115">
        <v>7.1173999999999999</v>
      </c>
      <c r="AL663" s="115">
        <v>-1.9919</v>
      </c>
      <c r="AM663" s="115">
        <v>3</v>
      </c>
      <c r="AN663" s="115">
        <v>12</v>
      </c>
      <c r="AO663" s="115">
        <v>0</v>
      </c>
      <c r="AP663" s="115">
        <v>1</v>
      </c>
      <c r="AQ663" s="115">
        <v>4</v>
      </c>
      <c r="AR663" s="115">
        <v>0.25</v>
      </c>
      <c r="AS663" s="115">
        <v>-3.0000000000000001E-3</v>
      </c>
      <c r="AT663" s="115">
        <v>-1.8031999999999999</v>
      </c>
      <c r="AU663" s="114" t="str">
        <f>IF(A663&lt;&gt;"",INDEX(Index!$B$1:$B$77,MATCH($A663,Index!$A$1:$A$77,0)),"")</f>
        <v>TEN</v>
      </c>
      <c r="AV663" s="123" t="str">
        <f>IF(B663&lt;&gt;"",INDEX(Index!$C$1:$C$77,MATCH($A663,Index!$A$1:$A$77,0)),"")</f>
        <v>Ward</v>
      </c>
      <c r="AW663" s="123">
        <f t="shared" si="12"/>
        <v>2</v>
      </c>
      <c r="AX663" s="113">
        <v>16</v>
      </c>
    </row>
    <row r="664" spans="1:50" x14ac:dyDescent="0.25">
      <c r="A664" s="95" t="s">
        <v>572</v>
      </c>
      <c r="B664" s="96">
        <v>2025</v>
      </c>
      <c r="C664" s="96">
        <v>14</v>
      </c>
      <c r="D664" s="96">
        <v>-2.5382199999999999</v>
      </c>
      <c r="E664" s="96">
        <v>0.21789900000000001</v>
      </c>
      <c r="F664" s="115">
        <v>-2.5986600000000002</v>
      </c>
      <c r="G664" s="115">
        <v>-50.408499999999997</v>
      </c>
      <c r="H664" s="115">
        <v>-9.4799999999999995E-2</v>
      </c>
      <c r="I664" s="115">
        <v>282</v>
      </c>
      <c r="J664" s="115">
        <v>418</v>
      </c>
      <c r="K664" s="115">
        <v>0.67459999999999998</v>
      </c>
      <c r="L664" s="115">
        <v>0.26929999999999998</v>
      </c>
      <c r="M664" s="115">
        <v>2849</v>
      </c>
      <c r="N664" s="115">
        <v>6.8158000000000003</v>
      </c>
      <c r="O664" s="115">
        <v>18</v>
      </c>
      <c r="P664" s="115">
        <v>15</v>
      </c>
      <c r="Q664" s="115">
        <v>52</v>
      </c>
      <c r="R664" s="115">
        <v>33</v>
      </c>
      <c r="S664" s="115">
        <v>114</v>
      </c>
      <c r="T664" s="115">
        <v>3.4544999999999999</v>
      </c>
      <c r="U664" s="115">
        <v>0</v>
      </c>
      <c r="V664" s="115">
        <v>4.3099999999999999E-2</v>
      </c>
      <c r="W664" s="115">
        <v>3.5900000000000001E-2</v>
      </c>
      <c r="X664" s="115">
        <v>7.1999999999999998E-3</v>
      </c>
      <c r="Y664" s="115">
        <v>0.44550000000000001</v>
      </c>
      <c r="Z664" s="115">
        <v>86.104500000000002</v>
      </c>
      <c r="AA664" s="115">
        <v>4.5808999999999997</v>
      </c>
      <c r="AB664" s="115">
        <v>77.887600000000006</v>
      </c>
      <c r="AC664" s="115">
        <v>34.4</v>
      </c>
      <c r="AD664" s="115">
        <v>-2.6499999999999999E-2</v>
      </c>
      <c r="AE664" s="115">
        <v>-7.8899999999999998E-2</v>
      </c>
      <c r="AF664" s="115">
        <v>3.6200000000000003E-2</v>
      </c>
      <c r="AG664" s="115">
        <v>-6.54E-2</v>
      </c>
      <c r="AH664" s="115">
        <v>-0.10390000000000001</v>
      </c>
      <c r="AI664" s="115">
        <v>6.0600000000000001E-2</v>
      </c>
      <c r="AJ664" s="115">
        <v>8.8999999999999999E-3</v>
      </c>
      <c r="AK664" s="115">
        <v>6.2488000000000001</v>
      </c>
      <c r="AL664" s="115">
        <v>-2.6530999999999998</v>
      </c>
      <c r="AM664" s="115">
        <v>2</v>
      </c>
      <c r="AN664" s="115">
        <v>12</v>
      </c>
      <c r="AO664" s="115">
        <v>0</v>
      </c>
      <c r="AP664" s="115">
        <v>0</v>
      </c>
      <c r="AQ664" s="115">
        <v>4</v>
      </c>
      <c r="AR664" s="115">
        <v>0</v>
      </c>
      <c r="AS664" s="115">
        <v>-2.0999999999999999E-3</v>
      </c>
      <c r="AT664" s="115">
        <v>-1.0916999999999999</v>
      </c>
      <c r="AU664" s="114" t="str">
        <f>IF(A664&lt;&gt;"",INDEX(Index!$B$1:$B$77,MATCH($A664,Index!$A$1:$A$77,0)),"")</f>
        <v>LV</v>
      </c>
      <c r="AV664" s="123" t="str">
        <f>IF(B664&lt;&gt;"",INDEX(Index!$C$1:$C$77,MATCH($A664,Index!$A$1:$A$77,0)),"")</f>
        <v>Smith</v>
      </c>
      <c r="AW664" s="123">
        <f t="shared" si="12"/>
        <v>1</v>
      </c>
      <c r="AX664" s="113">
        <v>16</v>
      </c>
    </row>
    <row r="665" spans="1:50" x14ac:dyDescent="0.25">
      <c r="A665" s="95" t="s">
        <v>580</v>
      </c>
      <c r="B665" s="96">
        <v>2025</v>
      </c>
      <c r="C665" s="96">
        <v>9</v>
      </c>
      <c r="D665" s="96">
        <v>-3.2893400000000002</v>
      </c>
      <c r="E665" s="96">
        <v>-0.18168100000000001</v>
      </c>
      <c r="F665" s="115">
        <v>-1.7898400000000001</v>
      </c>
      <c r="G665" s="115">
        <v>-32.530799999999999</v>
      </c>
      <c r="H665" s="115">
        <v>-0.11409999999999999</v>
      </c>
      <c r="I665" s="115">
        <v>126</v>
      </c>
      <c r="J665" s="115">
        <v>220</v>
      </c>
      <c r="K665" s="115">
        <v>0.57269999999999999</v>
      </c>
      <c r="L665" s="115">
        <v>-6.2393999999999998</v>
      </c>
      <c r="M665" s="115">
        <v>1450</v>
      </c>
      <c r="N665" s="115">
        <v>6.5909000000000004</v>
      </c>
      <c r="O665" s="115">
        <v>11</v>
      </c>
      <c r="P665" s="115">
        <v>12</v>
      </c>
      <c r="Q665" s="115">
        <v>27</v>
      </c>
      <c r="R665" s="115">
        <v>23</v>
      </c>
      <c r="S665" s="115">
        <v>184</v>
      </c>
      <c r="T665" s="115">
        <v>8</v>
      </c>
      <c r="U665" s="115">
        <v>4</v>
      </c>
      <c r="V665" s="115">
        <v>0.05</v>
      </c>
      <c r="W665" s="115">
        <v>5.45E-2</v>
      </c>
      <c r="X665" s="115">
        <v>-4.4999999999999997E-3</v>
      </c>
      <c r="Y665" s="115">
        <v>0.43509999999999999</v>
      </c>
      <c r="Z665" s="115">
        <v>71.212100000000007</v>
      </c>
      <c r="AA665" s="115">
        <v>3.9716999999999998</v>
      </c>
      <c r="AB665" s="115">
        <v>43.207599999999999</v>
      </c>
      <c r="AC665" s="115">
        <v>33.9</v>
      </c>
      <c r="AD665" s="115">
        <v>3.5099999999999999E-2</v>
      </c>
      <c r="AE665" s="115">
        <v>-7.17E-2</v>
      </c>
      <c r="AF665" s="115">
        <v>-5.2999999999999999E-2</v>
      </c>
      <c r="AG665" s="115">
        <v>-0.1085</v>
      </c>
      <c r="AH665" s="115">
        <v>1.6899999999999998E-2</v>
      </c>
      <c r="AI665" s="115">
        <v>-1.9099999999999999E-2</v>
      </c>
      <c r="AJ665" s="115">
        <v>1.1900000000000001E-2</v>
      </c>
      <c r="AK665" s="115">
        <v>8.9408999999999992</v>
      </c>
      <c r="AL665" s="115">
        <v>0.35449999999999998</v>
      </c>
      <c r="AM665" s="115">
        <v>5</v>
      </c>
      <c r="AN665" s="115">
        <v>4</v>
      </c>
      <c r="AO665" s="115">
        <v>0</v>
      </c>
      <c r="AP665" s="115">
        <v>1</v>
      </c>
      <c r="AQ665" s="115">
        <v>4</v>
      </c>
      <c r="AR665" s="115">
        <v>0.25</v>
      </c>
      <c r="AS665" s="115">
        <v>2.9999999999999997E-4</v>
      </c>
      <c r="AT665" s="115">
        <v>7.8E-2</v>
      </c>
      <c r="AU665" s="114" t="str">
        <f>IF(A665&lt;&gt;"",INDEX(Index!$B$1:$B$77,MATCH($A665,Index!$A$1:$A$77,0)),"")</f>
        <v>MIN</v>
      </c>
      <c r="AV665" s="123" t="str">
        <f>IF(B665&lt;&gt;"",INDEX(Index!$C$1:$C$77,MATCH($A665,Index!$A$1:$A$77,0)),"")</f>
        <v>McCarthy</v>
      </c>
      <c r="AW665" s="123">
        <f t="shared" si="12"/>
        <v>15</v>
      </c>
      <c r="AX665" s="113">
        <v>16</v>
      </c>
    </row>
    <row r="666" spans="1:50" x14ac:dyDescent="0.25">
      <c r="A666" s="95" t="s">
        <v>598</v>
      </c>
      <c r="B666" s="96">
        <v>2025</v>
      </c>
      <c r="C666" s="96">
        <v>5</v>
      </c>
      <c r="D666" s="96">
        <v>-3.4548399999999999</v>
      </c>
      <c r="E666" s="96">
        <v>0.31010599999999999</v>
      </c>
      <c r="F666" s="115">
        <v>0.459202</v>
      </c>
      <c r="G666" s="115">
        <v>-49.515000000000001</v>
      </c>
      <c r="H666" s="115">
        <v>-0.2427</v>
      </c>
      <c r="I666" s="115">
        <v>92</v>
      </c>
      <c r="J666" s="115">
        <v>167</v>
      </c>
      <c r="K666" s="115">
        <v>0.55089999999999995</v>
      </c>
      <c r="L666" s="115">
        <v>-6.0266999999999999</v>
      </c>
      <c r="M666" s="115">
        <v>1103</v>
      </c>
      <c r="N666" s="115">
        <v>6.6048</v>
      </c>
      <c r="O666" s="115">
        <v>6</v>
      </c>
      <c r="P666" s="115">
        <v>8</v>
      </c>
      <c r="Q666" s="115">
        <v>15</v>
      </c>
      <c r="R666" s="115">
        <v>13</v>
      </c>
      <c r="S666" s="115">
        <v>124</v>
      </c>
      <c r="T666" s="115">
        <v>9.5385000000000009</v>
      </c>
      <c r="U666" s="115">
        <v>1</v>
      </c>
      <c r="V666" s="115">
        <v>3.5900000000000001E-2</v>
      </c>
      <c r="W666" s="115">
        <v>4.7899999999999998E-2</v>
      </c>
      <c r="X666" s="115">
        <v>-1.2E-2</v>
      </c>
      <c r="Y666" s="115">
        <v>0.36270000000000002</v>
      </c>
      <c r="Z666" s="115">
        <v>67.5274</v>
      </c>
      <c r="AA666" s="115">
        <v>4.0110000000000001</v>
      </c>
      <c r="AB666" s="115">
        <v>105.035</v>
      </c>
      <c r="AC666" s="115"/>
      <c r="AD666" s="115">
        <v>9.2999999999999992E-3</v>
      </c>
      <c r="AE666" s="115">
        <v>-4.3099999999999999E-2</v>
      </c>
      <c r="AF666" s="115">
        <v>-3.44E-2</v>
      </c>
      <c r="AG666" s="115">
        <v>-0.12709999999999999</v>
      </c>
      <c r="AH666" s="115">
        <v>-0.1643</v>
      </c>
      <c r="AI666" s="115">
        <v>7.7200000000000005E-2</v>
      </c>
      <c r="AJ666" s="115">
        <v>-3.4700000000000002E-2</v>
      </c>
      <c r="AK666" s="115">
        <v>6.8262999999999998</v>
      </c>
      <c r="AL666" s="115">
        <v>-3.4192</v>
      </c>
      <c r="AM666" s="115">
        <v>1</v>
      </c>
      <c r="AN666" s="115">
        <v>5</v>
      </c>
      <c r="AO666" s="115">
        <v>0</v>
      </c>
      <c r="AP666" s="115">
        <v>0</v>
      </c>
      <c r="AQ666" s="115">
        <v>3</v>
      </c>
      <c r="AR666" s="115">
        <v>0</v>
      </c>
      <c r="AS666" s="115">
        <v>-5.4999999999999997E-3</v>
      </c>
      <c r="AT666" s="115">
        <v>-1.1248</v>
      </c>
      <c r="AU666" s="114" t="str">
        <f>IF(A666&lt;&gt;"",INDEX(Index!$B$1:$B$77,MATCH($A666,Index!$A$1:$A$77,0)),"")</f>
        <v>CLE</v>
      </c>
      <c r="AV666" s="123" t="str">
        <f>IF(B666&lt;&gt;"",INDEX(Index!$C$1:$C$77,MATCH($A666,Index!$A$1:$A$77,0)),"")</f>
        <v>Sanders</v>
      </c>
      <c r="AW666" s="123">
        <f t="shared" si="12"/>
        <v>37</v>
      </c>
      <c r="AX666" s="113">
        <v>16</v>
      </c>
    </row>
    <row r="667" spans="1:50" x14ac:dyDescent="0.25">
      <c r="A667" s="95" t="s">
        <v>604</v>
      </c>
      <c r="B667" s="96">
        <v>2025</v>
      </c>
      <c r="C667" s="96">
        <v>1</v>
      </c>
      <c r="D667" s="96">
        <v>-3.6143800000000001</v>
      </c>
      <c r="E667" s="96">
        <v>3.8365799999999999E-2</v>
      </c>
      <c r="F667" s="115">
        <v>3.8365799999999999E-2</v>
      </c>
      <c r="G667" s="115">
        <v>-6.7558999999999996</v>
      </c>
      <c r="H667" s="115">
        <v>-0.15709999999999999</v>
      </c>
      <c r="I667" s="115">
        <v>25</v>
      </c>
      <c r="J667" s="115">
        <v>38</v>
      </c>
      <c r="K667" s="115">
        <v>0.65790000000000004</v>
      </c>
      <c r="L667" s="115">
        <v>6.8999999999999999E-3</v>
      </c>
      <c r="M667" s="115">
        <v>313</v>
      </c>
      <c r="N667" s="115">
        <v>8.2368000000000006</v>
      </c>
      <c r="O667" s="115">
        <v>0</v>
      </c>
      <c r="P667" s="115">
        <v>2</v>
      </c>
      <c r="Q667" s="115">
        <v>2</v>
      </c>
      <c r="R667" s="115">
        <v>2</v>
      </c>
      <c r="S667" s="115">
        <v>5</v>
      </c>
      <c r="T667" s="115">
        <v>2.5</v>
      </c>
      <c r="U667" s="115">
        <v>0</v>
      </c>
      <c r="V667" s="115">
        <v>0</v>
      </c>
      <c r="W667" s="115">
        <v>5.2600000000000001E-2</v>
      </c>
      <c r="X667" s="115">
        <v>-5.2600000000000001E-2</v>
      </c>
      <c r="Y667" s="115">
        <v>0.41860000000000003</v>
      </c>
      <c r="Z667" s="115">
        <v>69.298199999999994</v>
      </c>
      <c r="AA667" s="115">
        <v>5.0750000000000002</v>
      </c>
      <c r="AB667" s="115">
        <v>89.866</v>
      </c>
      <c r="AC667" s="115"/>
      <c r="AD667" s="115">
        <v>-0.113</v>
      </c>
      <c r="AE667" s="115">
        <v>-3.2000000000000002E-3</v>
      </c>
      <c r="AF667" s="115">
        <v>8.0600000000000005E-2</v>
      </c>
      <c r="AG667" s="115">
        <v>-0.10340000000000001</v>
      </c>
      <c r="AH667" s="115">
        <v>-0.1699</v>
      </c>
      <c r="AI667" s="115">
        <v>0.1351</v>
      </c>
      <c r="AJ667" s="115">
        <v>-5.7700000000000001E-2</v>
      </c>
      <c r="AK667" s="115">
        <v>8.7631999999999994</v>
      </c>
      <c r="AL667" s="115">
        <v>0.1053</v>
      </c>
      <c r="AM667" s="115">
        <v>0</v>
      </c>
      <c r="AN667" s="115">
        <v>2</v>
      </c>
      <c r="AO667" s="115">
        <v>0</v>
      </c>
      <c r="AP667" s="115">
        <v>0</v>
      </c>
      <c r="AQ667" s="115">
        <v>0</v>
      </c>
      <c r="AR667" s="115"/>
      <c r="AS667" s="115">
        <v>-1.1999999999999999E-3</v>
      </c>
      <c r="AT667" s="115">
        <v>-5.16E-2</v>
      </c>
      <c r="AU667" s="114" t="str">
        <f>IF(A667&lt;&gt;"",INDEX(Index!$B$1:$B$77,MATCH($A667,Index!$A$1:$A$77,0)),"")</f>
        <v>MIA</v>
      </c>
      <c r="AV667" s="123" t="str">
        <f>IF(B667&lt;&gt;"",INDEX(Index!$C$1:$C$77,MATCH($A667,Index!$A$1:$A$77,0)),"")</f>
        <v>Ewers</v>
      </c>
      <c r="AW667" s="123">
        <f t="shared" si="12"/>
        <v>52</v>
      </c>
      <c r="AX667" s="113">
        <v>16</v>
      </c>
    </row>
    <row r="668" spans="1:50" x14ac:dyDescent="0.25">
      <c r="A668" s="95" t="s">
        <v>589</v>
      </c>
      <c r="B668" s="96">
        <v>2025</v>
      </c>
      <c r="C668" s="96">
        <v>6</v>
      </c>
      <c r="D668" s="96">
        <v>-3.77434</v>
      </c>
      <c r="E668" s="96">
        <v>-8.9766799999999994E-2</v>
      </c>
      <c r="F668" s="115">
        <v>-0.13372500000000001</v>
      </c>
      <c r="G668" s="115">
        <v>-27.662600000000001</v>
      </c>
      <c r="H668" s="115">
        <v>-0.1203</v>
      </c>
      <c r="I668" s="115">
        <v>110</v>
      </c>
      <c r="J668" s="115">
        <v>184</v>
      </c>
      <c r="K668" s="115">
        <v>0.5978</v>
      </c>
      <c r="L668" s="115">
        <v>-7.5071000000000003</v>
      </c>
      <c r="M668" s="115">
        <v>937</v>
      </c>
      <c r="N668" s="115">
        <v>5.0923999999999996</v>
      </c>
      <c r="O668" s="115">
        <v>7</v>
      </c>
      <c r="P668" s="115">
        <v>2</v>
      </c>
      <c r="Q668" s="115">
        <v>19</v>
      </c>
      <c r="R668" s="115">
        <v>13</v>
      </c>
      <c r="S668" s="115">
        <v>87</v>
      </c>
      <c r="T668" s="115">
        <v>6.6923000000000004</v>
      </c>
      <c r="U668" s="115">
        <v>0</v>
      </c>
      <c r="V668" s="115">
        <v>3.7999999999999999E-2</v>
      </c>
      <c r="W668" s="115">
        <v>1.09E-2</v>
      </c>
      <c r="X668" s="115">
        <v>2.7199999999999998E-2</v>
      </c>
      <c r="Y668" s="115">
        <v>0.35220000000000001</v>
      </c>
      <c r="Z668" s="115">
        <v>81.272599999999997</v>
      </c>
      <c r="AA668" s="115">
        <v>4.2365000000000004</v>
      </c>
      <c r="AB668" s="115">
        <v>72.512900000000002</v>
      </c>
      <c r="AC668" s="115"/>
      <c r="AD668" s="115">
        <v>-1.9300000000000001E-2</v>
      </c>
      <c r="AE668" s="115">
        <v>-2.58E-2</v>
      </c>
      <c r="AF668" s="115">
        <v>-3.8100000000000002E-2</v>
      </c>
      <c r="AG668" s="115">
        <v>4.5100000000000001E-2</v>
      </c>
      <c r="AH668" s="115">
        <v>-0.15890000000000001</v>
      </c>
      <c r="AI668" s="115">
        <v>-3.5000000000000003E-2</v>
      </c>
      <c r="AJ668" s="115">
        <v>3.7600000000000001E-2</v>
      </c>
      <c r="AK668" s="115">
        <v>5.8586999999999998</v>
      </c>
      <c r="AL668" s="115">
        <v>-4.0053999999999998</v>
      </c>
      <c r="AM668" s="115">
        <v>1</v>
      </c>
      <c r="AN668" s="115">
        <v>9</v>
      </c>
      <c r="AO668" s="115">
        <v>0</v>
      </c>
      <c r="AP668" s="115">
        <v>0</v>
      </c>
      <c r="AQ668" s="115">
        <v>2</v>
      </c>
      <c r="AR668" s="115">
        <v>0</v>
      </c>
      <c r="AS668" s="115">
        <v>-3.0999999999999999E-3</v>
      </c>
      <c r="AT668" s="115">
        <v>-0.71830000000000005</v>
      </c>
      <c r="AU668" s="114" t="str">
        <f>IF(A668&lt;&gt;"",INDEX(Index!$B$1:$B$77,MATCH($A668,Index!$A$1:$A$77,0)),"")</f>
        <v>CLE</v>
      </c>
      <c r="AV668" s="123" t="str">
        <f>IF(B668&lt;&gt;"",INDEX(Index!$C$1:$C$77,MATCH($A668,Index!$A$1:$A$77,0)),"")</f>
        <v>Gabriel</v>
      </c>
      <c r="AW668" s="123">
        <f t="shared" si="12"/>
        <v>26</v>
      </c>
      <c r="AX668" s="113">
        <v>16</v>
      </c>
    </row>
    <row r="669" spans="1:50" x14ac:dyDescent="0.25">
      <c r="A669" s="95" t="s">
        <v>599</v>
      </c>
      <c r="B669" s="96">
        <v>2025</v>
      </c>
      <c r="C669" s="96">
        <v>1</v>
      </c>
      <c r="D669" s="96">
        <v>-4.4829499999999998</v>
      </c>
      <c r="E669" s="96">
        <v>-0.90971500000000005</v>
      </c>
      <c r="F669" s="115">
        <v>-0.90971500000000005</v>
      </c>
      <c r="G669" s="115">
        <v>-33.970199999999998</v>
      </c>
      <c r="H669" s="115">
        <v>-0.64090000000000003</v>
      </c>
      <c r="I669" s="115">
        <v>31</v>
      </c>
      <c r="J669" s="115">
        <v>47</v>
      </c>
      <c r="K669" s="115">
        <v>0.65959999999999996</v>
      </c>
      <c r="L669" s="115">
        <v>-3.8361000000000001</v>
      </c>
      <c r="M669" s="115">
        <v>220</v>
      </c>
      <c r="N669" s="115">
        <v>4.6809000000000003</v>
      </c>
      <c r="O669" s="115">
        <v>0</v>
      </c>
      <c r="P669" s="115">
        <v>4</v>
      </c>
      <c r="Q669" s="115">
        <v>5</v>
      </c>
      <c r="R669" s="115">
        <v>0</v>
      </c>
      <c r="S669" s="115">
        <v>0</v>
      </c>
      <c r="T669" s="115"/>
      <c r="U669" s="115">
        <v>0</v>
      </c>
      <c r="V669" s="115">
        <v>0</v>
      </c>
      <c r="W669" s="115">
        <v>8.5099999999999995E-2</v>
      </c>
      <c r="X669" s="115">
        <v>-8.5099999999999995E-2</v>
      </c>
      <c r="Y669" s="115">
        <v>0.24529999999999999</v>
      </c>
      <c r="Z669" s="115">
        <v>41.090400000000002</v>
      </c>
      <c r="AA669" s="115">
        <v>1.9199999999999998E-2</v>
      </c>
      <c r="AB669" s="115">
        <v>-186.73</v>
      </c>
      <c r="AC669" s="115"/>
      <c r="AD669" s="115">
        <v>-3.0300000000000001E-2</v>
      </c>
      <c r="AE669" s="115">
        <v>-5.9900000000000002E-2</v>
      </c>
      <c r="AF669" s="115">
        <v>2.2700000000000001E-2</v>
      </c>
      <c r="AG669" s="115">
        <v>-0.27700000000000002</v>
      </c>
      <c r="AH669" s="115">
        <v>-0.3715</v>
      </c>
      <c r="AI669" s="115">
        <v>-6.7999999999999996E-3</v>
      </c>
      <c r="AJ669" s="115">
        <v>7.4000000000000003E-3</v>
      </c>
      <c r="AK669" s="115">
        <v>4.7233999999999998</v>
      </c>
      <c r="AL669" s="115">
        <v>-4.5532000000000004</v>
      </c>
      <c r="AM669" s="115">
        <v>2</v>
      </c>
      <c r="AN669" s="115">
        <v>2</v>
      </c>
      <c r="AO669" s="115">
        <v>0</v>
      </c>
      <c r="AP669" s="115">
        <v>0</v>
      </c>
      <c r="AQ669" s="115">
        <v>0</v>
      </c>
      <c r="AR669" s="115"/>
      <c r="AS669" s="115">
        <v>-8.3999999999999995E-3</v>
      </c>
      <c r="AT669" s="115">
        <v>-0.44369999999999998</v>
      </c>
      <c r="AU669" s="114" t="str">
        <f>IF(A669&lt;&gt;"",INDEX(Index!$B$1:$B$77,MATCH($A669,Index!$A$1:$A$77,0)),"")</f>
        <v>MIN</v>
      </c>
      <c r="AV669" s="123" t="str">
        <f>IF(B669&lt;&gt;"",INDEX(Index!$C$1:$C$77,MATCH($A669,Index!$A$1:$A$77,0)),"")</f>
        <v>Brosmer</v>
      </c>
      <c r="AW669" s="123">
        <f t="shared" si="12"/>
        <v>48</v>
      </c>
      <c r="AX669" s="113">
        <v>16</v>
      </c>
    </row>
    <row r="670" spans="1:50" ht="15.75" thickBot="1" x14ac:dyDescent="0.3">
      <c r="A670" s="95" t="s">
        <v>602</v>
      </c>
      <c r="B670" s="96">
        <v>2025</v>
      </c>
      <c r="C670" s="96">
        <v>2</v>
      </c>
      <c r="D670" s="96">
        <v>-4.6178100000000004</v>
      </c>
      <c r="E670" s="96">
        <v>-0.61493299999999995</v>
      </c>
      <c r="F670" s="115">
        <v>-0.83949700000000005</v>
      </c>
      <c r="G670" s="115">
        <v>-46.533900000000003</v>
      </c>
      <c r="H670" s="115">
        <v>-0.37230000000000002</v>
      </c>
      <c r="I670" s="115">
        <v>58</v>
      </c>
      <c r="J670" s="115">
        <v>98</v>
      </c>
      <c r="K670" s="115">
        <v>0.59179999999999999</v>
      </c>
      <c r="L670" s="115">
        <v>-8.7370999999999999</v>
      </c>
      <c r="M670" s="115">
        <v>527</v>
      </c>
      <c r="N670" s="115">
        <v>5.3776000000000002</v>
      </c>
      <c r="O670" s="115">
        <v>1</v>
      </c>
      <c r="P670" s="115">
        <v>6</v>
      </c>
      <c r="Q670" s="115">
        <v>17</v>
      </c>
      <c r="R670" s="115">
        <v>7</v>
      </c>
      <c r="S670" s="115">
        <v>41</v>
      </c>
      <c r="T670" s="115">
        <v>5.8571</v>
      </c>
      <c r="U670" s="115">
        <v>0</v>
      </c>
      <c r="V670" s="115">
        <v>1.0200000000000001E-2</v>
      </c>
      <c r="W670" s="115">
        <v>6.1199999999999997E-2</v>
      </c>
      <c r="X670" s="115">
        <v>-5.0999999999999997E-2</v>
      </c>
      <c r="Y670" s="115">
        <v>0.32800000000000001</v>
      </c>
      <c r="Z670" s="115">
        <v>51.700699999999998</v>
      </c>
      <c r="AA670" s="115">
        <v>1.4870000000000001</v>
      </c>
      <c r="AB670" s="115">
        <v>-47.814</v>
      </c>
      <c r="AC670" s="115"/>
      <c r="AD670" s="115">
        <v>-3.9100000000000003E-2</v>
      </c>
      <c r="AE670" s="115">
        <v>-0.14199999999999999</v>
      </c>
      <c r="AF670" s="115">
        <v>-7.0000000000000001E-3</v>
      </c>
      <c r="AG670" s="115">
        <v>-0.1041</v>
      </c>
      <c r="AH670" s="115">
        <v>-0.11169999999999999</v>
      </c>
      <c r="AI670" s="115">
        <v>-3.2099999999999997E-2</v>
      </c>
      <c r="AJ670" s="115">
        <v>-1.0699999999999999E-2</v>
      </c>
      <c r="AK670" s="115">
        <v>6.6020000000000003</v>
      </c>
      <c r="AL670" s="115">
        <v>-2.7040999999999999</v>
      </c>
      <c r="AM670" s="115">
        <v>0</v>
      </c>
      <c r="AN670" s="115">
        <v>3</v>
      </c>
      <c r="AO670" s="115">
        <v>0</v>
      </c>
      <c r="AP670" s="115">
        <v>0</v>
      </c>
      <c r="AQ670" s="115">
        <v>0</v>
      </c>
      <c r="AR670" s="115"/>
      <c r="AS670" s="115">
        <v>-3.2000000000000002E-3</v>
      </c>
      <c r="AT670" s="115">
        <v>-0.40229999999999999</v>
      </c>
      <c r="AU670" s="114" t="str">
        <f>IF(A670&lt;&gt;"",INDEX(Index!$B$1:$B$77,MATCH($A670,Index!$A$1:$A$77,0)),"")</f>
        <v>NYJ</v>
      </c>
      <c r="AV670" s="123" t="str">
        <f>IF(B670&lt;&gt;"",INDEX(Index!$C$1:$C$77,MATCH($A670,Index!$A$1:$A$77,0)),"")</f>
        <v>Cook</v>
      </c>
      <c r="AW670" s="123">
        <f t="shared" si="12"/>
        <v>32</v>
      </c>
      <c r="AX670" s="113">
        <v>16</v>
      </c>
    </row>
    <row r="671" spans="1:50" x14ac:dyDescent="0.25">
      <c r="A671" s="117" t="s">
        <v>551</v>
      </c>
      <c r="B671" s="118">
        <v>2025</v>
      </c>
      <c r="C671" s="118">
        <v>16</v>
      </c>
      <c r="D671" s="118">
        <v>3.14758</v>
      </c>
      <c r="E671" s="118">
        <v>-1.71667E-2</v>
      </c>
      <c r="F671" s="119">
        <v>-0.47243299999999999</v>
      </c>
      <c r="G671" s="119">
        <v>145.00899999999999</v>
      </c>
      <c r="H671" s="119">
        <v>0.23499999999999999</v>
      </c>
      <c r="I671" s="119">
        <v>319</v>
      </c>
      <c r="J671" s="119">
        <v>459</v>
      </c>
      <c r="K671" s="119">
        <v>0.69499999999999995</v>
      </c>
      <c r="L671" s="119">
        <v>3.5148999999999999</v>
      </c>
      <c r="M671" s="119">
        <v>3668</v>
      </c>
      <c r="N671" s="119">
        <v>7.9912999999999998</v>
      </c>
      <c r="O671" s="119">
        <v>25</v>
      </c>
      <c r="P671" s="119">
        <v>10</v>
      </c>
      <c r="Q671" s="119">
        <v>40</v>
      </c>
      <c r="R671" s="119">
        <v>90</v>
      </c>
      <c r="S671" s="119">
        <v>599</v>
      </c>
      <c r="T671" s="119">
        <v>6.6555999999999997</v>
      </c>
      <c r="U671" s="119">
        <v>14</v>
      </c>
      <c r="V671" s="119">
        <v>5.45E-2</v>
      </c>
      <c r="W671" s="119">
        <v>2.18E-2</v>
      </c>
      <c r="X671" s="119">
        <v>3.27E-2</v>
      </c>
      <c r="Y671" s="119">
        <v>0.51380000000000003</v>
      </c>
      <c r="Z671" s="119">
        <v>102.374</v>
      </c>
      <c r="AA671" s="119">
        <v>6.8536999999999999</v>
      </c>
      <c r="AB671" s="119">
        <v>251.99700000000001</v>
      </c>
      <c r="AC671" s="119">
        <v>65.099999999999994</v>
      </c>
      <c r="AD671" s="119">
        <v>6.3799999999999996E-2</v>
      </c>
      <c r="AE671" s="119">
        <v>3.7000000000000002E-3</v>
      </c>
      <c r="AF671" s="119">
        <v>3.9600000000000003E-2</v>
      </c>
      <c r="AG671" s="119">
        <v>2.35E-2</v>
      </c>
      <c r="AH671" s="119">
        <v>-7.1599999999999997E-2</v>
      </c>
      <c r="AI671" s="119">
        <v>9.1200000000000003E-2</v>
      </c>
      <c r="AJ671" s="119">
        <v>1.17E-2</v>
      </c>
      <c r="AK671" s="119">
        <v>7.3181000000000003</v>
      </c>
      <c r="AL671" s="119">
        <v>-0.96509999999999996</v>
      </c>
      <c r="AM671" s="119">
        <v>11</v>
      </c>
      <c r="AN671" s="119">
        <v>5</v>
      </c>
      <c r="AO671" s="119">
        <v>0</v>
      </c>
      <c r="AP671" s="119">
        <v>3</v>
      </c>
      <c r="AQ671" s="119">
        <v>7</v>
      </c>
      <c r="AR671" s="119">
        <v>0.42859999999999998</v>
      </c>
      <c r="AS671" s="119">
        <v>5.4000000000000003E-3</v>
      </c>
      <c r="AT671" s="119">
        <v>3.3129</v>
      </c>
      <c r="AU671" s="121" t="str">
        <f>IF(A671&lt;&gt;"",INDEX(Index!$B$1:$B$77,MATCH($A671,Index!$A$1:$A$77,0)),"")</f>
        <v>BUF</v>
      </c>
      <c r="AV671" s="124" t="str">
        <f>IF(B671&lt;&gt;"",INDEX(Index!$C$1:$C$77,MATCH($A671,Index!$A$1:$A$77,0)),"")</f>
        <v>Allen</v>
      </c>
      <c r="AW671" s="124">
        <f t="shared" ref="AW671:AW728" si="13">IF(AT671&lt;&gt;"",COUNTIFS($AX$2:$AX$994,AX671,$Q$2:$Q$994,"&gt;"&amp;$Q671)+1,"")</f>
        <v>5</v>
      </c>
      <c r="AX671" s="120">
        <v>17</v>
      </c>
    </row>
    <row r="672" spans="1:50" x14ac:dyDescent="0.25">
      <c r="A672" s="95" t="s">
        <v>560</v>
      </c>
      <c r="B672" s="96">
        <v>2025</v>
      </c>
      <c r="C672" s="96">
        <v>8</v>
      </c>
      <c r="D672" s="96">
        <v>2.6506400000000001</v>
      </c>
      <c r="E672" s="96">
        <v>0.72989000000000004</v>
      </c>
      <c r="F672" s="115">
        <v>1.78128</v>
      </c>
      <c r="G672" s="115">
        <v>97.524299999999997</v>
      </c>
      <c r="H672" s="115">
        <v>0.31659999999999999</v>
      </c>
      <c r="I672" s="115">
        <v>178</v>
      </c>
      <c r="J672" s="115">
        <v>257</v>
      </c>
      <c r="K672" s="115">
        <v>0.69259999999999999</v>
      </c>
      <c r="L672" s="115">
        <v>7.6756000000000002</v>
      </c>
      <c r="M672" s="115">
        <v>2040</v>
      </c>
      <c r="N672" s="115">
        <v>7.9377000000000004</v>
      </c>
      <c r="O672" s="115">
        <v>20</v>
      </c>
      <c r="P672" s="115">
        <v>9</v>
      </c>
      <c r="Q672" s="115">
        <v>8</v>
      </c>
      <c r="R672" s="115">
        <v>27</v>
      </c>
      <c r="S672" s="115">
        <v>130</v>
      </c>
      <c r="T672" s="115">
        <v>4.8148</v>
      </c>
      <c r="U672" s="115">
        <v>3</v>
      </c>
      <c r="V672" s="115">
        <v>7.7799999999999994E-2</v>
      </c>
      <c r="W672" s="115">
        <v>3.5000000000000003E-2</v>
      </c>
      <c r="X672" s="115">
        <v>4.2799999999999998E-2</v>
      </c>
      <c r="Y672" s="115">
        <v>0.56489999999999996</v>
      </c>
      <c r="Z672" s="115">
        <v>104.223</v>
      </c>
      <c r="AA672" s="115">
        <v>7.5057</v>
      </c>
      <c r="AB672" s="115">
        <v>259.66699999999997</v>
      </c>
      <c r="AC672" s="115">
        <v>77.599999999999994</v>
      </c>
      <c r="AD672" s="115">
        <v>2.3800000000000002E-2</v>
      </c>
      <c r="AE672" s="115">
        <v>4.4299999999999999E-2</v>
      </c>
      <c r="AF672" s="115">
        <v>4.8500000000000001E-2</v>
      </c>
      <c r="AG672" s="115">
        <v>-5.8400000000000001E-2</v>
      </c>
      <c r="AH672" s="115">
        <v>0.18479999999999999</v>
      </c>
      <c r="AI672" s="115">
        <v>-4.3E-3</v>
      </c>
      <c r="AJ672" s="115">
        <v>4.8999999999999998E-3</v>
      </c>
      <c r="AK672" s="115">
        <v>7.8948999999999998</v>
      </c>
      <c r="AL672" s="115">
        <v>-0.37740000000000001</v>
      </c>
      <c r="AM672" s="115">
        <v>7</v>
      </c>
      <c r="AN672" s="115">
        <v>1</v>
      </c>
      <c r="AO672" s="115">
        <v>0</v>
      </c>
      <c r="AP672" s="115">
        <v>2</v>
      </c>
      <c r="AQ672" s="115">
        <v>3</v>
      </c>
      <c r="AR672" s="115">
        <v>0.66669999999999996</v>
      </c>
      <c r="AS672" s="115">
        <v>9.7000000000000003E-3</v>
      </c>
      <c r="AT672" s="115">
        <v>2.9986000000000002</v>
      </c>
      <c r="AU672" s="114" t="str">
        <f>IF(A672&lt;&gt;"",INDEX(Index!$B$1:$B$77,MATCH($A672,Index!$A$1:$A$77,0)),"")</f>
        <v>SF</v>
      </c>
      <c r="AV672" s="123" t="str">
        <f>IF(B672&lt;&gt;"",INDEX(Index!$C$1:$C$77,MATCH($A672,Index!$A$1:$A$77,0)),"")</f>
        <v>Purdy</v>
      </c>
      <c r="AW672" s="123">
        <f t="shared" si="13"/>
        <v>45</v>
      </c>
      <c r="AX672" s="113">
        <v>17</v>
      </c>
    </row>
    <row r="673" spans="1:50" x14ac:dyDescent="0.25">
      <c r="A673" s="95" t="s">
        <v>567</v>
      </c>
      <c r="B673" s="96">
        <v>2025</v>
      </c>
      <c r="C673" s="96">
        <v>16</v>
      </c>
      <c r="D673" s="96">
        <v>2.2950200000000001</v>
      </c>
      <c r="E673" s="96">
        <v>-0.74746199999999996</v>
      </c>
      <c r="F673" s="115">
        <v>2.09307</v>
      </c>
      <c r="G673" s="115">
        <v>134.71600000000001</v>
      </c>
      <c r="H673" s="115">
        <v>0.21759999999999999</v>
      </c>
      <c r="I673" s="115">
        <v>363</v>
      </c>
      <c r="J673" s="115">
        <v>555</v>
      </c>
      <c r="K673" s="115">
        <v>0.65410000000000001</v>
      </c>
      <c r="L673" s="115">
        <v>1.8288</v>
      </c>
      <c r="M673" s="115">
        <v>4448</v>
      </c>
      <c r="N673" s="115">
        <v>8.0144000000000002</v>
      </c>
      <c r="O673" s="115">
        <v>42</v>
      </c>
      <c r="P673" s="115">
        <v>8</v>
      </c>
      <c r="Q673" s="115">
        <v>22</v>
      </c>
      <c r="R673" s="115">
        <v>8</v>
      </c>
      <c r="S673" s="115">
        <v>19</v>
      </c>
      <c r="T673" s="115">
        <v>2.375</v>
      </c>
      <c r="U673" s="115">
        <v>0</v>
      </c>
      <c r="V673" s="115">
        <v>7.5700000000000003E-2</v>
      </c>
      <c r="W673" s="115">
        <v>1.44E-2</v>
      </c>
      <c r="X673" s="115">
        <v>6.13E-2</v>
      </c>
      <c r="Y673" s="115">
        <v>0.53149999999999997</v>
      </c>
      <c r="Z673" s="115">
        <v>109.20099999999999</v>
      </c>
      <c r="AA673" s="115">
        <v>8.2928999999999995</v>
      </c>
      <c r="AB673" s="115">
        <v>243.196</v>
      </c>
      <c r="AC673" s="115">
        <v>70.099999999999994</v>
      </c>
      <c r="AD673" s="115">
        <v>-4.1500000000000002E-2</v>
      </c>
      <c r="AE673" s="115">
        <v>2.9499999999999998E-2</v>
      </c>
      <c r="AF673" s="115">
        <v>-2.5499999999999998E-2</v>
      </c>
      <c r="AG673" s="115">
        <v>7.0000000000000001E-3</v>
      </c>
      <c r="AH673" s="115">
        <v>0.15029999999999999</v>
      </c>
      <c r="AI673" s="115">
        <v>2.1499999999999998E-2</v>
      </c>
      <c r="AJ673" s="115">
        <v>3.3E-3</v>
      </c>
      <c r="AK673" s="115">
        <v>9.1333000000000002</v>
      </c>
      <c r="AL673" s="115">
        <v>1.0468</v>
      </c>
      <c r="AM673" s="115">
        <v>11</v>
      </c>
      <c r="AN673" s="115">
        <v>5</v>
      </c>
      <c r="AO673" s="115">
        <v>0</v>
      </c>
      <c r="AP673" s="115">
        <v>1</v>
      </c>
      <c r="AQ673" s="115">
        <v>5</v>
      </c>
      <c r="AR673" s="115">
        <v>0.2</v>
      </c>
      <c r="AS673" s="115">
        <v>6.7000000000000002E-3</v>
      </c>
      <c r="AT673" s="115">
        <v>4.1375000000000002</v>
      </c>
      <c r="AU673" s="114" t="str">
        <f>IF(A673&lt;&gt;"",INDEX(Index!$B$1:$B$77,MATCH($A673,Index!$A$1:$A$77,0)),"")</f>
        <v>LAR</v>
      </c>
      <c r="AV673" s="123" t="str">
        <f>IF(B673&lt;&gt;"",INDEX(Index!$C$1:$C$77,MATCH($A673,Index!$A$1:$A$77,0)),"")</f>
        <v>Stafford</v>
      </c>
      <c r="AW673" s="123">
        <f t="shared" si="13"/>
        <v>24</v>
      </c>
      <c r="AX673" s="113">
        <v>17</v>
      </c>
    </row>
    <row r="674" spans="1:50" x14ac:dyDescent="0.25">
      <c r="A674" s="95" t="s">
        <v>570</v>
      </c>
      <c r="B674" s="96">
        <v>2025</v>
      </c>
      <c r="C674" s="96">
        <v>16</v>
      </c>
      <c r="D674" s="96">
        <v>2.0287799999999998</v>
      </c>
      <c r="E674" s="96">
        <v>0.80691000000000002</v>
      </c>
      <c r="F674" s="115">
        <v>2.54678</v>
      </c>
      <c r="G674" s="115">
        <v>188.90299999999999</v>
      </c>
      <c r="H674" s="115">
        <v>0.29980000000000001</v>
      </c>
      <c r="I674" s="115">
        <v>340</v>
      </c>
      <c r="J674" s="115">
        <v>474</v>
      </c>
      <c r="K674" s="115">
        <v>0.71730000000000005</v>
      </c>
      <c r="L674" s="115">
        <v>10.3041</v>
      </c>
      <c r="M674" s="115">
        <v>4203</v>
      </c>
      <c r="N674" s="115">
        <v>8.8671000000000006</v>
      </c>
      <c r="O674" s="115">
        <v>30</v>
      </c>
      <c r="P674" s="115">
        <v>8</v>
      </c>
      <c r="Q674" s="115">
        <v>47</v>
      </c>
      <c r="R674" s="115">
        <v>74</v>
      </c>
      <c r="S674" s="115">
        <v>436</v>
      </c>
      <c r="T674" s="115">
        <v>5.8918999999999997</v>
      </c>
      <c r="U674" s="115">
        <v>4</v>
      </c>
      <c r="V674" s="115">
        <v>6.3299999999999995E-2</v>
      </c>
      <c r="W674" s="115">
        <v>1.6899999999999998E-2</v>
      </c>
      <c r="X674" s="115">
        <v>4.6399999999999997E-2</v>
      </c>
      <c r="Y674" s="115">
        <v>0.5413</v>
      </c>
      <c r="Z674" s="115">
        <v>112.869</v>
      </c>
      <c r="AA674" s="115">
        <v>8.1419999999999995</v>
      </c>
      <c r="AB674" s="115">
        <v>228.01599999999999</v>
      </c>
      <c r="AC674" s="115">
        <v>76.5</v>
      </c>
      <c r="AD674" s="115">
        <v>8.6E-3</v>
      </c>
      <c r="AE674" s="115">
        <v>-1.0200000000000001E-2</v>
      </c>
      <c r="AF674" s="115">
        <v>5.5199999999999999E-2</v>
      </c>
      <c r="AG674" s="115">
        <v>2.5000000000000001E-2</v>
      </c>
      <c r="AH674" s="115">
        <v>0.17349999999999999</v>
      </c>
      <c r="AI674" s="115">
        <v>-2.3800000000000002E-2</v>
      </c>
      <c r="AJ674" s="115">
        <v>-1.5E-3</v>
      </c>
      <c r="AK674" s="115">
        <v>9.0421999999999993</v>
      </c>
      <c r="AL674" s="115">
        <v>0.21099999999999999</v>
      </c>
      <c r="AM674" s="115">
        <v>13</v>
      </c>
      <c r="AN674" s="115">
        <v>3</v>
      </c>
      <c r="AO674" s="115">
        <v>0</v>
      </c>
      <c r="AP674" s="115">
        <v>1</v>
      </c>
      <c r="AQ674" s="115">
        <v>4</v>
      </c>
      <c r="AR674" s="115">
        <v>0.25</v>
      </c>
      <c r="AS674" s="115">
        <v>7.1000000000000004E-3</v>
      </c>
      <c r="AT674" s="115">
        <v>4.5002000000000004</v>
      </c>
      <c r="AU674" s="114" t="str">
        <f>IF(A674&lt;&gt;"",INDEX(Index!$B$1:$B$77,MATCH($A674,Index!$A$1:$A$77,0)),"")</f>
        <v>NE</v>
      </c>
      <c r="AV674" s="123" t="str">
        <f>IF(B674&lt;&gt;"",INDEX(Index!$C$1:$C$77,MATCH($A674,Index!$A$1:$A$77,0)),"")</f>
        <v>Maye</v>
      </c>
      <c r="AW674" s="123">
        <f t="shared" si="13"/>
        <v>4</v>
      </c>
      <c r="AX674" s="113">
        <v>17</v>
      </c>
    </row>
    <row r="675" spans="1:50" x14ac:dyDescent="0.25">
      <c r="A675" s="95" t="s">
        <v>555</v>
      </c>
      <c r="B675" s="96">
        <v>2025</v>
      </c>
      <c r="C675" s="96">
        <v>16</v>
      </c>
      <c r="D675" s="96">
        <v>1.9662599999999999</v>
      </c>
      <c r="E675" s="96">
        <v>-0.47181499999999998</v>
      </c>
      <c r="F675" s="115">
        <v>0.56041700000000005</v>
      </c>
      <c r="G675" s="115">
        <v>135.149</v>
      </c>
      <c r="H675" s="115">
        <v>0.19309999999999999</v>
      </c>
      <c r="I675" s="115">
        <v>397</v>
      </c>
      <c r="J675" s="115">
        <v>586</v>
      </c>
      <c r="K675" s="115">
        <v>0.67749999999999999</v>
      </c>
      <c r="L675" s="115">
        <v>2.2900999999999998</v>
      </c>
      <c r="M675" s="115">
        <v>4482</v>
      </c>
      <c r="N675" s="115">
        <v>7.6485000000000003</v>
      </c>
      <c r="O675" s="115">
        <v>30</v>
      </c>
      <c r="P675" s="115">
        <v>10</v>
      </c>
      <c r="Q675" s="115">
        <v>31</v>
      </c>
      <c r="R675" s="115">
        <v>33</v>
      </c>
      <c r="S675" s="115">
        <v>189</v>
      </c>
      <c r="T675" s="115">
        <v>5.7272999999999996</v>
      </c>
      <c r="U675" s="115">
        <v>2</v>
      </c>
      <c r="V675" s="115">
        <v>5.1200000000000002E-2</v>
      </c>
      <c r="W675" s="115">
        <v>1.7100000000000001E-2</v>
      </c>
      <c r="X675" s="115">
        <v>3.4099999999999998E-2</v>
      </c>
      <c r="Y675" s="115">
        <v>0.4929</v>
      </c>
      <c r="Z675" s="115">
        <v>100.363</v>
      </c>
      <c r="AA675" s="115">
        <v>7.1702000000000004</v>
      </c>
      <c r="AB675" s="115">
        <v>233.72300000000001</v>
      </c>
      <c r="AC675" s="115">
        <v>71.900000000000006</v>
      </c>
      <c r="AD675" s="115">
        <v>-1.6E-2</v>
      </c>
      <c r="AE675" s="115">
        <v>3.4700000000000002E-2</v>
      </c>
      <c r="AF675" s="115">
        <v>-6.9999999999999999E-4</v>
      </c>
      <c r="AG675" s="115">
        <v>1.8800000000000001E-2</v>
      </c>
      <c r="AH675" s="115">
        <v>6.7199999999999996E-2</v>
      </c>
      <c r="AI675" s="115">
        <v>7.1000000000000004E-3</v>
      </c>
      <c r="AJ675" s="115">
        <v>8.8000000000000005E-3</v>
      </c>
      <c r="AK675" s="115">
        <v>8.1416000000000004</v>
      </c>
      <c r="AL675" s="115">
        <v>-0.39250000000000002</v>
      </c>
      <c r="AM675" s="115">
        <v>7</v>
      </c>
      <c r="AN675" s="115">
        <v>8</v>
      </c>
      <c r="AO675" s="115">
        <v>1</v>
      </c>
      <c r="AP675" s="115">
        <v>3</v>
      </c>
      <c r="AQ675" s="115">
        <v>7</v>
      </c>
      <c r="AR675" s="115">
        <v>0.42859999999999998</v>
      </c>
      <c r="AS675" s="115">
        <v>7.7999999999999996E-3</v>
      </c>
      <c r="AT675" s="115">
        <v>5.4672000000000001</v>
      </c>
      <c r="AU675" s="114" t="str">
        <f>IF(A675&lt;&gt;"",INDEX(Index!$B$1:$B$77,MATCH($A675,Index!$A$1:$A$77,0)),"")</f>
        <v>DAL</v>
      </c>
      <c r="AV675" s="123" t="str">
        <f>IF(B675&lt;&gt;"",INDEX(Index!$C$1:$C$77,MATCH($A675,Index!$A$1:$A$77,0)),"")</f>
        <v>Prescott</v>
      </c>
      <c r="AW675" s="123">
        <f t="shared" si="13"/>
        <v>13</v>
      </c>
      <c r="AX675" s="113">
        <v>17</v>
      </c>
    </row>
    <row r="676" spans="1:50" x14ac:dyDescent="0.25">
      <c r="A676" s="95" t="s">
        <v>561</v>
      </c>
      <c r="B676" s="96">
        <v>2025</v>
      </c>
      <c r="C676" s="96">
        <v>16</v>
      </c>
      <c r="D676" s="96">
        <v>1.7016500000000001</v>
      </c>
      <c r="E676" s="96">
        <v>7.3761599999999997E-2</v>
      </c>
      <c r="F676" s="115">
        <v>0.51105500000000004</v>
      </c>
      <c r="G676" s="115">
        <v>72.076899999999995</v>
      </c>
      <c r="H676" s="115">
        <v>0.1031</v>
      </c>
      <c r="I676" s="115">
        <v>374</v>
      </c>
      <c r="J676" s="115">
        <v>588</v>
      </c>
      <c r="K676" s="115">
        <v>0.6361</v>
      </c>
      <c r="L676" s="115">
        <v>-0.72389999999999999</v>
      </c>
      <c r="M676" s="115">
        <v>3790</v>
      </c>
      <c r="N676" s="115">
        <v>6.4455999999999998</v>
      </c>
      <c r="O676" s="115">
        <v>25</v>
      </c>
      <c r="P676" s="115">
        <v>11</v>
      </c>
      <c r="Q676" s="115">
        <v>18</v>
      </c>
      <c r="R676" s="115">
        <v>60</v>
      </c>
      <c r="S676" s="115">
        <v>322</v>
      </c>
      <c r="T676" s="115">
        <v>5.3666999999999998</v>
      </c>
      <c r="U676" s="115">
        <v>5</v>
      </c>
      <c r="V676" s="115">
        <v>4.2500000000000003E-2</v>
      </c>
      <c r="W676" s="115">
        <v>1.8700000000000001E-2</v>
      </c>
      <c r="X676" s="115">
        <v>2.3800000000000002E-2</v>
      </c>
      <c r="Y676" s="115">
        <v>0.4506</v>
      </c>
      <c r="Z676" s="115">
        <v>88.322000000000003</v>
      </c>
      <c r="AA676" s="115">
        <v>6.0941000000000001</v>
      </c>
      <c r="AB676" s="115">
        <v>208.46100000000001</v>
      </c>
      <c r="AC676" s="115">
        <v>58.3</v>
      </c>
      <c r="AD676" s="115">
        <v>-9.9000000000000008E-3</v>
      </c>
      <c r="AE676" s="115">
        <v>6.4000000000000001E-2</v>
      </c>
      <c r="AF676" s="115">
        <v>-1.01E-2</v>
      </c>
      <c r="AG676" s="115">
        <v>2.5600000000000001E-2</v>
      </c>
      <c r="AH676" s="115">
        <v>-5.28E-2</v>
      </c>
      <c r="AI676" s="115">
        <v>3.9600000000000003E-2</v>
      </c>
      <c r="AJ676" s="115">
        <v>-2.64E-2</v>
      </c>
      <c r="AK676" s="115">
        <v>7.5867000000000004</v>
      </c>
      <c r="AL676" s="115">
        <v>-1.2992999999999999</v>
      </c>
      <c r="AM676" s="115">
        <v>13</v>
      </c>
      <c r="AN676" s="115">
        <v>3</v>
      </c>
      <c r="AO676" s="115">
        <v>0</v>
      </c>
      <c r="AP676" s="115">
        <v>5</v>
      </c>
      <c r="AQ676" s="115">
        <v>5</v>
      </c>
      <c r="AR676" s="115">
        <v>1</v>
      </c>
      <c r="AS676" s="115">
        <v>4.7999999999999996E-3</v>
      </c>
      <c r="AT676" s="115">
        <v>3.39</v>
      </c>
      <c r="AU676" s="114" t="str">
        <f>IF(A676&lt;&gt;"",INDEX(Index!$B$1:$B$77,MATCH($A676,Index!$A$1:$A$77,0)),"")</f>
        <v>DEN</v>
      </c>
      <c r="AV676" s="123" t="str">
        <f>IF(B676&lt;&gt;"",INDEX(Index!$C$1:$C$77,MATCH($A676,Index!$A$1:$A$77,0)),"")</f>
        <v>Nix</v>
      </c>
      <c r="AW676" s="123">
        <f t="shared" si="13"/>
        <v>29</v>
      </c>
      <c r="AX676" s="113">
        <v>17</v>
      </c>
    </row>
    <row r="677" spans="1:50" x14ac:dyDescent="0.25">
      <c r="A677" s="95" t="s">
        <v>557</v>
      </c>
      <c r="B677" s="96">
        <v>2025</v>
      </c>
      <c r="C677" s="96">
        <v>7</v>
      </c>
      <c r="D677" s="96">
        <v>1.6989000000000001</v>
      </c>
      <c r="E677" s="96">
        <v>0.128362</v>
      </c>
      <c r="F677" s="115">
        <v>-0.84758100000000003</v>
      </c>
      <c r="G677" s="115">
        <v>49.497700000000002</v>
      </c>
      <c r="H677" s="115">
        <v>0.19109999999999999</v>
      </c>
      <c r="I677" s="115">
        <v>144</v>
      </c>
      <c r="J677" s="115">
        <v>220</v>
      </c>
      <c r="K677" s="115">
        <v>0.65449999999999997</v>
      </c>
      <c r="L677" s="115">
        <v>4.2637</v>
      </c>
      <c r="M677" s="115">
        <v>1573</v>
      </c>
      <c r="N677" s="115">
        <v>7.15</v>
      </c>
      <c r="O677" s="115">
        <v>14</v>
      </c>
      <c r="P677" s="115">
        <v>4</v>
      </c>
      <c r="Q677" s="115">
        <v>15</v>
      </c>
      <c r="R677" s="115">
        <v>11</v>
      </c>
      <c r="S677" s="115">
        <v>25</v>
      </c>
      <c r="T677" s="115">
        <v>2.2726999999999999</v>
      </c>
      <c r="U677" s="115">
        <v>0</v>
      </c>
      <c r="V677" s="115">
        <v>6.3600000000000004E-2</v>
      </c>
      <c r="W677" s="115">
        <v>1.8200000000000001E-2</v>
      </c>
      <c r="X677" s="115">
        <v>4.5499999999999999E-2</v>
      </c>
      <c r="Y677" s="115">
        <v>0.49030000000000001</v>
      </c>
      <c r="Z677" s="115">
        <v>100.057</v>
      </c>
      <c r="AA677" s="115">
        <v>6.6978999999999997</v>
      </c>
      <c r="AB677" s="115">
        <v>172.642</v>
      </c>
      <c r="AC677" s="115">
        <v>63.2</v>
      </c>
      <c r="AD677" s="115">
        <v>-2.3400000000000001E-2</v>
      </c>
      <c r="AE677" s="115">
        <v>1.7299999999999999E-2</v>
      </c>
      <c r="AF677" s="115">
        <v>1.6E-2</v>
      </c>
      <c r="AG677" s="115">
        <v>-4.24E-2</v>
      </c>
      <c r="AH677" s="115">
        <v>0.1358</v>
      </c>
      <c r="AI677" s="115">
        <v>1.15E-2</v>
      </c>
      <c r="AJ677" s="115">
        <v>3.3E-3</v>
      </c>
      <c r="AK677" s="115">
        <v>7.6135999999999999</v>
      </c>
      <c r="AL677" s="115">
        <v>-0.76819999999999999</v>
      </c>
      <c r="AM677" s="115">
        <v>5</v>
      </c>
      <c r="AN677" s="115">
        <v>2</v>
      </c>
      <c r="AO677" s="115">
        <v>0</v>
      </c>
      <c r="AP677" s="115">
        <v>0</v>
      </c>
      <c r="AQ677" s="115">
        <v>1</v>
      </c>
      <c r="AR677" s="115">
        <v>0</v>
      </c>
      <c r="AS677" s="115">
        <v>3.3E-3</v>
      </c>
      <c r="AT677" s="115">
        <v>0.84199999999999997</v>
      </c>
      <c r="AU677" s="114" t="str">
        <f>IF(A677&lt;&gt;"",INDEX(Index!$B$1:$B$77,MATCH($A677,Index!$A$1:$A$77,0)),"")</f>
        <v>CIN</v>
      </c>
      <c r="AV677" s="123" t="str">
        <f>IF(B677&lt;&gt;"",INDEX(Index!$C$1:$C$77,MATCH($A677,Index!$A$1:$A$77,0)),"")</f>
        <v>Burrow</v>
      </c>
      <c r="AW677" s="123">
        <f t="shared" si="13"/>
        <v>38</v>
      </c>
      <c r="AX677" s="113">
        <v>17</v>
      </c>
    </row>
    <row r="678" spans="1:50" x14ac:dyDescent="0.25">
      <c r="A678" s="95" t="s">
        <v>553</v>
      </c>
      <c r="B678" s="96">
        <v>2025</v>
      </c>
      <c r="C678" s="96">
        <v>16</v>
      </c>
      <c r="D678" s="96">
        <v>1.3227500000000001</v>
      </c>
      <c r="E678" s="96">
        <v>-0.82665</v>
      </c>
      <c r="F678" s="115">
        <v>7.4242600000000006E-2</v>
      </c>
      <c r="G678" s="115">
        <v>101.839</v>
      </c>
      <c r="H678" s="115">
        <v>0.16889999999999999</v>
      </c>
      <c r="I678" s="115">
        <v>366</v>
      </c>
      <c r="J678" s="115">
        <v>534</v>
      </c>
      <c r="K678" s="115">
        <v>0.68540000000000001</v>
      </c>
      <c r="L678" s="115">
        <v>1.5195000000000001</v>
      </c>
      <c r="M678" s="115">
        <v>4233</v>
      </c>
      <c r="N678" s="115">
        <v>7.9269999999999996</v>
      </c>
      <c r="O678" s="115">
        <v>33</v>
      </c>
      <c r="P678" s="115">
        <v>7</v>
      </c>
      <c r="Q678" s="115">
        <v>36</v>
      </c>
      <c r="R678" s="115">
        <v>8</v>
      </c>
      <c r="S678" s="115">
        <v>53</v>
      </c>
      <c r="T678" s="115">
        <v>6.625</v>
      </c>
      <c r="U678" s="115">
        <v>0</v>
      </c>
      <c r="V678" s="115">
        <v>6.1800000000000001E-2</v>
      </c>
      <c r="W678" s="115">
        <v>1.3100000000000001E-2</v>
      </c>
      <c r="X678" s="115">
        <v>4.87E-2</v>
      </c>
      <c r="Y678" s="115">
        <v>0.48420000000000002</v>
      </c>
      <c r="Z678" s="115">
        <v>107.366</v>
      </c>
      <c r="AA678" s="115">
        <v>7.6035000000000004</v>
      </c>
      <c r="AB678" s="115">
        <v>211.40600000000001</v>
      </c>
      <c r="AC678" s="115">
        <v>57.2</v>
      </c>
      <c r="AD678" s="115">
        <v>-2.4899999999999999E-2</v>
      </c>
      <c r="AE678" s="115">
        <v>-1.4800000000000001E-2</v>
      </c>
      <c r="AF678" s="115">
        <v>-1.67E-2</v>
      </c>
      <c r="AG678" s="115">
        <v>3.44E-2</v>
      </c>
      <c r="AH678" s="115">
        <v>8.5000000000000006E-3</v>
      </c>
      <c r="AI678" s="115">
        <v>0.1258</v>
      </c>
      <c r="AJ678" s="115">
        <v>-1.6500000000000001E-2</v>
      </c>
      <c r="AK678" s="115">
        <v>6.4924999999999997</v>
      </c>
      <c r="AL678" s="115">
        <v>-2.2509000000000001</v>
      </c>
      <c r="AM678" s="115">
        <v>8</v>
      </c>
      <c r="AN678" s="115">
        <v>8</v>
      </c>
      <c r="AO678" s="115">
        <v>0</v>
      </c>
      <c r="AP678" s="115">
        <v>1</v>
      </c>
      <c r="AQ678" s="115">
        <v>5</v>
      </c>
      <c r="AR678" s="115">
        <v>0.2</v>
      </c>
      <c r="AS678" s="115">
        <v>3.0000000000000001E-3</v>
      </c>
      <c r="AT678" s="115">
        <v>1.8267</v>
      </c>
      <c r="AU678" s="114" t="str">
        <f>IF(A678&lt;&gt;"",INDEX(Index!$B$1:$B$77,MATCH($A678,Index!$A$1:$A$77,0)),"")</f>
        <v>DET</v>
      </c>
      <c r="AV678" s="123" t="str">
        <f>IF(B678&lt;&gt;"",INDEX(Index!$C$1:$C$77,MATCH($A678,Index!$A$1:$A$77,0)),"")</f>
        <v>Goff</v>
      </c>
      <c r="AW678" s="123">
        <f t="shared" si="13"/>
        <v>8</v>
      </c>
      <c r="AX678" s="113">
        <v>17</v>
      </c>
    </row>
    <row r="679" spans="1:50" x14ac:dyDescent="0.25">
      <c r="A679" s="95" t="s">
        <v>552</v>
      </c>
      <c r="B679" s="96">
        <v>2025</v>
      </c>
      <c r="C679" s="96">
        <v>14</v>
      </c>
      <c r="D679" s="96">
        <v>1.1748700000000001</v>
      </c>
      <c r="E679" s="96">
        <v>-0.56161399999999995</v>
      </c>
      <c r="F679" s="115">
        <v>-1.1893899999999999</v>
      </c>
      <c r="G679" s="115">
        <v>113.246</v>
      </c>
      <c r="H679" s="115">
        <v>0.18</v>
      </c>
      <c r="I679" s="115">
        <v>315</v>
      </c>
      <c r="J679" s="115">
        <v>500</v>
      </c>
      <c r="K679" s="115">
        <v>0.63</v>
      </c>
      <c r="L679" s="115">
        <v>0.33639999999999998</v>
      </c>
      <c r="M679" s="115">
        <v>3587</v>
      </c>
      <c r="N679" s="115">
        <v>7.1740000000000004</v>
      </c>
      <c r="O679" s="115">
        <v>22</v>
      </c>
      <c r="P679" s="115">
        <v>11</v>
      </c>
      <c r="Q679" s="115">
        <v>34</v>
      </c>
      <c r="R679" s="115">
        <v>56</v>
      </c>
      <c r="S679" s="115">
        <v>429</v>
      </c>
      <c r="T679" s="115">
        <v>7.6607000000000003</v>
      </c>
      <c r="U679" s="115">
        <v>5</v>
      </c>
      <c r="V679" s="115">
        <v>4.3999999999999997E-2</v>
      </c>
      <c r="W679" s="115">
        <v>2.1999999999999999E-2</v>
      </c>
      <c r="X679" s="115">
        <v>2.1999999999999999E-2</v>
      </c>
      <c r="Y679" s="115">
        <v>0.49919999999999998</v>
      </c>
      <c r="Z679" s="115">
        <v>89.974999999999994</v>
      </c>
      <c r="AA679" s="115">
        <v>6.2527999999999997</v>
      </c>
      <c r="AB679" s="115">
        <v>213.87200000000001</v>
      </c>
      <c r="AC679" s="115">
        <v>68.7</v>
      </c>
      <c r="AD679" s="115">
        <v>2.0299999999999999E-2</v>
      </c>
      <c r="AE679" s="115">
        <v>4.0899999999999999E-2</v>
      </c>
      <c r="AF679" s="115">
        <v>2.3E-3</v>
      </c>
      <c r="AG679" s="115">
        <v>2.8E-3</v>
      </c>
      <c r="AH679" s="115">
        <v>-2.18E-2</v>
      </c>
      <c r="AI679" s="115">
        <v>6.25E-2</v>
      </c>
      <c r="AJ679" s="115">
        <v>2.0000000000000001E-4</v>
      </c>
      <c r="AK679" s="115">
        <v>8.1</v>
      </c>
      <c r="AL679" s="115">
        <v>-0.60599999999999998</v>
      </c>
      <c r="AM679" s="115">
        <v>6</v>
      </c>
      <c r="AN679" s="115">
        <v>8</v>
      </c>
      <c r="AO679" s="115">
        <v>0</v>
      </c>
      <c r="AP679" s="115">
        <v>1</v>
      </c>
      <c r="AQ679" s="115">
        <v>9</v>
      </c>
      <c r="AR679" s="115">
        <v>0.1111</v>
      </c>
      <c r="AS679" s="115">
        <v>3.8999999999999998E-3</v>
      </c>
      <c r="AT679" s="115">
        <v>2.4460000000000002</v>
      </c>
      <c r="AU679" s="114" t="str">
        <f>IF(A679&lt;&gt;"",INDEX(Index!$B$1:$B$77,MATCH($A679,Index!$A$1:$A$77,0)),"")</f>
        <v>KC</v>
      </c>
      <c r="AV679" s="123" t="str">
        <f>IF(B679&lt;&gt;"",INDEX(Index!$C$1:$C$77,MATCH($A679,Index!$A$1:$A$77,0)),"")</f>
        <v>Mahomes</v>
      </c>
      <c r="AW679" s="123">
        <f t="shared" si="13"/>
        <v>9</v>
      </c>
      <c r="AX679" s="113">
        <v>17</v>
      </c>
    </row>
    <row r="680" spans="1:50" x14ac:dyDescent="0.25">
      <c r="A680" s="95" t="s">
        <v>571</v>
      </c>
      <c r="B680" s="96">
        <v>2025</v>
      </c>
      <c r="C680" s="96">
        <v>16</v>
      </c>
      <c r="D680" s="96">
        <v>1.1155600000000001</v>
      </c>
      <c r="E680" s="96">
        <v>3.1474000000000002E-2</v>
      </c>
      <c r="F680" s="115">
        <v>1.3296399999999999</v>
      </c>
      <c r="G680" s="115">
        <v>68.813900000000004</v>
      </c>
      <c r="H680" s="115">
        <v>0.1022</v>
      </c>
      <c r="I680" s="115">
        <v>319</v>
      </c>
      <c r="J680" s="115">
        <v>527</v>
      </c>
      <c r="K680" s="115">
        <v>0.60529999999999995</v>
      </c>
      <c r="L680" s="115">
        <v>-2.6526000000000001</v>
      </c>
      <c r="M680" s="115">
        <v>3752</v>
      </c>
      <c r="N680" s="115">
        <v>7.1195000000000004</v>
      </c>
      <c r="O680" s="115">
        <v>26</v>
      </c>
      <c r="P680" s="115">
        <v>12</v>
      </c>
      <c r="Q680" s="115">
        <v>39</v>
      </c>
      <c r="R680" s="115">
        <v>71</v>
      </c>
      <c r="S680" s="115">
        <v>357</v>
      </c>
      <c r="T680" s="115">
        <v>5.0282</v>
      </c>
      <c r="U680" s="115">
        <v>9</v>
      </c>
      <c r="V680" s="115">
        <v>4.9299999999999997E-2</v>
      </c>
      <c r="W680" s="115">
        <v>2.2800000000000001E-2</v>
      </c>
      <c r="X680" s="115">
        <v>2.6599999999999999E-2</v>
      </c>
      <c r="Y680" s="115">
        <v>0.4844</v>
      </c>
      <c r="Z680" s="115">
        <v>89.148499999999999</v>
      </c>
      <c r="AA680" s="115">
        <v>6.1855000000000002</v>
      </c>
      <c r="AB680" s="115">
        <v>182.595</v>
      </c>
      <c r="AC680" s="115">
        <v>56.6</v>
      </c>
      <c r="AD680" s="115">
        <v>1.0200000000000001E-2</v>
      </c>
      <c r="AE680" s="115">
        <v>1.5299999999999999E-2</v>
      </c>
      <c r="AF680" s="115">
        <v>-1.9699999999999999E-2</v>
      </c>
      <c r="AG680" s="115">
        <v>1.6000000000000001E-3</v>
      </c>
      <c r="AH680" s="115">
        <v>7.8399999999999997E-2</v>
      </c>
      <c r="AI680" s="115">
        <v>-5.9299999999999999E-2</v>
      </c>
      <c r="AJ680" s="115">
        <v>2.7000000000000001E-3</v>
      </c>
      <c r="AK680" s="115">
        <v>8.7040000000000006</v>
      </c>
      <c r="AL680" s="115">
        <v>-0.3795</v>
      </c>
      <c r="AM680" s="115">
        <v>12</v>
      </c>
      <c r="AN680" s="115">
        <v>4</v>
      </c>
      <c r="AO680" s="115">
        <v>0</v>
      </c>
      <c r="AP680" s="115">
        <v>3</v>
      </c>
      <c r="AQ680" s="115">
        <v>6</v>
      </c>
      <c r="AR680" s="115">
        <v>0.5</v>
      </c>
      <c r="AS680" s="115">
        <v>2.7000000000000001E-3</v>
      </c>
      <c r="AT680" s="115">
        <v>1.7909999999999999</v>
      </c>
      <c r="AU680" s="114" t="str">
        <f>IF(A680&lt;&gt;"",INDEX(Index!$B$1:$B$77,MATCH($A680,Index!$A$1:$A$77,0)),"")</f>
        <v>JAX</v>
      </c>
      <c r="AV680" s="123" t="str">
        <f>IF(B680&lt;&gt;"",INDEX(Index!$C$1:$C$77,MATCH($A680,Index!$A$1:$A$77,0)),"")</f>
        <v>Lawrence</v>
      </c>
      <c r="AW680" s="123">
        <f t="shared" si="13"/>
        <v>6</v>
      </c>
      <c r="AX680" s="113">
        <v>17</v>
      </c>
    </row>
    <row r="681" spans="1:50" x14ac:dyDescent="0.25">
      <c r="A681" s="95" t="s">
        <v>554</v>
      </c>
      <c r="B681" s="96">
        <v>2025</v>
      </c>
      <c r="C681" s="96">
        <v>16</v>
      </c>
      <c r="D681" s="96">
        <v>0.96701300000000001</v>
      </c>
      <c r="E681" s="96">
        <v>-0.493585</v>
      </c>
      <c r="F681" s="115">
        <v>-0.61863500000000005</v>
      </c>
      <c r="G681" s="115">
        <v>66.248199999999997</v>
      </c>
      <c r="H681" s="115">
        <v>0.10929999999999999</v>
      </c>
      <c r="I681" s="115">
        <v>294</v>
      </c>
      <c r="J681" s="115">
        <v>452</v>
      </c>
      <c r="K681" s="115">
        <v>0.65039999999999998</v>
      </c>
      <c r="L681" s="115">
        <v>3.1833</v>
      </c>
      <c r="M681" s="115">
        <v>3224</v>
      </c>
      <c r="N681" s="115">
        <v>7.1326999999999998</v>
      </c>
      <c r="O681" s="115">
        <v>25</v>
      </c>
      <c r="P681" s="115">
        <v>6</v>
      </c>
      <c r="Q681" s="115">
        <v>32</v>
      </c>
      <c r="R681" s="115">
        <v>92</v>
      </c>
      <c r="S681" s="115">
        <v>436</v>
      </c>
      <c r="T681" s="115">
        <v>4.7390999999999996</v>
      </c>
      <c r="U681" s="115">
        <v>8</v>
      </c>
      <c r="V681" s="115">
        <v>5.5300000000000002E-2</v>
      </c>
      <c r="W681" s="115">
        <v>1.3299999999999999E-2</v>
      </c>
      <c r="X681" s="115">
        <v>4.2000000000000003E-2</v>
      </c>
      <c r="Y681" s="115">
        <v>0.4587</v>
      </c>
      <c r="Z681" s="115">
        <v>98.912199999999999</v>
      </c>
      <c r="AA681" s="115">
        <v>6.7624000000000004</v>
      </c>
      <c r="AB681" s="115">
        <v>197.28299999999999</v>
      </c>
      <c r="AC681" s="115">
        <v>55.3</v>
      </c>
      <c r="AD681" s="115">
        <v>1.4E-2</v>
      </c>
      <c r="AE681" s="115">
        <v>1.8599999999999998E-2</v>
      </c>
      <c r="AF681" s="115">
        <v>3.2099999999999997E-2</v>
      </c>
      <c r="AG681" s="115">
        <v>2.2499999999999999E-2</v>
      </c>
      <c r="AH681" s="115">
        <v>2.92E-2</v>
      </c>
      <c r="AI681" s="115">
        <v>-7.6999999999999999E-2</v>
      </c>
      <c r="AJ681" s="115">
        <v>-3.2000000000000002E-3</v>
      </c>
      <c r="AK681" s="115">
        <v>9.0088000000000008</v>
      </c>
      <c r="AL681" s="115">
        <v>0.18140000000000001</v>
      </c>
      <c r="AM681" s="115">
        <v>11</v>
      </c>
      <c r="AN681" s="115">
        <v>5</v>
      </c>
      <c r="AO681" s="115">
        <v>0</v>
      </c>
      <c r="AP681" s="115">
        <v>1</v>
      </c>
      <c r="AQ681" s="115">
        <v>3</v>
      </c>
      <c r="AR681" s="115">
        <v>0.33329999999999999</v>
      </c>
      <c r="AS681" s="115">
        <v>1.6999999999999999E-3</v>
      </c>
      <c r="AT681" s="115">
        <v>1.0336000000000001</v>
      </c>
      <c r="AU681" s="114" t="str">
        <f>IF(A681&lt;&gt;"",INDEX(Index!$B$1:$B$77,MATCH($A681,Index!$A$1:$A$77,0)),"")</f>
        <v>PHI</v>
      </c>
      <c r="AV681" s="123" t="str">
        <f>IF(B681&lt;&gt;"",INDEX(Index!$C$1:$C$77,MATCH($A681,Index!$A$1:$A$77,0)),"")</f>
        <v>Hurts</v>
      </c>
      <c r="AW681" s="123">
        <f t="shared" si="13"/>
        <v>12</v>
      </c>
      <c r="AX681" s="113">
        <v>17</v>
      </c>
    </row>
    <row r="682" spans="1:50" x14ac:dyDescent="0.25">
      <c r="A682" s="95" t="s">
        <v>574</v>
      </c>
      <c r="B682" s="96">
        <v>2025</v>
      </c>
      <c r="C682" s="96">
        <v>16</v>
      </c>
      <c r="D682" s="96">
        <v>0.77822000000000002</v>
      </c>
      <c r="E682" s="96">
        <v>0.35492200000000002</v>
      </c>
      <c r="F682" s="115">
        <v>2.1016699999999999</v>
      </c>
      <c r="G682" s="115">
        <v>70.971500000000006</v>
      </c>
      <c r="H682" s="115">
        <v>0.1089</v>
      </c>
      <c r="I682" s="115">
        <v>310</v>
      </c>
      <c r="J682" s="115">
        <v>533</v>
      </c>
      <c r="K682" s="115">
        <v>0.58160000000000001</v>
      </c>
      <c r="L682" s="115">
        <v>-3.7134999999999998</v>
      </c>
      <c r="M682" s="115">
        <v>3730</v>
      </c>
      <c r="N682" s="115">
        <v>6.9981</v>
      </c>
      <c r="O682" s="115">
        <v>25</v>
      </c>
      <c r="P682" s="115">
        <v>6</v>
      </c>
      <c r="Q682" s="115">
        <v>23</v>
      </c>
      <c r="R682" s="115">
        <v>60</v>
      </c>
      <c r="S682" s="115">
        <v>394</v>
      </c>
      <c r="T682" s="115">
        <v>6.5667</v>
      </c>
      <c r="U682" s="115">
        <v>3</v>
      </c>
      <c r="V682" s="115">
        <v>4.6899999999999997E-2</v>
      </c>
      <c r="W682" s="115">
        <v>1.1299999999999999E-2</v>
      </c>
      <c r="X682" s="115">
        <v>3.56E-2</v>
      </c>
      <c r="Y682" s="115">
        <v>0.45090000000000002</v>
      </c>
      <c r="Z682" s="115">
        <v>90.654300000000006</v>
      </c>
      <c r="AA682" s="115">
        <v>6.8380999999999998</v>
      </c>
      <c r="AB682" s="115">
        <v>197.208</v>
      </c>
      <c r="AC682" s="115">
        <v>58.1</v>
      </c>
      <c r="AD682" s="115">
        <v>1.4E-3</v>
      </c>
      <c r="AE682" s="115">
        <v>4.2900000000000001E-2</v>
      </c>
      <c r="AF682" s="115">
        <v>-4.58E-2</v>
      </c>
      <c r="AG682" s="115">
        <v>3.9699999999999999E-2</v>
      </c>
      <c r="AH682" s="115">
        <v>1.7100000000000001E-2</v>
      </c>
      <c r="AI682" s="115">
        <v>-2.2000000000000001E-3</v>
      </c>
      <c r="AJ682" s="115">
        <v>-1.72E-2</v>
      </c>
      <c r="AK682" s="115">
        <v>8.7053999999999991</v>
      </c>
      <c r="AL682" s="115">
        <v>-0.33400000000000002</v>
      </c>
      <c r="AM682" s="115">
        <v>11</v>
      </c>
      <c r="AN682" s="115">
        <v>5</v>
      </c>
      <c r="AO682" s="115">
        <v>0</v>
      </c>
      <c r="AP682" s="115">
        <v>5</v>
      </c>
      <c r="AQ682" s="115">
        <v>9</v>
      </c>
      <c r="AR682" s="115">
        <v>0.55559999999999998</v>
      </c>
      <c r="AS682" s="115">
        <v>4.3E-3</v>
      </c>
      <c r="AT682" s="115">
        <v>2.7888999999999999</v>
      </c>
      <c r="AU682" s="114" t="str">
        <f>IF(A682&lt;&gt;"",INDEX(Index!$B$1:$B$77,MATCH($A682,Index!$A$1:$A$77,0)),"")</f>
        <v>CHI</v>
      </c>
      <c r="AV682" s="123" t="str">
        <f>IF(B682&lt;&gt;"",INDEX(Index!$C$1:$C$77,MATCH($A682,Index!$A$1:$A$77,0)),"")</f>
        <v>Williams</v>
      </c>
      <c r="AW682" s="123">
        <f t="shared" si="13"/>
        <v>22</v>
      </c>
      <c r="AX682" s="113">
        <v>17</v>
      </c>
    </row>
    <row r="683" spans="1:50" x14ac:dyDescent="0.25">
      <c r="A683" s="95" t="s">
        <v>562</v>
      </c>
      <c r="B683" s="96">
        <v>2025</v>
      </c>
      <c r="C683" s="96">
        <v>6</v>
      </c>
      <c r="D683" s="96">
        <v>0.73481799999999997</v>
      </c>
      <c r="E683" s="96">
        <v>-0.27734900000000001</v>
      </c>
      <c r="F683" s="115">
        <v>-0.58660000000000001</v>
      </c>
      <c r="G683" s="115">
        <v>12.370200000000001</v>
      </c>
      <c r="H683" s="115">
        <v>4.4699999999999997E-2</v>
      </c>
      <c r="I683" s="115">
        <v>114</v>
      </c>
      <c r="J683" s="115">
        <v>186</v>
      </c>
      <c r="K683" s="115">
        <v>0.6129</v>
      </c>
      <c r="L683" s="115">
        <v>-2.7290999999999999</v>
      </c>
      <c r="M683" s="115">
        <v>1262</v>
      </c>
      <c r="N683" s="115">
        <v>6.7849000000000004</v>
      </c>
      <c r="O683" s="115">
        <v>8</v>
      </c>
      <c r="P683" s="115">
        <v>3</v>
      </c>
      <c r="Q683" s="115">
        <v>18</v>
      </c>
      <c r="R683" s="115">
        <v>52</v>
      </c>
      <c r="S683" s="115">
        <v>283</v>
      </c>
      <c r="T683" s="115">
        <v>5.4423000000000004</v>
      </c>
      <c r="U683" s="115">
        <v>2</v>
      </c>
      <c r="V683" s="115">
        <v>4.2999999999999997E-2</v>
      </c>
      <c r="W683" s="115">
        <v>1.61E-2</v>
      </c>
      <c r="X683" s="115">
        <v>2.69E-2</v>
      </c>
      <c r="Y683" s="115">
        <v>0.46929999999999999</v>
      </c>
      <c r="Z683" s="115">
        <v>89.045699999999997</v>
      </c>
      <c r="AA683" s="115">
        <v>5.9215999999999998</v>
      </c>
      <c r="AB683" s="115">
        <v>169.989</v>
      </c>
      <c r="AC683" s="115"/>
      <c r="AD683" s="115">
        <v>3.0000000000000001E-3</v>
      </c>
      <c r="AE683" s="115">
        <v>4.3E-3</v>
      </c>
      <c r="AF683" s="115">
        <v>-3.4799999999999998E-2</v>
      </c>
      <c r="AG683" s="115">
        <v>2.3099999999999999E-2</v>
      </c>
      <c r="AH683" s="115">
        <v>3.7000000000000002E-3</v>
      </c>
      <c r="AI683" s="115">
        <v>-3.7699999999999997E-2</v>
      </c>
      <c r="AJ683" s="115">
        <v>0.01</v>
      </c>
      <c r="AK683" s="115">
        <v>7.4730999999999996</v>
      </c>
      <c r="AL683" s="115">
        <v>-1.2473000000000001</v>
      </c>
      <c r="AM683" s="115">
        <v>2</v>
      </c>
      <c r="AN683" s="115">
        <v>5</v>
      </c>
      <c r="AO683" s="115">
        <v>0</v>
      </c>
      <c r="AP683" s="115">
        <v>0</v>
      </c>
      <c r="AQ683" s="115">
        <v>0</v>
      </c>
      <c r="AR683" s="115"/>
      <c r="AS683" s="115">
        <v>2.3999999999999998E-3</v>
      </c>
      <c r="AT683" s="115">
        <v>0.66879999999999995</v>
      </c>
      <c r="AU683" s="114" t="str">
        <f>IF(A683&lt;&gt;"",INDEX(Index!$B$1:$B$77,MATCH($A683,Index!$A$1:$A$77,0)),"")</f>
        <v>WAS</v>
      </c>
      <c r="AV683" s="123" t="str">
        <f>IF(B683&lt;&gt;"",INDEX(Index!$C$1:$C$77,MATCH($A683,Index!$A$1:$A$77,0)),"")</f>
        <v>Daniels</v>
      </c>
      <c r="AW683" s="123">
        <f t="shared" si="13"/>
        <v>29</v>
      </c>
      <c r="AX683" s="113">
        <v>17</v>
      </c>
    </row>
    <row r="684" spans="1:50" x14ac:dyDescent="0.25">
      <c r="A684" s="95" t="s">
        <v>556</v>
      </c>
      <c r="B684" s="96">
        <v>2025</v>
      </c>
      <c r="C684" s="96">
        <v>5</v>
      </c>
      <c r="D684" s="96">
        <v>0.72679099999999996</v>
      </c>
      <c r="E684" s="96">
        <v>3.6627199999999999E-2</v>
      </c>
      <c r="F684" s="115">
        <v>-0.83574700000000002</v>
      </c>
      <c r="G684" s="115">
        <v>23.545000000000002</v>
      </c>
      <c r="H684" s="115">
        <v>0.107</v>
      </c>
      <c r="I684" s="115">
        <v>110</v>
      </c>
      <c r="J684" s="115">
        <v>161</v>
      </c>
      <c r="K684" s="115">
        <v>0.68320000000000003</v>
      </c>
      <c r="L684" s="115">
        <v>-0.52880000000000005</v>
      </c>
      <c r="M684" s="115">
        <v>962</v>
      </c>
      <c r="N684" s="115">
        <v>5.9752000000000001</v>
      </c>
      <c r="O684" s="115">
        <v>6</v>
      </c>
      <c r="P684" s="115">
        <v>3</v>
      </c>
      <c r="Q684" s="115">
        <v>16</v>
      </c>
      <c r="R684" s="115">
        <v>27</v>
      </c>
      <c r="S684" s="115">
        <v>175</v>
      </c>
      <c r="T684" s="115">
        <v>6.4814999999999996</v>
      </c>
      <c r="U684" s="115">
        <v>1</v>
      </c>
      <c r="V684" s="115">
        <v>3.73E-2</v>
      </c>
      <c r="W684" s="115">
        <v>1.8599999999999998E-2</v>
      </c>
      <c r="X684" s="115">
        <v>1.8599999999999998E-2</v>
      </c>
      <c r="Y684" s="115">
        <v>0.45</v>
      </c>
      <c r="Z684" s="115">
        <v>88.573999999999998</v>
      </c>
      <c r="AA684" s="115">
        <v>4.7232000000000003</v>
      </c>
      <c r="AB684" s="115">
        <v>151.27199999999999</v>
      </c>
      <c r="AC684" s="115"/>
      <c r="AD684" s="115">
        <v>8.3000000000000001E-3</v>
      </c>
      <c r="AE684" s="115">
        <v>1.6999999999999999E-3</v>
      </c>
      <c r="AF684" s="115">
        <v>4.7600000000000003E-2</v>
      </c>
      <c r="AG684" s="115">
        <v>3.6999999999999998E-2</v>
      </c>
      <c r="AH684" s="115">
        <v>-9.8500000000000004E-2</v>
      </c>
      <c r="AI684" s="115">
        <v>1.8100000000000002E-2</v>
      </c>
      <c r="AJ684" s="115">
        <v>0.02</v>
      </c>
      <c r="AK684" s="115">
        <v>5.8446999999999996</v>
      </c>
      <c r="AL684" s="115">
        <v>-3.0682999999999998</v>
      </c>
      <c r="AM684" s="115">
        <v>2</v>
      </c>
      <c r="AN684" s="115">
        <v>3</v>
      </c>
      <c r="AO684" s="115">
        <v>0</v>
      </c>
      <c r="AP684" s="115">
        <v>0</v>
      </c>
      <c r="AQ684" s="115">
        <v>2</v>
      </c>
      <c r="AR684" s="115">
        <v>0</v>
      </c>
      <c r="AS684" s="115">
        <v>4.1999999999999997E-3</v>
      </c>
      <c r="AT684" s="115">
        <v>0.92720000000000002</v>
      </c>
      <c r="AU684" s="114" t="str">
        <f>IF(A684&lt;&gt;"",INDEX(Index!$B$1:$B$77,MATCH($A684,Index!$A$1:$A$77,0)),"")</f>
        <v>ARI</v>
      </c>
      <c r="AV684" s="123" t="str">
        <f>IF(B684&lt;&gt;"",INDEX(Index!$C$1:$C$77,MATCH($A684,Index!$A$1:$A$77,0)),"")</f>
        <v>Murray</v>
      </c>
      <c r="AW684" s="123">
        <f t="shared" si="13"/>
        <v>35</v>
      </c>
      <c r="AX684" s="113">
        <v>17</v>
      </c>
    </row>
    <row r="685" spans="1:50" x14ac:dyDescent="0.25">
      <c r="A685" s="95" t="s">
        <v>566</v>
      </c>
      <c r="B685" s="96">
        <v>2025</v>
      </c>
      <c r="C685" s="96">
        <v>15</v>
      </c>
      <c r="D685" s="96">
        <v>0.43737100000000001</v>
      </c>
      <c r="E685" s="96">
        <v>-0.46763199999999999</v>
      </c>
      <c r="F685" s="115">
        <v>0.45024199999999998</v>
      </c>
      <c r="G685" s="115">
        <v>150.346</v>
      </c>
      <c r="H685" s="115">
        <v>0.28970000000000001</v>
      </c>
      <c r="I685" s="115">
        <v>291</v>
      </c>
      <c r="J685" s="115">
        <v>438</v>
      </c>
      <c r="K685" s="115">
        <v>0.66439999999999999</v>
      </c>
      <c r="L685" s="115">
        <v>5.5330000000000004</v>
      </c>
      <c r="M685" s="115">
        <v>3381</v>
      </c>
      <c r="N685" s="115">
        <v>7.7191999999999998</v>
      </c>
      <c r="O685" s="115">
        <v>23</v>
      </c>
      <c r="P685" s="115">
        <v>6</v>
      </c>
      <c r="Q685" s="115">
        <v>21</v>
      </c>
      <c r="R685" s="115">
        <v>32</v>
      </c>
      <c r="S685" s="115">
        <v>211</v>
      </c>
      <c r="T685" s="115">
        <v>6.5937999999999999</v>
      </c>
      <c r="U685" s="115">
        <v>0</v>
      </c>
      <c r="V685" s="115">
        <v>5.2499999999999998E-2</v>
      </c>
      <c r="W685" s="115">
        <v>1.37E-2</v>
      </c>
      <c r="X685" s="115">
        <v>3.8800000000000001E-2</v>
      </c>
      <c r="Y685" s="115">
        <v>0.51639999999999997</v>
      </c>
      <c r="Z685" s="115">
        <v>101.408</v>
      </c>
      <c r="AA685" s="115">
        <v>7.4118000000000004</v>
      </c>
      <c r="AB685" s="115">
        <v>196.858</v>
      </c>
      <c r="AC685" s="115">
        <v>73.400000000000006</v>
      </c>
      <c r="AD685" s="115">
        <v>1.3100000000000001E-2</v>
      </c>
      <c r="AE685" s="115">
        <v>3.3700000000000001E-2</v>
      </c>
      <c r="AF685" s="115">
        <v>1.8E-3</v>
      </c>
      <c r="AG685" s="115">
        <v>2.8199999999999999E-2</v>
      </c>
      <c r="AH685" s="115">
        <v>8.77E-2</v>
      </c>
      <c r="AI685" s="115">
        <v>3.7699999999999997E-2</v>
      </c>
      <c r="AJ685" s="115">
        <v>1.44E-2</v>
      </c>
      <c r="AK685" s="115">
        <v>8.8378999999999994</v>
      </c>
      <c r="AL685" s="115">
        <v>3.2000000000000001E-2</v>
      </c>
      <c r="AM685" s="115">
        <v>9</v>
      </c>
      <c r="AN685" s="115">
        <v>5</v>
      </c>
      <c r="AO685" s="115">
        <v>1</v>
      </c>
      <c r="AP685" s="115">
        <v>2</v>
      </c>
      <c r="AQ685" s="115">
        <v>6</v>
      </c>
      <c r="AR685" s="115">
        <v>0.33329999999999999</v>
      </c>
      <c r="AS685" s="115">
        <v>1.0800000000000001E-2</v>
      </c>
      <c r="AT685" s="115">
        <v>5.6158000000000001</v>
      </c>
      <c r="AU685" s="114" t="str">
        <f>IF(A685&lt;&gt;"",INDEX(Index!$B$1:$B$77,MATCH($A685,Index!$A$1:$A$77,0)),"")</f>
        <v>GB</v>
      </c>
      <c r="AV685" s="123" t="str">
        <f>IF(B685&lt;&gt;"",INDEX(Index!$C$1:$C$77,MATCH($A685,Index!$A$1:$A$77,0)),"")</f>
        <v>Love</v>
      </c>
      <c r="AW685" s="123">
        <f t="shared" si="13"/>
        <v>26</v>
      </c>
      <c r="AX685" s="113">
        <v>17</v>
      </c>
    </row>
    <row r="686" spans="1:50" x14ac:dyDescent="0.25">
      <c r="A686" s="95" t="s">
        <v>550</v>
      </c>
      <c r="B686" s="96">
        <v>2025</v>
      </c>
      <c r="C686" s="96">
        <v>12</v>
      </c>
      <c r="D686" s="96">
        <v>0.235762</v>
      </c>
      <c r="E686" s="96">
        <v>-0.35778799999999999</v>
      </c>
      <c r="F686" s="115">
        <v>-3.5038800000000001</v>
      </c>
      <c r="G686" s="115">
        <v>32.432099999999998</v>
      </c>
      <c r="H686" s="115">
        <v>8.3400000000000002E-2</v>
      </c>
      <c r="I686" s="115">
        <v>181</v>
      </c>
      <c r="J686" s="115">
        <v>282</v>
      </c>
      <c r="K686" s="115">
        <v>0.64180000000000004</v>
      </c>
      <c r="L686" s="115">
        <v>1.7077</v>
      </c>
      <c r="M686" s="115">
        <v>2311</v>
      </c>
      <c r="N686" s="115">
        <v>8.1950000000000003</v>
      </c>
      <c r="O686" s="115">
        <v>18</v>
      </c>
      <c r="P686" s="115">
        <v>6</v>
      </c>
      <c r="Q686" s="115">
        <v>33</v>
      </c>
      <c r="R686" s="115">
        <v>55</v>
      </c>
      <c r="S686" s="115">
        <v>348</v>
      </c>
      <c r="T686" s="115">
        <v>6.3273000000000001</v>
      </c>
      <c r="U686" s="115">
        <v>2</v>
      </c>
      <c r="V686" s="115">
        <v>6.3799999999999996E-2</v>
      </c>
      <c r="W686" s="115">
        <v>2.1299999999999999E-2</v>
      </c>
      <c r="X686" s="115">
        <v>4.2599999999999999E-2</v>
      </c>
      <c r="Y686" s="115">
        <v>0.48070000000000002</v>
      </c>
      <c r="Z686" s="115">
        <v>102.128</v>
      </c>
      <c r="AA686" s="115">
        <v>6.9142999999999999</v>
      </c>
      <c r="AB686" s="115">
        <v>151.02099999999999</v>
      </c>
      <c r="AC686" s="115">
        <v>63.3</v>
      </c>
      <c r="AD686" s="115">
        <v>3.1E-2</v>
      </c>
      <c r="AE686" s="115">
        <v>-5.4100000000000002E-2</v>
      </c>
      <c r="AF686" s="115">
        <v>1.8E-3</v>
      </c>
      <c r="AG686" s="115">
        <v>-1.1000000000000001E-3</v>
      </c>
      <c r="AH686" s="115">
        <v>9.1999999999999998E-2</v>
      </c>
      <c r="AI686" s="115">
        <v>-6.3700000000000007E-2</v>
      </c>
      <c r="AJ686" s="115">
        <v>4.5999999999999999E-3</v>
      </c>
      <c r="AK686" s="115">
        <v>8.7623999999999995</v>
      </c>
      <c r="AL686" s="115">
        <v>-0.28370000000000001</v>
      </c>
      <c r="AM686" s="115">
        <v>6</v>
      </c>
      <c r="AN686" s="115">
        <v>6</v>
      </c>
      <c r="AO686" s="115">
        <v>0</v>
      </c>
      <c r="AP686" s="115">
        <v>1</v>
      </c>
      <c r="AQ686" s="115">
        <v>3</v>
      </c>
      <c r="AR686" s="115">
        <v>0.33329999999999999</v>
      </c>
      <c r="AS686" s="115">
        <v>2E-3</v>
      </c>
      <c r="AT686" s="115">
        <v>0.76180000000000003</v>
      </c>
      <c r="AU686" s="114" t="str">
        <f>IF(A686&lt;&gt;"",INDEX(Index!$B$1:$B$77,MATCH($A686,Index!$A$1:$A$77,0)),"")</f>
        <v>BAL</v>
      </c>
      <c r="AV686" s="123" t="str">
        <f>IF(B686&lt;&gt;"",INDEX(Index!$C$1:$C$77,MATCH($A686,Index!$A$1:$A$77,0)),"")</f>
        <v>Jackson</v>
      </c>
      <c r="AW686" s="123">
        <f t="shared" si="13"/>
        <v>11</v>
      </c>
      <c r="AX686" s="113">
        <v>17</v>
      </c>
    </row>
    <row r="687" spans="1:50" x14ac:dyDescent="0.25">
      <c r="A687" s="95" t="s">
        <v>558</v>
      </c>
      <c r="B687" s="96">
        <v>2025</v>
      </c>
      <c r="C687" s="96">
        <v>15</v>
      </c>
      <c r="D687" s="96">
        <v>0.13727800000000001</v>
      </c>
      <c r="E687" s="96">
        <v>-0.29118300000000003</v>
      </c>
      <c r="F687" s="115">
        <v>-1.4617</v>
      </c>
      <c r="G687" s="115">
        <v>14.866400000000001</v>
      </c>
      <c r="H687" s="115">
        <v>2.8899999999999999E-2</v>
      </c>
      <c r="I687" s="115">
        <v>296</v>
      </c>
      <c r="J687" s="115">
        <v>449</v>
      </c>
      <c r="K687" s="115">
        <v>0.65920000000000001</v>
      </c>
      <c r="L687" s="115">
        <v>-7.9200000000000007E-2</v>
      </c>
      <c r="M687" s="115">
        <v>3028</v>
      </c>
      <c r="N687" s="115">
        <v>6.7439</v>
      </c>
      <c r="O687" s="115">
        <v>23</v>
      </c>
      <c r="P687" s="115">
        <v>7</v>
      </c>
      <c r="Q687" s="115">
        <v>27</v>
      </c>
      <c r="R687" s="115">
        <v>11</v>
      </c>
      <c r="S687" s="115">
        <v>48</v>
      </c>
      <c r="T687" s="115">
        <v>4.3635999999999999</v>
      </c>
      <c r="U687" s="115">
        <v>1</v>
      </c>
      <c r="V687" s="115">
        <v>5.1200000000000002E-2</v>
      </c>
      <c r="W687" s="115">
        <v>1.5599999999999999E-2</v>
      </c>
      <c r="X687" s="115">
        <v>3.56E-2</v>
      </c>
      <c r="Y687" s="115">
        <v>0.43</v>
      </c>
      <c r="Z687" s="115">
        <v>95.698800000000006</v>
      </c>
      <c r="AA687" s="115">
        <v>6.2961999999999998</v>
      </c>
      <c r="AB687" s="115">
        <v>159.45500000000001</v>
      </c>
      <c r="AC687" s="115">
        <v>41.9</v>
      </c>
      <c r="AD687" s="115">
        <v>-2.8299999999999999E-2</v>
      </c>
      <c r="AE687" s="115">
        <v>1.04E-2</v>
      </c>
      <c r="AF687" s="115">
        <v>-2.1600000000000001E-2</v>
      </c>
      <c r="AG687" s="115">
        <v>2.6200000000000001E-2</v>
      </c>
      <c r="AH687" s="115">
        <v>-0.15840000000000001</v>
      </c>
      <c r="AI687" s="115">
        <v>0.1361</v>
      </c>
      <c r="AJ687" s="115">
        <v>-8.5000000000000006E-3</v>
      </c>
      <c r="AK687" s="115">
        <v>5.98</v>
      </c>
      <c r="AL687" s="115">
        <v>-3.1202999999999999</v>
      </c>
      <c r="AM687" s="115">
        <v>9</v>
      </c>
      <c r="AN687" s="115">
        <v>6</v>
      </c>
      <c r="AO687" s="115">
        <v>0</v>
      </c>
      <c r="AP687" s="115">
        <v>1</v>
      </c>
      <c r="AQ687" s="115">
        <v>4</v>
      </c>
      <c r="AR687" s="115">
        <v>0.25</v>
      </c>
      <c r="AS687" s="115">
        <v>0</v>
      </c>
      <c r="AT687" s="115">
        <v>1.9300000000000001E-2</v>
      </c>
      <c r="AU687" s="114" t="str">
        <f>IF(A687&lt;&gt;"",INDEX(Index!$B$1:$B$77,MATCH($A687,Index!$A$1:$A$77,0)),"")</f>
        <v>GB</v>
      </c>
      <c r="AV687" s="123" t="str">
        <f>IF(B687&lt;&gt;"",INDEX(Index!$C$1:$C$77,MATCH($A687,Index!$A$1:$A$77,0)),"")</f>
        <v>Rodgers</v>
      </c>
      <c r="AW687" s="123">
        <f t="shared" si="13"/>
        <v>16</v>
      </c>
      <c r="AX687" s="113">
        <v>17</v>
      </c>
    </row>
    <row r="688" spans="1:50" x14ac:dyDescent="0.25">
      <c r="A688" s="95" t="s">
        <v>564</v>
      </c>
      <c r="B688" s="96">
        <v>2025</v>
      </c>
      <c r="C688" s="96">
        <v>3</v>
      </c>
      <c r="D688" s="96">
        <v>8.5803199999999996E-2</v>
      </c>
      <c r="E688" s="96">
        <v>-0.72087800000000002</v>
      </c>
      <c r="F688" s="115">
        <v>-0.42435</v>
      </c>
      <c r="G688" s="115">
        <v>-4.0004</v>
      </c>
      <c r="H688" s="115">
        <v>-2.53E-2</v>
      </c>
      <c r="I688" s="115">
        <v>69</v>
      </c>
      <c r="J688" s="115">
        <v>119</v>
      </c>
      <c r="K688" s="115">
        <v>0.57979999999999998</v>
      </c>
      <c r="L688" s="115">
        <v>-1.48</v>
      </c>
      <c r="M688" s="115">
        <v>831</v>
      </c>
      <c r="N688" s="115">
        <v>6.9832000000000001</v>
      </c>
      <c r="O688" s="115">
        <v>3</v>
      </c>
      <c r="P688" s="115">
        <v>3</v>
      </c>
      <c r="Q688" s="115">
        <v>10</v>
      </c>
      <c r="R688" s="115">
        <v>18</v>
      </c>
      <c r="S688" s="115">
        <v>106</v>
      </c>
      <c r="T688" s="115">
        <v>5.8888999999999996</v>
      </c>
      <c r="U688" s="115">
        <v>0</v>
      </c>
      <c r="V688" s="115">
        <v>2.52E-2</v>
      </c>
      <c r="W688" s="115">
        <v>2.52E-2</v>
      </c>
      <c r="X688" s="115">
        <v>0</v>
      </c>
      <c r="Y688" s="115">
        <v>0.40510000000000002</v>
      </c>
      <c r="Z688" s="115">
        <v>77.398499999999999</v>
      </c>
      <c r="AA688" s="115">
        <v>5.3487999999999998</v>
      </c>
      <c r="AB688" s="115">
        <v>140.05699999999999</v>
      </c>
      <c r="AC688" s="115"/>
      <c r="AD688" s="115">
        <v>-3.8699999999999998E-2</v>
      </c>
      <c r="AE688" s="115">
        <v>1.3299999999999999E-2</v>
      </c>
      <c r="AF688" s="115">
        <v>-9.6299999999999997E-2</v>
      </c>
      <c r="AG688" s="115">
        <v>2.29E-2</v>
      </c>
      <c r="AH688" s="115">
        <v>9.1999999999999998E-3</v>
      </c>
      <c r="AI688" s="115">
        <v>-6.83E-2</v>
      </c>
      <c r="AJ688" s="115">
        <v>5.9700000000000003E-2</v>
      </c>
      <c r="AK688" s="115">
        <v>8.8908000000000005</v>
      </c>
      <c r="AL688" s="115">
        <v>-0.10920000000000001</v>
      </c>
      <c r="AM688" s="115">
        <v>2</v>
      </c>
      <c r="AN688" s="115">
        <v>4</v>
      </c>
      <c r="AO688" s="115">
        <v>0</v>
      </c>
      <c r="AP688" s="115">
        <v>0</v>
      </c>
      <c r="AQ688" s="115">
        <v>3</v>
      </c>
      <c r="AR688" s="115">
        <v>0</v>
      </c>
      <c r="AS688" s="115">
        <v>4.8999999999999998E-3</v>
      </c>
      <c r="AT688" s="115">
        <v>0.77270000000000005</v>
      </c>
      <c r="AU688" s="114" t="str">
        <f>IF(A688&lt;&gt;"",INDEX(Index!$B$1:$B$77,MATCH($A688,Index!$A$1:$A$77,0)),"")</f>
        <v>NYG</v>
      </c>
      <c r="AV688" s="123" t="str">
        <f>IF(B688&lt;&gt;"",INDEX(Index!$C$1:$C$77,MATCH($A688,Index!$A$1:$A$77,0)),"")</f>
        <v>Wilson</v>
      </c>
      <c r="AW688" s="123">
        <f t="shared" si="13"/>
        <v>42</v>
      </c>
      <c r="AX688" s="113">
        <v>17</v>
      </c>
    </row>
    <row r="689" spans="1:50" x14ac:dyDescent="0.25">
      <c r="A689" s="95" t="s">
        <v>575</v>
      </c>
      <c r="B689" s="96">
        <v>2025</v>
      </c>
      <c r="C689" s="96">
        <v>8</v>
      </c>
      <c r="D689" s="96">
        <v>-7.0682400000000006E-2</v>
      </c>
      <c r="E689" s="96">
        <v>0.88405599999999995</v>
      </c>
      <c r="F689" s="115">
        <v>1.54932</v>
      </c>
      <c r="G689" s="115">
        <v>47.102899999999998</v>
      </c>
      <c r="H689" s="115">
        <v>0.14019999999999999</v>
      </c>
      <c r="I689" s="115">
        <v>201</v>
      </c>
      <c r="J689" s="115">
        <v>286</v>
      </c>
      <c r="K689" s="115">
        <v>0.70279999999999998</v>
      </c>
      <c r="L689" s="115">
        <v>3.6785999999999999</v>
      </c>
      <c r="M689" s="115">
        <v>2151</v>
      </c>
      <c r="N689" s="115">
        <v>7.5209999999999999</v>
      </c>
      <c r="O689" s="115">
        <v>13</v>
      </c>
      <c r="P689" s="115">
        <v>6</v>
      </c>
      <c r="Q689" s="115">
        <v>16</v>
      </c>
      <c r="R689" s="115">
        <v>22</v>
      </c>
      <c r="S689" s="115">
        <v>74</v>
      </c>
      <c r="T689" s="115">
        <v>3.3635999999999999</v>
      </c>
      <c r="U689" s="115">
        <v>0</v>
      </c>
      <c r="V689" s="115">
        <v>4.5499999999999999E-2</v>
      </c>
      <c r="W689" s="115">
        <v>2.1000000000000001E-2</v>
      </c>
      <c r="X689" s="115">
        <v>2.4500000000000001E-2</v>
      </c>
      <c r="Y689" s="115">
        <v>0.52680000000000005</v>
      </c>
      <c r="Z689" s="115">
        <v>98.397400000000005</v>
      </c>
      <c r="AA689" s="115">
        <v>6.7317999999999998</v>
      </c>
      <c r="AB689" s="115">
        <v>197.37700000000001</v>
      </c>
      <c r="AC689" s="115">
        <v>63.8</v>
      </c>
      <c r="AD689" s="115">
        <v>-8.6E-3</v>
      </c>
      <c r="AE689" s="115">
        <v>1.32E-2</v>
      </c>
      <c r="AF689" s="115">
        <v>3.04E-2</v>
      </c>
      <c r="AG689" s="115">
        <v>7.1999999999999998E-3</v>
      </c>
      <c r="AH689" s="115">
        <v>5.0200000000000002E-2</v>
      </c>
      <c r="AI689" s="115">
        <v>-6.7999999999999996E-3</v>
      </c>
      <c r="AJ689" s="115">
        <v>-1.8499999999999999E-2</v>
      </c>
      <c r="AK689" s="115">
        <v>7.4265999999999996</v>
      </c>
      <c r="AL689" s="115">
        <v>-1.6608000000000001</v>
      </c>
      <c r="AM689" s="115">
        <v>6</v>
      </c>
      <c r="AN689" s="115">
        <v>3</v>
      </c>
      <c r="AO689" s="115">
        <v>0</v>
      </c>
      <c r="AP689" s="115">
        <v>1</v>
      </c>
      <c r="AQ689" s="115">
        <v>2</v>
      </c>
      <c r="AR689" s="115">
        <v>0.5</v>
      </c>
      <c r="AS689" s="115">
        <v>4.1999999999999997E-3</v>
      </c>
      <c r="AT689" s="115">
        <v>1.413</v>
      </c>
      <c r="AU689" s="114" t="str">
        <f>IF(A689&lt;&gt;"",INDEX(Index!$B$1:$B$77,MATCH($A689,Index!$A$1:$A$77,0)),"")</f>
        <v>SF</v>
      </c>
      <c r="AV689" s="123" t="str">
        <f>IF(B689&lt;&gt;"",INDEX(Index!$C$1:$C$77,MATCH($A689,Index!$A$1:$A$77,0)),"")</f>
        <v>Jones</v>
      </c>
      <c r="AW689" s="123">
        <f t="shared" si="13"/>
        <v>35</v>
      </c>
      <c r="AX689" s="113">
        <v>17</v>
      </c>
    </row>
    <row r="690" spans="1:50" x14ac:dyDescent="0.25">
      <c r="A690" s="95" t="s">
        <v>591</v>
      </c>
      <c r="B690" s="96">
        <v>2025</v>
      </c>
      <c r="C690" s="96">
        <v>7</v>
      </c>
      <c r="D690" s="96">
        <v>-9.4642299999999999E-2</v>
      </c>
      <c r="E690" s="96">
        <v>-0.103738</v>
      </c>
      <c r="F690" s="115">
        <v>-0.81077299999999997</v>
      </c>
      <c r="G690" s="115">
        <v>12.8512</v>
      </c>
      <c r="H690" s="115">
        <v>4.9599999999999998E-2</v>
      </c>
      <c r="I690" s="115">
        <v>148</v>
      </c>
      <c r="J690" s="115">
        <v>235</v>
      </c>
      <c r="K690" s="115">
        <v>0.62980000000000003</v>
      </c>
      <c r="L690" s="115">
        <v>-2.2921</v>
      </c>
      <c r="M690" s="115">
        <v>1541</v>
      </c>
      <c r="N690" s="115">
        <v>6.5574000000000003</v>
      </c>
      <c r="O690" s="115">
        <v>9</v>
      </c>
      <c r="P690" s="115">
        <v>4</v>
      </c>
      <c r="Q690" s="115">
        <v>9</v>
      </c>
      <c r="R690" s="115">
        <v>6</v>
      </c>
      <c r="S690" s="115">
        <v>15</v>
      </c>
      <c r="T690" s="115">
        <v>2.5</v>
      </c>
      <c r="U690" s="115">
        <v>1</v>
      </c>
      <c r="V690" s="115">
        <v>3.8300000000000001E-2</v>
      </c>
      <c r="W690" s="115">
        <v>1.7000000000000001E-2</v>
      </c>
      <c r="X690" s="115">
        <v>2.1299999999999999E-2</v>
      </c>
      <c r="Y690" s="115">
        <v>0.4672</v>
      </c>
      <c r="Z690" s="115">
        <v>87.562100000000001</v>
      </c>
      <c r="AA690" s="115">
        <v>6.0778999999999996</v>
      </c>
      <c r="AB690" s="115">
        <v>139.25299999999999</v>
      </c>
      <c r="AC690" s="115">
        <v>52.2</v>
      </c>
      <c r="AD690" s="115">
        <v>-2.0500000000000001E-2</v>
      </c>
      <c r="AE690" s="115">
        <v>3.9800000000000002E-2</v>
      </c>
      <c r="AF690" s="115">
        <v>-6.3899999999999998E-2</v>
      </c>
      <c r="AG690" s="115">
        <v>6.9999999999999999E-4</v>
      </c>
      <c r="AH690" s="115">
        <v>-7.17E-2</v>
      </c>
      <c r="AI690" s="115">
        <v>7.8899999999999998E-2</v>
      </c>
      <c r="AJ690" s="115">
        <v>1.32E-2</v>
      </c>
      <c r="AK690" s="115">
        <v>7.0170000000000003</v>
      </c>
      <c r="AL690" s="115">
        <v>-1.8383</v>
      </c>
      <c r="AM690" s="115">
        <v>4</v>
      </c>
      <c r="AN690" s="115">
        <v>5</v>
      </c>
      <c r="AO690" s="115">
        <v>0</v>
      </c>
      <c r="AP690" s="115">
        <v>1</v>
      </c>
      <c r="AQ690" s="115">
        <v>2</v>
      </c>
      <c r="AR690" s="115">
        <v>0.5</v>
      </c>
      <c r="AS690" s="115">
        <v>2.8999999999999998E-3</v>
      </c>
      <c r="AT690" s="115">
        <v>0.75449999999999995</v>
      </c>
      <c r="AU690" s="114" t="str">
        <f>IF(A690&lt;&gt;"",INDEX(Index!$B$1:$B$77,MATCH($A690,Index!$A$1:$A$77,0)),"")</f>
        <v>ATL</v>
      </c>
      <c r="AV690" s="123" t="str">
        <f>IF(B690&lt;&gt;"",INDEX(Index!$C$1:$C$77,MATCH($A690,Index!$A$1:$A$77,0)),"")</f>
        <v>Cousins</v>
      </c>
      <c r="AW690" s="123">
        <f t="shared" si="13"/>
        <v>43</v>
      </c>
      <c r="AX690" s="113">
        <v>17</v>
      </c>
    </row>
    <row r="691" spans="1:50" x14ac:dyDescent="0.25">
      <c r="A691" s="95" t="s">
        <v>568</v>
      </c>
      <c r="B691" s="96">
        <v>2025</v>
      </c>
      <c r="C691" s="96">
        <v>13</v>
      </c>
      <c r="D691" s="96">
        <v>-0.15051100000000001</v>
      </c>
      <c r="E691" s="96">
        <v>-0.66387099999999999</v>
      </c>
      <c r="F691" s="115">
        <v>1.31358</v>
      </c>
      <c r="G691" s="115">
        <v>86.991200000000006</v>
      </c>
      <c r="H691" s="115">
        <v>0.1875</v>
      </c>
      <c r="I691" s="115">
        <v>261</v>
      </c>
      <c r="J691" s="115">
        <v>382</v>
      </c>
      <c r="K691" s="115">
        <v>0.68320000000000003</v>
      </c>
      <c r="L691" s="115">
        <v>2.2970999999999999</v>
      </c>
      <c r="M691" s="115">
        <v>3101</v>
      </c>
      <c r="N691" s="115">
        <v>8.1178000000000008</v>
      </c>
      <c r="O691" s="115">
        <v>19</v>
      </c>
      <c r="P691" s="115">
        <v>8</v>
      </c>
      <c r="Q691" s="115">
        <v>22</v>
      </c>
      <c r="R691" s="115">
        <v>36</v>
      </c>
      <c r="S691" s="115">
        <v>167</v>
      </c>
      <c r="T691" s="115">
        <v>4.6388999999999996</v>
      </c>
      <c r="U691" s="115">
        <v>5</v>
      </c>
      <c r="V691" s="115">
        <v>4.9700000000000001E-2</v>
      </c>
      <c r="W691" s="115">
        <v>2.0899999999999998E-2</v>
      </c>
      <c r="X691" s="115">
        <v>2.8799999999999999E-2</v>
      </c>
      <c r="Y691" s="115">
        <v>0.51719999999999999</v>
      </c>
      <c r="Z691" s="115">
        <v>100.69799999999999</v>
      </c>
      <c r="AA691" s="115">
        <v>7.3342000000000001</v>
      </c>
      <c r="AB691" s="115">
        <v>203.07</v>
      </c>
      <c r="AC691" s="115">
        <v>63.5</v>
      </c>
      <c r="AD691" s="115">
        <v>1.2999999999999999E-2</v>
      </c>
      <c r="AE691" s="115">
        <v>9.4999999999999998E-3</v>
      </c>
      <c r="AF691" s="115">
        <v>2.9600000000000001E-2</v>
      </c>
      <c r="AG691" s="115">
        <v>6.1999999999999998E-3</v>
      </c>
      <c r="AH691" s="115">
        <v>3.49E-2</v>
      </c>
      <c r="AI691" s="115">
        <v>2.8299999999999999E-2</v>
      </c>
      <c r="AJ691" s="115">
        <v>-7.1999999999999998E-3</v>
      </c>
      <c r="AK691" s="115">
        <v>8.0471000000000004</v>
      </c>
      <c r="AL691" s="115">
        <v>-0.79059999999999997</v>
      </c>
      <c r="AM691" s="115">
        <v>8</v>
      </c>
      <c r="AN691" s="115">
        <v>5</v>
      </c>
      <c r="AO691" s="115">
        <v>0</v>
      </c>
      <c r="AP691" s="115">
        <v>3</v>
      </c>
      <c r="AQ691" s="115">
        <v>5</v>
      </c>
      <c r="AR691" s="115">
        <v>0.6</v>
      </c>
      <c r="AS691" s="115">
        <v>3.8E-3</v>
      </c>
      <c r="AT691" s="115">
        <v>1.7748999999999999</v>
      </c>
      <c r="AU691" s="114" t="str">
        <f>IF(A691&lt;&gt;"",INDEX(Index!$B$1:$B$77,MATCH($A691,Index!$A$1:$A$77,0)),"")</f>
        <v>IND</v>
      </c>
      <c r="AV691" s="123" t="str">
        <f>IF(B691&lt;&gt;"",INDEX(Index!$C$1:$C$77,MATCH($A691,Index!$A$1:$A$77,0)),"")</f>
        <v>Jones</v>
      </c>
      <c r="AW691" s="123">
        <f t="shared" si="13"/>
        <v>24</v>
      </c>
      <c r="AX691" s="113">
        <v>17</v>
      </c>
    </row>
    <row r="692" spans="1:50" x14ac:dyDescent="0.25">
      <c r="A692" s="95" t="s">
        <v>559</v>
      </c>
      <c r="B692" s="96">
        <v>2025</v>
      </c>
      <c r="C692" s="96">
        <v>16</v>
      </c>
      <c r="D692" s="96">
        <v>-0.29441299999999998</v>
      </c>
      <c r="E692" s="96">
        <v>0.194078</v>
      </c>
      <c r="F692" s="115">
        <v>-1.14656</v>
      </c>
      <c r="G692" s="115">
        <v>47.732599999999998</v>
      </c>
      <c r="H692" s="115">
        <v>7.4800000000000005E-2</v>
      </c>
      <c r="I692" s="115">
        <v>327</v>
      </c>
      <c r="J692" s="115">
        <v>520</v>
      </c>
      <c r="K692" s="115">
        <v>0.62880000000000003</v>
      </c>
      <c r="L692" s="115">
        <v>-2.4470000000000001</v>
      </c>
      <c r="M692" s="115">
        <v>3490</v>
      </c>
      <c r="N692" s="115">
        <v>6.7115</v>
      </c>
      <c r="O692" s="115">
        <v>25</v>
      </c>
      <c r="P692" s="115">
        <v>10</v>
      </c>
      <c r="Q692" s="115">
        <v>34</v>
      </c>
      <c r="R692" s="115">
        <v>41</v>
      </c>
      <c r="S692" s="115">
        <v>360</v>
      </c>
      <c r="T692" s="115">
        <v>8.7805</v>
      </c>
      <c r="U692" s="115">
        <v>1</v>
      </c>
      <c r="V692" s="115">
        <v>4.8099999999999997E-2</v>
      </c>
      <c r="W692" s="115">
        <v>1.9199999999999998E-2</v>
      </c>
      <c r="X692" s="115">
        <v>2.8799999999999999E-2</v>
      </c>
      <c r="Y692" s="115">
        <v>0.45450000000000002</v>
      </c>
      <c r="Z692" s="115">
        <v>90.464699999999993</v>
      </c>
      <c r="AA692" s="115">
        <v>5.9764999999999997</v>
      </c>
      <c r="AB692" s="115">
        <v>169.774</v>
      </c>
      <c r="AC692" s="115">
        <v>60.8</v>
      </c>
      <c r="AD692" s="115">
        <v>3.2599999999999997E-2</v>
      </c>
      <c r="AE692" s="115">
        <v>1.0699999999999999E-2</v>
      </c>
      <c r="AF692" s="115">
        <v>-8.8000000000000005E-3</v>
      </c>
      <c r="AG692" s="115">
        <v>1.32E-2</v>
      </c>
      <c r="AH692" s="115">
        <v>-6.3600000000000004E-2</v>
      </c>
      <c r="AI692" s="115">
        <v>1.5100000000000001E-2</v>
      </c>
      <c r="AJ692" s="115">
        <v>2.5000000000000001E-3</v>
      </c>
      <c r="AK692" s="115">
        <v>8.1999999999999993</v>
      </c>
      <c r="AL692" s="115">
        <v>-0.66539999999999999</v>
      </c>
      <c r="AM692" s="115">
        <v>7</v>
      </c>
      <c r="AN692" s="115">
        <v>9</v>
      </c>
      <c r="AO692" s="115">
        <v>0</v>
      </c>
      <c r="AP692" s="115">
        <v>4</v>
      </c>
      <c r="AQ692" s="115">
        <v>9</v>
      </c>
      <c r="AR692" s="115">
        <v>0.44440000000000002</v>
      </c>
      <c r="AS692" s="115">
        <v>2.2000000000000001E-3</v>
      </c>
      <c r="AT692" s="115">
        <v>1.4335</v>
      </c>
      <c r="AU692" s="114" t="str">
        <f>IF(A692&lt;&gt;"",INDEX(Index!$B$1:$B$77,MATCH($A692,Index!$A$1:$A$77,0)),"")</f>
        <v>TB</v>
      </c>
      <c r="AV692" s="123" t="str">
        <f>IF(B692&lt;&gt;"",INDEX(Index!$C$1:$C$77,MATCH($A692,Index!$A$1:$A$77,0)),"")</f>
        <v>Mayfield</v>
      </c>
      <c r="AW692" s="123">
        <f t="shared" si="13"/>
        <v>9</v>
      </c>
      <c r="AX692" s="113">
        <v>17</v>
      </c>
    </row>
    <row r="693" spans="1:50" x14ac:dyDescent="0.25">
      <c r="A693" s="95" t="s">
        <v>587</v>
      </c>
      <c r="B693" s="96">
        <v>2025</v>
      </c>
      <c r="C693" s="96">
        <v>11</v>
      </c>
      <c r="D693" s="96">
        <v>-0.40227099999999999</v>
      </c>
      <c r="E693" s="96">
        <v>0.48293799999999998</v>
      </c>
      <c r="F693" s="115">
        <v>1.9556800000000001</v>
      </c>
      <c r="G693" s="115">
        <v>50.075800000000001</v>
      </c>
      <c r="H693" s="115">
        <v>0.1143</v>
      </c>
      <c r="I693" s="115">
        <v>194</v>
      </c>
      <c r="J693" s="115">
        <v>306</v>
      </c>
      <c r="K693" s="115">
        <v>0.63400000000000001</v>
      </c>
      <c r="L693" s="115">
        <v>-0.87219999999999998</v>
      </c>
      <c r="M693" s="115">
        <v>2042</v>
      </c>
      <c r="N693" s="115">
        <v>6.6731999999999996</v>
      </c>
      <c r="O693" s="115">
        <v>13</v>
      </c>
      <c r="P693" s="115">
        <v>5</v>
      </c>
      <c r="Q693" s="115">
        <v>31</v>
      </c>
      <c r="R693" s="115">
        <v>73</v>
      </c>
      <c r="S693" s="115">
        <v>460</v>
      </c>
      <c r="T693" s="115">
        <v>6.3014000000000001</v>
      </c>
      <c r="U693" s="115">
        <v>9</v>
      </c>
      <c r="V693" s="115">
        <v>4.2500000000000003E-2</v>
      </c>
      <c r="W693" s="115">
        <v>1.6299999999999999E-2</v>
      </c>
      <c r="X693" s="115">
        <v>2.6100000000000002E-2</v>
      </c>
      <c r="Y693" s="115">
        <v>0.46800000000000003</v>
      </c>
      <c r="Z693" s="115">
        <v>90.073499999999996</v>
      </c>
      <c r="AA693" s="115">
        <v>5.7447999999999997</v>
      </c>
      <c r="AB693" s="115">
        <v>191.57</v>
      </c>
      <c r="AC693" s="115">
        <v>58.1</v>
      </c>
      <c r="AD693" s="115">
        <v>6.54E-2</v>
      </c>
      <c r="AE693" s="115">
        <v>-5.8999999999999999E-3</v>
      </c>
      <c r="AF693" s="115">
        <v>2.7900000000000001E-2</v>
      </c>
      <c r="AG693" s="115">
        <v>4.0300000000000002E-2</v>
      </c>
      <c r="AH693" s="115">
        <v>-8.4500000000000006E-2</v>
      </c>
      <c r="AI693" s="115">
        <v>-3.4299999999999997E-2</v>
      </c>
      <c r="AJ693" s="115">
        <v>3.2399999999999998E-2</v>
      </c>
      <c r="AK693" s="115">
        <v>8.4934999999999992</v>
      </c>
      <c r="AL693" s="115">
        <v>-0.86929999999999996</v>
      </c>
      <c r="AM693" s="115">
        <v>3</v>
      </c>
      <c r="AN693" s="115">
        <v>10</v>
      </c>
      <c r="AO693" s="115">
        <v>0</v>
      </c>
      <c r="AP693" s="115">
        <v>0</v>
      </c>
      <c r="AQ693" s="115">
        <v>4</v>
      </c>
      <c r="AR693" s="115">
        <v>0</v>
      </c>
      <c r="AS693" s="115">
        <v>1.8E-3</v>
      </c>
      <c r="AT693" s="115">
        <v>0.79959999999999998</v>
      </c>
      <c r="AU693" s="114" t="str">
        <f>IF(A693&lt;&gt;"",INDEX(Index!$B$1:$B$77,MATCH($A693,Index!$A$1:$A$77,0)),"")</f>
        <v>NYG</v>
      </c>
      <c r="AV693" s="123" t="str">
        <f>IF(B693&lt;&gt;"",INDEX(Index!$C$1:$C$77,MATCH($A693,Index!$A$1:$A$77,0)),"")</f>
        <v>Dart</v>
      </c>
      <c r="AW693" s="123">
        <f t="shared" si="13"/>
        <v>13</v>
      </c>
      <c r="AX693" s="113">
        <v>17</v>
      </c>
    </row>
    <row r="694" spans="1:50" x14ac:dyDescent="0.25">
      <c r="A694" s="95" t="s">
        <v>600</v>
      </c>
      <c r="B694" s="96">
        <v>2025</v>
      </c>
      <c r="C694" s="96">
        <v>3</v>
      </c>
      <c r="D694" s="96">
        <v>-0.50441400000000003</v>
      </c>
      <c r="E694" s="96">
        <v>-0.55890700000000004</v>
      </c>
      <c r="F694" s="115">
        <v>-0.91278199999999998</v>
      </c>
      <c r="G694" s="115">
        <v>-5.9001000000000001</v>
      </c>
      <c r="H694" s="115">
        <v>-5.7799999999999997E-2</v>
      </c>
      <c r="I694" s="115">
        <v>58</v>
      </c>
      <c r="J694" s="115">
        <v>92</v>
      </c>
      <c r="K694" s="115">
        <v>0.63039999999999996</v>
      </c>
      <c r="L694" s="115">
        <v>-3.6926999999999999</v>
      </c>
      <c r="M694" s="115">
        <v>544</v>
      </c>
      <c r="N694" s="115">
        <v>5.9130000000000003</v>
      </c>
      <c r="O694" s="115">
        <v>4</v>
      </c>
      <c r="P694" s="115">
        <v>3</v>
      </c>
      <c r="Q694" s="115">
        <v>5</v>
      </c>
      <c r="R694" s="115">
        <v>0</v>
      </c>
      <c r="S694" s="115">
        <v>0</v>
      </c>
      <c r="T694" s="115"/>
      <c r="U694" s="115">
        <v>0</v>
      </c>
      <c r="V694" s="115">
        <v>4.3499999999999997E-2</v>
      </c>
      <c r="W694" s="115">
        <v>3.2599999999999997E-2</v>
      </c>
      <c r="X694" s="115">
        <v>1.09E-2</v>
      </c>
      <c r="Y694" s="115">
        <v>0.44119999999999998</v>
      </c>
      <c r="Z694" s="115">
        <v>80.162999999999997</v>
      </c>
      <c r="AA694" s="115">
        <v>4.6597999999999997</v>
      </c>
      <c r="AB694" s="115">
        <v>86.400800000000004</v>
      </c>
      <c r="AC694" s="115"/>
      <c r="AD694" s="115">
        <v>-3.0599999999999999E-2</v>
      </c>
      <c r="AE694" s="115">
        <v>1.0999999999999999E-2</v>
      </c>
      <c r="AF694" s="115">
        <v>-5.4100000000000002E-2</v>
      </c>
      <c r="AG694" s="115">
        <v>-7.9200000000000007E-2</v>
      </c>
      <c r="AH694" s="115">
        <v>-0.13619999999999999</v>
      </c>
      <c r="AI694" s="115">
        <v>0.12870000000000001</v>
      </c>
      <c r="AJ694" s="115">
        <v>2.9499999999999998E-2</v>
      </c>
      <c r="AK694" s="115">
        <v>7.7934999999999999</v>
      </c>
      <c r="AL694" s="115">
        <v>-1.2282999999999999</v>
      </c>
      <c r="AM694" s="115">
        <v>0</v>
      </c>
      <c r="AN694" s="115">
        <v>3</v>
      </c>
      <c r="AO694" s="115">
        <v>0</v>
      </c>
      <c r="AP694" s="115">
        <v>0</v>
      </c>
      <c r="AQ694" s="115">
        <v>2</v>
      </c>
      <c r="AR694" s="115">
        <v>0</v>
      </c>
      <c r="AS694" s="115">
        <v>-1E-4</v>
      </c>
      <c r="AT694" s="115">
        <v>-5.4000000000000003E-3</v>
      </c>
      <c r="AU694" s="114" t="str">
        <f>IF(A694&lt;&gt;"",INDEX(Index!$B$1:$B$77,MATCH($A694,Index!$A$1:$A$77,0)),"")</f>
        <v>IND</v>
      </c>
      <c r="AV694" s="123" t="str">
        <f>IF(B694&lt;&gt;"",INDEX(Index!$C$1:$C$77,MATCH($A694,Index!$A$1:$A$77,0)),"")</f>
        <v>Rivers</v>
      </c>
      <c r="AW694" s="123">
        <f t="shared" si="13"/>
        <v>50</v>
      </c>
      <c r="AX694" s="113">
        <v>17</v>
      </c>
    </row>
    <row r="695" spans="1:50" x14ac:dyDescent="0.25">
      <c r="A695" s="95" t="s">
        <v>563</v>
      </c>
      <c r="B695" s="96">
        <v>2025</v>
      </c>
      <c r="C695" s="96">
        <v>16</v>
      </c>
      <c r="D695" s="96">
        <v>-0.56484100000000004</v>
      </c>
      <c r="E695" s="96">
        <v>-4.8277599999999997E-2</v>
      </c>
      <c r="F695" s="115">
        <v>-0.70968399999999998</v>
      </c>
      <c r="G695" s="115">
        <v>56.573099999999997</v>
      </c>
      <c r="H695" s="115">
        <v>8.48E-2</v>
      </c>
      <c r="I695" s="115">
        <v>340</v>
      </c>
      <c r="J695" s="115">
        <v>512</v>
      </c>
      <c r="K695" s="115">
        <v>0.66410000000000002</v>
      </c>
      <c r="L695" s="115">
        <v>1.5749</v>
      </c>
      <c r="M695" s="115">
        <v>3727</v>
      </c>
      <c r="N695" s="115">
        <v>7.2793000000000001</v>
      </c>
      <c r="O695" s="115">
        <v>26</v>
      </c>
      <c r="P695" s="115">
        <v>13</v>
      </c>
      <c r="Q695" s="115">
        <v>54</v>
      </c>
      <c r="R695" s="115">
        <v>71</v>
      </c>
      <c r="S695" s="115">
        <v>510</v>
      </c>
      <c r="T695" s="115">
        <v>7.1830999999999996</v>
      </c>
      <c r="U695" s="115">
        <v>2</v>
      </c>
      <c r="V695" s="115">
        <v>5.0799999999999998E-2</v>
      </c>
      <c r="W695" s="115">
        <v>2.5399999999999999E-2</v>
      </c>
      <c r="X695" s="115">
        <v>2.5399999999999999E-2</v>
      </c>
      <c r="Y695" s="115">
        <v>0.48730000000000001</v>
      </c>
      <c r="Z695" s="115">
        <v>94.099900000000005</v>
      </c>
      <c r="AA695" s="115">
        <v>5.9382000000000001</v>
      </c>
      <c r="AB695" s="115">
        <v>159.815</v>
      </c>
      <c r="AC695" s="115">
        <v>60.2</v>
      </c>
      <c r="AD695" s="115">
        <v>2.4199999999999999E-2</v>
      </c>
      <c r="AE695" s="115">
        <v>-2.3800000000000002E-2</v>
      </c>
      <c r="AF695" s="115">
        <v>2.24E-2</v>
      </c>
      <c r="AG695" s="115">
        <v>-2.1000000000000001E-2</v>
      </c>
      <c r="AH695" s="115">
        <v>1.7600000000000001E-2</v>
      </c>
      <c r="AI695" s="115">
        <v>-8.5000000000000006E-3</v>
      </c>
      <c r="AJ695" s="115">
        <v>8.0000000000000004E-4</v>
      </c>
      <c r="AK695" s="115">
        <v>7.8339999999999996</v>
      </c>
      <c r="AL695" s="115">
        <v>-1.0059</v>
      </c>
      <c r="AM695" s="115">
        <v>11</v>
      </c>
      <c r="AN695" s="115">
        <v>5</v>
      </c>
      <c r="AO695" s="115">
        <v>0</v>
      </c>
      <c r="AP695" s="115">
        <v>3</v>
      </c>
      <c r="AQ695" s="115">
        <v>5</v>
      </c>
      <c r="AR695" s="115">
        <v>0.6</v>
      </c>
      <c r="AS695" s="115">
        <v>2.3999999999999998E-3</v>
      </c>
      <c r="AT695" s="115">
        <v>1.6237999999999999</v>
      </c>
      <c r="AU695" s="114" t="str">
        <f>IF(A695&lt;&gt;"",INDEX(Index!$B$1:$B$77,MATCH($A695,Index!$A$1:$A$77,0)),"")</f>
        <v>LAC</v>
      </c>
      <c r="AV695" s="123" t="str">
        <f>IF(B695&lt;&gt;"",INDEX(Index!$C$1:$C$77,MATCH($A695,Index!$A$1:$A$77,0)),"")</f>
        <v>Herbert</v>
      </c>
      <c r="AW695" s="123">
        <f t="shared" si="13"/>
        <v>3</v>
      </c>
      <c r="AX695" s="113">
        <v>17</v>
      </c>
    </row>
    <row r="696" spans="1:50" x14ac:dyDescent="0.25">
      <c r="A696" s="95" t="s">
        <v>579</v>
      </c>
      <c r="B696" s="96">
        <v>2025</v>
      </c>
      <c r="C696" s="96">
        <v>13</v>
      </c>
      <c r="D696" s="96">
        <v>-0.602128</v>
      </c>
      <c r="E696" s="96">
        <v>2.7648900000000001E-2</v>
      </c>
      <c r="F696" s="115">
        <v>0.96677100000000005</v>
      </c>
      <c r="G696" s="115">
        <v>70.511799999999994</v>
      </c>
      <c r="H696" s="115">
        <v>0.14330000000000001</v>
      </c>
      <c r="I696" s="115">
        <v>259</v>
      </c>
      <c r="J696" s="115">
        <v>398</v>
      </c>
      <c r="K696" s="115">
        <v>0.65080000000000005</v>
      </c>
      <c r="L696" s="115">
        <v>0.60670000000000002</v>
      </c>
      <c r="M696" s="115">
        <v>2872</v>
      </c>
      <c r="N696" s="115">
        <v>7.2161</v>
      </c>
      <c r="O696" s="115">
        <v>18</v>
      </c>
      <c r="P696" s="115">
        <v>8</v>
      </c>
      <c r="Q696" s="115">
        <v>23</v>
      </c>
      <c r="R696" s="115">
        <v>34</v>
      </c>
      <c r="S696" s="115">
        <v>209</v>
      </c>
      <c r="T696" s="115">
        <v>6.1471</v>
      </c>
      <c r="U696" s="115">
        <v>0</v>
      </c>
      <c r="V696" s="115">
        <v>4.5199999999999997E-2</v>
      </c>
      <c r="W696" s="115">
        <v>2.01E-2</v>
      </c>
      <c r="X696" s="115">
        <v>2.5100000000000001E-2</v>
      </c>
      <c r="Y696" s="115">
        <v>0.47760000000000002</v>
      </c>
      <c r="Z696" s="115">
        <v>93.08</v>
      </c>
      <c r="AA696" s="115">
        <v>6.3728999999999996</v>
      </c>
      <c r="AB696" s="115">
        <v>162.95099999999999</v>
      </c>
      <c r="AC696" s="115">
        <v>61.9</v>
      </c>
      <c r="AD696" s="115">
        <v>1.1299999999999999E-2</v>
      </c>
      <c r="AE696" s="115">
        <v>2.4500000000000001E-2</v>
      </c>
      <c r="AF696" s="115">
        <v>1E-3</v>
      </c>
      <c r="AG696" s="115">
        <v>2.2599999999999999E-2</v>
      </c>
      <c r="AH696" s="115">
        <v>2.5999999999999999E-2</v>
      </c>
      <c r="AI696" s="115">
        <v>-1.8200000000000001E-2</v>
      </c>
      <c r="AJ696" s="115">
        <v>2.8999999999999998E-3</v>
      </c>
      <c r="AK696" s="115">
        <v>8.1883999999999997</v>
      </c>
      <c r="AL696" s="115">
        <v>-0.78139999999999998</v>
      </c>
      <c r="AM696" s="115">
        <v>8</v>
      </c>
      <c r="AN696" s="115">
        <v>5</v>
      </c>
      <c r="AO696" s="115">
        <v>0</v>
      </c>
      <c r="AP696" s="115">
        <v>0</v>
      </c>
      <c r="AQ696" s="115">
        <v>3</v>
      </c>
      <c r="AR696" s="115">
        <v>0</v>
      </c>
      <c r="AS696" s="115">
        <v>3.2000000000000002E-3</v>
      </c>
      <c r="AT696" s="115">
        <v>1.5971</v>
      </c>
      <c r="AU696" s="114" t="str">
        <f>IF(A696&lt;&gt;"",INDEX(Index!$B$1:$B$77,MATCH($A696,Index!$A$1:$A$77,0)),"")</f>
        <v>HOU</v>
      </c>
      <c r="AV696" s="123" t="str">
        <f>IF(B696&lt;&gt;"",INDEX(Index!$C$1:$C$77,MATCH($A696,Index!$A$1:$A$77,0)),"")</f>
        <v>Stroud</v>
      </c>
      <c r="AW696" s="123">
        <f t="shared" si="13"/>
        <v>22</v>
      </c>
      <c r="AX696" s="113">
        <v>17</v>
      </c>
    </row>
    <row r="697" spans="1:50" x14ac:dyDescent="0.25">
      <c r="A697" s="95" t="s">
        <v>596</v>
      </c>
      <c r="B697" s="96">
        <v>2025</v>
      </c>
      <c r="C697" s="96">
        <v>2</v>
      </c>
      <c r="D697" s="96">
        <v>-0.60226900000000005</v>
      </c>
      <c r="E697" s="96">
        <v>0.24723500000000001</v>
      </c>
      <c r="F697" s="115">
        <v>0.20761199999999999</v>
      </c>
      <c r="G697" s="115">
        <v>24.134699999999999</v>
      </c>
      <c r="H697" s="115">
        <v>0.30170000000000002</v>
      </c>
      <c r="I697" s="115">
        <v>37</v>
      </c>
      <c r="J697" s="115">
        <v>66</v>
      </c>
      <c r="K697" s="115">
        <v>0.56059999999999999</v>
      </c>
      <c r="L697" s="115">
        <v>-3.0971000000000002</v>
      </c>
      <c r="M697" s="115">
        <v>567</v>
      </c>
      <c r="N697" s="115">
        <v>8.5908999999999995</v>
      </c>
      <c r="O697" s="115">
        <v>2</v>
      </c>
      <c r="P697" s="115">
        <v>2</v>
      </c>
      <c r="Q697" s="115">
        <v>3</v>
      </c>
      <c r="R697" s="115">
        <v>5</v>
      </c>
      <c r="S697" s="115">
        <v>25</v>
      </c>
      <c r="T697" s="115">
        <v>5</v>
      </c>
      <c r="U697" s="115">
        <v>1</v>
      </c>
      <c r="V697" s="115">
        <v>3.0300000000000001E-2</v>
      </c>
      <c r="W697" s="115">
        <v>3.0300000000000001E-2</v>
      </c>
      <c r="X697" s="115">
        <v>0</v>
      </c>
      <c r="Y697" s="115">
        <v>0.46250000000000002</v>
      </c>
      <c r="Z697" s="115">
        <v>82.070700000000002</v>
      </c>
      <c r="AA697" s="115">
        <v>7.3333000000000004</v>
      </c>
      <c r="AB697" s="115">
        <v>178.09</v>
      </c>
      <c r="AC697" s="115">
        <v>68.599999999999994</v>
      </c>
      <c r="AD697" s="115">
        <v>2.3E-2</v>
      </c>
      <c r="AE697" s="115">
        <v>3.39E-2</v>
      </c>
      <c r="AF697" s="115">
        <v>-8.9700000000000002E-2</v>
      </c>
      <c r="AG697" s="115">
        <v>-3.1399999999999997E-2</v>
      </c>
      <c r="AH697" s="115">
        <v>0.29389999999999999</v>
      </c>
      <c r="AI697" s="115">
        <v>-3.44E-2</v>
      </c>
      <c r="AJ697" s="115">
        <v>3.3300000000000003E-2</v>
      </c>
      <c r="AK697" s="115">
        <v>9.3788</v>
      </c>
      <c r="AL697" s="115">
        <v>1.3938999999999999</v>
      </c>
      <c r="AM697" s="115">
        <v>0</v>
      </c>
      <c r="AN697" s="115">
        <v>3</v>
      </c>
      <c r="AO697" s="115">
        <v>0</v>
      </c>
      <c r="AP697" s="115">
        <v>0</v>
      </c>
      <c r="AQ697" s="115">
        <v>1</v>
      </c>
      <c r="AR697" s="115">
        <v>0</v>
      </c>
      <c r="AS697" s="115">
        <v>4.5999999999999999E-3</v>
      </c>
      <c r="AT697" s="115">
        <v>0.3664</v>
      </c>
      <c r="AU697" s="114" t="str">
        <f>IF(A697&lt;&gt;"",INDEX(Index!$B$1:$B$77,MATCH($A697,Index!$A$1:$A$77,0)),"")</f>
        <v>NYG</v>
      </c>
      <c r="AV697" s="123" t="str">
        <f>IF(B697&lt;&gt;"",INDEX(Index!$C$1:$C$77,MATCH($A697,Index!$A$1:$A$77,0)),"")</f>
        <v>Winston</v>
      </c>
      <c r="AW697" s="123">
        <f t="shared" si="13"/>
        <v>53</v>
      </c>
      <c r="AX697" s="113">
        <v>17</v>
      </c>
    </row>
    <row r="698" spans="1:50" x14ac:dyDescent="0.25">
      <c r="A698" s="95" t="s">
        <v>590</v>
      </c>
      <c r="B698" s="96">
        <v>2025</v>
      </c>
      <c r="C698" s="96">
        <v>11</v>
      </c>
      <c r="D698" s="96">
        <v>-0.64204600000000001</v>
      </c>
      <c r="E698" s="96">
        <v>-0.27751100000000001</v>
      </c>
      <c r="F698" s="115">
        <v>1.33731</v>
      </c>
      <c r="G698" s="115">
        <v>13.956</v>
      </c>
      <c r="H698" s="115">
        <v>2.5499999999999998E-2</v>
      </c>
      <c r="I698" s="115">
        <v>293</v>
      </c>
      <c r="J698" s="115">
        <v>453</v>
      </c>
      <c r="K698" s="115">
        <v>0.64680000000000004</v>
      </c>
      <c r="L698" s="115">
        <v>0.90190000000000003</v>
      </c>
      <c r="M698" s="115">
        <v>3123</v>
      </c>
      <c r="N698" s="115">
        <v>6.8940000000000001</v>
      </c>
      <c r="O698" s="115">
        <v>21</v>
      </c>
      <c r="P698" s="115">
        <v>7</v>
      </c>
      <c r="Q698" s="115">
        <v>37</v>
      </c>
      <c r="R698" s="115">
        <v>32</v>
      </c>
      <c r="S698" s="115">
        <v>150</v>
      </c>
      <c r="T698" s="115">
        <v>4.6875</v>
      </c>
      <c r="U698" s="115">
        <v>1</v>
      </c>
      <c r="V698" s="115">
        <v>4.6399999999999997E-2</v>
      </c>
      <c r="W698" s="115">
        <v>1.55E-2</v>
      </c>
      <c r="X698" s="115">
        <v>3.09E-2</v>
      </c>
      <c r="Y698" s="115">
        <v>0.4662</v>
      </c>
      <c r="Z698" s="115">
        <v>93.722399999999993</v>
      </c>
      <c r="AA698" s="115">
        <v>6.0673000000000004</v>
      </c>
      <c r="AB698" s="115">
        <v>182.32499999999999</v>
      </c>
      <c r="AC698" s="115">
        <v>41.3</v>
      </c>
      <c r="AD698" s="115">
        <v>-1.5800000000000002E-2</v>
      </c>
      <c r="AE698" s="115">
        <v>-3.1699999999999999E-2</v>
      </c>
      <c r="AF698" s="115">
        <v>-9.4000000000000004E-3</v>
      </c>
      <c r="AG698" s="115">
        <v>2.0400000000000001E-2</v>
      </c>
      <c r="AH698" s="115">
        <v>-3.32E-2</v>
      </c>
      <c r="AI698" s="115">
        <v>2.93E-2</v>
      </c>
      <c r="AJ698" s="115">
        <v>-7.3000000000000001E-3</v>
      </c>
      <c r="AK698" s="115">
        <v>7.649</v>
      </c>
      <c r="AL698" s="115">
        <v>-1.5563</v>
      </c>
      <c r="AM698" s="115">
        <v>2</v>
      </c>
      <c r="AN698" s="115">
        <v>11</v>
      </c>
      <c r="AO698" s="115">
        <v>0</v>
      </c>
      <c r="AP698" s="115">
        <v>0</v>
      </c>
      <c r="AQ698" s="115">
        <v>5</v>
      </c>
      <c r="AR698" s="115">
        <v>0</v>
      </c>
      <c r="AS698" s="115">
        <v>-1.1000000000000001E-3</v>
      </c>
      <c r="AT698" s="115">
        <v>-0.61639999999999995</v>
      </c>
      <c r="AU698" s="114" t="str">
        <f>IF(A698&lt;&gt;"",INDEX(Index!$B$1:$B$77,MATCH($A698,Index!$A$1:$A$77,0)),"")</f>
        <v>ARI</v>
      </c>
      <c r="AV698" s="123" t="str">
        <f>IF(B698&lt;&gt;"",INDEX(Index!$C$1:$C$77,MATCH($A698,Index!$A$1:$A$77,0)),"")</f>
        <v>Brissett</v>
      </c>
      <c r="AW698" s="123">
        <f t="shared" si="13"/>
        <v>7</v>
      </c>
      <c r="AX698" s="113">
        <v>17</v>
      </c>
    </row>
    <row r="699" spans="1:50" x14ac:dyDescent="0.25">
      <c r="A699" s="95" t="s">
        <v>573</v>
      </c>
      <c r="B699" s="96">
        <v>2025</v>
      </c>
      <c r="C699" s="96">
        <v>16</v>
      </c>
      <c r="D699" s="96">
        <v>-0.90995800000000004</v>
      </c>
      <c r="E699" s="96">
        <v>-0.475107</v>
      </c>
      <c r="F699" s="115">
        <v>-0.11515499999999999</v>
      </c>
      <c r="G699" s="115">
        <v>72.501300000000001</v>
      </c>
      <c r="H699" s="115">
        <v>0.14000000000000001</v>
      </c>
      <c r="I699" s="115">
        <v>303</v>
      </c>
      <c r="J699" s="115">
        <v>447</v>
      </c>
      <c r="K699" s="115">
        <v>0.67789999999999995</v>
      </c>
      <c r="L699" s="115">
        <v>5.1345999999999998</v>
      </c>
      <c r="M699" s="115">
        <v>3850</v>
      </c>
      <c r="N699" s="115">
        <v>8.6129999999999995</v>
      </c>
      <c r="O699" s="115">
        <v>25</v>
      </c>
      <c r="P699" s="115">
        <v>14</v>
      </c>
      <c r="Q699" s="115">
        <v>25</v>
      </c>
      <c r="R699" s="115">
        <v>18</v>
      </c>
      <c r="S699" s="115">
        <v>97</v>
      </c>
      <c r="T699" s="115">
        <v>5.3888999999999996</v>
      </c>
      <c r="U699" s="115">
        <v>0</v>
      </c>
      <c r="V699" s="115">
        <v>5.5899999999999998E-2</v>
      </c>
      <c r="W699" s="115">
        <v>3.1300000000000001E-2</v>
      </c>
      <c r="X699" s="115">
        <v>2.46E-2</v>
      </c>
      <c r="Y699" s="115">
        <v>0.52900000000000003</v>
      </c>
      <c r="Z699" s="115">
        <v>100.051</v>
      </c>
      <c r="AA699" s="115">
        <v>7.5232999999999999</v>
      </c>
      <c r="AB699" s="115">
        <v>165.22300000000001</v>
      </c>
      <c r="AC699" s="115">
        <v>58.3</v>
      </c>
      <c r="AD699" s="115">
        <v>-2.12E-2</v>
      </c>
      <c r="AE699" s="115">
        <v>-5.7000000000000002E-3</v>
      </c>
      <c r="AF699" s="115">
        <v>3.49E-2</v>
      </c>
      <c r="AG699" s="115">
        <v>-6.13E-2</v>
      </c>
      <c r="AH699" s="115">
        <v>8.0299999999999996E-2</v>
      </c>
      <c r="AI699" s="115">
        <v>4.0099999999999997E-2</v>
      </c>
      <c r="AJ699" s="115">
        <v>4.0000000000000002E-4</v>
      </c>
      <c r="AK699" s="115">
        <v>8.0939999999999994</v>
      </c>
      <c r="AL699" s="115">
        <v>-0.76729999999999998</v>
      </c>
      <c r="AM699" s="115">
        <v>13</v>
      </c>
      <c r="AN699" s="115">
        <v>3</v>
      </c>
      <c r="AO699" s="115">
        <v>0</v>
      </c>
      <c r="AP699" s="115">
        <v>2</v>
      </c>
      <c r="AQ699" s="115">
        <v>5</v>
      </c>
      <c r="AR699" s="115">
        <v>0.4</v>
      </c>
      <c r="AS699" s="115">
        <v>1.6999999999999999E-3</v>
      </c>
      <c r="AT699" s="115">
        <v>0.88819999999999999</v>
      </c>
      <c r="AU699" s="114" t="str">
        <f>IF(A699&lt;&gt;"",INDEX(Index!$B$1:$B$77,MATCH($A699,Index!$A$1:$A$77,0)),"")</f>
        <v>SEA</v>
      </c>
      <c r="AV699" s="123" t="str">
        <f>IF(B699&lt;&gt;"",INDEX(Index!$C$1:$C$77,MATCH($A699,Index!$A$1:$A$77,0)),"")</f>
        <v>Darnold</v>
      </c>
      <c r="AW699" s="123">
        <f t="shared" si="13"/>
        <v>21</v>
      </c>
      <c r="AX699" s="113">
        <v>17</v>
      </c>
    </row>
    <row r="700" spans="1:50" x14ac:dyDescent="0.25">
      <c r="A700" s="95" t="s">
        <v>577</v>
      </c>
      <c r="B700" s="96">
        <v>2025</v>
      </c>
      <c r="C700" s="96">
        <v>10</v>
      </c>
      <c r="D700" s="96">
        <v>-0.94467999999999996</v>
      </c>
      <c r="E700" s="96">
        <v>-0.397565</v>
      </c>
      <c r="F700" s="115">
        <v>5.2841800000000001E-2</v>
      </c>
      <c r="G700" s="115">
        <v>-35.343000000000004</v>
      </c>
      <c r="H700" s="115">
        <v>-7.5700000000000003E-2</v>
      </c>
      <c r="I700" s="115">
        <v>251</v>
      </c>
      <c r="J700" s="115">
        <v>412</v>
      </c>
      <c r="K700" s="115">
        <v>0.60919999999999996</v>
      </c>
      <c r="L700" s="115">
        <v>-2.8235000000000001</v>
      </c>
      <c r="M700" s="115">
        <v>2479</v>
      </c>
      <c r="N700" s="115">
        <v>6.0170000000000003</v>
      </c>
      <c r="O700" s="115">
        <v>15</v>
      </c>
      <c r="P700" s="115">
        <v>10</v>
      </c>
      <c r="Q700" s="115">
        <v>18</v>
      </c>
      <c r="R700" s="115">
        <v>11</v>
      </c>
      <c r="S700" s="115">
        <v>50</v>
      </c>
      <c r="T700" s="115">
        <v>4.5454999999999997</v>
      </c>
      <c r="U700" s="115">
        <v>1</v>
      </c>
      <c r="V700" s="115">
        <v>3.6400000000000002E-2</v>
      </c>
      <c r="W700" s="115">
        <v>2.4299999999999999E-2</v>
      </c>
      <c r="X700" s="115">
        <v>1.21E-2</v>
      </c>
      <c r="Y700" s="115">
        <v>0.42830000000000001</v>
      </c>
      <c r="Z700" s="115">
        <v>79.945400000000006</v>
      </c>
      <c r="AA700" s="115">
        <v>5.1418999999999997</v>
      </c>
      <c r="AB700" s="115">
        <v>138.00299999999999</v>
      </c>
      <c r="AC700" s="115">
        <v>40.9</v>
      </c>
      <c r="AD700" s="115">
        <v>-1.4999999999999999E-2</v>
      </c>
      <c r="AE700" s="115">
        <v>1.09E-2</v>
      </c>
      <c r="AF700" s="115">
        <v>-4.1799999999999997E-2</v>
      </c>
      <c r="AG700" s="115">
        <v>-2.6499999999999999E-2</v>
      </c>
      <c r="AH700" s="115">
        <v>-5.91E-2</v>
      </c>
      <c r="AI700" s="115">
        <v>-1.3299999999999999E-2</v>
      </c>
      <c r="AJ700" s="115">
        <v>-3.8999999999999998E-3</v>
      </c>
      <c r="AK700" s="115">
        <v>7.3981000000000003</v>
      </c>
      <c r="AL700" s="115">
        <v>-1.5607</v>
      </c>
      <c r="AM700" s="115">
        <v>4</v>
      </c>
      <c r="AN700" s="115">
        <v>8</v>
      </c>
      <c r="AO700" s="115">
        <v>0</v>
      </c>
      <c r="AP700" s="115">
        <v>2</v>
      </c>
      <c r="AQ700" s="115">
        <v>6</v>
      </c>
      <c r="AR700" s="115">
        <v>0.33329999999999999</v>
      </c>
      <c r="AS700" s="115">
        <v>-2.0999999999999999E-3</v>
      </c>
      <c r="AT700" s="115">
        <v>-0.9879</v>
      </c>
      <c r="AU700" s="114" t="str">
        <f>IF(A700&lt;&gt;"",INDEX(Index!$B$1:$B$77,MATCH($A700,Index!$A$1:$A$77,0)),"")</f>
        <v>CIN</v>
      </c>
      <c r="AV700" s="123" t="str">
        <f>IF(B700&lt;&gt;"",INDEX(Index!$C$1:$C$77,MATCH($A700,Index!$A$1:$A$77,0)),"")</f>
        <v>Flacco</v>
      </c>
      <c r="AW700" s="123">
        <f t="shared" si="13"/>
        <v>29</v>
      </c>
      <c r="AX700" s="113">
        <v>17</v>
      </c>
    </row>
    <row r="701" spans="1:50" x14ac:dyDescent="0.25">
      <c r="A701" s="95" t="s">
        <v>592</v>
      </c>
      <c r="B701" s="96">
        <v>2025</v>
      </c>
      <c r="C701" s="96">
        <v>2</v>
      </c>
      <c r="D701" s="96">
        <v>-0.989923</v>
      </c>
      <c r="E701" s="96">
        <v>0.30007600000000001</v>
      </c>
      <c r="F701" s="115">
        <v>0.66705899999999996</v>
      </c>
      <c r="G701" s="115">
        <v>16.766500000000001</v>
      </c>
      <c r="H701" s="115">
        <v>0.17469999999999999</v>
      </c>
      <c r="I701" s="115">
        <v>52</v>
      </c>
      <c r="J701" s="115">
        <v>66</v>
      </c>
      <c r="K701" s="115">
        <v>0.78790000000000004</v>
      </c>
      <c r="L701" s="115">
        <v>12.930899999999999</v>
      </c>
      <c r="M701" s="115">
        <v>426</v>
      </c>
      <c r="N701" s="115">
        <v>6.4545000000000003</v>
      </c>
      <c r="O701" s="115">
        <v>2</v>
      </c>
      <c r="P701" s="115">
        <v>0</v>
      </c>
      <c r="Q701" s="115">
        <v>8</v>
      </c>
      <c r="R701" s="115">
        <v>19</v>
      </c>
      <c r="S701" s="115">
        <v>156</v>
      </c>
      <c r="T701" s="115">
        <v>8.2104999999999997</v>
      </c>
      <c r="U701" s="115">
        <v>0</v>
      </c>
      <c r="V701" s="115">
        <v>3.0300000000000001E-2</v>
      </c>
      <c r="W701" s="115">
        <v>0</v>
      </c>
      <c r="X701" s="115">
        <v>3.0300000000000001E-2</v>
      </c>
      <c r="Y701" s="115">
        <v>0.52080000000000004</v>
      </c>
      <c r="Z701" s="115">
        <v>103.66200000000001</v>
      </c>
      <c r="AA701" s="115">
        <v>5.7838000000000003</v>
      </c>
      <c r="AB701" s="115">
        <v>227.73699999999999</v>
      </c>
      <c r="AC701" s="115">
        <v>81</v>
      </c>
      <c r="AD701" s="115">
        <v>0.11849999999999999</v>
      </c>
      <c r="AE701" s="115">
        <v>7.6E-3</v>
      </c>
      <c r="AF701" s="115">
        <v>8.1299999999999997E-2</v>
      </c>
      <c r="AG701" s="115">
        <v>7.8700000000000006E-2</v>
      </c>
      <c r="AH701" s="115">
        <v>-4.87E-2</v>
      </c>
      <c r="AI701" s="115">
        <v>-0.1148</v>
      </c>
      <c r="AJ701" s="115">
        <v>-1.8499999999999999E-2</v>
      </c>
      <c r="AK701" s="115">
        <v>6.5</v>
      </c>
      <c r="AL701" s="115">
        <v>-3.0303</v>
      </c>
      <c r="AM701" s="115">
        <v>2</v>
      </c>
      <c r="AN701" s="115">
        <v>2</v>
      </c>
      <c r="AO701" s="115">
        <v>0</v>
      </c>
      <c r="AP701" s="115">
        <v>0</v>
      </c>
      <c r="AQ701" s="115">
        <v>1</v>
      </c>
      <c r="AR701" s="115">
        <v>0</v>
      </c>
      <c r="AS701" s="115">
        <v>4.1000000000000003E-3</v>
      </c>
      <c r="AT701" s="115">
        <v>0.39250000000000002</v>
      </c>
      <c r="AU701" s="114" t="str">
        <f>IF(A701&lt;&gt;"",INDEX(Index!$B$1:$B$77,MATCH($A701,Index!$A$1:$A$77,0)),"")</f>
        <v>BAL</v>
      </c>
      <c r="AV701" s="123" t="str">
        <f>IF(B701&lt;&gt;"",INDEX(Index!$C$1:$C$77,MATCH($A701,Index!$A$1:$A$77,0)),"")</f>
        <v>Huntley</v>
      </c>
      <c r="AW701" s="123">
        <f t="shared" si="13"/>
        <v>45</v>
      </c>
      <c r="AX701" s="113">
        <v>17</v>
      </c>
    </row>
    <row r="702" spans="1:50" x14ac:dyDescent="0.25">
      <c r="A702" s="95" t="s">
        <v>594</v>
      </c>
      <c r="B702" s="96">
        <v>2025</v>
      </c>
      <c r="C702" s="96">
        <v>8</v>
      </c>
      <c r="D702" s="96">
        <v>-1.09829</v>
      </c>
      <c r="E702" s="96">
        <v>0.60227600000000003</v>
      </c>
      <c r="F702" s="115">
        <v>1.3983099999999999</v>
      </c>
      <c r="G702" s="115">
        <v>10.9666</v>
      </c>
      <c r="H702" s="115">
        <v>3.0099999999999998E-2</v>
      </c>
      <c r="I702" s="115">
        <v>198</v>
      </c>
      <c r="J702" s="115">
        <v>289</v>
      </c>
      <c r="K702" s="115">
        <v>0.68510000000000004</v>
      </c>
      <c r="L702" s="115">
        <v>2.0074000000000001</v>
      </c>
      <c r="M702" s="115">
        <v>2125</v>
      </c>
      <c r="N702" s="115">
        <v>7.3529</v>
      </c>
      <c r="O702" s="115">
        <v>9</v>
      </c>
      <c r="P702" s="115">
        <v>5</v>
      </c>
      <c r="Q702" s="115">
        <v>27</v>
      </c>
      <c r="R702" s="115">
        <v>34</v>
      </c>
      <c r="S702" s="115">
        <v>163</v>
      </c>
      <c r="T702" s="115">
        <v>4.7941000000000003</v>
      </c>
      <c r="U702" s="115">
        <v>2</v>
      </c>
      <c r="V702" s="115">
        <v>3.1099999999999999E-2</v>
      </c>
      <c r="W702" s="115">
        <v>1.7299999999999999E-2</v>
      </c>
      <c r="X702" s="115">
        <v>1.38E-2</v>
      </c>
      <c r="Y702" s="115">
        <v>0.45600000000000002</v>
      </c>
      <c r="Z702" s="115">
        <v>92.985900000000001</v>
      </c>
      <c r="AA702" s="115">
        <v>6.0506000000000002</v>
      </c>
      <c r="AB702" s="115">
        <v>164.54900000000001</v>
      </c>
      <c r="AC702" s="115">
        <v>48.3</v>
      </c>
      <c r="AD702" s="115">
        <v>-2E-3</v>
      </c>
      <c r="AE702" s="115">
        <v>-4.5199999999999997E-2</v>
      </c>
      <c r="AF702" s="115">
        <v>5.1200000000000002E-2</v>
      </c>
      <c r="AG702" s="115">
        <v>2.3199999999999998E-2</v>
      </c>
      <c r="AH702" s="115">
        <v>-6.0000000000000001E-3</v>
      </c>
      <c r="AI702" s="115">
        <v>-4.0399999999999998E-2</v>
      </c>
      <c r="AJ702" s="115">
        <v>-2.3900000000000001E-2</v>
      </c>
      <c r="AK702" s="115">
        <v>8.4014000000000006</v>
      </c>
      <c r="AL702" s="115">
        <v>-0.55020000000000002</v>
      </c>
      <c r="AM702" s="115">
        <v>5</v>
      </c>
      <c r="AN702" s="115">
        <v>5</v>
      </c>
      <c r="AO702" s="115">
        <v>0</v>
      </c>
      <c r="AP702" s="115">
        <v>2</v>
      </c>
      <c r="AQ702" s="115">
        <v>3</v>
      </c>
      <c r="AR702" s="115">
        <v>0.66669999999999996</v>
      </c>
      <c r="AS702" s="115">
        <v>4.1999999999999997E-3</v>
      </c>
      <c r="AT702" s="115">
        <v>1.5346</v>
      </c>
      <c r="AU702" s="114" t="str">
        <f>IF(A702&lt;&gt;"",INDEX(Index!$B$1:$B$77,MATCH($A702,Index!$A$1:$A$77,0)),"")</f>
        <v>NO</v>
      </c>
      <c r="AV702" s="123" t="str">
        <f>IF(B702&lt;&gt;"",INDEX(Index!$C$1:$C$77,MATCH($A702,Index!$A$1:$A$77,0)),"")</f>
        <v>Shough</v>
      </c>
      <c r="AW702" s="123">
        <f t="shared" si="13"/>
        <v>16</v>
      </c>
      <c r="AX702" s="113">
        <v>17</v>
      </c>
    </row>
    <row r="703" spans="1:50" x14ac:dyDescent="0.25">
      <c r="A703" s="95" t="s">
        <v>583</v>
      </c>
      <c r="B703" s="96">
        <v>2025</v>
      </c>
      <c r="C703" s="96">
        <v>9</v>
      </c>
      <c r="D703" s="96">
        <v>-1.1552899999999999</v>
      </c>
      <c r="E703" s="96">
        <v>-0.33505600000000002</v>
      </c>
      <c r="F703" s="115">
        <v>0.111455</v>
      </c>
      <c r="G703" s="115">
        <v>11.5778</v>
      </c>
      <c r="H703" s="115">
        <v>3.8100000000000002E-2</v>
      </c>
      <c r="I703" s="115">
        <v>139</v>
      </c>
      <c r="J703" s="115">
        <v>225</v>
      </c>
      <c r="K703" s="115">
        <v>0.61780000000000002</v>
      </c>
      <c r="L703" s="115">
        <v>3.1970999999999998</v>
      </c>
      <c r="M703" s="115">
        <v>1695</v>
      </c>
      <c r="N703" s="115">
        <v>7.5332999999999997</v>
      </c>
      <c r="O703" s="115">
        <v>10</v>
      </c>
      <c r="P703" s="115">
        <v>7</v>
      </c>
      <c r="Q703" s="115">
        <v>16</v>
      </c>
      <c r="R703" s="115">
        <v>44</v>
      </c>
      <c r="S703" s="115">
        <v>303</v>
      </c>
      <c r="T703" s="115">
        <v>6.8864000000000001</v>
      </c>
      <c r="U703" s="115">
        <v>1</v>
      </c>
      <c r="V703" s="115">
        <v>4.4400000000000002E-2</v>
      </c>
      <c r="W703" s="115">
        <v>3.1099999999999999E-2</v>
      </c>
      <c r="X703" s="115">
        <v>1.3299999999999999E-2</v>
      </c>
      <c r="Y703" s="115">
        <v>0.48680000000000001</v>
      </c>
      <c r="Z703" s="115">
        <v>86.805599999999998</v>
      </c>
      <c r="AA703" s="115">
        <v>6.1120000000000001</v>
      </c>
      <c r="AB703" s="115">
        <v>152.57900000000001</v>
      </c>
      <c r="AC703" s="115">
        <v>49.8</v>
      </c>
      <c r="AD703" s="115">
        <v>-8.6E-3</v>
      </c>
      <c r="AE703" s="115">
        <v>3.0999999999999999E-3</v>
      </c>
      <c r="AF703" s="115">
        <v>-2.0199999999999999E-2</v>
      </c>
      <c r="AG703" s="115">
        <v>-4.3099999999999999E-2</v>
      </c>
      <c r="AH703" s="115">
        <v>0.1193</v>
      </c>
      <c r="AI703" s="115">
        <v>-8.2500000000000004E-2</v>
      </c>
      <c r="AJ703" s="115">
        <v>-3.0000000000000001E-3</v>
      </c>
      <c r="AK703" s="115">
        <v>10.195600000000001</v>
      </c>
      <c r="AL703" s="115">
        <v>1.1867000000000001</v>
      </c>
      <c r="AM703" s="115">
        <v>2</v>
      </c>
      <c r="AN703" s="115">
        <v>8</v>
      </c>
      <c r="AO703" s="115">
        <v>0</v>
      </c>
      <c r="AP703" s="115">
        <v>0</v>
      </c>
      <c r="AQ703" s="115">
        <v>1</v>
      </c>
      <c r="AR703" s="115">
        <v>0</v>
      </c>
      <c r="AS703" s="115">
        <v>8.9999999999999998E-4</v>
      </c>
      <c r="AT703" s="115">
        <v>0.2651</v>
      </c>
      <c r="AU703" s="114" t="str">
        <f>IF(A703&lt;&gt;"",INDEX(Index!$B$1:$B$77,MATCH($A703,Index!$A$1:$A$77,0)),"")</f>
        <v>WAS</v>
      </c>
      <c r="AV703" s="123" t="str">
        <f>IF(B703&lt;&gt;"",INDEX(Index!$C$1:$C$77,MATCH($A703,Index!$A$1:$A$77,0)),"")</f>
        <v>Mariota</v>
      </c>
      <c r="AW703" s="123">
        <f t="shared" si="13"/>
        <v>35</v>
      </c>
      <c r="AX703" s="113">
        <v>17</v>
      </c>
    </row>
    <row r="704" spans="1:50" x14ac:dyDescent="0.25">
      <c r="A704" s="95" t="s">
        <v>569</v>
      </c>
      <c r="B704" s="96">
        <v>2025</v>
      </c>
      <c r="C704" s="96">
        <v>9</v>
      </c>
      <c r="D704" s="96">
        <v>-1.17744</v>
      </c>
      <c r="E704" s="96">
        <v>0.21746399999999999</v>
      </c>
      <c r="F704" s="115">
        <v>-1.01745</v>
      </c>
      <c r="G704" s="115">
        <v>-10.984999999999999</v>
      </c>
      <c r="H704" s="115">
        <v>-3.5999999999999997E-2</v>
      </c>
      <c r="I704" s="115">
        <v>128</v>
      </c>
      <c r="J704" s="115">
        <v>202</v>
      </c>
      <c r="K704" s="115">
        <v>0.63370000000000004</v>
      </c>
      <c r="L704" s="115">
        <v>-1.8688</v>
      </c>
      <c r="M704" s="115">
        <v>1242</v>
      </c>
      <c r="N704" s="115">
        <v>6.1485000000000003</v>
      </c>
      <c r="O704" s="115">
        <v>7</v>
      </c>
      <c r="P704" s="115">
        <v>1</v>
      </c>
      <c r="Q704" s="115">
        <v>27</v>
      </c>
      <c r="R704" s="115">
        <v>65</v>
      </c>
      <c r="S704" s="115">
        <v>387</v>
      </c>
      <c r="T704" s="115">
        <v>5.9538000000000002</v>
      </c>
      <c r="U704" s="115">
        <v>4</v>
      </c>
      <c r="V704" s="115">
        <v>3.4700000000000002E-2</v>
      </c>
      <c r="W704" s="115">
        <v>5.0000000000000001E-3</v>
      </c>
      <c r="X704" s="115">
        <v>2.9700000000000001E-2</v>
      </c>
      <c r="Y704" s="115">
        <v>0.44919999999999999</v>
      </c>
      <c r="Z704" s="115">
        <v>89.995900000000006</v>
      </c>
      <c r="AA704" s="115">
        <v>5</v>
      </c>
      <c r="AB704" s="115">
        <v>128.06</v>
      </c>
      <c r="AC704" s="115">
        <v>38.1</v>
      </c>
      <c r="AD704" s="115">
        <v>1.9099999999999999E-2</v>
      </c>
      <c r="AE704" s="115">
        <v>-3.32E-2</v>
      </c>
      <c r="AF704" s="115">
        <v>3.1800000000000002E-2</v>
      </c>
      <c r="AG704" s="115">
        <v>6.0999999999999999E-2</v>
      </c>
      <c r="AH704" s="115">
        <v>-4.8599999999999997E-2</v>
      </c>
      <c r="AI704" s="115">
        <v>-0.1096</v>
      </c>
      <c r="AJ704" s="115">
        <v>-2.9600000000000001E-2</v>
      </c>
      <c r="AK704" s="115">
        <v>6.8266999999999998</v>
      </c>
      <c r="AL704" s="115">
        <v>-2.1484999999999999</v>
      </c>
      <c r="AM704" s="115">
        <v>2</v>
      </c>
      <c r="AN704" s="115">
        <v>7</v>
      </c>
      <c r="AO704" s="115">
        <v>0</v>
      </c>
      <c r="AP704" s="115">
        <v>1</v>
      </c>
      <c r="AQ704" s="115">
        <v>4</v>
      </c>
      <c r="AR704" s="115">
        <v>0.25</v>
      </c>
      <c r="AS704" s="115">
        <v>-4.0000000000000001E-3</v>
      </c>
      <c r="AT704" s="115">
        <v>-1.2298</v>
      </c>
      <c r="AU704" s="114" t="str">
        <f>IF(A704&lt;&gt;"",INDEX(Index!$B$1:$B$77,MATCH($A704,Index!$A$1:$A$77,0)),"")</f>
        <v>NYJ</v>
      </c>
      <c r="AV704" s="123" t="str">
        <f>IF(B704&lt;&gt;"",INDEX(Index!$C$1:$C$77,MATCH($A704,Index!$A$1:$A$77,0)),"")</f>
        <v>Fields</v>
      </c>
      <c r="AW704" s="123">
        <f t="shared" si="13"/>
        <v>16</v>
      </c>
      <c r="AX704" s="113">
        <v>17</v>
      </c>
    </row>
    <row r="705" spans="1:50" x14ac:dyDescent="0.25">
      <c r="A705" s="95" t="s">
        <v>605</v>
      </c>
      <c r="B705" s="96">
        <v>2025</v>
      </c>
      <c r="C705" s="96">
        <v>1</v>
      </c>
      <c r="D705" s="96">
        <v>-1.2985599999999999</v>
      </c>
      <c r="E705" s="96">
        <v>1.18608</v>
      </c>
      <c r="F705" s="115">
        <v>1.18608</v>
      </c>
      <c r="G705" s="115">
        <v>41.048099999999998</v>
      </c>
      <c r="H705" s="115">
        <v>0.73299999999999998</v>
      </c>
      <c r="I705" s="115">
        <v>30</v>
      </c>
      <c r="J705" s="115">
        <v>35</v>
      </c>
      <c r="K705" s="115">
        <v>0.85709999999999997</v>
      </c>
      <c r="L705" s="115">
        <v>21.9849</v>
      </c>
      <c r="M705" s="115">
        <v>422</v>
      </c>
      <c r="N705" s="115">
        <v>12.0571</v>
      </c>
      <c r="O705" s="115">
        <v>3</v>
      </c>
      <c r="P705" s="115">
        <v>0</v>
      </c>
      <c r="Q705" s="115">
        <v>3</v>
      </c>
      <c r="R705" s="115">
        <v>16</v>
      </c>
      <c r="S705" s="115">
        <v>127</v>
      </c>
      <c r="T705" s="115">
        <v>7.9375</v>
      </c>
      <c r="U705" s="115">
        <v>2</v>
      </c>
      <c r="V705" s="115">
        <v>8.5699999999999998E-2</v>
      </c>
      <c r="W705" s="115">
        <v>0</v>
      </c>
      <c r="X705" s="115">
        <v>8.5699999999999998E-2</v>
      </c>
      <c r="Y705" s="115">
        <v>0.69640000000000002</v>
      </c>
      <c r="Z705" s="115">
        <v>145.476</v>
      </c>
      <c r="AA705" s="115">
        <v>12.2895</v>
      </c>
      <c r="AB705" s="115">
        <v>466.24</v>
      </c>
      <c r="AC705" s="115">
        <v>93.5</v>
      </c>
      <c r="AD705" s="115">
        <v>0.1915</v>
      </c>
      <c r="AE705" s="115">
        <v>4.3099999999999999E-2</v>
      </c>
      <c r="AF705" s="115">
        <v>0.1709</v>
      </c>
      <c r="AG705" s="115">
        <v>7.8700000000000006E-2</v>
      </c>
      <c r="AH705" s="115">
        <v>0.25580000000000003</v>
      </c>
      <c r="AI705" s="115">
        <v>-6.7000000000000004E-2</v>
      </c>
      <c r="AJ705" s="115">
        <v>-1.29E-2</v>
      </c>
      <c r="AK705" s="115">
        <v>10.1143</v>
      </c>
      <c r="AL705" s="115">
        <v>1.6286</v>
      </c>
      <c r="AM705" s="115">
        <v>2</v>
      </c>
      <c r="AN705" s="115">
        <v>2</v>
      </c>
      <c r="AO705" s="115">
        <v>0</v>
      </c>
      <c r="AP705" s="115">
        <v>0</v>
      </c>
      <c r="AQ705" s="115">
        <v>0</v>
      </c>
      <c r="AR705" s="115"/>
      <c r="AS705" s="115">
        <v>2.07E-2</v>
      </c>
      <c r="AT705" s="115">
        <v>1.1594</v>
      </c>
      <c r="AU705" s="114" t="str">
        <f>IF(A705&lt;&gt;"",INDEX(Index!$B$1:$B$77,MATCH($A705,Index!$A$1:$A$77,0)),"")</f>
        <v>GB</v>
      </c>
      <c r="AV705" s="123" t="str">
        <f>IF(B705&lt;&gt;"",INDEX(Index!$C$1:$C$77,MATCH($A705,Index!$A$1:$A$77,0)),"")</f>
        <v>Willis</v>
      </c>
      <c r="AW705" s="123">
        <f t="shared" si="13"/>
        <v>53</v>
      </c>
      <c r="AX705" s="113">
        <v>17</v>
      </c>
    </row>
    <row r="706" spans="1:50" x14ac:dyDescent="0.25">
      <c r="A706" s="95" t="s">
        <v>595</v>
      </c>
      <c r="B706" s="96">
        <v>2025</v>
      </c>
      <c r="C706" s="96">
        <v>3</v>
      </c>
      <c r="D706" s="96">
        <v>-1.36273</v>
      </c>
      <c r="E706" s="96">
        <v>0.156083</v>
      </c>
      <c r="F706" s="115">
        <v>0.53834000000000004</v>
      </c>
      <c r="G706" s="115">
        <v>-5.3174000000000001</v>
      </c>
      <c r="H706" s="115">
        <v>-3.0700000000000002E-2</v>
      </c>
      <c r="I706" s="115">
        <v>88</v>
      </c>
      <c r="J706" s="115">
        <v>150</v>
      </c>
      <c r="K706" s="115">
        <v>0.5867</v>
      </c>
      <c r="L706" s="115">
        <v>-5.2324999999999999</v>
      </c>
      <c r="M706" s="115">
        <v>879</v>
      </c>
      <c r="N706" s="115">
        <v>5.86</v>
      </c>
      <c r="O706" s="115">
        <v>5</v>
      </c>
      <c r="P706" s="115">
        <v>1</v>
      </c>
      <c r="Q706" s="115">
        <v>8</v>
      </c>
      <c r="R706" s="115">
        <v>8</v>
      </c>
      <c r="S706" s="115">
        <v>51</v>
      </c>
      <c r="T706" s="115">
        <v>6.375</v>
      </c>
      <c r="U706" s="115">
        <v>1</v>
      </c>
      <c r="V706" s="115">
        <v>3.3300000000000003E-2</v>
      </c>
      <c r="W706" s="115">
        <v>6.7000000000000002E-3</v>
      </c>
      <c r="X706" s="115">
        <v>2.6700000000000002E-2</v>
      </c>
      <c r="Y706" s="115">
        <v>0.41620000000000001</v>
      </c>
      <c r="Z706" s="115">
        <v>83.722200000000001</v>
      </c>
      <c r="AA706" s="115">
        <v>5.5316000000000001</v>
      </c>
      <c r="AB706" s="115">
        <v>178.798</v>
      </c>
      <c r="AC706" s="115"/>
      <c r="AD706" s="115">
        <v>-9.1000000000000004E-3</v>
      </c>
      <c r="AE706" s="115">
        <v>1.46E-2</v>
      </c>
      <c r="AF706" s="115">
        <v>-6.6500000000000004E-2</v>
      </c>
      <c r="AG706" s="115">
        <v>4.6699999999999998E-2</v>
      </c>
      <c r="AH706" s="115">
        <v>0.10639999999999999</v>
      </c>
      <c r="AI706" s="115">
        <v>-0.18379999999999999</v>
      </c>
      <c r="AJ706" s="115">
        <v>-1.21E-2</v>
      </c>
      <c r="AK706" s="115">
        <v>8.7066999999999997</v>
      </c>
      <c r="AL706" s="115">
        <v>-0.16669999999999999</v>
      </c>
      <c r="AM706" s="115">
        <v>4</v>
      </c>
      <c r="AN706" s="115">
        <v>1</v>
      </c>
      <c r="AO706" s="115">
        <v>0</v>
      </c>
      <c r="AP706" s="115">
        <v>1</v>
      </c>
      <c r="AQ706" s="115">
        <v>1</v>
      </c>
      <c r="AR706" s="115">
        <v>1</v>
      </c>
      <c r="AS706" s="115">
        <v>8.0000000000000004E-4</v>
      </c>
      <c r="AT706" s="115">
        <v>0.1444</v>
      </c>
      <c r="AU706" s="114" t="str">
        <f>IF(A706&lt;&gt;"",INDEX(Index!$B$1:$B$77,MATCH($A706,Index!$A$1:$A$77,0)),"")</f>
        <v>HOU</v>
      </c>
      <c r="AV706" s="123" t="str">
        <f>IF(B706&lt;&gt;"",INDEX(Index!$C$1:$C$77,MATCH($A706,Index!$A$1:$A$77,0)),"")</f>
        <v>Mills</v>
      </c>
      <c r="AW706" s="123">
        <f t="shared" si="13"/>
        <v>45</v>
      </c>
      <c r="AX706" s="113">
        <v>17</v>
      </c>
    </row>
    <row r="707" spans="1:50" x14ac:dyDescent="0.25">
      <c r="A707" s="95" t="s">
        <v>597</v>
      </c>
      <c r="B707" s="96">
        <v>2025</v>
      </c>
      <c r="C707" s="96">
        <v>1</v>
      </c>
      <c r="D707" s="96">
        <v>-1.37293</v>
      </c>
      <c r="E707" s="96">
        <v>-9.4016100000000005E-2</v>
      </c>
      <c r="F707" s="115">
        <v>-9.4016100000000005E-2</v>
      </c>
      <c r="G707" s="115">
        <v>6.1036999999999999</v>
      </c>
      <c r="H707" s="115">
        <v>0.10009999999999999</v>
      </c>
      <c r="I707" s="115">
        <v>38</v>
      </c>
      <c r="J707" s="115">
        <v>52</v>
      </c>
      <c r="K707" s="115">
        <v>0.73080000000000001</v>
      </c>
      <c r="L707" s="115">
        <v>5.7622999999999998</v>
      </c>
      <c r="M707" s="115">
        <v>310</v>
      </c>
      <c r="N707" s="115">
        <v>5.9615</v>
      </c>
      <c r="O707" s="115">
        <v>2</v>
      </c>
      <c r="P707" s="115">
        <v>2</v>
      </c>
      <c r="Q707" s="115">
        <v>2</v>
      </c>
      <c r="R707" s="115">
        <v>3</v>
      </c>
      <c r="S707" s="115">
        <v>7</v>
      </c>
      <c r="T707" s="115">
        <v>2.3332999999999999</v>
      </c>
      <c r="U707" s="115">
        <v>0</v>
      </c>
      <c r="V707" s="115">
        <v>3.85E-2</v>
      </c>
      <c r="W707" s="115">
        <v>3.85E-2</v>
      </c>
      <c r="X707" s="115">
        <v>0</v>
      </c>
      <c r="Y707" s="115">
        <v>0.52459999999999996</v>
      </c>
      <c r="Z707" s="115">
        <v>84.615399999999994</v>
      </c>
      <c r="AA707" s="115">
        <v>4.5926</v>
      </c>
      <c r="AB707" s="115">
        <v>110.53400000000001</v>
      </c>
      <c r="AC707" s="115"/>
      <c r="AD707" s="115">
        <v>-8.6E-3</v>
      </c>
      <c r="AE707" s="115">
        <v>-3.2000000000000002E-3</v>
      </c>
      <c r="AF707" s="115">
        <v>0.1328</v>
      </c>
      <c r="AG707" s="115">
        <v>-5.5E-2</v>
      </c>
      <c r="AH707" s="115">
        <v>-0.36459999999999998</v>
      </c>
      <c r="AI707" s="115">
        <v>0.311</v>
      </c>
      <c r="AJ707" s="115">
        <v>1.47E-2</v>
      </c>
      <c r="AK707" s="115">
        <v>5.2308000000000003</v>
      </c>
      <c r="AL707" s="115">
        <v>-2.9037999999999999</v>
      </c>
      <c r="AM707" s="115">
        <v>1</v>
      </c>
      <c r="AN707" s="115">
        <v>3</v>
      </c>
      <c r="AO707" s="115">
        <v>0</v>
      </c>
      <c r="AP707" s="115">
        <v>0</v>
      </c>
      <c r="AQ707" s="115">
        <v>1</v>
      </c>
      <c r="AR707" s="115">
        <v>0</v>
      </c>
      <c r="AS707" s="115">
        <v>-3.8E-3</v>
      </c>
      <c r="AT707" s="115">
        <v>-0.2298</v>
      </c>
      <c r="AU707" s="114" t="str">
        <f>IF(A707&lt;&gt;"",INDEX(Index!$B$1:$B$77,MATCH($A707,Index!$A$1:$A$77,0)),"")</f>
        <v>PIT</v>
      </c>
      <c r="AV707" s="123" t="str">
        <f>IF(B707&lt;&gt;"",INDEX(Index!$C$1:$C$77,MATCH($A707,Index!$A$1:$A$77,0)),"")</f>
        <v>Rudolph</v>
      </c>
      <c r="AW707" s="123">
        <f t="shared" si="13"/>
        <v>55</v>
      </c>
      <c r="AX707" s="113">
        <v>17</v>
      </c>
    </row>
    <row r="708" spans="1:50" x14ac:dyDescent="0.25">
      <c r="A708" s="95" t="s">
        <v>576</v>
      </c>
      <c r="B708" s="96">
        <v>2025</v>
      </c>
      <c r="C708" s="96">
        <v>15</v>
      </c>
      <c r="D708" s="96">
        <v>-1.39452</v>
      </c>
      <c r="E708" s="96">
        <v>-0.39852700000000002</v>
      </c>
      <c r="F708" s="115">
        <v>-0.238983</v>
      </c>
      <c r="G708" s="115">
        <v>8.0113000000000003</v>
      </c>
      <c r="H708" s="115">
        <v>1.49E-2</v>
      </c>
      <c r="I708" s="115">
        <v>280</v>
      </c>
      <c r="J708" s="115">
        <v>442</v>
      </c>
      <c r="K708" s="115">
        <v>0.63349999999999995</v>
      </c>
      <c r="L708" s="115">
        <v>0.25559999999999999</v>
      </c>
      <c r="M708" s="115">
        <v>2745</v>
      </c>
      <c r="N708" s="115">
        <v>6.2103999999999999</v>
      </c>
      <c r="O708" s="115">
        <v>21</v>
      </c>
      <c r="P708" s="115">
        <v>10</v>
      </c>
      <c r="Q708" s="115">
        <v>27</v>
      </c>
      <c r="R708" s="115">
        <v>37</v>
      </c>
      <c r="S708" s="115">
        <v>234</v>
      </c>
      <c r="T708" s="115">
        <v>6.3243</v>
      </c>
      <c r="U708" s="115">
        <v>2</v>
      </c>
      <c r="V708" s="115">
        <v>4.7500000000000001E-2</v>
      </c>
      <c r="W708" s="115">
        <v>2.2599999999999999E-2</v>
      </c>
      <c r="X708" s="115">
        <v>2.4899999999999999E-2</v>
      </c>
      <c r="Y708" s="115">
        <v>0.45069999999999999</v>
      </c>
      <c r="Z708" s="115">
        <v>87.160600000000002</v>
      </c>
      <c r="AA708" s="115">
        <v>5.3582000000000001</v>
      </c>
      <c r="AB708" s="115">
        <v>128.18899999999999</v>
      </c>
      <c r="AC708" s="115">
        <v>48</v>
      </c>
      <c r="AD708" s="115">
        <v>-1.1000000000000001E-3</v>
      </c>
      <c r="AE708" s="115">
        <v>-2.5000000000000001E-3</v>
      </c>
      <c r="AF708" s="115">
        <v>-1.49E-2</v>
      </c>
      <c r="AG708" s="115">
        <v>-1.23E-2</v>
      </c>
      <c r="AH708" s="115">
        <v>-4.53E-2</v>
      </c>
      <c r="AI708" s="115">
        <v>4.1000000000000003E-3</v>
      </c>
      <c r="AJ708" s="115">
        <v>1.4E-2</v>
      </c>
      <c r="AK708" s="115">
        <v>6.4480000000000004</v>
      </c>
      <c r="AL708" s="115">
        <v>-2.0045000000000002</v>
      </c>
      <c r="AM708" s="115">
        <v>8</v>
      </c>
      <c r="AN708" s="115">
        <v>7</v>
      </c>
      <c r="AO708" s="115">
        <v>0</v>
      </c>
      <c r="AP708" s="115">
        <v>4</v>
      </c>
      <c r="AQ708" s="115">
        <v>7</v>
      </c>
      <c r="AR708" s="115">
        <v>0.57140000000000002</v>
      </c>
      <c r="AS708" s="115">
        <v>1.6999999999999999E-3</v>
      </c>
      <c r="AT708" s="115">
        <v>0.92300000000000004</v>
      </c>
      <c r="AU708" s="114" t="str">
        <f>IF(A708&lt;&gt;"",INDEX(Index!$B$1:$B$77,MATCH($A708,Index!$A$1:$A$77,0)),"")</f>
        <v>CAR</v>
      </c>
      <c r="AV708" s="123" t="str">
        <f>IF(B708&lt;&gt;"",INDEX(Index!$C$1:$C$77,MATCH($A708,Index!$A$1:$A$77,0)),"")</f>
        <v>Young</v>
      </c>
      <c r="AW708" s="123">
        <f t="shared" si="13"/>
        <v>16</v>
      </c>
      <c r="AX708" s="113">
        <v>17</v>
      </c>
    </row>
    <row r="709" spans="1:50" x14ac:dyDescent="0.25">
      <c r="A709" s="95" t="s">
        <v>565</v>
      </c>
      <c r="B709" s="96">
        <v>2025</v>
      </c>
      <c r="C709" s="96">
        <v>14</v>
      </c>
      <c r="D709" s="96">
        <v>-1.40096</v>
      </c>
      <c r="E709" s="96">
        <v>0.22736999999999999</v>
      </c>
      <c r="F709" s="115">
        <v>-2.8891</v>
      </c>
      <c r="G709" s="115">
        <v>3.1613000000000002</v>
      </c>
      <c r="H709" s="115">
        <v>7.1000000000000004E-3</v>
      </c>
      <c r="I709" s="115">
        <v>260</v>
      </c>
      <c r="J709" s="115">
        <v>382</v>
      </c>
      <c r="K709" s="115">
        <v>0.68059999999999998</v>
      </c>
      <c r="L709" s="115">
        <v>2.0203000000000002</v>
      </c>
      <c r="M709" s="115">
        <v>2660</v>
      </c>
      <c r="N709" s="115">
        <v>6.9634</v>
      </c>
      <c r="O709" s="115">
        <v>20</v>
      </c>
      <c r="P709" s="115">
        <v>15</v>
      </c>
      <c r="Q709" s="115">
        <v>30</v>
      </c>
      <c r="R709" s="115">
        <v>11</v>
      </c>
      <c r="S709" s="115">
        <v>44</v>
      </c>
      <c r="T709" s="115">
        <v>4</v>
      </c>
      <c r="U709" s="115">
        <v>0</v>
      </c>
      <c r="V709" s="115">
        <v>5.2400000000000002E-2</v>
      </c>
      <c r="W709" s="115">
        <v>3.9300000000000002E-2</v>
      </c>
      <c r="X709" s="115">
        <v>1.3100000000000001E-2</v>
      </c>
      <c r="Y709" s="115">
        <v>0.44490000000000002</v>
      </c>
      <c r="Z709" s="115">
        <v>88.9071</v>
      </c>
      <c r="AA709" s="115">
        <v>5.3155000000000001</v>
      </c>
      <c r="AB709" s="115">
        <v>109.31100000000001</v>
      </c>
      <c r="AC709" s="115">
        <v>37.299999999999997</v>
      </c>
      <c r="AD709" s="115">
        <v>-3.3099999999999997E-2</v>
      </c>
      <c r="AE709" s="115">
        <v>-3.5000000000000001E-3</v>
      </c>
      <c r="AF709" s="115">
        <v>1.9E-2</v>
      </c>
      <c r="AG709" s="115">
        <v>-3.6299999999999999E-2</v>
      </c>
      <c r="AH709" s="115">
        <v>-2.06E-2</v>
      </c>
      <c r="AI709" s="115">
        <v>4.1000000000000002E-2</v>
      </c>
      <c r="AJ709" s="115">
        <v>-3.2599999999999997E-2</v>
      </c>
      <c r="AK709" s="115">
        <v>6.8403</v>
      </c>
      <c r="AL709" s="115">
        <v>-1.911</v>
      </c>
      <c r="AM709" s="115">
        <v>6</v>
      </c>
      <c r="AN709" s="115">
        <v>8</v>
      </c>
      <c r="AO709" s="115">
        <v>0</v>
      </c>
      <c r="AP709" s="115">
        <v>1</v>
      </c>
      <c r="AQ709" s="115">
        <v>5</v>
      </c>
      <c r="AR709" s="115">
        <v>0.2</v>
      </c>
      <c r="AS709" s="115">
        <v>-2.0000000000000001E-4</v>
      </c>
      <c r="AT709" s="115">
        <v>-9.4700000000000006E-2</v>
      </c>
      <c r="AU709" s="114" t="str">
        <f>IF(A709&lt;&gt;"",INDEX(Index!$B$1:$B$77,MATCH($A709,Index!$A$1:$A$77,0)),"")</f>
        <v>MIA</v>
      </c>
      <c r="AV709" s="123" t="str">
        <f>IF(B709&lt;&gt;"",INDEX(Index!$C$1:$C$77,MATCH($A709,Index!$A$1:$A$77,0)),"")</f>
        <v>Tagovailoa</v>
      </c>
      <c r="AW709" s="123">
        <f t="shared" si="13"/>
        <v>15</v>
      </c>
      <c r="AX709" s="113">
        <v>17</v>
      </c>
    </row>
    <row r="710" spans="1:50" x14ac:dyDescent="0.25">
      <c r="A710" s="95" t="s">
        <v>578</v>
      </c>
      <c r="B710" s="96">
        <v>2025</v>
      </c>
      <c r="C710" s="96">
        <v>9</v>
      </c>
      <c r="D710" s="96">
        <v>-1.44156</v>
      </c>
      <c r="E710" s="96">
        <v>0.10895100000000001</v>
      </c>
      <c r="F710" s="115">
        <v>0.26578200000000002</v>
      </c>
      <c r="G710" s="115">
        <v>19.752199999999998</v>
      </c>
      <c r="H710" s="115">
        <v>6.1199999999999997E-2</v>
      </c>
      <c r="I710" s="115">
        <v>166</v>
      </c>
      <c r="J710" s="115">
        <v>276</v>
      </c>
      <c r="K710" s="115">
        <v>0.60140000000000005</v>
      </c>
      <c r="L710" s="115">
        <v>-3.6196999999999999</v>
      </c>
      <c r="M710" s="115">
        <v>1982</v>
      </c>
      <c r="N710" s="115">
        <v>7.1811999999999996</v>
      </c>
      <c r="O710" s="115">
        <v>9</v>
      </c>
      <c r="P710" s="115">
        <v>3</v>
      </c>
      <c r="Q710" s="115">
        <v>13</v>
      </c>
      <c r="R710" s="115">
        <v>13</v>
      </c>
      <c r="S710" s="115">
        <v>77</v>
      </c>
      <c r="T710" s="115">
        <v>5.9230999999999998</v>
      </c>
      <c r="U710" s="115">
        <v>1</v>
      </c>
      <c r="V710" s="115">
        <v>3.2599999999999997E-2</v>
      </c>
      <c r="W710" s="115">
        <v>1.09E-2</v>
      </c>
      <c r="X710" s="115">
        <v>2.1700000000000001E-2</v>
      </c>
      <c r="Y710" s="115">
        <v>0.4768</v>
      </c>
      <c r="Z710" s="115">
        <v>88.466200000000001</v>
      </c>
      <c r="AA710" s="115">
        <v>6.6643999999999997</v>
      </c>
      <c r="AB710" s="115">
        <v>138.63399999999999</v>
      </c>
      <c r="AC710" s="115">
        <v>56.9</v>
      </c>
      <c r="AD710" s="115">
        <v>5.3E-3</v>
      </c>
      <c r="AE710" s="115">
        <v>1.47E-2</v>
      </c>
      <c r="AF710" s="115">
        <v>-7.1199999999999999E-2</v>
      </c>
      <c r="AG710" s="115">
        <v>2.07E-2</v>
      </c>
      <c r="AH710" s="115">
        <v>6.6500000000000004E-2</v>
      </c>
      <c r="AI710" s="115">
        <v>-5.7599999999999998E-2</v>
      </c>
      <c r="AJ710" s="115">
        <v>9.2999999999999992E-3</v>
      </c>
      <c r="AK710" s="115">
        <v>8.3332999999999995</v>
      </c>
      <c r="AL710" s="115">
        <v>-0.52900000000000003</v>
      </c>
      <c r="AM710" s="115">
        <v>3</v>
      </c>
      <c r="AN710" s="115">
        <v>6</v>
      </c>
      <c r="AO710" s="115">
        <v>0</v>
      </c>
      <c r="AP710" s="115">
        <v>0</v>
      </c>
      <c r="AQ710" s="115">
        <v>4</v>
      </c>
      <c r="AR710" s="115">
        <v>0</v>
      </c>
      <c r="AS710" s="115">
        <v>3.5000000000000001E-3</v>
      </c>
      <c r="AT710" s="115">
        <v>1.1247</v>
      </c>
      <c r="AU710" s="114" t="str">
        <f>IF(A710&lt;&gt;"",INDEX(Index!$B$1:$B$77,MATCH($A710,Index!$A$1:$A$77,0)),"")</f>
        <v>ATL</v>
      </c>
      <c r="AV710" s="123" t="str">
        <f>IF(B710&lt;&gt;"",INDEX(Index!$C$1:$C$77,MATCH($A710,Index!$A$1:$A$77,0)),"")</f>
        <v>Penix</v>
      </c>
      <c r="AW710" s="123">
        <f t="shared" si="13"/>
        <v>40</v>
      </c>
      <c r="AX710" s="113">
        <v>17</v>
      </c>
    </row>
    <row r="711" spans="1:50" x14ac:dyDescent="0.25">
      <c r="A711" s="95" t="s">
        <v>585</v>
      </c>
      <c r="B711" s="96">
        <v>2025</v>
      </c>
      <c r="C711" s="96">
        <v>3</v>
      </c>
      <c r="D711" s="96">
        <v>-1.76623</v>
      </c>
      <c r="E711" s="96">
        <v>0.13401099999999999</v>
      </c>
      <c r="F711" s="115">
        <v>-0.76969699999999996</v>
      </c>
      <c r="G711" s="115">
        <v>-35.722200000000001</v>
      </c>
      <c r="H711" s="115">
        <v>-0.23200000000000001</v>
      </c>
      <c r="I711" s="115">
        <v>81</v>
      </c>
      <c r="J711" s="115">
        <v>125</v>
      </c>
      <c r="K711" s="115">
        <v>0.64800000000000002</v>
      </c>
      <c r="L711" s="115">
        <v>0.37569999999999998</v>
      </c>
      <c r="M711" s="115">
        <v>771</v>
      </c>
      <c r="N711" s="115">
        <v>6.1680000000000001</v>
      </c>
      <c r="O711" s="115">
        <v>6</v>
      </c>
      <c r="P711" s="115">
        <v>8</v>
      </c>
      <c r="Q711" s="115">
        <v>9</v>
      </c>
      <c r="R711" s="115">
        <v>8</v>
      </c>
      <c r="S711" s="115">
        <v>40</v>
      </c>
      <c r="T711" s="115">
        <v>5</v>
      </c>
      <c r="U711" s="115">
        <v>1</v>
      </c>
      <c r="V711" s="115">
        <v>4.8000000000000001E-2</v>
      </c>
      <c r="W711" s="115">
        <v>6.4000000000000001E-2</v>
      </c>
      <c r="X711" s="115">
        <v>-1.6E-2</v>
      </c>
      <c r="Y711" s="115">
        <v>0.43509999999999999</v>
      </c>
      <c r="Z711" s="115">
        <v>71.116699999999994</v>
      </c>
      <c r="AA711" s="115">
        <v>3.5148999999999999</v>
      </c>
      <c r="AB711" s="115">
        <v>58.973999999999997</v>
      </c>
      <c r="AC711" s="115"/>
      <c r="AD711" s="115">
        <v>1.35E-2</v>
      </c>
      <c r="AE711" s="115">
        <v>8.0999999999999996E-3</v>
      </c>
      <c r="AF711" s="115">
        <v>2.8000000000000001E-2</v>
      </c>
      <c r="AG711" s="115">
        <v>-0.17480000000000001</v>
      </c>
      <c r="AH711" s="115">
        <v>-8.5599999999999996E-2</v>
      </c>
      <c r="AI711" s="115">
        <v>-0.13930000000000001</v>
      </c>
      <c r="AJ711" s="115">
        <v>4.4999999999999998E-2</v>
      </c>
      <c r="AK711" s="115">
        <v>7.6719999999999997</v>
      </c>
      <c r="AL711" s="115">
        <v>-1.528</v>
      </c>
      <c r="AM711" s="115">
        <v>1</v>
      </c>
      <c r="AN711" s="115">
        <v>4</v>
      </c>
      <c r="AO711" s="115">
        <v>0</v>
      </c>
      <c r="AP711" s="115">
        <v>1</v>
      </c>
      <c r="AQ711" s="115">
        <v>1</v>
      </c>
      <c r="AR711" s="115">
        <v>1</v>
      </c>
      <c r="AS711" s="115">
        <v>-4.0000000000000002E-4</v>
      </c>
      <c r="AT711" s="115">
        <v>-5.45E-2</v>
      </c>
      <c r="AU711" s="114" t="str">
        <f>IF(A711&lt;&gt;"",INDEX(Index!$B$1:$B$77,MATCH($A711,Index!$A$1:$A$77,0)),"")</f>
        <v>CIN</v>
      </c>
      <c r="AV711" s="123" t="str">
        <f>IF(B711&lt;&gt;"",INDEX(Index!$C$1:$C$77,MATCH($A711,Index!$A$1:$A$77,0)),"")</f>
        <v>Browning</v>
      </c>
      <c r="AW711" s="123">
        <f t="shared" si="13"/>
        <v>43</v>
      </c>
      <c r="AX711" s="113">
        <v>17</v>
      </c>
    </row>
    <row r="712" spans="1:50" x14ac:dyDescent="0.25">
      <c r="A712" s="95" t="s">
        <v>603</v>
      </c>
      <c r="B712" s="96">
        <v>2025</v>
      </c>
      <c r="C712" s="96">
        <v>1</v>
      </c>
      <c r="D712" s="96">
        <v>-2.07897</v>
      </c>
      <c r="E712" s="96">
        <v>-0.55177799999999999</v>
      </c>
      <c r="F712" s="115">
        <v>-0.55177799999999999</v>
      </c>
      <c r="G712" s="115">
        <v>-6.3404999999999996</v>
      </c>
      <c r="H712" s="115">
        <v>-0.42270000000000002</v>
      </c>
      <c r="I712" s="115">
        <v>6</v>
      </c>
      <c r="J712" s="115">
        <v>13</v>
      </c>
      <c r="K712" s="115">
        <v>0.46150000000000002</v>
      </c>
      <c r="L712" s="115">
        <v>-20.5305</v>
      </c>
      <c r="M712" s="115">
        <v>37</v>
      </c>
      <c r="N712" s="115">
        <v>2.8462000000000001</v>
      </c>
      <c r="O712" s="115">
        <v>0</v>
      </c>
      <c r="P712" s="115">
        <v>1</v>
      </c>
      <c r="Q712" s="115">
        <v>0</v>
      </c>
      <c r="R712" s="115">
        <v>1</v>
      </c>
      <c r="S712" s="115">
        <v>8</v>
      </c>
      <c r="T712" s="115">
        <v>8</v>
      </c>
      <c r="U712" s="115">
        <v>0</v>
      </c>
      <c r="V712" s="115">
        <v>0</v>
      </c>
      <c r="W712" s="115">
        <v>7.6899999999999996E-2</v>
      </c>
      <c r="X712" s="115">
        <v>-7.6899999999999996E-2</v>
      </c>
      <c r="Y712" s="115">
        <v>0.26669999999999999</v>
      </c>
      <c r="Z712" s="115">
        <v>20.993600000000001</v>
      </c>
      <c r="AA712" s="115">
        <v>-0.61539999999999995</v>
      </c>
      <c r="AB712" s="115">
        <v>-30.699400000000001</v>
      </c>
      <c r="AC712" s="115"/>
      <c r="AD712" s="115">
        <v>-6.3899999999999998E-2</v>
      </c>
      <c r="AE712" s="115">
        <v>0.1028</v>
      </c>
      <c r="AF712" s="115">
        <v>-0.1145</v>
      </c>
      <c r="AG712" s="115">
        <v>-3.9199999999999999E-2</v>
      </c>
      <c r="AH712" s="115">
        <v>-0.26029999999999998</v>
      </c>
      <c r="AI712" s="115">
        <v>-0.13650000000000001</v>
      </c>
      <c r="AJ712" s="115">
        <v>1.5900000000000001E-2</v>
      </c>
      <c r="AK712" s="115">
        <v>5.2308000000000003</v>
      </c>
      <c r="AL712" s="115">
        <v>-6.3076999999999996</v>
      </c>
      <c r="AM712" s="115">
        <v>0</v>
      </c>
      <c r="AN712" s="115">
        <v>2</v>
      </c>
      <c r="AO712" s="115">
        <v>0</v>
      </c>
      <c r="AP712" s="115">
        <v>0</v>
      </c>
      <c r="AQ712" s="115">
        <v>1</v>
      </c>
      <c r="AR712" s="115">
        <v>0</v>
      </c>
      <c r="AS712" s="115">
        <v>-3.0300000000000001E-2</v>
      </c>
      <c r="AT712" s="115">
        <v>-0.45450000000000002</v>
      </c>
      <c r="AU712" s="114" t="str">
        <f>IF(A712&lt;&gt;"",INDEX(Index!$B$1:$B$77,MATCH($A712,Index!$A$1:$A$77,0)),"")</f>
        <v>KC</v>
      </c>
      <c r="AV712" s="123" t="str">
        <f>IF(B712&lt;&gt;"",INDEX(Index!$C$1:$C$77,MATCH($A712,Index!$A$1:$A$77,0)),"")</f>
        <v>Minshew</v>
      </c>
      <c r="AW712" s="123">
        <f t="shared" si="13"/>
        <v>58</v>
      </c>
      <c r="AX712" s="113">
        <v>17</v>
      </c>
    </row>
    <row r="713" spans="1:50" x14ac:dyDescent="0.25">
      <c r="A713" s="95" t="s">
        <v>593</v>
      </c>
      <c r="B713" s="96">
        <v>2025</v>
      </c>
      <c r="C713" s="96">
        <v>1</v>
      </c>
      <c r="D713" s="96">
        <v>-2.1103499999999999</v>
      </c>
      <c r="E713" s="96">
        <v>-0.78385899999999997</v>
      </c>
      <c r="F713" s="115">
        <v>-0.78385899999999997</v>
      </c>
      <c r="G713" s="115">
        <v>-8.7080000000000002</v>
      </c>
      <c r="H713" s="115">
        <v>-0.18140000000000001</v>
      </c>
      <c r="I713" s="115">
        <v>25</v>
      </c>
      <c r="J713" s="115">
        <v>37</v>
      </c>
      <c r="K713" s="115">
        <v>0.67569999999999997</v>
      </c>
      <c r="L713" s="115">
        <v>6.5959000000000003</v>
      </c>
      <c r="M713" s="115">
        <v>293</v>
      </c>
      <c r="N713" s="115">
        <v>7.9188999999999998</v>
      </c>
      <c r="O713" s="115">
        <v>1</v>
      </c>
      <c r="P713" s="115">
        <v>1</v>
      </c>
      <c r="Q713" s="115">
        <v>8</v>
      </c>
      <c r="R713" s="115">
        <v>1</v>
      </c>
      <c r="S713" s="115">
        <v>1</v>
      </c>
      <c r="T713" s="115">
        <v>1</v>
      </c>
      <c r="U713" s="115">
        <v>0</v>
      </c>
      <c r="V713" s="115">
        <v>2.7E-2</v>
      </c>
      <c r="W713" s="115">
        <v>2.7E-2</v>
      </c>
      <c r="X713" s="115">
        <v>0</v>
      </c>
      <c r="Y713" s="115">
        <v>0.45829999999999999</v>
      </c>
      <c r="Z713" s="115">
        <v>89.132900000000006</v>
      </c>
      <c r="AA713" s="115">
        <v>4.7556000000000003</v>
      </c>
      <c r="AB713" s="115">
        <v>-93.4208</v>
      </c>
      <c r="AC713" s="115"/>
      <c r="AD713" s="115">
        <v>-0.12</v>
      </c>
      <c r="AE713" s="115">
        <v>-0.2732</v>
      </c>
      <c r="AF713" s="115">
        <v>2.0299999999999999E-2</v>
      </c>
      <c r="AG713" s="115">
        <v>-7.3800000000000004E-2</v>
      </c>
      <c r="AH713" s="115">
        <v>0.28270000000000001</v>
      </c>
      <c r="AI713" s="115">
        <v>-9.4E-2</v>
      </c>
      <c r="AJ713" s="115">
        <v>3.5999999999999999E-3</v>
      </c>
      <c r="AK713" s="115">
        <v>9.4054000000000002</v>
      </c>
      <c r="AL713" s="115">
        <v>1.5405</v>
      </c>
      <c r="AM713" s="115">
        <v>1</v>
      </c>
      <c r="AN713" s="115">
        <v>2</v>
      </c>
      <c r="AO713" s="115">
        <v>0</v>
      </c>
      <c r="AP713" s="115">
        <v>0</v>
      </c>
      <c r="AQ713" s="115">
        <v>0</v>
      </c>
      <c r="AR713" s="115"/>
      <c r="AS713" s="115">
        <v>-8.2000000000000007E-3</v>
      </c>
      <c r="AT713" s="115">
        <v>-0.39529999999999998</v>
      </c>
      <c r="AU713" s="114" t="str">
        <f>IF(A713&lt;&gt;"",INDEX(Index!$B$1:$B$77,MATCH($A713,Index!$A$1:$A$77,0)),"")</f>
        <v>CAR</v>
      </c>
      <c r="AV713" s="123" t="str">
        <f>IF(B713&lt;&gt;"",INDEX(Index!$C$1:$C$77,MATCH($A713,Index!$A$1:$A$77,0)),"")</f>
        <v>Dalton</v>
      </c>
      <c r="AW713" s="123">
        <f t="shared" si="13"/>
        <v>45</v>
      </c>
      <c r="AX713" s="113">
        <v>17</v>
      </c>
    </row>
    <row r="714" spans="1:50" x14ac:dyDescent="0.25">
      <c r="A714" s="95" t="s">
        <v>584</v>
      </c>
      <c r="B714" s="96">
        <v>2025</v>
      </c>
      <c r="C714" s="96">
        <v>4</v>
      </c>
      <c r="D714" s="96">
        <v>-2.1235200000000001</v>
      </c>
      <c r="E714" s="96">
        <v>-0.72736699999999999</v>
      </c>
      <c r="F714" s="115">
        <v>-0.59244799999999997</v>
      </c>
      <c r="G714" s="115">
        <v>-4.5903</v>
      </c>
      <c r="H714" s="115">
        <v>-2.5499999999999998E-2</v>
      </c>
      <c r="I714" s="115">
        <v>80</v>
      </c>
      <c r="J714" s="115">
        <v>133</v>
      </c>
      <c r="K714" s="115">
        <v>0.60150000000000003</v>
      </c>
      <c r="L714" s="115">
        <v>-0.87760000000000005</v>
      </c>
      <c r="M714" s="115">
        <v>779</v>
      </c>
      <c r="N714" s="115">
        <v>5.8571</v>
      </c>
      <c r="O714" s="115">
        <v>5</v>
      </c>
      <c r="P714" s="115">
        <v>5</v>
      </c>
      <c r="Q714" s="115">
        <v>14</v>
      </c>
      <c r="R714" s="115">
        <v>25</v>
      </c>
      <c r="S714" s="115">
        <v>145</v>
      </c>
      <c r="T714" s="115">
        <v>5.8</v>
      </c>
      <c r="U714" s="115">
        <v>1</v>
      </c>
      <c r="V714" s="115">
        <v>3.7600000000000001E-2</v>
      </c>
      <c r="W714" s="115">
        <v>3.7600000000000001E-2</v>
      </c>
      <c r="X714" s="115">
        <v>0</v>
      </c>
      <c r="Y714" s="115">
        <v>0.44440000000000002</v>
      </c>
      <c r="Z714" s="115">
        <v>73.480599999999995</v>
      </c>
      <c r="AA714" s="115">
        <v>3.8912</v>
      </c>
      <c r="AB714" s="115">
        <v>87.315399999999997</v>
      </c>
      <c r="AC714" s="115">
        <v>51.6</v>
      </c>
      <c r="AD714" s="115">
        <v>-5.0000000000000001E-4</v>
      </c>
      <c r="AE714" s="115">
        <v>0</v>
      </c>
      <c r="AF714" s="115">
        <v>-2.9899999999999999E-2</v>
      </c>
      <c r="AG714" s="115">
        <v>-2.18E-2</v>
      </c>
      <c r="AH714" s="115">
        <v>3.04E-2</v>
      </c>
      <c r="AI714" s="115">
        <v>-7.1900000000000006E-2</v>
      </c>
      <c r="AJ714" s="115">
        <v>-4.7000000000000002E-3</v>
      </c>
      <c r="AK714" s="115">
        <v>8.609</v>
      </c>
      <c r="AL714" s="115">
        <v>-0.41349999999999998</v>
      </c>
      <c r="AM714" s="115">
        <v>1</v>
      </c>
      <c r="AN714" s="115">
        <v>5</v>
      </c>
      <c r="AO714" s="115">
        <v>0</v>
      </c>
      <c r="AP714" s="115">
        <v>1</v>
      </c>
      <c r="AQ714" s="115">
        <v>2</v>
      </c>
      <c r="AR714" s="115">
        <v>0.5</v>
      </c>
      <c r="AS714" s="115">
        <v>-1.4E-3</v>
      </c>
      <c r="AT714" s="115">
        <v>-0.25390000000000001</v>
      </c>
      <c r="AU714" s="114" t="str">
        <f>IF(A714&lt;&gt;"",INDEX(Index!$B$1:$B$77,MATCH($A714,Index!$A$1:$A$77,0)),"")</f>
        <v>NYJ</v>
      </c>
      <c r="AV714" s="123" t="str">
        <f>IF(B714&lt;&gt;"",INDEX(Index!$C$1:$C$77,MATCH($A714,Index!$A$1:$A$77,0)),"")</f>
        <v>Taylor</v>
      </c>
      <c r="AW714" s="123">
        <f t="shared" si="13"/>
        <v>39</v>
      </c>
      <c r="AX714" s="113">
        <v>17</v>
      </c>
    </row>
    <row r="715" spans="1:50" x14ac:dyDescent="0.25">
      <c r="A715" s="95" t="s">
        <v>586</v>
      </c>
      <c r="B715" s="96">
        <v>2025</v>
      </c>
      <c r="C715" s="96">
        <v>5</v>
      </c>
      <c r="D715" s="96">
        <v>-2.2875299999999998</v>
      </c>
      <c r="E715" s="96">
        <v>-0.60543899999999995</v>
      </c>
      <c r="F715" s="115">
        <v>-0.248695</v>
      </c>
      <c r="G715" s="115">
        <v>12.968299999999999</v>
      </c>
      <c r="H715" s="115">
        <v>6.3E-2</v>
      </c>
      <c r="I715" s="115">
        <v>110</v>
      </c>
      <c r="J715" s="115">
        <v>168</v>
      </c>
      <c r="K715" s="115">
        <v>0.65480000000000005</v>
      </c>
      <c r="L715" s="115">
        <v>1.1112</v>
      </c>
      <c r="M715" s="115">
        <v>1216</v>
      </c>
      <c r="N715" s="115">
        <v>7.2381000000000002</v>
      </c>
      <c r="O715" s="115">
        <v>6</v>
      </c>
      <c r="P715" s="115">
        <v>5</v>
      </c>
      <c r="Q715" s="115">
        <v>19</v>
      </c>
      <c r="R715" s="115">
        <v>9</v>
      </c>
      <c r="S715" s="115">
        <v>57</v>
      </c>
      <c r="T715" s="115">
        <v>6.3333000000000004</v>
      </c>
      <c r="U715" s="115">
        <v>0</v>
      </c>
      <c r="V715" s="115">
        <v>3.5700000000000003E-2</v>
      </c>
      <c r="W715" s="115">
        <v>2.98E-2</v>
      </c>
      <c r="X715" s="115">
        <v>6.0000000000000001E-3</v>
      </c>
      <c r="Y715" s="115">
        <v>0.48060000000000003</v>
      </c>
      <c r="Z715" s="115">
        <v>86.3095</v>
      </c>
      <c r="AA715" s="115">
        <v>5.2727000000000004</v>
      </c>
      <c r="AB715" s="115">
        <v>107.76</v>
      </c>
      <c r="AC715" s="115"/>
      <c r="AD715" s="115">
        <v>-2.07E-2</v>
      </c>
      <c r="AE715" s="115">
        <v>-3.1199999999999999E-2</v>
      </c>
      <c r="AF715" s="115">
        <v>2.6200000000000001E-2</v>
      </c>
      <c r="AG715" s="115">
        <v>-2.76E-2</v>
      </c>
      <c r="AH715" s="115">
        <v>5.1000000000000004E-3</v>
      </c>
      <c r="AI715" s="115">
        <v>3.3300000000000003E-2</v>
      </c>
      <c r="AJ715" s="115">
        <v>4.8999999999999998E-3</v>
      </c>
      <c r="AK715" s="115">
        <v>7.6666999999999996</v>
      </c>
      <c r="AL715" s="115">
        <v>-1.3571</v>
      </c>
      <c r="AM715" s="115">
        <v>2</v>
      </c>
      <c r="AN715" s="115">
        <v>3</v>
      </c>
      <c r="AO715" s="115">
        <v>0</v>
      </c>
      <c r="AP715" s="115">
        <v>1</v>
      </c>
      <c r="AQ715" s="115">
        <v>3</v>
      </c>
      <c r="AR715" s="115">
        <v>0.33329999999999999</v>
      </c>
      <c r="AS715" s="115">
        <v>1.1999999999999999E-3</v>
      </c>
      <c r="AT715" s="115">
        <v>0.23880000000000001</v>
      </c>
      <c r="AU715" s="114" t="str">
        <f>IF(A715&lt;&gt;"",INDEX(Index!$B$1:$B$77,MATCH($A715,Index!$A$1:$A$77,0)),"")</f>
        <v>MIN</v>
      </c>
      <c r="AV715" s="123" t="str">
        <f>IF(B715&lt;&gt;"",INDEX(Index!$C$1:$C$77,MATCH($A715,Index!$A$1:$A$77,0)),"")</f>
        <v>Wentz</v>
      </c>
      <c r="AW715" s="123">
        <f t="shared" si="13"/>
        <v>27</v>
      </c>
      <c r="AX715" s="113">
        <v>17</v>
      </c>
    </row>
    <row r="716" spans="1:50" x14ac:dyDescent="0.25">
      <c r="A716" s="95" t="s">
        <v>582</v>
      </c>
      <c r="B716" s="96">
        <v>2025</v>
      </c>
      <c r="C716" s="96">
        <v>16</v>
      </c>
      <c r="D716" s="96">
        <v>-2.3048799999999998</v>
      </c>
      <c r="E716" s="96">
        <v>0.13606599999999999</v>
      </c>
      <c r="F716" s="115">
        <v>-0.98258100000000004</v>
      </c>
      <c r="G716" s="115">
        <v>-91.413600000000002</v>
      </c>
      <c r="H716" s="115">
        <v>-0.1389</v>
      </c>
      <c r="I716" s="115">
        <v>320</v>
      </c>
      <c r="J716" s="115">
        <v>534</v>
      </c>
      <c r="K716" s="115">
        <v>0.59930000000000005</v>
      </c>
      <c r="L716" s="115">
        <v>-3.1288</v>
      </c>
      <c r="M716" s="115">
        <v>3117</v>
      </c>
      <c r="N716" s="115">
        <v>5.8371000000000004</v>
      </c>
      <c r="O716" s="115">
        <v>15</v>
      </c>
      <c r="P716" s="115">
        <v>7</v>
      </c>
      <c r="Q716" s="115">
        <v>55</v>
      </c>
      <c r="R716" s="115">
        <v>30</v>
      </c>
      <c r="S716" s="115">
        <v>158</v>
      </c>
      <c r="T716" s="115">
        <v>5.2667000000000002</v>
      </c>
      <c r="U716" s="115">
        <v>1</v>
      </c>
      <c r="V716" s="115">
        <v>2.81E-2</v>
      </c>
      <c r="W716" s="115">
        <v>1.3100000000000001E-2</v>
      </c>
      <c r="X716" s="115">
        <v>1.4999999999999999E-2</v>
      </c>
      <c r="Y716" s="115">
        <v>0.39360000000000001</v>
      </c>
      <c r="Z716" s="115">
        <v>80.243399999999994</v>
      </c>
      <c r="AA716" s="115">
        <v>4.5705</v>
      </c>
      <c r="AB716" s="115">
        <v>74.467500000000001</v>
      </c>
      <c r="AC716" s="115">
        <v>32.1</v>
      </c>
      <c r="AD716" s="115">
        <v>-1.26E-2</v>
      </c>
      <c r="AE716" s="115">
        <v>-8.0100000000000005E-2</v>
      </c>
      <c r="AF716" s="115">
        <v>-3.5400000000000001E-2</v>
      </c>
      <c r="AG716" s="115">
        <v>3.49E-2</v>
      </c>
      <c r="AH716" s="115">
        <v>-8.6900000000000005E-2</v>
      </c>
      <c r="AI716" s="115">
        <v>-3.1899999999999998E-2</v>
      </c>
      <c r="AJ716" s="115">
        <v>-1E-4</v>
      </c>
      <c r="AK716" s="115">
        <v>7.2827999999999999</v>
      </c>
      <c r="AL716" s="115">
        <v>-1.7603</v>
      </c>
      <c r="AM716" s="115">
        <v>3</v>
      </c>
      <c r="AN716" s="115">
        <v>13</v>
      </c>
      <c r="AO716" s="115">
        <v>0</v>
      </c>
      <c r="AP716" s="115">
        <v>1</v>
      </c>
      <c r="AQ716" s="115">
        <v>5</v>
      </c>
      <c r="AR716" s="115">
        <v>0.2</v>
      </c>
      <c r="AS716" s="115">
        <v>-3.0000000000000001E-3</v>
      </c>
      <c r="AT716" s="115">
        <v>-2.0034000000000001</v>
      </c>
      <c r="AU716" s="114" t="str">
        <f>IF(A716&lt;&gt;"",INDEX(Index!$B$1:$B$77,MATCH($A716,Index!$A$1:$A$77,0)),"")</f>
        <v>TEN</v>
      </c>
      <c r="AV716" s="123" t="str">
        <f>IF(B716&lt;&gt;"",INDEX(Index!$C$1:$C$77,MATCH($A716,Index!$A$1:$A$77,0)),"")</f>
        <v>Ward</v>
      </c>
      <c r="AW716" s="123">
        <f t="shared" si="13"/>
        <v>1</v>
      </c>
      <c r="AX716" s="113">
        <v>17</v>
      </c>
    </row>
    <row r="717" spans="1:50" x14ac:dyDescent="0.25">
      <c r="A717" s="95" t="s">
        <v>588</v>
      </c>
      <c r="B717" s="96">
        <v>2025</v>
      </c>
      <c r="C717" s="96">
        <v>2</v>
      </c>
      <c r="D717" s="96">
        <v>-2.3375599999999999</v>
      </c>
      <c r="E717" s="96">
        <v>-0.378133</v>
      </c>
      <c r="F717" s="115">
        <v>-0.79516200000000004</v>
      </c>
      <c r="G717" s="115">
        <v>-25.889299999999999</v>
      </c>
      <c r="H717" s="115">
        <v>-0.45419999999999999</v>
      </c>
      <c r="I717" s="115">
        <v>34</v>
      </c>
      <c r="J717" s="115">
        <v>52</v>
      </c>
      <c r="K717" s="115">
        <v>0.65380000000000005</v>
      </c>
      <c r="L717" s="115">
        <v>-1.9399</v>
      </c>
      <c r="M717" s="115">
        <v>303</v>
      </c>
      <c r="N717" s="115">
        <v>5.8269000000000002</v>
      </c>
      <c r="O717" s="115">
        <v>0</v>
      </c>
      <c r="P717" s="115">
        <v>4</v>
      </c>
      <c r="Q717" s="115">
        <v>1</v>
      </c>
      <c r="R717" s="115">
        <v>0</v>
      </c>
      <c r="S717" s="115">
        <v>0</v>
      </c>
      <c r="T717" s="115"/>
      <c r="U717" s="115">
        <v>0</v>
      </c>
      <c r="V717" s="115">
        <v>0</v>
      </c>
      <c r="W717" s="115">
        <v>7.6899999999999996E-2</v>
      </c>
      <c r="X717" s="115">
        <v>-7.6899999999999996E-2</v>
      </c>
      <c r="Y717" s="115">
        <v>0.42109999999999997</v>
      </c>
      <c r="Z717" s="115">
        <v>48.798099999999998</v>
      </c>
      <c r="AA717" s="115">
        <v>2.0188999999999999</v>
      </c>
      <c r="AB717" s="115">
        <v>12.234400000000001</v>
      </c>
      <c r="AC717" s="115"/>
      <c r="AD717" s="115">
        <v>-3.0599999999999999E-2</v>
      </c>
      <c r="AE717" s="115">
        <v>6.1100000000000002E-2</v>
      </c>
      <c r="AF717" s="115">
        <v>-5.2900000000000003E-2</v>
      </c>
      <c r="AG717" s="115">
        <v>-0.22439999999999999</v>
      </c>
      <c r="AH717" s="115">
        <v>-0.22239999999999999</v>
      </c>
      <c r="AI717" s="115">
        <v>-2.1000000000000001E-2</v>
      </c>
      <c r="AJ717" s="115">
        <v>-3.7100000000000001E-2</v>
      </c>
      <c r="AK717" s="115">
        <v>6.4423000000000004</v>
      </c>
      <c r="AL717" s="115">
        <v>-2.0577000000000001</v>
      </c>
      <c r="AM717" s="115">
        <v>0</v>
      </c>
      <c r="AN717" s="115">
        <v>3</v>
      </c>
      <c r="AO717" s="115">
        <v>0</v>
      </c>
      <c r="AP717" s="115">
        <v>0</v>
      </c>
      <c r="AQ717" s="115">
        <v>0</v>
      </c>
      <c r="AR717" s="115"/>
      <c r="AS717" s="115">
        <v>-6.8999999999999999E-3</v>
      </c>
      <c r="AT717" s="115">
        <v>-0.39179999999999998</v>
      </c>
      <c r="AU717" s="114" t="str">
        <f>IF(A717&lt;&gt;"",INDEX(Index!$B$1:$B$77,MATCH($A717,Index!$A$1:$A$77,0)),"")</f>
        <v>BAL</v>
      </c>
      <c r="AV717" s="123" t="str">
        <f>IF(B717&lt;&gt;"",INDEX(Index!$C$1:$C$77,MATCH($A717,Index!$A$1:$A$77,0)),"")</f>
        <v>Rush</v>
      </c>
      <c r="AW717" s="123">
        <f t="shared" si="13"/>
        <v>57</v>
      </c>
      <c r="AX717" s="113">
        <v>17</v>
      </c>
    </row>
    <row r="718" spans="1:50" x14ac:dyDescent="0.25">
      <c r="A718" s="95" t="s">
        <v>581</v>
      </c>
      <c r="B718" s="96">
        <v>2025</v>
      </c>
      <c r="C718" s="96">
        <v>8</v>
      </c>
      <c r="D718" s="96">
        <v>-2.4067599999999998</v>
      </c>
      <c r="E718" s="96">
        <v>-0.47380100000000003</v>
      </c>
      <c r="F718" s="115">
        <v>0.738784</v>
      </c>
      <c r="G718" s="115">
        <v>-16.940899999999999</v>
      </c>
      <c r="H718" s="115">
        <v>-5.2299999999999999E-2</v>
      </c>
      <c r="I718" s="115">
        <v>174</v>
      </c>
      <c r="J718" s="115">
        <v>254</v>
      </c>
      <c r="K718" s="115">
        <v>0.68500000000000005</v>
      </c>
      <c r="L718" s="115">
        <v>2.3567999999999998</v>
      </c>
      <c r="M718" s="115">
        <v>1586</v>
      </c>
      <c r="N718" s="115">
        <v>6.2441000000000004</v>
      </c>
      <c r="O718" s="115">
        <v>8</v>
      </c>
      <c r="P718" s="115">
        <v>5</v>
      </c>
      <c r="Q718" s="115">
        <v>18</v>
      </c>
      <c r="R718" s="115">
        <v>30</v>
      </c>
      <c r="S718" s="115">
        <v>168</v>
      </c>
      <c r="T718" s="115">
        <v>5.6</v>
      </c>
      <c r="U718" s="115">
        <v>0</v>
      </c>
      <c r="V718" s="115">
        <v>3.15E-2</v>
      </c>
      <c r="W718" s="115">
        <v>1.9699999999999999E-2</v>
      </c>
      <c r="X718" s="115">
        <v>1.18E-2</v>
      </c>
      <c r="Y718" s="115">
        <v>0.48149999999999998</v>
      </c>
      <c r="Z718" s="115">
        <v>87.483599999999996</v>
      </c>
      <c r="AA718" s="115">
        <v>5.2096</v>
      </c>
      <c r="AB718" s="115">
        <v>139.14599999999999</v>
      </c>
      <c r="AC718" s="115">
        <v>49.7</v>
      </c>
      <c r="AD718" s="115">
        <v>-1E-3</v>
      </c>
      <c r="AE718" s="115">
        <v>1.18E-2</v>
      </c>
      <c r="AF718" s="115">
        <v>2.7E-2</v>
      </c>
      <c r="AG718" s="115">
        <v>1.5699999999999999E-2</v>
      </c>
      <c r="AH718" s="115">
        <v>-5.2299999999999999E-2</v>
      </c>
      <c r="AI718" s="115">
        <v>-0.13300000000000001</v>
      </c>
      <c r="AJ718" s="115">
        <v>6.4000000000000003E-3</v>
      </c>
      <c r="AK718" s="115">
        <v>7.9920999999999998</v>
      </c>
      <c r="AL718" s="115">
        <v>-1.1220000000000001</v>
      </c>
      <c r="AM718" s="115">
        <v>2</v>
      </c>
      <c r="AN718" s="115">
        <v>7</v>
      </c>
      <c r="AO718" s="115">
        <v>0</v>
      </c>
      <c r="AP718" s="115">
        <v>0</v>
      </c>
      <c r="AQ718" s="115">
        <v>4</v>
      </c>
      <c r="AR718" s="115">
        <v>0</v>
      </c>
      <c r="AS718" s="115">
        <v>-2.8E-3</v>
      </c>
      <c r="AT718" s="115">
        <v>-0.90159999999999996</v>
      </c>
      <c r="AU718" s="114" t="str">
        <f>IF(A718&lt;&gt;"",INDEX(Index!$B$1:$B$77,MATCH($A718,Index!$A$1:$A$77,0)),"")</f>
        <v>NO</v>
      </c>
      <c r="AV718" s="123" t="str">
        <f>IF(B718&lt;&gt;"",INDEX(Index!$C$1:$C$77,MATCH($A718,Index!$A$1:$A$77,0)),"")</f>
        <v>Rattler</v>
      </c>
      <c r="AW718" s="123">
        <f t="shared" si="13"/>
        <v>29</v>
      </c>
      <c r="AX718" s="113">
        <v>17</v>
      </c>
    </row>
    <row r="719" spans="1:50" x14ac:dyDescent="0.25">
      <c r="A719" s="95" t="s">
        <v>601</v>
      </c>
      <c r="B719" s="96">
        <v>2025</v>
      </c>
      <c r="C719" s="96">
        <v>1</v>
      </c>
      <c r="D719" s="96">
        <v>-2.4196599999999999</v>
      </c>
      <c r="E719" s="96">
        <v>-0.57393700000000003</v>
      </c>
      <c r="F719" s="115">
        <v>-0.57393700000000003</v>
      </c>
      <c r="G719" s="115">
        <v>-17.5152</v>
      </c>
      <c r="H719" s="115">
        <v>-0.34339999999999998</v>
      </c>
      <c r="I719" s="115">
        <v>27</v>
      </c>
      <c r="J719" s="115">
        <v>40</v>
      </c>
      <c r="K719" s="115">
        <v>0.67500000000000004</v>
      </c>
      <c r="L719" s="115">
        <v>-2.3609</v>
      </c>
      <c r="M719" s="115">
        <v>185</v>
      </c>
      <c r="N719" s="115">
        <v>4.625</v>
      </c>
      <c r="O719" s="115">
        <v>1</v>
      </c>
      <c r="P719" s="115">
        <v>1</v>
      </c>
      <c r="Q719" s="115">
        <v>6</v>
      </c>
      <c r="R719" s="115">
        <v>3</v>
      </c>
      <c r="S719" s="115">
        <v>13</v>
      </c>
      <c r="T719" s="115">
        <v>4.3333000000000004</v>
      </c>
      <c r="U719" s="115">
        <v>0</v>
      </c>
      <c r="V719" s="115">
        <v>2.5000000000000001E-2</v>
      </c>
      <c r="W719" s="115">
        <v>2.5000000000000001E-2</v>
      </c>
      <c r="X719" s="115">
        <v>0</v>
      </c>
      <c r="Y719" s="115">
        <v>0.33329999999999999</v>
      </c>
      <c r="Z719" s="115">
        <v>75.520799999999994</v>
      </c>
      <c r="AA719" s="115">
        <v>2.6086999999999998</v>
      </c>
      <c r="AB719" s="115">
        <v>-40.341000000000001</v>
      </c>
      <c r="AC719" s="115"/>
      <c r="AD719" s="115">
        <v>-2.2800000000000001E-2</v>
      </c>
      <c r="AE719" s="115">
        <v>-2.23E-2</v>
      </c>
      <c r="AF719" s="115">
        <v>-3.09E-2</v>
      </c>
      <c r="AG719" s="115">
        <v>-5.0000000000000001E-3</v>
      </c>
      <c r="AH719" s="115">
        <v>-0.11360000000000001</v>
      </c>
      <c r="AI719" s="115">
        <v>-0.19650000000000001</v>
      </c>
      <c r="AJ719" s="115">
        <v>-2.5499999999999998E-2</v>
      </c>
      <c r="AK719" s="115">
        <v>5.5</v>
      </c>
      <c r="AL719" s="115">
        <v>-3.65</v>
      </c>
      <c r="AM719" s="115">
        <v>0</v>
      </c>
      <c r="AN719" s="115">
        <v>5</v>
      </c>
      <c r="AO719" s="115">
        <v>0</v>
      </c>
      <c r="AP719" s="115">
        <v>0</v>
      </c>
      <c r="AQ719" s="115">
        <v>1</v>
      </c>
      <c r="AR719" s="115">
        <v>0</v>
      </c>
      <c r="AS719" s="115">
        <v>-6.1000000000000004E-3</v>
      </c>
      <c r="AT719" s="115">
        <v>-0.30969999999999998</v>
      </c>
      <c r="AU719" s="114" t="str">
        <f>IF(A719&lt;&gt;"",INDEX(Index!$B$1:$B$77,MATCH($A719,Index!$A$1:$A$77,0)),"")</f>
        <v>LV</v>
      </c>
      <c r="AV719" s="123" t="str">
        <f>IF(B719&lt;&gt;"",INDEX(Index!$C$1:$C$77,MATCH($A719,Index!$A$1:$A$77,0)),"")</f>
        <v>Pickett</v>
      </c>
      <c r="AW719" s="123">
        <f t="shared" si="13"/>
        <v>49</v>
      </c>
      <c r="AX719" s="113">
        <v>17</v>
      </c>
    </row>
    <row r="720" spans="1:50" x14ac:dyDescent="0.25">
      <c r="A720" s="95" t="s">
        <v>572</v>
      </c>
      <c r="B720" s="96">
        <v>2025</v>
      </c>
      <c r="C720" s="96">
        <v>15</v>
      </c>
      <c r="D720" s="96">
        <v>-2.85778</v>
      </c>
      <c r="E720" s="96">
        <v>-0.366948</v>
      </c>
      <c r="F720" s="115">
        <v>-2.9656099999999999</v>
      </c>
      <c r="G720" s="115">
        <v>-56.172800000000002</v>
      </c>
      <c r="H720" s="115">
        <v>-9.9199999999999997E-2</v>
      </c>
      <c r="I720" s="115">
        <v>302</v>
      </c>
      <c r="J720" s="115">
        <v>446</v>
      </c>
      <c r="K720" s="115">
        <v>0.67710000000000004</v>
      </c>
      <c r="L720" s="115">
        <v>0.70709999999999995</v>
      </c>
      <c r="M720" s="115">
        <v>3025</v>
      </c>
      <c r="N720" s="115">
        <v>6.7824999999999998</v>
      </c>
      <c r="O720" s="115">
        <v>19</v>
      </c>
      <c r="P720" s="115">
        <v>17</v>
      </c>
      <c r="Q720" s="115">
        <v>55</v>
      </c>
      <c r="R720" s="115">
        <v>34</v>
      </c>
      <c r="S720" s="115">
        <v>115</v>
      </c>
      <c r="T720" s="115">
        <v>3.3824000000000001</v>
      </c>
      <c r="U720" s="115">
        <v>0</v>
      </c>
      <c r="V720" s="115">
        <v>4.2599999999999999E-2</v>
      </c>
      <c r="W720" s="115">
        <v>3.8100000000000002E-2</v>
      </c>
      <c r="X720" s="115">
        <v>4.4999999999999997E-3</v>
      </c>
      <c r="Y720" s="115">
        <v>0.43990000000000001</v>
      </c>
      <c r="Z720" s="115">
        <v>85.089699999999993</v>
      </c>
      <c r="AA720" s="115">
        <v>4.4611000000000001</v>
      </c>
      <c r="AB720" s="115">
        <v>72.768100000000004</v>
      </c>
      <c r="AC720" s="115">
        <v>34.1</v>
      </c>
      <c r="AD720" s="115">
        <v>-2.8500000000000001E-2</v>
      </c>
      <c r="AE720" s="115">
        <v>-7.6899999999999996E-2</v>
      </c>
      <c r="AF720" s="115">
        <v>3.7900000000000003E-2</v>
      </c>
      <c r="AG720" s="115">
        <v>-7.7100000000000002E-2</v>
      </c>
      <c r="AH720" s="115">
        <v>-9.5200000000000007E-2</v>
      </c>
      <c r="AI720" s="115">
        <v>6.0900000000000003E-2</v>
      </c>
      <c r="AJ720" s="115">
        <v>6.4999999999999997E-3</v>
      </c>
      <c r="AK720" s="115">
        <v>6.1951000000000001</v>
      </c>
      <c r="AL720" s="115">
        <v>-2.7242000000000002</v>
      </c>
      <c r="AM720" s="115">
        <v>2</v>
      </c>
      <c r="AN720" s="115">
        <v>13</v>
      </c>
      <c r="AO720" s="115">
        <v>0</v>
      </c>
      <c r="AP720" s="115">
        <v>0</v>
      </c>
      <c r="AQ720" s="115">
        <v>4</v>
      </c>
      <c r="AR720" s="115">
        <v>0</v>
      </c>
      <c r="AS720" s="115">
        <v>-2.3E-3</v>
      </c>
      <c r="AT720" s="115">
        <v>-1.2778</v>
      </c>
      <c r="AU720" s="114" t="str">
        <f>IF(A720&lt;&gt;"",INDEX(Index!$B$1:$B$77,MATCH($A720,Index!$A$1:$A$77,0)),"")</f>
        <v>LV</v>
      </c>
      <c r="AV720" s="123" t="str">
        <f>IF(B720&lt;&gt;"",INDEX(Index!$C$1:$C$77,MATCH($A720,Index!$A$1:$A$77,0)),"")</f>
        <v>Smith</v>
      </c>
      <c r="AW720" s="123">
        <f t="shared" si="13"/>
        <v>1</v>
      </c>
      <c r="AX720" s="113">
        <v>17</v>
      </c>
    </row>
    <row r="721" spans="1:50" x14ac:dyDescent="0.25">
      <c r="A721" s="95" t="s">
        <v>580</v>
      </c>
      <c r="B721" s="96">
        <v>2025</v>
      </c>
      <c r="C721" s="96">
        <v>9</v>
      </c>
      <c r="D721" s="96">
        <v>-3.2419500000000001</v>
      </c>
      <c r="E721" s="96">
        <v>-0.18168100000000001</v>
      </c>
      <c r="F721" s="115">
        <v>-1.7898400000000001</v>
      </c>
      <c r="G721" s="115">
        <v>-32.530799999999999</v>
      </c>
      <c r="H721" s="115">
        <v>-0.11409999999999999</v>
      </c>
      <c r="I721" s="115">
        <v>126</v>
      </c>
      <c r="J721" s="115">
        <v>220</v>
      </c>
      <c r="K721" s="115">
        <v>0.57269999999999999</v>
      </c>
      <c r="L721" s="115">
        <v>-6.2393999999999998</v>
      </c>
      <c r="M721" s="115">
        <v>1450</v>
      </c>
      <c r="N721" s="115">
        <v>6.5909000000000004</v>
      </c>
      <c r="O721" s="115">
        <v>11</v>
      </c>
      <c r="P721" s="115">
        <v>12</v>
      </c>
      <c r="Q721" s="115">
        <v>27</v>
      </c>
      <c r="R721" s="115">
        <v>23</v>
      </c>
      <c r="S721" s="115">
        <v>184</v>
      </c>
      <c r="T721" s="115">
        <v>8</v>
      </c>
      <c r="U721" s="115">
        <v>4</v>
      </c>
      <c r="V721" s="115">
        <v>0.05</v>
      </c>
      <c r="W721" s="115">
        <v>5.45E-2</v>
      </c>
      <c r="X721" s="115">
        <v>-4.4999999999999997E-3</v>
      </c>
      <c r="Y721" s="115">
        <v>0.43509999999999999</v>
      </c>
      <c r="Z721" s="115">
        <v>71.212100000000007</v>
      </c>
      <c r="AA721" s="115">
        <v>3.9716999999999998</v>
      </c>
      <c r="AB721" s="115">
        <v>43.207599999999999</v>
      </c>
      <c r="AC721" s="115"/>
      <c r="AD721" s="115">
        <v>3.4799999999999998E-2</v>
      </c>
      <c r="AE721" s="115">
        <v>-7.0800000000000002E-2</v>
      </c>
      <c r="AF721" s="115">
        <v>-5.3199999999999997E-2</v>
      </c>
      <c r="AG721" s="115">
        <v>-0.1082</v>
      </c>
      <c r="AH721" s="115">
        <v>1.6799999999999999E-2</v>
      </c>
      <c r="AI721" s="115">
        <v>-1.8200000000000001E-2</v>
      </c>
      <c r="AJ721" s="115">
        <v>1.17E-2</v>
      </c>
      <c r="AK721" s="115">
        <v>8.9408999999999992</v>
      </c>
      <c r="AL721" s="115">
        <v>0.35449999999999998</v>
      </c>
      <c r="AM721" s="115">
        <v>5</v>
      </c>
      <c r="AN721" s="115">
        <v>4</v>
      </c>
      <c r="AO721" s="115">
        <v>0</v>
      </c>
      <c r="AP721" s="115">
        <v>1</v>
      </c>
      <c r="AQ721" s="115">
        <v>4</v>
      </c>
      <c r="AR721" s="115">
        <v>0.25</v>
      </c>
      <c r="AS721" s="115">
        <v>2.9999999999999997E-4</v>
      </c>
      <c r="AT721" s="115">
        <v>7.8E-2</v>
      </c>
      <c r="AU721" s="114" t="str">
        <f>IF(A721&lt;&gt;"",INDEX(Index!$B$1:$B$77,MATCH($A721,Index!$A$1:$A$77,0)),"")</f>
        <v>MIN</v>
      </c>
      <c r="AV721" s="123" t="str">
        <f>IF(B721&lt;&gt;"",INDEX(Index!$C$1:$C$77,MATCH($A721,Index!$A$1:$A$77,0)),"")</f>
        <v>McCarthy</v>
      </c>
      <c r="AW721" s="123">
        <f t="shared" si="13"/>
        <v>16</v>
      </c>
      <c r="AX721" s="113">
        <v>17</v>
      </c>
    </row>
    <row r="722" spans="1:50" x14ac:dyDescent="0.25">
      <c r="A722" s="95" t="s">
        <v>606</v>
      </c>
      <c r="B722" s="96">
        <v>2025</v>
      </c>
      <c r="C722" s="96">
        <v>1</v>
      </c>
      <c r="D722" s="96">
        <v>-3.3631700000000002</v>
      </c>
      <c r="E722" s="96">
        <v>0.113457</v>
      </c>
      <c r="F722" s="115">
        <v>0.113457</v>
      </c>
      <c r="G722" s="115">
        <v>-12.0609</v>
      </c>
      <c r="H722" s="115">
        <v>-0.25130000000000002</v>
      </c>
      <c r="I722" s="115">
        <v>24</v>
      </c>
      <c r="J722" s="115">
        <v>37</v>
      </c>
      <c r="K722" s="115">
        <v>0.64859999999999995</v>
      </c>
      <c r="L722" s="115">
        <v>-1.7394000000000001</v>
      </c>
      <c r="M722" s="115">
        <v>177</v>
      </c>
      <c r="N722" s="115">
        <v>4.7838000000000003</v>
      </c>
      <c r="O722" s="115">
        <v>1</v>
      </c>
      <c r="P722" s="115">
        <v>0</v>
      </c>
      <c r="Q722" s="115">
        <v>5</v>
      </c>
      <c r="R722" s="115">
        <v>4</v>
      </c>
      <c r="S722" s="115">
        <v>18</v>
      </c>
      <c r="T722" s="115">
        <v>4.5</v>
      </c>
      <c r="U722" s="115">
        <v>0</v>
      </c>
      <c r="V722" s="115">
        <v>2.7E-2</v>
      </c>
      <c r="W722" s="115">
        <v>0</v>
      </c>
      <c r="X722" s="115">
        <v>2.7E-2</v>
      </c>
      <c r="Y722" s="115">
        <v>0.29170000000000001</v>
      </c>
      <c r="Z722" s="115">
        <v>85.078800000000001</v>
      </c>
      <c r="AA722" s="115">
        <v>3.4285999999999999</v>
      </c>
      <c r="AB722" s="115">
        <v>115.08799999999999</v>
      </c>
      <c r="AC722" s="115"/>
      <c r="AD722" s="115">
        <v>-4.6600000000000003E-2</v>
      </c>
      <c r="AE722" s="115">
        <v>-5.0299999999999997E-2</v>
      </c>
      <c r="AF722" s="115">
        <v>-2.53E-2</v>
      </c>
      <c r="AG722" s="115">
        <v>7.8700000000000006E-2</v>
      </c>
      <c r="AH722" s="115">
        <v>-0.2366</v>
      </c>
      <c r="AI722" s="115">
        <v>-8.1699999999999995E-2</v>
      </c>
      <c r="AJ722" s="115">
        <v>3.7499999999999999E-2</v>
      </c>
      <c r="AK722" s="115">
        <v>5.1891999999999996</v>
      </c>
      <c r="AL722" s="115">
        <v>-3.2972999999999999</v>
      </c>
      <c r="AM722" s="115">
        <v>0</v>
      </c>
      <c r="AN722" s="115">
        <v>2</v>
      </c>
      <c r="AO722" s="115">
        <v>0</v>
      </c>
      <c r="AP722" s="115">
        <v>0</v>
      </c>
      <c r="AQ722" s="115">
        <v>1</v>
      </c>
      <c r="AR722" s="115">
        <v>0</v>
      </c>
      <c r="AS722" s="115">
        <v>-4.7999999999999996E-3</v>
      </c>
      <c r="AT722" s="115">
        <v>-0.2324</v>
      </c>
      <c r="AU722" s="114" t="str">
        <f>IF(A722&lt;&gt;"",INDEX(Index!$B$1:$B$77,MATCH($A722,Index!$A$1:$A$77,0)),"")</f>
        <v>KC</v>
      </c>
      <c r="AV722" s="123" t="str">
        <f>IF(B722&lt;&gt;"",INDEX(Index!$C$1:$C$77,MATCH($A722,Index!$A$1:$A$77,0)),"")</f>
        <v>Oladokun</v>
      </c>
      <c r="AW722" s="123">
        <f t="shared" si="13"/>
        <v>50</v>
      </c>
      <c r="AX722" s="113">
        <v>17</v>
      </c>
    </row>
    <row r="723" spans="1:50" x14ac:dyDescent="0.25">
      <c r="A723" s="95" t="s">
        <v>598</v>
      </c>
      <c r="B723" s="96">
        <v>2025</v>
      </c>
      <c r="C723" s="96">
        <v>6</v>
      </c>
      <c r="D723" s="96">
        <v>-3.3761999999999999</v>
      </c>
      <c r="E723" s="96">
        <v>3.12482E-2</v>
      </c>
      <c r="F723" s="115">
        <v>0.49045</v>
      </c>
      <c r="G723" s="115">
        <v>-52.440600000000003</v>
      </c>
      <c r="H723" s="115">
        <v>-0.22509999999999999</v>
      </c>
      <c r="I723" s="115">
        <v>109</v>
      </c>
      <c r="J723" s="115">
        <v>190</v>
      </c>
      <c r="K723" s="115">
        <v>0.57369999999999999</v>
      </c>
      <c r="L723" s="115">
        <v>-4.1814</v>
      </c>
      <c r="M723" s="115">
        <v>1289</v>
      </c>
      <c r="N723" s="115">
        <v>6.7842000000000002</v>
      </c>
      <c r="O723" s="115">
        <v>7</v>
      </c>
      <c r="P723" s="115">
        <v>10</v>
      </c>
      <c r="Q723" s="115">
        <v>17</v>
      </c>
      <c r="R723" s="115">
        <v>16</v>
      </c>
      <c r="S723" s="115">
        <v>145</v>
      </c>
      <c r="T723" s="115">
        <v>9.0625</v>
      </c>
      <c r="U723" s="115">
        <v>1</v>
      </c>
      <c r="V723" s="115">
        <v>3.6799999999999999E-2</v>
      </c>
      <c r="W723" s="115">
        <v>5.2600000000000001E-2</v>
      </c>
      <c r="X723" s="115">
        <v>-1.5800000000000002E-2</v>
      </c>
      <c r="Y723" s="115">
        <v>0.37340000000000001</v>
      </c>
      <c r="Z723" s="115">
        <v>68.508799999999994</v>
      </c>
      <c r="AA723" s="115">
        <v>4.0773000000000001</v>
      </c>
      <c r="AB723" s="115">
        <v>103.003</v>
      </c>
      <c r="AC723" s="115"/>
      <c r="AD723" s="115">
        <v>6.0000000000000001E-3</v>
      </c>
      <c r="AE723" s="115">
        <v>-3.27E-2</v>
      </c>
      <c r="AF723" s="115">
        <v>-0.02</v>
      </c>
      <c r="AG723" s="115">
        <v>-0.1452</v>
      </c>
      <c r="AH723" s="115">
        <v>-0.13969999999999999</v>
      </c>
      <c r="AI723" s="115">
        <v>5.7700000000000001E-2</v>
      </c>
      <c r="AJ723" s="115">
        <v>-2.4199999999999999E-2</v>
      </c>
      <c r="AK723" s="115">
        <v>6.9946999999999999</v>
      </c>
      <c r="AL723" s="115">
        <v>-3.0263</v>
      </c>
      <c r="AM723" s="115">
        <v>2</v>
      </c>
      <c r="AN723" s="115">
        <v>5</v>
      </c>
      <c r="AO723" s="115">
        <v>0</v>
      </c>
      <c r="AP723" s="115">
        <v>0</v>
      </c>
      <c r="AQ723" s="115">
        <v>3</v>
      </c>
      <c r="AR723" s="115">
        <v>0</v>
      </c>
      <c r="AS723" s="115">
        <v>-5.1999999999999998E-3</v>
      </c>
      <c r="AT723" s="115">
        <v>-1.2194</v>
      </c>
      <c r="AU723" s="114" t="str">
        <f>IF(A723&lt;&gt;"",INDEX(Index!$B$1:$B$77,MATCH($A723,Index!$A$1:$A$77,0)),"")</f>
        <v>CLE</v>
      </c>
      <c r="AV723" s="123" t="str">
        <f>IF(B723&lt;&gt;"",INDEX(Index!$C$1:$C$77,MATCH($A723,Index!$A$1:$A$77,0)),"")</f>
        <v>Sanders</v>
      </c>
      <c r="AW723" s="123">
        <f t="shared" si="13"/>
        <v>34</v>
      </c>
      <c r="AX723" s="113">
        <v>17</v>
      </c>
    </row>
    <row r="724" spans="1:50" x14ac:dyDescent="0.25">
      <c r="A724" s="95" t="s">
        <v>604</v>
      </c>
      <c r="B724" s="96">
        <v>2025</v>
      </c>
      <c r="C724" s="96">
        <v>2</v>
      </c>
      <c r="D724" s="96">
        <v>-3.48813</v>
      </c>
      <c r="E724" s="96">
        <v>7.8862299999999996E-2</v>
      </c>
      <c r="F724" s="115">
        <v>0.117228</v>
      </c>
      <c r="G724" s="115">
        <v>-2.3727</v>
      </c>
      <c r="H724" s="115">
        <v>-3.44E-2</v>
      </c>
      <c r="I724" s="115">
        <v>39</v>
      </c>
      <c r="J724" s="115">
        <v>60</v>
      </c>
      <c r="K724" s="115">
        <v>0.65</v>
      </c>
      <c r="L724" s="115">
        <v>-0.47549999999999998</v>
      </c>
      <c r="M724" s="115">
        <v>485</v>
      </c>
      <c r="N724" s="115">
        <v>8.0832999999999995</v>
      </c>
      <c r="O724" s="115">
        <v>2</v>
      </c>
      <c r="P724" s="115">
        <v>2</v>
      </c>
      <c r="Q724" s="115">
        <v>4</v>
      </c>
      <c r="R724" s="115">
        <v>3</v>
      </c>
      <c r="S724" s="115">
        <v>12</v>
      </c>
      <c r="T724" s="115">
        <v>4</v>
      </c>
      <c r="U724" s="115">
        <v>0</v>
      </c>
      <c r="V724" s="115">
        <v>3.3300000000000003E-2</v>
      </c>
      <c r="W724" s="115">
        <v>3.3300000000000003E-2</v>
      </c>
      <c r="X724" s="115">
        <v>0</v>
      </c>
      <c r="Y724" s="115">
        <v>0.39129999999999998</v>
      </c>
      <c r="Z724" s="115">
        <v>87.152799999999999</v>
      </c>
      <c r="AA724" s="115">
        <v>6.1875</v>
      </c>
      <c r="AB724" s="115">
        <v>96.049499999999995</v>
      </c>
      <c r="AC724" s="115"/>
      <c r="AD724" s="115">
        <v>-7.1400000000000005E-2</v>
      </c>
      <c r="AE724" s="115">
        <v>9.4000000000000004E-3</v>
      </c>
      <c r="AF724" s="115">
        <v>6.2799999999999995E-2</v>
      </c>
      <c r="AG724" s="115">
        <v>-3.4599999999999999E-2</v>
      </c>
      <c r="AH724" s="115">
        <v>-0.15409999999999999</v>
      </c>
      <c r="AI724" s="115">
        <v>0.14119999999999999</v>
      </c>
      <c r="AJ724" s="115">
        <v>-6.0699999999999997E-2</v>
      </c>
      <c r="AK724" s="115">
        <v>8.65</v>
      </c>
      <c r="AL724" s="115">
        <v>-0.61670000000000003</v>
      </c>
      <c r="AM724" s="115">
        <v>1</v>
      </c>
      <c r="AN724" s="115">
        <v>2</v>
      </c>
      <c r="AO724" s="115">
        <v>0</v>
      </c>
      <c r="AP724" s="115">
        <v>0</v>
      </c>
      <c r="AQ724" s="115">
        <v>0</v>
      </c>
      <c r="AR724" s="115"/>
      <c r="AS724" s="115">
        <v>1.5E-3</v>
      </c>
      <c r="AT724" s="115">
        <v>0.1056</v>
      </c>
      <c r="AU724" s="114" t="str">
        <f>IF(A724&lt;&gt;"",INDEX(Index!$B$1:$B$77,MATCH($A724,Index!$A$1:$A$77,0)),"")</f>
        <v>MIA</v>
      </c>
      <c r="AV724" s="123" t="str">
        <f>IF(B724&lt;&gt;"",INDEX(Index!$C$1:$C$77,MATCH($A724,Index!$A$1:$A$77,0)),"")</f>
        <v>Ewers</v>
      </c>
      <c r="AW724" s="123">
        <f t="shared" si="13"/>
        <v>52</v>
      </c>
      <c r="AX724" s="113">
        <v>17</v>
      </c>
    </row>
    <row r="725" spans="1:50" x14ac:dyDescent="0.25">
      <c r="A725" s="95" t="s">
        <v>589</v>
      </c>
      <c r="B725" s="96">
        <v>2025</v>
      </c>
      <c r="C725" s="96">
        <v>6</v>
      </c>
      <c r="D725" s="96">
        <v>-3.72695</v>
      </c>
      <c r="E725" s="96">
        <v>-8.9766799999999994E-2</v>
      </c>
      <c r="F725" s="115">
        <v>-0.13372500000000001</v>
      </c>
      <c r="G725" s="115">
        <v>-27.662600000000001</v>
      </c>
      <c r="H725" s="115">
        <v>-0.1203</v>
      </c>
      <c r="I725" s="115">
        <v>110</v>
      </c>
      <c r="J725" s="115">
        <v>184</v>
      </c>
      <c r="K725" s="115">
        <v>0.5978</v>
      </c>
      <c r="L725" s="115">
        <v>-7.5071000000000003</v>
      </c>
      <c r="M725" s="115">
        <v>937</v>
      </c>
      <c r="N725" s="115">
        <v>5.0923999999999996</v>
      </c>
      <c r="O725" s="115">
        <v>7</v>
      </c>
      <c r="P725" s="115">
        <v>2</v>
      </c>
      <c r="Q725" s="115">
        <v>19</v>
      </c>
      <c r="R725" s="115">
        <v>13</v>
      </c>
      <c r="S725" s="115">
        <v>87</v>
      </c>
      <c r="T725" s="115">
        <v>6.6923000000000004</v>
      </c>
      <c r="U725" s="115">
        <v>0</v>
      </c>
      <c r="V725" s="115">
        <v>3.7999999999999999E-2</v>
      </c>
      <c r="W725" s="115">
        <v>1.09E-2</v>
      </c>
      <c r="X725" s="115">
        <v>2.7199999999999998E-2</v>
      </c>
      <c r="Y725" s="115">
        <v>0.35220000000000001</v>
      </c>
      <c r="Z725" s="115">
        <v>81.272599999999997</v>
      </c>
      <c r="AA725" s="115">
        <v>4.2365000000000004</v>
      </c>
      <c r="AB725" s="115">
        <v>72.512900000000002</v>
      </c>
      <c r="AC725" s="115"/>
      <c r="AD725" s="115">
        <v>-1.9599999999999999E-2</v>
      </c>
      <c r="AE725" s="115">
        <v>-2.4899999999999999E-2</v>
      </c>
      <c r="AF725" s="115">
        <v>-3.8300000000000001E-2</v>
      </c>
      <c r="AG725" s="115">
        <v>4.5400000000000003E-2</v>
      </c>
      <c r="AH725" s="115">
        <v>-0.159</v>
      </c>
      <c r="AI725" s="115">
        <v>-3.4099999999999998E-2</v>
      </c>
      <c r="AJ725" s="115">
        <v>3.73E-2</v>
      </c>
      <c r="AK725" s="115">
        <v>5.8586999999999998</v>
      </c>
      <c r="AL725" s="115">
        <v>-4.0053999999999998</v>
      </c>
      <c r="AM725" s="115">
        <v>1</v>
      </c>
      <c r="AN725" s="115">
        <v>9</v>
      </c>
      <c r="AO725" s="115">
        <v>0</v>
      </c>
      <c r="AP725" s="115">
        <v>0</v>
      </c>
      <c r="AQ725" s="115">
        <v>2</v>
      </c>
      <c r="AR725" s="115">
        <v>0</v>
      </c>
      <c r="AS725" s="115">
        <v>-3.0999999999999999E-3</v>
      </c>
      <c r="AT725" s="115">
        <v>-0.71830000000000005</v>
      </c>
      <c r="AU725" s="114" t="str">
        <f>IF(A725&lt;&gt;"",INDEX(Index!$B$1:$B$77,MATCH($A725,Index!$A$1:$A$77,0)),"")</f>
        <v>CLE</v>
      </c>
      <c r="AV725" s="123" t="str">
        <f>IF(B725&lt;&gt;"",INDEX(Index!$C$1:$C$77,MATCH($A725,Index!$A$1:$A$77,0)),"")</f>
        <v>Gabriel</v>
      </c>
      <c r="AW725" s="123">
        <f t="shared" si="13"/>
        <v>27</v>
      </c>
      <c r="AX725" s="113">
        <v>17</v>
      </c>
    </row>
    <row r="726" spans="1:50" x14ac:dyDescent="0.25">
      <c r="A726" s="95" t="s">
        <v>607</v>
      </c>
      <c r="B726" s="96">
        <v>2025</v>
      </c>
      <c r="C726" s="96">
        <v>1</v>
      </c>
      <c r="D726" s="96">
        <v>-3.9644499999999998</v>
      </c>
      <c r="E726" s="96">
        <v>5.02914E-2</v>
      </c>
      <c r="F726" s="115">
        <v>5.02914E-2</v>
      </c>
      <c r="G726" s="115">
        <v>5.9192</v>
      </c>
      <c r="H726" s="115">
        <v>0.16</v>
      </c>
      <c r="I726" s="115">
        <v>20</v>
      </c>
      <c r="J726" s="115">
        <v>31</v>
      </c>
      <c r="K726" s="115">
        <v>0.6452</v>
      </c>
      <c r="L726" s="115">
        <v>-0.74009999999999998</v>
      </c>
      <c r="M726" s="115">
        <v>241</v>
      </c>
      <c r="N726" s="115">
        <v>7.7742000000000004</v>
      </c>
      <c r="O726" s="115">
        <v>0</v>
      </c>
      <c r="P726" s="115">
        <v>1</v>
      </c>
      <c r="Q726" s="115">
        <v>2</v>
      </c>
      <c r="R726" s="115">
        <v>2</v>
      </c>
      <c r="S726" s="115">
        <v>10</v>
      </c>
      <c r="T726" s="115">
        <v>5</v>
      </c>
      <c r="U726" s="115">
        <v>0</v>
      </c>
      <c r="V726" s="115">
        <v>0</v>
      </c>
      <c r="W726" s="115">
        <v>3.2300000000000002E-2</v>
      </c>
      <c r="X726" s="115">
        <v>-3.2300000000000002E-2</v>
      </c>
      <c r="Y726" s="115">
        <v>0.48649999999999999</v>
      </c>
      <c r="Z726" s="115">
        <v>74.798400000000001</v>
      </c>
      <c r="AA726" s="115">
        <v>5.5152000000000001</v>
      </c>
      <c r="AB726" s="115">
        <v>82.873000000000005</v>
      </c>
      <c r="AC726" s="115"/>
      <c r="AD726" s="115">
        <v>-3.3700000000000001E-2</v>
      </c>
      <c r="AE726" s="115">
        <v>1.6799999999999999E-2</v>
      </c>
      <c r="AF726" s="115">
        <v>-4.5600000000000002E-2</v>
      </c>
      <c r="AG726" s="115">
        <v>-3.3599999999999998E-2</v>
      </c>
      <c r="AH726" s="115">
        <v>2.4799999999999999E-2</v>
      </c>
      <c r="AI726" s="115">
        <v>2.7900000000000001E-2</v>
      </c>
      <c r="AJ726" s="115">
        <v>0.13020000000000001</v>
      </c>
      <c r="AK726" s="115">
        <v>6.1289999999999996</v>
      </c>
      <c r="AL726" s="115">
        <v>-3.4194</v>
      </c>
      <c r="AM726" s="115">
        <v>0</v>
      </c>
      <c r="AN726" s="115">
        <v>2</v>
      </c>
      <c r="AO726" s="115">
        <v>0</v>
      </c>
      <c r="AP726" s="115">
        <v>0</v>
      </c>
      <c r="AQ726" s="115">
        <v>0</v>
      </c>
      <c r="AR726" s="115"/>
      <c r="AS726" s="115">
        <v>1.5E-3</v>
      </c>
      <c r="AT726" s="115">
        <v>5.6599999999999998E-2</v>
      </c>
      <c r="AU726" s="114" t="str">
        <f>IF(A726&lt;&gt;"",INDEX(Index!$B$1:$B$77,MATCH($A726,Index!$A$1:$A$77,0)),"")</f>
        <v>WAS</v>
      </c>
      <c r="AV726" s="123" t="str">
        <f>IF(B726&lt;&gt;"",INDEX(Index!$C$1:$C$77,MATCH($A726,Index!$A$1:$A$77,0)),"")</f>
        <v>Johnson</v>
      </c>
      <c r="AW726" s="123">
        <f t="shared" si="13"/>
        <v>55</v>
      </c>
      <c r="AX726" s="113">
        <v>17</v>
      </c>
    </row>
    <row r="727" spans="1:50" x14ac:dyDescent="0.25">
      <c r="A727" s="95" t="s">
        <v>602</v>
      </c>
      <c r="B727" s="96">
        <v>2025</v>
      </c>
      <c r="C727" s="96">
        <v>3</v>
      </c>
      <c r="D727" s="96">
        <v>-4.6943599999999996</v>
      </c>
      <c r="E727" s="96">
        <v>-0.123944</v>
      </c>
      <c r="F727" s="115">
        <v>-0.96344099999999999</v>
      </c>
      <c r="G727" s="115">
        <v>-60.152999999999999</v>
      </c>
      <c r="H727" s="115">
        <v>-0.37359999999999999</v>
      </c>
      <c r="I727" s="115">
        <v>77</v>
      </c>
      <c r="J727" s="115">
        <v>131</v>
      </c>
      <c r="K727" s="115">
        <v>0.58779999999999999</v>
      </c>
      <c r="L727" s="115">
        <v>-8.3071999999999999</v>
      </c>
      <c r="M727" s="115">
        <v>679</v>
      </c>
      <c r="N727" s="115">
        <v>5.1832000000000003</v>
      </c>
      <c r="O727" s="115">
        <v>1</v>
      </c>
      <c r="P727" s="115">
        <v>7</v>
      </c>
      <c r="Q727" s="115">
        <v>18</v>
      </c>
      <c r="R727" s="115">
        <v>8</v>
      </c>
      <c r="S727" s="115">
        <v>42</v>
      </c>
      <c r="T727" s="115">
        <v>5.25</v>
      </c>
      <c r="U727" s="115">
        <v>0</v>
      </c>
      <c r="V727" s="115">
        <v>7.6E-3</v>
      </c>
      <c r="W727" s="115">
        <v>5.3400000000000003E-2</v>
      </c>
      <c r="X727" s="115">
        <v>-4.58E-2</v>
      </c>
      <c r="Y727" s="115">
        <v>0.32919999999999999</v>
      </c>
      <c r="Z727" s="115">
        <v>52.942100000000003</v>
      </c>
      <c r="AA727" s="115">
        <v>1.7851999999999999</v>
      </c>
      <c r="AB727" s="115">
        <v>-25.2545</v>
      </c>
      <c r="AC727" s="115"/>
      <c r="AD727" s="115">
        <v>-3.4299999999999997E-2</v>
      </c>
      <c r="AE727" s="115">
        <v>-0.09</v>
      </c>
      <c r="AF727" s="115">
        <v>-3.44E-2</v>
      </c>
      <c r="AG727" s="115">
        <v>-7.8600000000000003E-2</v>
      </c>
      <c r="AH727" s="115">
        <v>-0.15989999999999999</v>
      </c>
      <c r="AI727" s="115">
        <v>-4.2299999999999997E-2</v>
      </c>
      <c r="AJ727" s="115">
        <v>-7.1000000000000004E-3</v>
      </c>
      <c r="AK727" s="115">
        <v>6.0610999999999997</v>
      </c>
      <c r="AL727" s="115">
        <v>-3.1907999999999999</v>
      </c>
      <c r="AM727" s="115">
        <v>0</v>
      </c>
      <c r="AN727" s="115">
        <v>4</v>
      </c>
      <c r="AO727" s="115">
        <v>0</v>
      </c>
      <c r="AP727" s="115">
        <v>0</v>
      </c>
      <c r="AQ727" s="115">
        <v>0</v>
      </c>
      <c r="AR727" s="115"/>
      <c r="AS727" s="115">
        <v>-2.5999999999999999E-3</v>
      </c>
      <c r="AT727" s="115">
        <v>-0.42509999999999998</v>
      </c>
      <c r="AU727" s="114" t="str">
        <f>IF(A727&lt;&gt;"",INDEX(Index!$B$1:$B$77,MATCH($A727,Index!$A$1:$A$77,0)),"")</f>
        <v>NYJ</v>
      </c>
      <c r="AV727" s="123" t="str">
        <f>IF(B727&lt;&gt;"",INDEX(Index!$C$1:$C$77,MATCH($A727,Index!$A$1:$A$77,0)),"")</f>
        <v>Cook</v>
      </c>
      <c r="AW727" s="123">
        <f t="shared" si="13"/>
        <v>29</v>
      </c>
      <c r="AX727" s="113">
        <v>17</v>
      </c>
    </row>
    <row r="728" spans="1:50" ht="15.75" thickBot="1" x14ac:dyDescent="0.3">
      <c r="A728" s="95" t="s">
        <v>599</v>
      </c>
      <c r="B728" s="96">
        <v>2025</v>
      </c>
      <c r="C728" s="96">
        <v>2</v>
      </c>
      <c r="D728" s="96">
        <v>-5.08758</v>
      </c>
      <c r="E728" s="96">
        <v>-0.65202099999999996</v>
      </c>
      <c r="F728" s="115">
        <v>-1.5617399999999999</v>
      </c>
      <c r="G728" s="115">
        <v>-49.219200000000001</v>
      </c>
      <c r="H728" s="115">
        <v>-0.60760000000000003</v>
      </c>
      <c r="I728" s="115">
        <v>40</v>
      </c>
      <c r="J728" s="115">
        <v>63</v>
      </c>
      <c r="K728" s="115">
        <v>0.63490000000000002</v>
      </c>
      <c r="L728" s="115">
        <v>-5.1319999999999997</v>
      </c>
      <c r="M728" s="115">
        <v>271</v>
      </c>
      <c r="N728" s="115">
        <v>4.3015999999999996</v>
      </c>
      <c r="O728" s="115">
        <v>0</v>
      </c>
      <c r="P728" s="115">
        <v>4</v>
      </c>
      <c r="Q728" s="115">
        <v>12</v>
      </c>
      <c r="R728" s="115">
        <v>2</v>
      </c>
      <c r="S728" s="115">
        <v>16</v>
      </c>
      <c r="T728" s="115">
        <v>8</v>
      </c>
      <c r="U728" s="115">
        <v>0</v>
      </c>
      <c r="V728" s="115">
        <v>0</v>
      </c>
      <c r="W728" s="115">
        <v>6.3500000000000001E-2</v>
      </c>
      <c r="X728" s="115">
        <v>-6.3500000000000001E-2</v>
      </c>
      <c r="Y728" s="115">
        <v>0.25929999999999997</v>
      </c>
      <c r="Z728" s="115">
        <v>46.461599999999997</v>
      </c>
      <c r="AA728" s="115">
        <v>5.33E-2</v>
      </c>
      <c r="AB728" s="115">
        <v>-159.04</v>
      </c>
      <c r="AC728" s="115"/>
      <c r="AD728" s="115">
        <v>-8.3000000000000001E-3</v>
      </c>
      <c r="AE728" s="115">
        <v>-0.1376</v>
      </c>
      <c r="AF728" s="115">
        <v>1.5100000000000001E-2</v>
      </c>
      <c r="AG728" s="115">
        <v>-0.15379999999999999</v>
      </c>
      <c r="AH728" s="115">
        <v>-0.32300000000000001</v>
      </c>
      <c r="AI728" s="115">
        <v>-7.6399999999999996E-2</v>
      </c>
      <c r="AJ728" s="115">
        <v>3.3E-3</v>
      </c>
      <c r="AK728" s="115">
        <v>4.5872999999999999</v>
      </c>
      <c r="AL728" s="115">
        <v>-4.6984000000000004</v>
      </c>
      <c r="AM728" s="115">
        <v>3</v>
      </c>
      <c r="AN728" s="115">
        <v>2</v>
      </c>
      <c r="AO728" s="115">
        <v>0</v>
      </c>
      <c r="AP728" s="115">
        <v>0</v>
      </c>
      <c r="AQ728" s="115">
        <v>0</v>
      </c>
      <c r="AR728" s="115"/>
      <c r="AS728" s="115">
        <v>-1.24E-2</v>
      </c>
      <c r="AT728" s="115">
        <v>-1.0007999999999999</v>
      </c>
      <c r="AU728" s="114" t="str">
        <f>IF(A728&lt;&gt;"",INDEX(Index!$B$1:$B$77,MATCH($A728,Index!$A$1:$A$77,0)),"")</f>
        <v>MIN</v>
      </c>
      <c r="AV728" s="123" t="str">
        <f>IF(B728&lt;&gt;"",INDEX(Index!$C$1:$C$77,MATCH($A728,Index!$A$1:$A$77,0)),"")</f>
        <v>Brosmer</v>
      </c>
      <c r="AW728" s="123">
        <f t="shared" si="13"/>
        <v>41</v>
      </c>
      <c r="AX728" s="113">
        <v>17</v>
      </c>
    </row>
    <row r="729" spans="1:50" x14ac:dyDescent="0.25">
      <c r="A729" s="213" t="s">
        <v>551</v>
      </c>
      <c r="B729" s="214">
        <v>2025</v>
      </c>
      <c r="C729" s="214">
        <v>16</v>
      </c>
      <c r="D729" s="214">
        <v>3.14758</v>
      </c>
      <c r="E729" s="214">
        <v>-1.71667E-2</v>
      </c>
      <c r="F729" s="215">
        <v>-0.47243299999999999</v>
      </c>
      <c r="G729" s="215">
        <v>145.00899999999999</v>
      </c>
      <c r="H729" s="215">
        <v>0.23499999999999999</v>
      </c>
      <c r="I729" s="215">
        <v>319</v>
      </c>
      <c r="J729" s="215">
        <v>459</v>
      </c>
      <c r="K729" s="215">
        <v>0.69499999999999995</v>
      </c>
      <c r="L729" s="215">
        <v>3.5148999999999999</v>
      </c>
      <c r="M729" s="215">
        <v>3668</v>
      </c>
      <c r="N729" s="215">
        <v>7.9912999999999998</v>
      </c>
      <c r="O729" s="215">
        <v>25</v>
      </c>
      <c r="P729" s="215">
        <v>10</v>
      </c>
      <c r="Q729" s="215">
        <v>40</v>
      </c>
      <c r="R729" s="215">
        <v>90</v>
      </c>
      <c r="S729" s="215">
        <v>599</v>
      </c>
      <c r="T729" s="215">
        <v>6.6555999999999997</v>
      </c>
      <c r="U729" s="215">
        <v>14</v>
      </c>
      <c r="V729" s="215">
        <v>5.45E-2</v>
      </c>
      <c r="W729" s="215">
        <v>2.18E-2</v>
      </c>
      <c r="X729" s="215">
        <v>3.27E-2</v>
      </c>
      <c r="Y729" s="215">
        <v>0.51380000000000003</v>
      </c>
      <c r="Z729" s="215">
        <v>102.374</v>
      </c>
      <c r="AA729" s="215">
        <v>6.8536999999999999</v>
      </c>
      <c r="AB729" s="215">
        <v>251.99700000000001</v>
      </c>
      <c r="AC729" s="215">
        <v>65.099999999999994</v>
      </c>
      <c r="AD729" s="215">
        <v>6.3799999999999996E-2</v>
      </c>
      <c r="AE729" s="215">
        <v>3.7000000000000002E-3</v>
      </c>
      <c r="AF729" s="215">
        <v>3.9600000000000003E-2</v>
      </c>
      <c r="AG729" s="215">
        <v>2.35E-2</v>
      </c>
      <c r="AH729" s="215">
        <v>-7.1599999999999997E-2</v>
      </c>
      <c r="AI729" s="215">
        <v>9.1200000000000003E-2</v>
      </c>
      <c r="AJ729" s="215">
        <v>1.17E-2</v>
      </c>
      <c r="AK729" s="215">
        <v>7.3181000000000003</v>
      </c>
      <c r="AL729" s="215">
        <v>-0.96509999999999996</v>
      </c>
      <c r="AM729" s="215">
        <v>11</v>
      </c>
      <c r="AN729" s="215">
        <v>5</v>
      </c>
      <c r="AO729" s="215">
        <v>0</v>
      </c>
      <c r="AP729" s="215">
        <v>3</v>
      </c>
      <c r="AQ729" s="215">
        <v>7</v>
      </c>
      <c r="AR729" s="215">
        <v>0.42859999999999998</v>
      </c>
      <c r="AS729" s="215">
        <v>5.4000000000000003E-3</v>
      </c>
      <c r="AT729" s="215">
        <v>3.3129</v>
      </c>
      <c r="AU729" s="121" t="str">
        <f>IF(A729&lt;&gt;"",INDEX(Index!$B$1:$B$77,MATCH($A729,Index!$A$1:$A$77,0)),"")</f>
        <v>BUF</v>
      </c>
      <c r="AV729" s="124" t="str">
        <f>IF(B729&lt;&gt;"",INDEX(Index!$C$1:$C$77,MATCH($A729,Index!$A$1:$A$77,0)),"")</f>
        <v>Allen</v>
      </c>
      <c r="AW729" s="124">
        <f t="shared" ref="AW729:AW786" si="14">IF(AT729&lt;&gt;"",COUNTIFS($AX$2:$AX$994,AX729,$Q$2:$Q$994,"&gt;"&amp;$Q729)+1,"")</f>
        <v>5</v>
      </c>
      <c r="AX729" s="120">
        <v>18</v>
      </c>
    </row>
    <row r="730" spans="1:50" x14ac:dyDescent="0.25">
      <c r="A730" s="216" t="s">
        <v>560</v>
      </c>
      <c r="B730" s="149">
        <v>2025</v>
      </c>
      <c r="C730" s="149">
        <v>8</v>
      </c>
      <c r="D730" s="149">
        <v>2.6506400000000001</v>
      </c>
      <c r="E730" s="149">
        <v>0.72989000000000004</v>
      </c>
      <c r="F730" s="217">
        <v>1.78128</v>
      </c>
      <c r="G730" s="217">
        <v>97.524299999999997</v>
      </c>
      <c r="H730" s="217">
        <v>0.31659999999999999</v>
      </c>
      <c r="I730" s="217">
        <v>178</v>
      </c>
      <c r="J730" s="217">
        <v>257</v>
      </c>
      <c r="K730" s="217">
        <v>0.69259999999999999</v>
      </c>
      <c r="L730" s="217">
        <v>7.6756000000000002</v>
      </c>
      <c r="M730" s="217">
        <v>2040</v>
      </c>
      <c r="N730" s="217">
        <v>7.9377000000000004</v>
      </c>
      <c r="O730" s="217">
        <v>20</v>
      </c>
      <c r="P730" s="217">
        <v>9</v>
      </c>
      <c r="Q730" s="217">
        <v>8</v>
      </c>
      <c r="R730" s="217">
        <v>27</v>
      </c>
      <c r="S730" s="217">
        <v>130</v>
      </c>
      <c r="T730" s="217">
        <v>4.8148</v>
      </c>
      <c r="U730" s="217">
        <v>3</v>
      </c>
      <c r="V730" s="217">
        <v>7.7799999999999994E-2</v>
      </c>
      <c r="W730" s="217">
        <v>3.5000000000000003E-2</v>
      </c>
      <c r="X730" s="217">
        <v>4.2799999999999998E-2</v>
      </c>
      <c r="Y730" s="217">
        <v>0.56489999999999996</v>
      </c>
      <c r="Z730" s="217">
        <v>104.223</v>
      </c>
      <c r="AA730" s="217">
        <v>7.5057</v>
      </c>
      <c r="AB730" s="217">
        <v>259.66699999999997</v>
      </c>
      <c r="AC730" s="217">
        <v>77.599999999999994</v>
      </c>
      <c r="AD730" s="217">
        <v>2.3800000000000002E-2</v>
      </c>
      <c r="AE730" s="217">
        <v>4.4299999999999999E-2</v>
      </c>
      <c r="AF730" s="217">
        <v>4.8500000000000001E-2</v>
      </c>
      <c r="AG730" s="217">
        <v>-5.8400000000000001E-2</v>
      </c>
      <c r="AH730" s="217">
        <v>0.18479999999999999</v>
      </c>
      <c r="AI730" s="217">
        <v>-4.3E-3</v>
      </c>
      <c r="AJ730" s="217">
        <v>4.8999999999999998E-3</v>
      </c>
      <c r="AK730" s="217">
        <v>7.8948999999999998</v>
      </c>
      <c r="AL730" s="217">
        <v>-0.37740000000000001</v>
      </c>
      <c r="AM730" s="217">
        <v>7</v>
      </c>
      <c r="AN730" s="217">
        <v>1</v>
      </c>
      <c r="AO730" s="217">
        <v>0</v>
      </c>
      <c r="AP730" s="217">
        <v>2</v>
      </c>
      <c r="AQ730" s="217">
        <v>3</v>
      </c>
      <c r="AR730" s="217">
        <v>0.66669999999999996</v>
      </c>
      <c r="AS730" s="217">
        <v>9.7000000000000003E-3</v>
      </c>
      <c r="AT730" s="217">
        <v>2.9986000000000002</v>
      </c>
      <c r="AU730" s="114" t="str">
        <f>IF(A730&lt;&gt;"",INDEX(Index!$B$1:$B$77,MATCH($A730,Index!$A$1:$A$77,0)),"")</f>
        <v>SF</v>
      </c>
      <c r="AV730" s="123" t="str">
        <f>IF(B730&lt;&gt;"",INDEX(Index!$C$1:$C$77,MATCH($A730,Index!$A$1:$A$77,0)),"")</f>
        <v>Purdy</v>
      </c>
      <c r="AW730" s="123">
        <f t="shared" si="14"/>
        <v>45</v>
      </c>
      <c r="AX730" s="113">
        <v>18</v>
      </c>
    </row>
    <row r="731" spans="1:50" x14ac:dyDescent="0.25">
      <c r="A731" s="216" t="s">
        <v>567</v>
      </c>
      <c r="B731" s="149">
        <v>2025</v>
      </c>
      <c r="C731" s="149">
        <v>16</v>
      </c>
      <c r="D731" s="149">
        <v>2.2950200000000001</v>
      </c>
      <c r="E731" s="149">
        <v>-0.74746199999999996</v>
      </c>
      <c r="F731" s="217">
        <v>2.09307</v>
      </c>
      <c r="G731" s="217">
        <v>134.71600000000001</v>
      </c>
      <c r="H731" s="217">
        <v>0.21759999999999999</v>
      </c>
      <c r="I731" s="217">
        <v>363</v>
      </c>
      <c r="J731" s="217">
        <v>555</v>
      </c>
      <c r="K731" s="217">
        <v>0.65410000000000001</v>
      </c>
      <c r="L731" s="217">
        <v>1.8288</v>
      </c>
      <c r="M731" s="217">
        <v>4448</v>
      </c>
      <c r="N731" s="217">
        <v>8.0144000000000002</v>
      </c>
      <c r="O731" s="217">
        <v>42</v>
      </c>
      <c r="P731" s="217">
        <v>8</v>
      </c>
      <c r="Q731" s="217">
        <v>22</v>
      </c>
      <c r="R731" s="217">
        <v>8</v>
      </c>
      <c r="S731" s="217">
        <v>19</v>
      </c>
      <c r="T731" s="217">
        <v>2.375</v>
      </c>
      <c r="U731" s="217">
        <v>0</v>
      </c>
      <c r="V731" s="217">
        <v>7.5700000000000003E-2</v>
      </c>
      <c r="W731" s="217">
        <v>1.44E-2</v>
      </c>
      <c r="X731" s="217">
        <v>6.13E-2</v>
      </c>
      <c r="Y731" s="217">
        <v>0.53149999999999997</v>
      </c>
      <c r="Z731" s="217">
        <v>109.20099999999999</v>
      </c>
      <c r="AA731" s="217">
        <v>8.2928999999999995</v>
      </c>
      <c r="AB731" s="217">
        <v>243.196</v>
      </c>
      <c r="AC731" s="217">
        <v>70.099999999999994</v>
      </c>
      <c r="AD731" s="217">
        <v>-4.1500000000000002E-2</v>
      </c>
      <c r="AE731" s="217">
        <v>2.9499999999999998E-2</v>
      </c>
      <c r="AF731" s="217">
        <v>-2.5499999999999998E-2</v>
      </c>
      <c r="AG731" s="217">
        <v>7.0000000000000001E-3</v>
      </c>
      <c r="AH731" s="217">
        <v>0.15029999999999999</v>
      </c>
      <c r="AI731" s="217">
        <v>2.1499999999999998E-2</v>
      </c>
      <c r="AJ731" s="217">
        <v>3.3E-3</v>
      </c>
      <c r="AK731" s="217">
        <v>9.1333000000000002</v>
      </c>
      <c r="AL731" s="217">
        <v>1.0468</v>
      </c>
      <c r="AM731" s="217">
        <v>11</v>
      </c>
      <c r="AN731" s="217">
        <v>5</v>
      </c>
      <c r="AO731" s="217">
        <v>0</v>
      </c>
      <c r="AP731" s="217">
        <v>1</v>
      </c>
      <c r="AQ731" s="217">
        <v>5</v>
      </c>
      <c r="AR731" s="217">
        <v>0.2</v>
      </c>
      <c r="AS731" s="217">
        <v>6.7000000000000002E-3</v>
      </c>
      <c r="AT731" s="217">
        <v>4.1375000000000002</v>
      </c>
      <c r="AU731" s="114" t="str">
        <f>IF(A731&lt;&gt;"",INDEX(Index!$B$1:$B$77,MATCH($A731,Index!$A$1:$A$77,0)),"")</f>
        <v>LAR</v>
      </c>
      <c r="AV731" s="123" t="str">
        <f>IF(B731&lt;&gt;"",INDEX(Index!$C$1:$C$77,MATCH($A731,Index!$A$1:$A$77,0)),"")</f>
        <v>Stafford</v>
      </c>
      <c r="AW731" s="123">
        <f t="shared" si="14"/>
        <v>24</v>
      </c>
      <c r="AX731" s="113">
        <v>18</v>
      </c>
    </row>
    <row r="732" spans="1:50" x14ac:dyDescent="0.25">
      <c r="A732" s="216" t="s">
        <v>570</v>
      </c>
      <c r="B732" s="149">
        <v>2025</v>
      </c>
      <c r="C732" s="149">
        <v>16</v>
      </c>
      <c r="D732" s="149">
        <v>2.0287799999999998</v>
      </c>
      <c r="E732" s="149">
        <v>0.80691000000000002</v>
      </c>
      <c r="F732" s="217">
        <v>2.54678</v>
      </c>
      <c r="G732" s="217">
        <v>188.90299999999999</v>
      </c>
      <c r="H732" s="217">
        <v>0.29980000000000001</v>
      </c>
      <c r="I732" s="217">
        <v>340</v>
      </c>
      <c r="J732" s="217">
        <v>474</v>
      </c>
      <c r="K732" s="217">
        <v>0.71730000000000005</v>
      </c>
      <c r="L732" s="217">
        <v>10.3041</v>
      </c>
      <c r="M732" s="217">
        <v>4203</v>
      </c>
      <c r="N732" s="217">
        <v>8.8671000000000006</v>
      </c>
      <c r="O732" s="217">
        <v>30</v>
      </c>
      <c r="P732" s="217">
        <v>8</v>
      </c>
      <c r="Q732" s="217">
        <v>47</v>
      </c>
      <c r="R732" s="217">
        <v>74</v>
      </c>
      <c r="S732" s="217">
        <v>436</v>
      </c>
      <c r="T732" s="217">
        <v>5.8918999999999997</v>
      </c>
      <c r="U732" s="217">
        <v>4</v>
      </c>
      <c r="V732" s="217">
        <v>6.3299999999999995E-2</v>
      </c>
      <c r="W732" s="217">
        <v>1.6899999999999998E-2</v>
      </c>
      <c r="X732" s="217">
        <v>4.6399999999999997E-2</v>
      </c>
      <c r="Y732" s="217">
        <v>0.5413</v>
      </c>
      <c r="Z732" s="217">
        <v>112.869</v>
      </c>
      <c r="AA732" s="217">
        <v>8.1419999999999995</v>
      </c>
      <c r="AB732" s="217">
        <v>228.01599999999999</v>
      </c>
      <c r="AC732" s="217">
        <v>76.5</v>
      </c>
      <c r="AD732" s="217">
        <v>8.6E-3</v>
      </c>
      <c r="AE732" s="217">
        <v>-1.0200000000000001E-2</v>
      </c>
      <c r="AF732" s="217">
        <v>5.5199999999999999E-2</v>
      </c>
      <c r="AG732" s="217">
        <v>2.5000000000000001E-2</v>
      </c>
      <c r="AH732" s="217">
        <v>0.17349999999999999</v>
      </c>
      <c r="AI732" s="217">
        <v>-2.3800000000000002E-2</v>
      </c>
      <c r="AJ732" s="217">
        <v>-1.5E-3</v>
      </c>
      <c r="AK732" s="217">
        <v>9.0421999999999993</v>
      </c>
      <c r="AL732" s="217">
        <v>0.21099999999999999</v>
      </c>
      <c r="AM732" s="217">
        <v>13</v>
      </c>
      <c r="AN732" s="217">
        <v>3</v>
      </c>
      <c r="AO732" s="217">
        <v>0</v>
      </c>
      <c r="AP732" s="217">
        <v>1</v>
      </c>
      <c r="AQ732" s="217">
        <v>4</v>
      </c>
      <c r="AR732" s="217">
        <v>0.25</v>
      </c>
      <c r="AS732" s="217">
        <v>7.1000000000000004E-3</v>
      </c>
      <c r="AT732" s="217">
        <v>4.5002000000000004</v>
      </c>
      <c r="AU732" s="114" t="str">
        <f>IF(A732&lt;&gt;"",INDEX(Index!$B$1:$B$77,MATCH($A732,Index!$A$1:$A$77,0)),"")</f>
        <v>NE</v>
      </c>
      <c r="AV732" s="123" t="str">
        <f>IF(B732&lt;&gt;"",INDEX(Index!$C$1:$C$77,MATCH($A732,Index!$A$1:$A$77,0)),"")</f>
        <v>Maye</v>
      </c>
      <c r="AW732" s="123">
        <f t="shared" si="14"/>
        <v>4</v>
      </c>
      <c r="AX732" s="113">
        <v>18</v>
      </c>
    </row>
    <row r="733" spans="1:50" x14ac:dyDescent="0.25">
      <c r="A733" s="216" t="s">
        <v>555</v>
      </c>
      <c r="B733" s="149">
        <v>2025</v>
      </c>
      <c r="C733" s="149">
        <v>16</v>
      </c>
      <c r="D733" s="149">
        <v>1.9662599999999999</v>
      </c>
      <c r="E733" s="149">
        <v>-0.47181499999999998</v>
      </c>
      <c r="F733" s="217">
        <v>0.56041700000000005</v>
      </c>
      <c r="G733" s="217">
        <v>135.149</v>
      </c>
      <c r="H733" s="217">
        <v>0.19309999999999999</v>
      </c>
      <c r="I733" s="217">
        <v>397</v>
      </c>
      <c r="J733" s="217">
        <v>586</v>
      </c>
      <c r="K733" s="217">
        <v>0.67749999999999999</v>
      </c>
      <c r="L733" s="217">
        <v>2.2900999999999998</v>
      </c>
      <c r="M733" s="217">
        <v>4482</v>
      </c>
      <c r="N733" s="217">
        <v>7.6485000000000003</v>
      </c>
      <c r="O733" s="217">
        <v>30</v>
      </c>
      <c r="P733" s="217">
        <v>10</v>
      </c>
      <c r="Q733" s="217">
        <v>31</v>
      </c>
      <c r="R733" s="217">
        <v>33</v>
      </c>
      <c r="S733" s="217">
        <v>189</v>
      </c>
      <c r="T733" s="217">
        <v>5.7272999999999996</v>
      </c>
      <c r="U733" s="217">
        <v>2</v>
      </c>
      <c r="V733" s="217">
        <v>5.1200000000000002E-2</v>
      </c>
      <c r="W733" s="217">
        <v>1.7100000000000001E-2</v>
      </c>
      <c r="X733" s="217">
        <v>3.4099999999999998E-2</v>
      </c>
      <c r="Y733" s="217">
        <v>0.4929</v>
      </c>
      <c r="Z733" s="217">
        <v>100.363</v>
      </c>
      <c r="AA733" s="217">
        <v>7.1702000000000004</v>
      </c>
      <c r="AB733" s="217">
        <v>233.72300000000001</v>
      </c>
      <c r="AC733" s="217">
        <v>71.900000000000006</v>
      </c>
      <c r="AD733" s="217">
        <v>-1.6E-2</v>
      </c>
      <c r="AE733" s="217">
        <v>3.4700000000000002E-2</v>
      </c>
      <c r="AF733" s="217">
        <v>-6.9999999999999999E-4</v>
      </c>
      <c r="AG733" s="217">
        <v>1.8800000000000001E-2</v>
      </c>
      <c r="AH733" s="217">
        <v>6.7199999999999996E-2</v>
      </c>
      <c r="AI733" s="217">
        <v>7.1000000000000004E-3</v>
      </c>
      <c r="AJ733" s="217">
        <v>8.8000000000000005E-3</v>
      </c>
      <c r="AK733" s="217">
        <v>8.1416000000000004</v>
      </c>
      <c r="AL733" s="217">
        <v>-0.39250000000000002</v>
      </c>
      <c r="AM733" s="217">
        <v>7</v>
      </c>
      <c r="AN733" s="217">
        <v>8</v>
      </c>
      <c r="AO733" s="217">
        <v>1</v>
      </c>
      <c r="AP733" s="217">
        <v>3</v>
      </c>
      <c r="AQ733" s="217">
        <v>7</v>
      </c>
      <c r="AR733" s="217">
        <v>0.42859999999999998</v>
      </c>
      <c r="AS733" s="217">
        <v>7.7999999999999996E-3</v>
      </c>
      <c r="AT733" s="217">
        <v>5.4672000000000001</v>
      </c>
      <c r="AU733" s="114" t="str">
        <f>IF(A733&lt;&gt;"",INDEX(Index!$B$1:$B$77,MATCH($A733,Index!$A$1:$A$77,0)),"")</f>
        <v>DAL</v>
      </c>
      <c r="AV733" s="123" t="str">
        <f>IF(B733&lt;&gt;"",INDEX(Index!$C$1:$C$77,MATCH($A733,Index!$A$1:$A$77,0)),"")</f>
        <v>Prescott</v>
      </c>
      <c r="AW733" s="123">
        <f t="shared" si="14"/>
        <v>13</v>
      </c>
      <c r="AX733" s="113">
        <v>18</v>
      </c>
    </row>
    <row r="734" spans="1:50" x14ac:dyDescent="0.25">
      <c r="A734" s="216" t="s">
        <v>561</v>
      </c>
      <c r="B734" s="149">
        <v>2025</v>
      </c>
      <c r="C734" s="149">
        <v>16</v>
      </c>
      <c r="D734" s="149">
        <v>1.7016500000000001</v>
      </c>
      <c r="E734" s="149">
        <v>7.3761599999999997E-2</v>
      </c>
      <c r="F734" s="217">
        <v>0.51105500000000004</v>
      </c>
      <c r="G734" s="217">
        <v>72.076899999999995</v>
      </c>
      <c r="H734" s="217">
        <v>0.1031</v>
      </c>
      <c r="I734" s="217">
        <v>374</v>
      </c>
      <c r="J734" s="217">
        <v>588</v>
      </c>
      <c r="K734" s="217">
        <v>0.6361</v>
      </c>
      <c r="L734" s="217">
        <v>-0.72389999999999999</v>
      </c>
      <c r="M734" s="217">
        <v>3790</v>
      </c>
      <c r="N734" s="217">
        <v>6.4455999999999998</v>
      </c>
      <c r="O734" s="217">
        <v>25</v>
      </c>
      <c r="P734" s="217">
        <v>11</v>
      </c>
      <c r="Q734" s="217">
        <v>18</v>
      </c>
      <c r="R734" s="217">
        <v>60</v>
      </c>
      <c r="S734" s="217">
        <v>322</v>
      </c>
      <c r="T734" s="217">
        <v>5.3666999999999998</v>
      </c>
      <c r="U734" s="217">
        <v>5</v>
      </c>
      <c r="V734" s="217">
        <v>4.2500000000000003E-2</v>
      </c>
      <c r="W734" s="217">
        <v>1.8700000000000001E-2</v>
      </c>
      <c r="X734" s="217">
        <v>2.3800000000000002E-2</v>
      </c>
      <c r="Y734" s="217">
        <v>0.4506</v>
      </c>
      <c r="Z734" s="217">
        <v>88.322000000000003</v>
      </c>
      <c r="AA734" s="217">
        <v>6.0941000000000001</v>
      </c>
      <c r="AB734" s="217">
        <v>208.46100000000001</v>
      </c>
      <c r="AC734" s="217">
        <v>58.3</v>
      </c>
      <c r="AD734" s="217">
        <v>-9.9000000000000008E-3</v>
      </c>
      <c r="AE734" s="217">
        <v>6.4000000000000001E-2</v>
      </c>
      <c r="AF734" s="217">
        <v>-1.01E-2</v>
      </c>
      <c r="AG734" s="217">
        <v>2.5600000000000001E-2</v>
      </c>
      <c r="AH734" s="217">
        <v>-5.28E-2</v>
      </c>
      <c r="AI734" s="217">
        <v>3.9600000000000003E-2</v>
      </c>
      <c r="AJ734" s="217">
        <v>-2.64E-2</v>
      </c>
      <c r="AK734" s="217">
        <v>7.5867000000000004</v>
      </c>
      <c r="AL734" s="217">
        <v>-1.2992999999999999</v>
      </c>
      <c r="AM734" s="217">
        <v>13</v>
      </c>
      <c r="AN734" s="217">
        <v>3</v>
      </c>
      <c r="AO734" s="217">
        <v>0</v>
      </c>
      <c r="AP734" s="217">
        <v>5</v>
      </c>
      <c r="AQ734" s="217">
        <v>5</v>
      </c>
      <c r="AR734" s="217">
        <v>1</v>
      </c>
      <c r="AS734" s="217">
        <v>4.7999999999999996E-3</v>
      </c>
      <c r="AT734" s="217">
        <v>3.39</v>
      </c>
      <c r="AU734" s="114" t="str">
        <f>IF(A734&lt;&gt;"",INDEX(Index!$B$1:$B$77,MATCH($A734,Index!$A$1:$A$77,0)),"")</f>
        <v>DEN</v>
      </c>
      <c r="AV734" s="123" t="str">
        <f>IF(B734&lt;&gt;"",INDEX(Index!$C$1:$C$77,MATCH($A734,Index!$A$1:$A$77,0)),"")</f>
        <v>Nix</v>
      </c>
      <c r="AW734" s="123">
        <f t="shared" si="14"/>
        <v>29</v>
      </c>
      <c r="AX734" s="113">
        <v>18</v>
      </c>
    </row>
    <row r="735" spans="1:50" x14ac:dyDescent="0.25">
      <c r="A735" s="216" t="s">
        <v>557</v>
      </c>
      <c r="B735" s="149">
        <v>2025</v>
      </c>
      <c r="C735" s="149">
        <v>7</v>
      </c>
      <c r="D735" s="149">
        <v>1.6989000000000001</v>
      </c>
      <c r="E735" s="149">
        <v>0.128362</v>
      </c>
      <c r="F735" s="217">
        <v>-0.84758100000000003</v>
      </c>
      <c r="G735" s="217">
        <v>49.497700000000002</v>
      </c>
      <c r="H735" s="217">
        <v>0.19109999999999999</v>
      </c>
      <c r="I735" s="217">
        <v>144</v>
      </c>
      <c r="J735" s="217">
        <v>220</v>
      </c>
      <c r="K735" s="217">
        <v>0.65449999999999997</v>
      </c>
      <c r="L735" s="217">
        <v>4.2637</v>
      </c>
      <c r="M735" s="217">
        <v>1573</v>
      </c>
      <c r="N735" s="217">
        <v>7.15</v>
      </c>
      <c r="O735" s="217">
        <v>14</v>
      </c>
      <c r="P735" s="217">
        <v>4</v>
      </c>
      <c r="Q735" s="217">
        <v>15</v>
      </c>
      <c r="R735" s="217">
        <v>11</v>
      </c>
      <c r="S735" s="217">
        <v>25</v>
      </c>
      <c r="T735" s="217">
        <v>2.2726999999999999</v>
      </c>
      <c r="U735" s="217">
        <v>0</v>
      </c>
      <c r="V735" s="217">
        <v>6.3600000000000004E-2</v>
      </c>
      <c r="W735" s="217">
        <v>1.8200000000000001E-2</v>
      </c>
      <c r="X735" s="217">
        <v>4.5499999999999999E-2</v>
      </c>
      <c r="Y735" s="217">
        <v>0.49030000000000001</v>
      </c>
      <c r="Z735" s="217">
        <v>100.057</v>
      </c>
      <c r="AA735" s="217">
        <v>6.6978999999999997</v>
      </c>
      <c r="AB735" s="217">
        <v>172.642</v>
      </c>
      <c r="AC735" s="217">
        <v>63.2</v>
      </c>
      <c r="AD735" s="217">
        <v>-2.3400000000000001E-2</v>
      </c>
      <c r="AE735" s="217">
        <v>1.7299999999999999E-2</v>
      </c>
      <c r="AF735" s="217">
        <v>1.6E-2</v>
      </c>
      <c r="AG735" s="217">
        <v>-4.24E-2</v>
      </c>
      <c r="AH735" s="217">
        <v>0.1358</v>
      </c>
      <c r="AI735" s="217">
        <v>1.15E-2</v>
      </c>
      <c r="AJ735" s="217">
        <v>3.3E-3</v>
      </c>
      <c r="AK735" s="217">
        <v>7.6135999999999999</v>
      </c>
      <c r="AL735" s="217">
        <v>-0.76819999999999999</v>
      </c>
      <c r="AM735" s="217">
        <v>5</v>
      </c>
      <c r="AN735" s="217">
        <v>2</v>
      </c>
      <c r="AO735" s="217">
        <v>0</v>
      </c>
      <c r="AP735" s="217">
        <v>0</v>
      </c>
      <c r="AQ735" s="217">
        <v>1</v>
      </c>
      <c r="AR735" s="217">
        <v>0</v>
      </c>
      <c r="AS735" s="217">
        <v>3.3E-3</v>
      </c>
      <c r="AT735" s="217">
        <v>0.84199999999999997</v>
      </c>
      <c r="AU735" s="114" t="str">
        <f>IF(A735&lt;&gt;"",INDEX(Index!$B$1:$B$77,MATCH($A735,Index!$A$1:$A$77,0)),"")</f>
        <v>CIN</v>
      </c>
      <c r="AV735" s="123" t="str">
        <f>IF(B735&lt;&gt;"",INDEX(Index!$C$1:$C$77,MATCH($A735,Index!$A$1:$A$77,0)),"")</f>
        <v>Burrow</v>
      </c>
      <c r="AW735" s="123">
        <f t="shared" si="14"/>
        <v>38</v>
      </c>
      <c r="AX735" s="113">
        <v>18</v>
      </c>
    </row>
    <row r="736" spans="1:50" x14ac:dyDescent="0.25">
      <c r="A736" s="216" t="s">
        <v>553</v>
      </c>
      <c r="B736" s="149">
        <v>2025</v>
      </c>
      <c r="C736" s="149">
        <v>16</v>
      </c>
      <c r="D736" s="149">
        <v>1.3227500000000001</v>
      </c>
      <c r="E736" s="149">
        <v>-0.82665</v>
      </c>
      <c r="F736" s="217">
        <v>7.4242600000000006E-2</v>
      </c>
      <c r="G736" s="217">
        <v>101.839</v>
      </c>
      <c r="H736" s="217">
        <v>0.16889999999999999</v>
      </c>
      <c r="I736" s="217">
        <v>366</v>
      </c>
      <c r="J736" s="217">
        <v>534</v>
      </c>
      <c r="K736" s="217">
        <v>0.68540000000000001</v>
      </c>
      <c r="L736" s="217">
        <v>1.5195000000000001</v>
      </c>
      <c r="M736" s="217">
        <v>4233</v>
      </c>
      <c r="N736" s="217">
        <v>7.9269999999999996</v>
      </c>
      <c r="O736" s="217">
        <v>33</v>
      </c>
      <c r="P736" s="217">
        <v>7</v>
      </c>
      <c r="Q736" s="217">
        <v>36</v>
      </c>
      <c r="R736" s="217">
        <v>8</v>
      </c>
      <c r="S736" s="217">
        <v>53</v>
      </c>
      <c r="T736" s="217">
        <v>6.625</v>
      </c>
      <c r="U736" s="217">
        <v>0</v>
      </c>
      <c r="V736" s="217">
        <v>6.1800000000000001E-2</v>
      </c>
      <c r="W736" s="217">
        <v>1.3100000000000001E-2</v>
      </c>
      <c r="X736" s="217">
        <v>4.87E-2</v>
      </c>
      <c r="Y736" s="217">
        <v>0.48420000000000002</v>
      </c>
      <c r="Z736" s="217">
        <v>107.366</v>
      </c>
      <c r="AA736" s="217">
        <v>7.6035000000000004</v>
      </c>
      <c r="AB736" s="217">
        <v>211.40600000000001</v>
      </c>
      <c r="AC736" s="217">
        <v>57.2</v>
      </c>
      <c r="AD736" s="217">
        <v>-2.4899999999999999E-2</v>
      </c>
      <c r="AE736" s="217">
        <v>-1.4800000000000001E-2</v>
      </c>
      <c r="AF736" s="217">
        <v>-1.67E-2</v>
      </c>
      <c r="AG736" s="217">
        <v>3.44E-2</v>
      </c>
      <c r="AH736" s="217">
        <v>8.5000000000000006E-3</v>
      </c>
      <c r="AI736" s="217">
        <v>0.1258</v>
      </c>
      <c r="AJ736" s="217">
        <v>-1.6500000000000001E-2</v>
      </c>
      <c r="AK736" s="217">
        <v>6.4924999999999997</v>
      </c>
      <c r="AL736" s="217">
        <v>-2.2509000000000001</v>
      </c>
      <c r="AM736" s="217">
        <v>8</v>
      </c>
      <c r="AN736" s="217">
        <v>8</v>
      </c>
      <c r="AO736" s="217">
        <v>0</v>
      </c>
      <c r="AP736" s="217">
        <v>1</v>
      </c>
      <c r="AQ736" s="217">
        <v>5</v>
      </c>
      <c r="AR736" s="217">
        <v>0.2</v>
      </c>
      <c r="AS736" s="217">
        <v>3.0000000000000001E-3</v>
      </c>
      <c r="AT736" s="217">
        <v>1.8267</v>
      </c>
      <c r="AU736" s="114" t="str">
        <f>IF(A736&lt;&gt;"",INDEX(Index!$B$1:$B$77,MATCH($A736,Index!$A$1:$A$77,0)),"")</f>
        <v>DET</v>
      </c>
      <c r="AV736" s="123" t="str">
        <f>IF(B736&lt;&gt;"",INDEX(Index!$C$1:$C$77,MATCH($A736,Index!$A$1:$A$77,0)),"")</f>
        <v>Goff</v>
      </c>
      <c r="AW736" s="123">
        <f t="shared" si="14"/>
        <v>8</v>
      </c>
      <c r="AX736" s="113">
        <v>18</v>
      </c>
    </row>
    <row r="737" spans="1:50" x14ac:dyDescent="0.25">
      <c r="A737" s="216" t="s">
        <v>552</v>
      </c>
      <c r="B737" s="149">
        <v>2025</v>
      </c>
      <c r="C737" s="149">
        <v>14</v>
      </c>
      <c r="D737" s="149">
        <v>1.1748700000000001</v>
      </c>
      <c r="E737" s="149">
        <v>-0.56161399999999995</v>
      </c>
      <c r="F737" s="217">
        <v>-1.1893899999999999</v>
      </c>
      <c r="G737" s="217">
        <v>113.246</v>
      </c>
      <c r="H737" s="217">
        <v>0.18</v>
      </c>
      <c r="I737" s="217">
        <v>315</v>
      </c>
      <c r="J737" s="217">
        <v>500</v>
      </c>
      <c r="K737" s="217">
        <v>0.63</v>
      </c>
      <c r="L737" s="217">
        <v>0.33639999999999998</v>
      </c>
      <c r="M737" s="217">
        <v>3587</v>
      </c>
      <c r="N737" s="217">
        <v>7.1740000000000004</v>
      </c>
      <c r="O737" s="217">
        <v>22</v>
      </c>
      <c r="P737" s="217">
        <v>11</v>
      </c>
      <c r="Q737" s="217">
        <v>34</v>
      </c>
      <c r="R737" s="217">
        <v>56</v>
      </c>
      <c r="S737" s="217">
        <v>429</v>
      </c>
      <c r="T737" s="217">
        <v>7.6607000000000003</v>
      </c>
      <c r="U737" s="217">
        <v>5</v>
      </c>
      <c r="V737" s="217">
        <v>4.3999999999999997E-2</v>
      </c>
      <c r="W737" s="217">
        <v>2.1999999999999999E-2</v>
      </c>
      <c r="X737" s="217">
        <v>2.1999999999999999E-2</v>
      </c>
      <c r="Y737" s="217">
        <v>0.49919999999999998</v>
      </c>
      <c r="Z737" s="217">
        <v>89.974999999999994</v>
      </c>
      <c r="AA737" s="217">
        <v>6.2527999999999997</v>
      </c>
      <c r="AB737" s="217">
        <v>213.87200000000001</v>
      </c>
      <c r="AC737" s="217">
        <v>68.7</v>
      </c>
      <c r="AD737" s="217">
        <v>2.0299999999999999E-2</v>
      </c>
      <c r="AE737" s="217">
        <v>4.0899999999999999E-2</v>
      </c>
      <c r="AF737" s="217">
        <v>2.3E-3</v>
      </c>
      <c r="AG737" s="217">
        <v>2.8E-3</v>
      </c>
      <c r="AH737" s="217">
        <v>-2.18E-2</v>
      </c>
      <c r="AI737" s="217">
        <v>6.25E-2</v>
      </c>
      <c r="AJ737" s="217">
        <v>2.0000000000000001E-4</v>
      </c>
      <c r="AK737" s="217">
        <v>8.1</v>
      </c>
      <c r="AL737" s="217">
        <v>-0.60599999999999998</v>
      </c>
      <c r="AM737" s="217">
        <v>6</v>
      </c>
      <c r="AN737" s="217">
        <v>8</v>
      </c>
      <c r="AO737" s="217">
        <v>0</v>
      </c>
      <c r="AP737" s="217">
        <v>1</v>
      </c>
      <c r="AQ737" s="217">
        <v>9</v>
      </c>
      <c r="AR737" s="217">
        <v>0.1111</v>
      </c>
      <c r="AS737" s="217">
        <v>3.8999999999999998E-3</v>
      </c>
      <c r="AT737" s="217">
        <v>2.4460000000000002</v>
      </c>
      <c r="AU737" s="114" t="str">
        <f>IF(A737&lt;&gt;"",INDEX(Index!$B$1:$B$77,MATCH($A737,Index!$A$1:$A$77,0)),"")</f>
        <v>KC</v>
      </c>
      <c r="AV737" s="123" t="str">
        <f>IF(B737&lt;&gt;"",INDEX(Index!$C$1:$C$77,MATCH($A737,Index!$A$1:$A$77,0)),"")</f>
        <v>Mahomes</v>
      </c>
      <c r="AW737" s="123">
        <f t="shared" si="14"/>
        <v>9</v>
      </c>
      <c r="AX737" s="113">
        <v>18</v>
      </c>
    </row>
    <row r="738" spans="1:50" x14ac:dyDescent="0.25">
      <c r="A738" s="216" t="s">
        <v>571</v>
      </c>
      <c r="B738" s="149">
        <v>2025</v>
      </c>
      <c r="C738" s="149">
        <v>16</v>
      </c>
      <c r="D738" s="149">
        <v>1.1155600000000001</v>
      </c>
      <c r="E738" s="149">
        <v>3.1474000000000002E-2</v>
      </c>
      <c r="F738" s="217">
        <v>1.3296399999999999</v>
      </c>
      <c r="G738" s="217">
        <v>68.813900000000004</v>
      </c>
      <c r="H738" s="217">
        <v>0.1022</v>
      </c>
      <c r="I738" s="217">
        <v>319</v>
      </c>
      <c r="J738" s="217">
        <v>527</v>
      </c>
      <c r="K738" s="217">
        <v>0.60529999999999995</v>
      </c>
      <c r="L738" s="217">
        <v>-2.6526000000000001</v>
      </c>
      <c r="M738" s="217">
        <v>3752</v>
      </c>
      <c r="N738" s="217">
        <v>7.1195000000000004</v>
      </c>
      <c r="O738" s="217">
        <v>26</v>
      </c>
      <c r="P738" s="217">
        <v>12</v>
      </c>
      <c r="Q738" s="217">
        <v>39</v>
      </c>
      <c r="R738" s="217">
        <v>71</v>
      </c>
      <c r="S738" s="217">
        <v>357</v>
      </c>
      <c r="T738" s="217">
        <v>5.0282</v>
      </c>
      <c r="U738" s="217">
        <v>9</v>
      </c>
      <c r="V738" s="217">
        <v>4.9299999999999997E-2</v>
      </c>
      <c r="W738" s="217">
        <v>2.2800000000000001E-2</v>
      </c>
      <c r="X738" s="217">
        <v>2.6599999999999999E-2</v>
      </c>
      <c r="Y738" s="217">
        <v>0.4844</v>
      </c>
      <c r="Z738" s="217">
        <v>89.148499999999999</v>
      </c>
      <c r="AA738" s="217">
        <v>6.1855000000000002</v>
      </c>
      <c r="AB738" s="217">
        <v>182.595</v>
      </c>
      <c r="AC738" s="217">
        <v>56.6</v>
      </c>
      <c r="AD738" s="217">
        <v>1.0200000000000001E-2</v>
      </c>
      <c r="AE738" s="217">
        <v>1.5299999999999999E-2</v>
      </c>
      <c r="AF738" s="217">
        <v>-1.9699999999999999E-2</v>
      </c>
      <c r="AG738" s="217">
        <v>1.6000000000000001E-3</v>
      </c>
      <c r="AH738" s="217">
        <v>7.8399999999999997E-2</v>
      </c>
      <c r="AI738" s="217">
        <v>-5.9299999999999999E-2</v>
      </c>
      <c r="AJ738" s="217">
        <v>2.7000000000000001E-3</v>
      </c>
      <c r="AK738" s="217">
        <v>8.7040000000000006</v>
      </c>
      <c r="AL738" s="217">
        <v>-0.3795</v>
      </c>
      <c r="AM738" s="217">
        <v>12</v>
      </c>
      <c r="AN738" s="217">
        <v>4</v>
      </c>
      <c r="AO738" s="217">
        <v>0</v>
      </c>
      <c r="AP738" s="217">
        <v>3</v>
      </c>
      <c r="AQ738" s="217">
        <v>6</v>
      </c>
      <c r="AR738" s="217">
        <v>0.5</v>
      </c>
      <c r="AS738" s="217">
        <v>2.7000000000000001E-3</v>
      </c>
      <c r="AT738" s="217">
        <v>1.7909999999999999</v>
      </c>
      <c r="AU738" s="114" t="str">
        <f>IF(A738&lt;&gt;"",INDEX(Index!$B$1:$B$77,MATCH($A738,Index!$A$1:$A$77,0)),"")</f>
        <v>JAX</v>
      </c>
      <c r="AV738" s="123" t="str">
        <f>IF(B738&lt;&gt;"",INDEX(Index!$C$1:$C$77,MATCH($A738,Index!$A$1:$A$77,0)),"")</f>
        <v>Lawrence</v>
      </c>
      <c r="AW738" s="123">
        <f t="shared" si="14"/>
        <v>6</v>
      </c>
      <c r="AX738" s="113">
        <v>18</v>
      </c>
    </row>
    <row r="739" spans="1:50" x14ac:dyDescent="0.25">
      <c r="A739" s="216" t="s">
        <v>554</v>
      </c>
      <c r="B739" s="149">
        <v>2025</v>
      </c>
      <c r="C739" s="149">
        <v>16</v>
      </c>
      <c r="D739" s="149">
        <v>0.96701300000000001</v>
      </c>
      <c r="E739" s="149">
        <v>-0.493585</v>
      </c>
      <c r="F739" s="217">
        <v>-0.61863500000000005</v>
      </c>
      <c r="G739" s="217">
        <v>66.248199999999997</v>
      </c>
      <c r="H739" s="217">
        <v>0.10929999999999999</v>
      </c>
      <c r="I739" s="217">
        <v>294</v>
      </c>
      <c r="J739" s="217">
        <v>452</v>
      </c>
      <c r="K739" s="217">
        <v>0.65039999999999998</v>
      </c>
      <c r="L739" s="217">
        <v>3.1833</v>
      </c>
      <c r="M739" s="217">
        <v>3224</v>
      </c>
      <c r="N739" s="217">
        <v>7.1326999999999998</v>
      </c>
      <c r="O739" s="217">
        <v>25</v>
      </c>
      <c r="P739" s="217">
        <v>6</v>
      </c>
      <c r="Q739" s="217">
        <v>32</v>
      </c>
      <c r="R739" s="217">
        <v>92</v>
      </c>
      <c r="S739" s="217">
        <v>436</v>
      </c>
      <c r="T739" s="217">
        <v>4.7390999999999996</v>
      </c>
      <c r="U739" s="217">
        <v>8</v>
      </c>
      <c r="V739" s="217">
        <v>5.5300000000000002E-2</v>
      </c>
      <c r="W739" s="217">
        <v>1.3299999999999999E-2</v>
      </c>
      <c r="X739" s="217">
        <v>4.2000000000000003E-2</v>
      </c>
      <c r="Y739" s="217">
        <v>0.4587</v>
      </c>
      <c r="Z739" s="217">
        <v>98.912199999999999</v>
      </c>
      <c r="AA739" s="217">
        <v>6.7624000000000004</v>
      </c>
      <c r="AB739" s="217">
        <v>197.28299999999999</v>
      </c>
      <c r="AC739" s="217">
        <v>55.3</v>
      </c>
      <c r="AD739" s="217">
        <v>1.4E-2</v>
      </c>
      <c r="AE739" s="217">
        <v>1.8599999999999998E-2</v>
      </c>
      <c r="AF739" s="217">
        <v>3.2099999999999997E-2</v>
      </c>
      <c r="AG739" s="217">
        <v>2.2499999999999999E-2</v>
      </c>
      <c r="AH739" s="217">
        <v>2.92E-2</v>
      </c>
      <c r="AI739" s="217">
        <v>-7.6999999999999999E-2</v>
      </c>
      <c r="AJ739" s="217">
        <v>-3.2000000000000002E-3</v>
      </c>
      <c r="AK739" s="217">
        <v>9.0088000000000008</v>
      </c>
      <c r="AL739" s="217">
        <v>0.18140000000000001</v>
      </c>
      <c r="AM739" s="217">
        <v>11</v>
      </c>
      <c r="AN739" s="217">
        <v>5</v>
      </c>
      <c r="AO739" s="217">
        <v>0</v>
      </c>
      <c r="AP739" s="217">
        <v>1</v>
      </c>
      <c r="AQ739" s="217">
        <v>3</v>
      </c>
      <c r="AR739" s="217">
        <v>0.33329999999999999</v>
      </c>
      <c r="AS739" s="217">
        <v>1.6999999999999999E-3</v>
      </c>
      <c r="AT739" s="217">
        <v>1.0336000000000001</v>
      </c>
      <c r="AU739" s="114" t="str">
        <f>IF(A739&lt;&gt;"",INDEX(Index!$B$1:$B$77,MATCH($A739,Index!$A$1:$A$77,0)),"")</f>
        <v>PHI</v>
      </c>
      <c r="AV739" s="123" t="str">
        <f>IF(B739&lt;&gt;"",INDEX(Index!$C$1:$C$77,MATCH($A739,Index!$A$1:$A$77,0)),"")</f>
        <v>Hurts</v>
      </c>
      <c r="AW739" s="123">
        <f t="shared" si="14"/>
        <v>12</v>
      </c>
      <c r="AX739" s="113">
        <v>18</v>
      </c>
    </row>
    <row r="740" spans="1:50" x14ac:dyDescent="0.25">
      <c r="A740" s="216" t="s">
        <v>574</v>
      </c>
      <c r="B740" s="149">
        <v>2025</v>
      </c>
      <c r="C740" s="149">
        <v>16</v>
      </c>
      <c r="D740" s="149">
        <v>0.77822000000000002</v>
      </c>
      <c r="E740" s="149">
        <v>0.35492200000000002</v>
      </c>
      <c r="F740" s="217">
        <v>2.1016699999999999</v>
      </c>
      <c r="G740" s="217">
        <v>70.971500000000006</v>
      </c>
      <c r="H740" s="217">
        <v>0.1089</v>
      </c>
      <c r="I740" s="217">
        <v>310</v>
      </c>
      <c r="J740" s="217">
        <v>533</v>
      </c>
      <c r="K740" s="217">
        <v>0.58160000000000001</v>
      </c>
      <c r="L740" s="217">
        <v>-3.7134999999999998</v>
      </c>
      <c r="M740" s="217">
        <v>3730</v>
      </c>
      <c r="N740" s="217">
        <v>6.9981</v>
      </c>
      <c r="O740" s="217">
        <v>25</v>
      </c>
      <c r="P740" s="217">
        <v>6</v>
      </c>
      <c r="Q740" s="217">
        <v>23</v>
      </c>
      <c r="R740" s="217">
        <v>60</v>
      </c>
      <c r="S740" s="217">
        <v>394</v>
      </c>
      <c r="T740" s="217">
        <v>6.5667</v>
      </c>
      <c r="U740" s="217">
        <v>3</v>
      </c>
      <c r="V740" s="217">
        <v>4.6899999999999997E-2</v>
      </c>
      <c r="W740" s="217">
        <v>1.1299999999999999E-2</v>
      </c>
      <c r="X740" s="217">
        <v>3.56E-2</v>
      </c>
      <c r="Y740" s="217">
        <v>0.45090000000000002</v>
      </c>
      <c r="Z740" s="217">
        <v>90.654300000000006</v>
      </c>
      <c r="AA740" s="217">
        <v>6.8380999999999998</v>
      </c>
      <c r="AB740" s="217">
        <v>197.208</v>
      </c>
      <c r="AC740" s="217">
        <v>58.1</v>
      </c>
      <c r="AD740" s="217">
        <v>1.4E-3</v>
      </c>
      <c r="AE740" s="217">
        <v>4.2900000000000001E-2</v>
      </c>
      <c r="AF740" s="217">
        <v>-4.58E-2</v>
      </c>
      <c r="AG740" s="217">
        <v>3.9699999999999999E-2</v>
      </c>
      <c r="AH740" s="217">
        <v>1.7100000000000001E-2</v>
      </c>
      <c r="AI740" s="217">
        <v>-2.2000000000000001E-3</v>
      </c>
      <c r="AJ740" s="217">
        <v>-1.72E-2</v>
      </c>
      <c r="AK740" s="217">
        <v>8.7053999999999991</v>
      </c>
      <c r="AL740" s="217">
        <v>-0.33400000000000002</v>
      </c>
      <c r="AM740" s="217">
        <v>11</v>
      </c>
      <c r="AN740" s="217">
        <v>5</v>
      </c>
      <c r="AO740" s="217">
        <v>0</v>
      </c>
      <c r="AP740" s="217">
        <v>5</v>
      </c>
      <c r="AQ740" s="217">
        <v>9</v>
      </c>
      <c r="AR740" s="217">
        <v>0.55559999999999998</v>
      </c>
      <c r="AS740" s="217">
        <v>4.3E-3</v>
      </c>
      <c r="AT740" s="217">
        <v>2.7888999999999999</v>
      </c>
      <c r="AU740" s="114" t="str">
        <f>IF(A740&lt;&gt;"",INDEX(Index!$B$1:$B$77,MATCH($A740,Index!$A$1:$A$77,0)),"")</f>
        <v>CHI</v>
      </c>
      <c r="AV740" s="123" t="str">
        <f>IF(B740&lt;&gt;"",INDEX(Index!$C$1:$C$77,MATCH($A740,Index!$A$1:$A$77,0)),"")</f>
        <v>Williams</v>
      </c>
      <c r="AW740" s="123">
        <f t="shared" si="14"/>
        <v>22</v>
      </c>
      <c r="AX740" s="113">
        <v>18</v>
      </c>
    </row>
    <row r="741" spans="1:50" x14ac:dyDescent="0.25">
      <c r="A741" s="216" t="s">
        <v>562</v>
      </c>
      <c r="B741" s="149">
        <v>2025</v>
      </c>
      <c r="C741" s="149">
        <v>6</v>
      </c>
      <c r="D741" s="149">
        <v>0.73481799999999997</v>
      </c>
      <c r="E741" s="149">
        <v>-0.27734900000000001</v>
      </c>
      <c r="F741" s="217">
        <v>-0.58660000000000001</v>
      </c>
      <c r="G741" s="217">
        <v>12.370200000000001</v>
      </c>
      <c r="H741" s="217">
        <v>4.4699999999999997E-2</v>
      </c>
      <c r="I741" s="217">
        <v>114</v>
      </c>
      <c r="J741" s="217">
        <v>186</v>
      </c>
      <c r="K741" s="217">
        <v>0.6129</v>
      </c>
      <c r="L741" s="217">
        <v>-2.7290999999999999</v>
      </c>
      <c r="M741" s="217">
        <v>1262</v>
      </c>
      <c r="N741" s="217">
        <v>6.7849000000000004</v>
      </c>
      <c r="O741" s="217">
        <v>8</v>
      </c>
      <c r="P741" s="217">
        <v>3</v>
      </c>
      <c r="Q741" s="217">
        <v>18</v>
      </c>
      <c r="R741" s="217">
        <v>52</v>
      </c>
      <c r="S741" s="217">
        <v>283</v>
      </c>
      <c r="T741" s="217">
        <v>5.4423000000000004</v>
      </c>
      <c r="U741" s="217">
        <v>2</v>
      </c>
      <c r="V741" s="217">
        <v>4.2999999999999997E-2</v>
      </c>
      <c r="W741" s="217">
        <v>1.61E-2</v>
      </c>
      <c r="X741" s="217">
        <v>2.69E-2</v>
      </c>
      <c r="Y741" s="217">
        <v>0.46929999999999999</v>
      </c>
      <c r="Z741" s="217">
        <v>89.045699999999997</v>
      </c>
      <c r="AA741" s="217">
        <v>5.9215999999999998</v>
      </c>
      <c r="AB741" s="217">
        <v>169.989</v>
      </c>
      <c r="AC741" s="217"/>
      <c r="AD741" s="217">
        <v>3.0000000000000001E-3</v>
      </c>
      <c r="AE741" s="217">
        <v>4.3E-3</v>
      </c>
      <c r="AF741" s="217">
        <v>-3.4799999999999998E-2</v>
      </c>
      <c r="AG741" s="217">
        <v>2.3099999999999999E-2</v>
      </c>
      <c r="AH741" s="217">
        <v>3.7000000000000002E-3</v>
      </c>
      <c r="AI741" s="217">
        <v>-3.7699999999999997E-2</v>
      </c>
      <c r="AJ741" s="217">
        <v>0.01</v>
      </c>
      <c r="AK741" s="217">
        <v>7.4730999999999996</v>
      </c>
      <c r="AL741" s="217">
        <v>-1.2473000000000001</v>
      </c>
      <c r="AM741" s="217">
        <v>2</v>
      </c>
      <c r="AN741" s="217">
        <v>5</v>
      </c>
      <c r="AO741" s="217">
        <v>0</v>
      </c>
      <c r="AP741" s="217">
        <v>0</v>
      </c>
      <c r="AQ741" s="217">
        <v>0</v>
      </c>
      <c r="AR741" s="217"/>
      <c r="AS741" s="217">
        <v>2.3999999999999998E-3</v>
      </c>
      <c r="AT741" s="217">
        <v>0.66879999999999995</v>
      </c>
      <c r="AU741" s="114" t="str">
        <f>IF(A741&lt;&gt;"",INDEX(Index!$B$1:$B$77,MATCH($A741,Index!$A$1:$A$77,0)),"")</f>
        <v>WAS</v>
      </c>
      <c r="AV741" s="123" t="str">
        <f>IF(B741&lt;&gt;"",INDEX(Index!$C$1:$C$77,MATCH($A741,Index!$A$1:$A$77,0)),"")</f>
        <v>Daniels</v>
      </c>
      <c r="AW741" s="123">
        <f t="shared" si="14"/>
        <v>29</v>
      </c>
      <c r="AX741" s="113">
        <v>18</v>
      </c>
    </row>
    <row r="742" spans="1:50" x14ac:dyDescent="0.25">
      <c r="A742" s="216" t="s">
        <v>556</v>
      </c>
      <c r="B742" s="149">
        <v>2025</v>
      </c>
      <c r="C742" s="149">
        <v>5</v>
      </c>
      <c r="D742" s="149">
        <v>0.72679099999999996</v>
      </c>
      <c r="E742" s="149">
        <v>3.6627199999999999E-2</v>
      </c>
      <c r="F742" s="217">
        <v>-0.83574700000000002</v>
      </c>
      <c r="G742" s="217">
        <v>23.545000000000002</v>
      </c>
      <c r="H742" s="217">
        <v>0.107</v>
      </c>
      <c r="I742" s="217">
        <v>110</v>
      </c>
      <c r="J742" s="217">
        <v>161</v>
      </c>
      <c r="K742" s="217">
        <v>0.68320000000000003</v>
      </c>
      <c r="L742" s="217">
        <v>-0.52880000000000005</v>
      </c>
      <c r="M742" s="217">
        <v>962</v>
      </c>
      <c r="N742" s="217">
        <v>5.9752000000000001</v>
      </c>
      <c r="O742" s="217">
        <v>6</v>
      </c>
      <c r="P742" s="217">
        <v>3</v>
      </c>
      <c r="Q742" s="217">
        <v>16</v>
      </c>
      <c r="R742" s="217">
        <v>27</v>
      </c>
      <c r="S742" s="217">
        <v>175</v>
      </c>
      <c r="T742" s="217">
        <v>6.4814999999999996</v>
      </c>
      <c r="U742" s="217">
        <v>1</v>
      </c>
      <c r="V742" s="217">
        <v>3.73E-2</v>
      </c>
      <c r="W742" s="217">
        <v>1.8599999999999998E-2</v>
      </c>
      <c r="X742" s="217">
        <v>1.8599999999999998E-2</v>
      </c>
      <c r="Y742" s="217">
        <v>0.45</v>
      </c>
      <c r="Z742" s="217">
        <v>88.573999999999998</v>
      </c>
      <c r="AA742" s="217">
        <v>4.7232000000000003</v>
      </c>
      <c r="AB742" s="217">
        <v>151.27199999999999</v>
      </c>
      <c r="AC742" s="217"/>
      <c r="AD742" s="217">
        <v>8.3000000000000001E-3</v>
      </c>
      <c r="AE742" s="217">
        <v>1.6999999999999999E-3</v>
      </c>
      <c r="AF742" s="217">
        <v>4.7600000000000003E-2</v>
      </c>
      <c r="AG742" s="217">
        <v>3.6999999999999998E-2</v>
      </c>
      <c r="AH742" s="217">
        <v>-9.8500000000000004E-2</v>
      </c>
      <c r="AI742" s="217">
        <v>1.8100000000000002E-2</v>
      </c>
      <c r="AJ742" s="217">
        <v>0.02</v>
      </c>
      <c r="AK742" s="217">
        <v>5.8446999999999996</v>
      </c>
      <c r="AL742" s="217">
        <v>-3.0682999999999998</v>
      </c>
      <c r="AM742" s="217">
        <v>2</v>
      </c>
      <c r="AN742" s="217">
        <v>3</v>
      </c>
      <c r="AO742" s="217">
        <v>0</v>
      </c>
      <c r="AP742" s="217">
        <v>0</v>
      </c>
      <c r="AQ742" s="217">
        <v>2</v>
      </c>
      <c r="AR742" s="217">
        <v>0</v>
      </c>
      <c r="AS742" s="217">
        <v>4.1999999999999997E-3</v>
      </c>
      <c r="AT742" s="217">
        <v>0.92720000000000002</v>
      </c>
      <c r="AU742" s="114" t="str">
        <f>IF(A742&lt;&gt;"",INDEX(Index!$B$1:$B$77,MATCH($A742,Index!$A$1:$A$77,0)),"")</f>
        <v>ARI</v>
      </c>
      <c r="AV742" s="123" t="str">
        <f>IF(B742&lt;&gt;"",INDEX(Index!$C$1:$C$77,MATCH($A742,Index!$A$1:$A$77,0)),"")</f>
        <v>Murray</v>
      </c>
      <c r="AW742" s="123">
        <f t="shared" si="14"/>
        <v>35</v>
      </c>
      <c r="AX742" s="113">
        <v>18</v>
      </c>
    </row>
    <row r="743" spans="1:50" x14ac:dyDescent="0.25">
      <c r="A743" s="216" t="s">
        <v>566</v>
      </c>
      <c r="B743" s="149">
        <v>2025</v>
      </c>
      <c r="C743" s="149">
        <v>15</v>
      </c>
      <c r="D743" s="149">
        <v>0.43737100000000001</v>
      </c>
      <c r="E743" s="149">
        <v>-0.46763199999999999</v>
      </c>
      <c r="F743" s="217">
        <v>0.45024199999999998</v>
      </c>
      <c r="G743" s="217">
        <v>150.346</v>
      </c>
      <c r="H743" s="217">
        <v>0.28970000000000001</v>
      </c>
      <c r="I743" s="217">
        <v>291</v>
      </c>
      <c r="J743" s="217">
        <v>438</v>
      </c>
      <c r="K743" s="217">
        <v>0.66439999999999999</v>
      </c>
      <c r="L743" s="217">
        <v>5.5330000000000004</v>
      </c>
      <c r="M743" s="217">
        <v>3381</v>
      </c>
      <c r="N743" s="217">
        <v>7.7191999999999998</v>
      </c>
      <c r="O743" s="217">
        <v>23</v>
      </c>
      <c r="P743" s="217">
        <v>6</v>
      </c>
      <c r="Q743" s="217">
        <v>21</v>
      </c>
      <c r="R743" s="217">
        <v>32</v>
      </c>
      <c r="S743" s="217">
        <v>211</v>
      </c>
      <c r="T743" s="217">
        <v>6.5937999999999999</v>
      </c>
      <c r="U743" s="217">
        <v>0</v>
      </c>
      <c r="V743" s="217">
        <v>5.2499999999999998E-2</v>
      </c>
      <c r="W743" s="217">
        <v>1.37E-2</v>
      </c>
      <c r="X743" s="217">
        <v>3.8800000000000001E-2</v>
      </c>
      <c r="Y743" s="217">
        <v>0.51639999999999997</v>
      </c>
      <c r="Z743" s="217">
        <v>101.408</v>
      </c>
      <c r="AA743" s="217">
        <v>7.4118000000000004</v>
      </c>
      <c r="AB743" s="217">
        <v>196.858</v>
      </c>
      <c r="AC743" s="217">
        <v>73.400000000000006</v>
      </c>
      <c r="AD743" s="217">
        <v>1.3100000000000001E-2</v>
      </c>
      <c r="AE743" s="217">
        <v>3.3700000000000001E-2</v>
      </c>
      <c r="AF743" s="217">
        <v>1.8E-3</v>
      </c>
      <c r="AG743" s="217">
        <v>2.8199999999999999E-2</v>
      </c>
      <c r="AH743" s="217">
        <v>8.77E-2</v>
      </c>
      <c r="AI743" s="217">
        <v>3.7699999999999997E-2</v>
      </c>
      <c r="AJ743" s="217">
        <v>1.44E-2</v>
      </c>
      <c r="AK743" s="217">
        <v>8.8378999999999994</v>
      </c>
      <c r="AL743" s="217">
        <v>3.2000000000000001E-2</v>
      </c>
      <c r="AM743" s="217">
        <v>9</v>
      </c>
      <c r="AN743" s="217">
        <v>5</v>
      </c>
      <c r="AO743" s="217">
        <v>1</v>
      </c>
      <c r="AP743" s="217">
        <v>2</v>
      </c>
      <c r="AQ743" s="217">
        <v>6</v>
      </c>
      <c r="AR743" s="217">
        <v>0.33329999999999999</v>
      </c>
      <c r="AS743" s="217">
        <v>1.0800000000000001E-2</v>
      </c>
      <c r="AT743" s="217">
        <v>5.6158000000000001</v>
      </c>
      <c r="AU743" s="114" t="str">
        <f>IF(A743&lt;&gt;"",INDEX(Index!$B$1:$B$77,MATCH($A743,Index!$A$1:$A$77,0)),"")</f>
        <v>GB</v>
      </c>
      <c r="AV743" s="123" t="str">
        <f>IF(B743&lt;&gt;"",INDEX(Index!$C$1:$C$77,MATCH($A743,Index!$A$1:$A$77,0)),"")</f>
        <v>Love</v>
      </c>
      <c r="AW743" s="123">
        <f t="shared" si="14"/>
        <v>26</v>
      </c>
      <c r="AX743" s="113">
        <v>18</v>
      </c>
    </row>
    <row r="744" spans="1:50" x14ac:dyDescent="0.25">
      <c r="A744" s="216" t="s">
        <v>550</v>
      </c>
      <c r="B744" s="149">
        <v>2025</v>
      </c>
      <c r="C744" s="149">
        <v>12</v>
      </c>
      <c r="D744" s="149">
        <v>0.235762</v>
      </c>
      <c r="E744" s="149">
        <v>-0.35778799999999999</v>
      </c>
      <c r="F744" s="217">
        <v>-3.5038800000000001</v>
      </c>
      <c r="G744" s="217">
        <v>32.432099999999998</v>
      </c>
      <c r="H744" s="217">
        <v>8.3400000000000002E-2</v>
      </c>
      <c r="I744" s="217">
        <v>181</v>
      </c>
      <c r="J744" s="217">
        <v>282</v>
      </c>
      <c r="K744" s="217">
        <v>0.64180000000000004</v>
      </c>
      <c r="L744" s="217">
        <v>1.7077</v>
      </c>
      <c r="M744" s="217">
        <v>2311</v>
      </c>
      <c r="N744" s="217">
        <v>8.1950000000000003</v>
      </c>
      <c r="O744" s="217">
        <v>18</v>
      </c>
      <c r="P744" s="217">
        <v>6</v>
      </c>
      <c r="Q744" s="217">
        <v>33</v>
      </c>
      <c r="R744" s="217">
        <v>55</v>
      </c>
      <c r="S744" s="217">
        <v>348</v>
      </c>
      <c r="T744" s="217">
        <v>6.3273000000000001</v>
      </c>
      <c r="U744" s="217">
        <v>2</v>
      </c>
      <c r="V744" s="217">
        <v>6.3799999999999996E-2</v>
      </c>
      <c r="W744" s="217">
        <v>2.1299999999999999E-2</v>
      </c>
      <c r="X744" s="217">
        <v>4.2599999999999999E-2</v>
      </c>
      <c r="Y744" s="217">
        <v>0.48070000000000002</v>
      </c>
      <c r="Z744" s="217">
        <v>102.128</v>
      </c>
      <c r="AA744" s="217">
        <v>6.9142999999999999</v>
      </c>
      <c r="AB744" s="217">
        <v>151.02099999999999</v>
      </c>
      <c r="AC744" s="217">
        <v>63.3</v>
      </c>
      <c r="AD744" s="217">
        <v>3.1E-2</v>
      </c>
      <c r="AE744" s="217">
        <v>-5.4100000000000002E-2</v>
      </c>
      <c r="AF744" s="217">
        <v>1.8E-3</v>
      </c>
      <c r="AG744" s="217">
        <v>-1.1000000000000001E-3</v>
      </c>
      <c r="AH744" s="217">
        <v>9.1999999999999998E-2</v>
      </c>
      <c r="AI744" s="217">
        <v>-6.3700000000000007E-2</v>
      </c>
      <c r="AJ744" s="217">
        <v>4.5999999999999999E-3</v>
      </c>
      <c r="AK744" s="217">
        <v>8.7623999999999995</v>
      </c>
      <c r="AL744" s="217">
        <v>-0.28370000000000001</v>
      </c>
      <c r="AM744" s="217">
        <v>6</v>
      </c>
      <c r="AN744" s="217">
        <v>6</v>
      </c>
      <c r="AO744" s="217">
        <v>0</v>
      </c>
      <c r="AP744" s="217">
        <v>1</v>
      </c>
      <c r="AQ744" s="217">
        <v>3</v>
      </c>
      <c r="AR744" s="217">
        <v>0.33329999999999999</v>
      </c>
      <c r="AS744" s="217">
        <v>2E-3</v>
      </c>
      <c r="AT744" s="217">
        <v>0.76180000000000003</v>
      </c>
      <c r="AU744" s="114" t="str">
        <f>IF(A744&lt;&gt;"",INDEX(Index!$B$1:$B$77,MATCH($A744,Index!$A$1:$A$77,0)),"")</f>
        <v>BAL</v>
      </c>
      <c r="AV744" s="123" t="str">
        <f>IF(B744&lt;&gt;"",INDEX(Index!$C$1:$C$77,MATCH($A744,Index!$A$1:$A$77,0)),"")</f>
        <v>Jackson</v>
      </c>
      <c r="AW744" s="123">
        <f t="shared" si="14"/>
        <v>11</v>
      </c>
      <c r="AX744" s="113">
        <v>18</v>
      </c>
    </row>
    <row r="745" spans="1:50" x14ac:dyDescent="0.25">
      <c r="A745" s="216" t="s">
        <v>558</v>
      </c>
      <c r="B745" s="149">
        <v>2025</v>
      </c>
      <c r="C745" s="149">
        <v>15</v>
      </c>
      <c r="D745" s="149">
        <v>0.13727800000000001</v>
      </c>
      <c r="E745" s="149">
        <v>-0.29118300000000003</v>
      </c>
      <c r="F745" s="217">
        <v>-1.4617</v>
      </c>
      <c r="G745" s="217">
        <v>14.866400000000001</v>
      </c>
      <c r="H745" s="217">
        <v>2.8899999999999999E-2</v>
      </c>
      <c r="I745" s="217">
        <v>296</v>
      </c>
      <c r="J745" s="217">
        <v>449</v>
      </c>
      <c r="K745" s="217">
        <v>0.65920000000000001</v>
      </c>
      <c r="L745" s="217">
        <v>-7.9200000000000007E-2</v>
      </c>
      <c r="M745" s="217">
        <v>3028</v>
      </c>
      <c r="N745" s="217">
        <v>6.7439</v>
      </c>
      <c r="O745" s="217">
        <v>23</v>
      </c>
      <c r="P745" s="217">
        <v>7</v>
      </c>
      <c r="Q745" s="217">
        <v>27</v>
      </c>
      <c r="R745" s="217">
        <v>11</v>
      </c>
      <c r="S745" s="217">
        <v>48</v>
      </c>
      <c r="T745" s="217">
        <v>4.3635999999999999</v>
      </c>
      <c r="U745" s="217">
        <v>1</v>
      </c>
      <c r="V745" s="217">
        <v>5.1200000000000002E-2</v>
      </c>
      <c r="W745" s="217">
        <v>1.5599999999999999E-2</v>
      </c>
      <c r="X745" s="217">
        <v>3.56E-2</v>
      </c>
      <c r="Y745" s="217">
        <v>0.43</v>
      </c>
      <c r="Z745" s="217">
        <v>95.698800000000006</v>
      </c>
      <c r="AA745" s="217">
        <v>6.2961999999999998</v>
      </c>
      <c r="AB745" s="217">
        <v>159.45500000000001</v>
      </c>
      <c r="AC745" s="217">
        <v>41.9</v>
      </c>
      <c r="AD745" s="217">
        <v>-2.8299999999999999E-2</v>
      </c>
      <c r="AE745" s="217">
        <v>1.04E-2</v>
      </c>
      <c r="AF745" s="217">
        <v>-2.1600000000000001E-2</v>
      </c>
      <c r="AG745" s="217">
        <v>2.6200000000000001E-2</v>
      </c>
      <c r="AH745" s="217">
        <v>-0.15840000000000001</v>
      </c>
      <c r="AI745" s="217">
        <v>0.1361</v>
      </c>
      <c r="AJ745" s="217">
        <v>-8.5000000000000006E-3</v>
      </c>
      <c r="AK745" s="217">
        <v>5.98</v>
      </c>
      <c r="AL745" s="217">
        <v>-3.1202999999999999</v>
      </c>
      <c r="AM745" s="217">
        <v>9</v>
      </c>
      <c r="AN745" s="217">
        <v>6</v>
      </c>
      <c r="AO745" s="217">
        <v>0</v>
      </c>
      <c r="AP745" s="217">
        <v>1</v>
      </c>
      <c r="AQ745" s="217">
        <v>4</v>
      </c>
      <c r="AR745" s="217">
        <v>0.25</v>
      </c>
      <c r="AS745" s="217">
        <v>0</v>
      </c>
      <c r="AT745" s="217">
        <v>1.9300000000000001E-2</v>
      </c>
      <c r="AU745" s="114" t="str">
        <f>IF(A745&lt;&gt;"",INDEX(Index!$B$1:$B$77,MATCH($A745,Index!$A$1:$A$77,0)),"")</f>
        <v>GB</v>
      </c>
      <c r="AV745" s="123" t="str">
        <f>IF(B745&lt;&gt;"",INDEX(Index!$C$1:$C$77,MATCH($A745,Index!$A$1:$A$77,0)),"")</f>
        <v>Rodgers</v>
      </c>
      <c r="AW745" s="123">
        <f t="shared" si="14"/>
        <v>16</v>
      </c>
      <c r="AX745" s="113">
        <v>18</v>
      </c>
    </row>
    <row r="746" spans="1:50" x14ac:dyDescent="0.25">
      <c r="A746" s="216" t="s">
        <v>564</v>
      </c>
      <c r="B746" s="149">
        <v>2025</v>
      </c>
      <c r="C746" s="149">
        <v>3</v>
      </c>
      <c r="D746" s="149">
        <v>8.5803199999999996E-2</v>
      </c>
      <c r="E746" s="149">
        <v>-0.72087800000000002</v>
      </c>
      <c r="F746" s="217">
        <v>-0.42435</v>
      </c>
      <c r="G746" s="217">
        <v>-4.0004</v>
      </c>
      <c r="H746" s="217">
        <v>-2.53E-2</v>
      </c>
      <c r="I746" s="217">
        <v>69</v>
      </c>
      <c r="J746" s="217">
        <v>119</v>
      </c>
      <c r="K746" s="217">
        <v>0.57979999999999998</v>
      </c>
      <c r="L746" s="217">
        <v>-1.48</v>
      </c>
      <c r="M746" s="217">
        <v>831</v>
      </c>
      <c r="N746" s="217">
        <v>6.9832000000000001</v>
      </c>
      <c r="O746" s="217">
        <v>3</v>
      </c>
      <c r="P746" s="217">
        <v>3</v>
      </c>
      <c r="Q746" s="217">
        <v>10</v>
      </c>
      <c r="R746" s="217">
        <v>18</v>
      </c>
      <c r="S746" s="217">
        <v>106</v>
      </c>
      <c r="T746" s="217">
        <v>5.8888999999999996</v>
      </c>
      <c r="U746" s="217">
        <v>0</v>
      </c>
      <c r="V746" s="217">
        <v>2.52E-2</v>
      </c>
      <c r="W746" s="217">
        <v>2.52E-2</v>
      </c>
      <c r="X746" s="217">
        <v>0</v>
      </c>
      <c r="Y746" s="217">
        <v>0.40510000000000002</v>
      </c>
      <c r="Z746" s="217">
        <v>77.398499999999999</v>
      </c>
      <c r="AA746" s="217">
        <v>5.3487999999999998</v>
      </c>
      <c r="AB746" s="217">
        <v>140.05699999999999</v>
      </c>
      <c r="AC746" s="217"/>
      <c r="AD746" s="217">
        <v>-3.8699999999999998E-2</v>
      </c>
      <c r="AE746" s="217">
        <v>1.3299999999999999E-2</v>
      </c>
      <c r="AF746" s="217">
        <v>-9.6299999999999997E-2</v>
      </c>
      <c r="AG746" s="217">
        <v>2.29E-2</v>
      </c>
      <c r="AH746" s="217">
        <v>9.1999999999999998E-3</v>
      </c>
      <c r="AI746" s="217">
        <v>-6.83E-2</v>
      </c>
      <c r="AJ746" s="217">
        <v>5.9700000000000003E-2</v>
      </c>
      <c r="AK746" s="217">
        <v>8.8908000000000005</v>
      </c>
      <c r="AL746" s="217">
        <v>-0.10920000000000001</v>
      </c>
      <c r="AM746" s="217">
        <v>2</v>
      </c>
      <c r="AN746" s="217">
        <v>4</v>
      </c>
      <c r="AO746" s="217">
        <v>0</v>
      </c>
      <c r="AP746" s="217">
        <v>0</v>
      </c>
      <c r="AQ746" s="217">
        <v>3</v>
      </c>
      <c r="AR746" s="217">
        <v>0</v>
      </c>
      <c r="AS746" s="217">
        <v>4.8999999999999998E-3</v>
      </c>
      <c r="AT746" s="217">
        <v>0.77270000000000005</v>
      </c>
      <c r="AU746" s="114" t="str">
        <f>IF(A746&lt;&gt;"",INDEX(Index!$B$1:$B$77,MATCH($A746,Index!$A$1:$A$77,0)),"")</f>
        <v>NYG</v>
      </c>
      <c r="AV746" s="123" t="str">
        <f>IF(B746&lt;&gt;"",INDEX(Index!$C$1:$C$77,MATCH($A746,Index!$A$1:$A$77,0)),"")</f>
        <v>Wilson</v>
      </c>
      <c r="AW746" s="123">
        <f t="shared" si="14"/>
        <v>42</v>
      </c>
      <c r="AX746" s="113">
        <v>18</v>
      </c>
    </row>
    <row r="747" spans="1:50" x14ac:dyDescent="0.25">
      <c r="A747" s="216" t="s">
        <v>575</v>
      </c>
      <c r="B747" s="149">
        <v>2025</v>
      </c>
      <c r="C747" s="149">
        <v>8</v>
      </c>
      <c r="D747" s="149">
        <v>-7.0682400000000006E-2</v>
      </c>
      <c r="E747" s="149">
        <v>0.88405599999999995</v>
      </c>
      <c r="F747" s="217">
        <v>1.54932</v>
      </c>
      <c r="G747" s="217">
        <v>47.102899999999998</v>
      </c>
      <c r="H747" s="217">
        <v>0.14019999999999999</v>
      </c>
      <c r="I747" s="217">
        <v>201</v>
      </c>
      <c r="J747" s="217">
        <v>286</v>
      </c>
      <c r="K747" s="217">
        <v>0.70279999999999998</v>
      </c>
      <c r="L747" s="217">
        <v>3.6785999999999999</v>
      </c>
      <c r="M747" s="217">
        <v>2151</v>
      </c>
      <c r="N747" s="217">
        <v>7.5209999999999999</v>
      </c>
      <c r="O747" s="217">
        <v>13</v>
      </c>
      <c r="P747" s="217">
        <v>6</v>
      </c>
      <c r="Q747" s="217">
        <v>16</v>
      </c>
      <c r="R747" s="217">
        <v>22</v>
      </c>
      <c r="S747" s="217">
        <v>74</v>
      </c>
      <c r="T747" s="217">
        <v>3.3635999999999999</v>
      </c>
      <c r="U747" s="217">
        <v>0</v>
      </c>
      <c r="V747" s="217">
        <v>4.5499999999999999E-2</v>
      </c>
      <c r="W747" s="217">
        <v>2.1000000000000001E-2</v>
      </c>
      <c r="X747" s="217">
        <v>2.4500000000000001E-2</v>
      </c>
      <c r="Y747" s="217">
        <v>0.52680000000000005</v>
      </c>
      <c r="Z747" s="217">
        <v>98.397400000000005</v>
      </c>
      <c r="AA747" s="217">
        <v>6.7317999999999998</v>
      </c>
      <c r="AB747" s="217">
        <v>197.37700000000001</v>
      </c>
      <c r="AC747" s="217">
        <v>63.8</v>
      </c>
      <c r="AD747" s="217">
        <v>-8.6E-3</v>
      </c>
      <c r="AE747" s="217">
        <v>1.32E-2</v>
      </c>
      <c r="AF747" s="217">
        <v>3.04E-2</v>
      </c>
      <c r="AG747" s="217">
        <v>7.1999999999999998E-3</v>
      </c>
      <c r="AH747" s="217">
        <v>5.0200000000000002E-2</v>
      </c>
      <c r="AI747" s="217">
        <v>-6.7999999999999996E-3</v>
      </c>
      <c r="AJ747" s="217">
        <v>-1.8499999999999999E-2</v>
      </c>
      <c r="AK747" s="217">
        <v>7.4265999999999996</v>
      </c>
      <c r="AL747" s="217">
        <v>-1.6608000000000001</v>
      </c>
      <c r="AM747" s="217">
        <v>6</v>
      </c>
      <c r="AN747" s="217">
        <v>3</v>
      </c>
      <c r="AO747" s="217">
        <v>0</v>
      </c>
      <c r="AP747" s="217">
        <v>1</v>
      </c>
      <c r="AQ747" s="217">
        <v>2</v>
      </c>
      <c r="AR747" s="217">
        <v>0.5</v>
      </c>
      <c r="AS747" s="217">
        <v>4.1999999999999997E-3</v>
      </c>
      <c r="AT747" s="217">
        <v>1.413</v>
      </c>
      <c r="AU747" s="114" t="str">
        <f>IF(A747&lt;&gt;"",INDEX(Index!$B$1:$B$77,MATCH($A747,Index!$A$1:$A$77,0)),"")</f>
        <v>SF</v>
      </c>
      <c r="AV747" s="123" t="str">
        <f>IF(B747&lt;&gt;"",INDEX(Index!$C$1:$C$77,MATCH($A747,Index!$A$1:$A$77,0)),"")</f>
        <v>Jones</v>
      </c>
      <c r="AW747" s="123">
        <f t="shared" si="14"/>
        <v>35</v>
      </c>
      <c r="AX747" s="113">
        <v>18</v>
      </c>
    </row>
    <row r="748" spans="1:50" x14ac:dyDescent="0.25">
      <c r="A748" s="216" t="s">
        <v>591</v>
      </c>
      <c r="B748" s="149">
        <v>2025</v>
      </c>
      <c r="C748" s="149">
        <v>7</v>
      </c>
      <c r="D748" s="149">
        <v>-9.4642299999999999E-2</v>
      </c>
      <c r="E748" s="149">
        <v>-0.103738</v>
      </c>
      <c r="F748" s="217">
        <v>-0.81077299999999997</v>
      </c>
      <c r="G748" s="217">
        <v>12.8512</v>
      </c>
      <c r="H748" s="217">
        <v>4.9599999999999998E-2</v>
      </c>
      <c r="I748" s="217">
        <v>148</v>
      </c>
      <c r="J748" s="217">
        <v>235</v>
      </c>
      <c r="K748" s="217">
        <v>0.62980000000000003</v>
      </c>
      <c r="L748" s="217">
        <v>-2.2921</v>
      </c>
      <c r="M748" s="217">
        <v>1541</v>
      </c>
      <c r="N748" s="217">
        <v>6.5574000000000003</v>
      </c>
      <c r="O748" s="217">
        <v>9</v>
      </c>
      <c r="P748" s="217">
        <v>4</v>
      </c>
      <c r="Q748" s="217">
        <v>9</v>
      </c>
      <c r="R748" s="217">
        <v>6</v>
      </c>
      <c r="S748" s="217">
        <v>15</v>
      </c>
      <c r="T748" s="217">
        <v>2.5</v>
      </c>
      <c r="U748" s="217">
        <v>1</v>
      </c>
      <c r="V748" s="217">
        <v>3.8300000000000001E-2</v>
      </c>
      <c r="W748" s="217">
        <v>1.7000000000000001E-2</v>
      </c>
      <c r="X748" s="217">
        <v>2.1299999999999999E-2</v>
      </c>
      <c r="Y748" s="217">
        <v>0.4672</v>
      </c>
      <c r="Z748" s="217">
        <v>87.562100000000001</v>
      </c>
      <c r="AA748" s="217">
        <v>6.0778999999999996</v>
      </c>
      <c r="AB748" s="217">
        <v>139.25299999999999</v>
      </c>
      <c r="AC748" s="217">
        <v>52.2</v>
      </c>
      <c r="AD748" s="217">
        <v>-2.0500000000000001E-2</v>
      </c>
      <c r="AE748" s="217">
        <v>3.9800000000000002E-2</v>
      </c>
      <c r="AF748" s="217">
        <v>-6.3899999999999998E-2</v>
      </c>
      <c r="AG748" s="217">
        <v>6.9999999999999999E-4</v>
      </c>
      <c r="AH748" s="217">
        <v>-7.17E-2</v>
      </c>
      <c r="AI748" s="217">
        <v>7.8899999999999998E-2</v>
      </c>
      <c r="AJ748" s="217">
        <v>1.32E-2</v>
      </c>
      <c r="AK748" s="217">
        <v>7.0170000000000003</v>
      </c>
      <c r="AL748" s="217">
        <v>-1.8383</v>
      </c>
      <c r="AM748" s="217">
        <v>4</v>
      </c>
      <c r="AN748" s="217">
        <v>5</v>
      </c>
      <c r="AO748" s="217">
        <v>0</v>
      </c>
      <c r="AP748" s="217">
        <v>1</v>
      </c>
      <c r="AQ748" s="217">
        <v>2</v>
      </c>
      <c r="AR748" s="217">
        <v>0.5</v>
      </c>
      <c r="AS748" s="217">
        <v>2.8999999999999998E-3</v>
      </c>
      <c r="AT748" s="217">
        <v>0.75449999999999995</v>
      </c>
      <c r="AU748" s="114" t="str">
        <f>IF(A748&lt;&gt;"",INDEX(Index!$B$1:$B$77,MATCH($A748,Index!$A$1:$A$77,0)),"")</f>
        <v>ATL</v>
      </c>
      <c r="AV748" s="123" t="str">
        <f>IF(B748&lt;&gt;"",INDEX(Index!$C$1:$C$77,MATCH($A748,Index!$A$1:$A$77,0)),"")</f>
        <v>Cousins</v>
      </c>
      <c r="AW748" s="123">
        <f t="shared" si="14"/>
        <v>43</v>
      </c>
      <c r="AX748" s="113">
        <v>18</v>
      </c>
    </row>
    <row r="749" spans="1:50" x14ac:dyDescent="0.25">
      <c r="A749" s="216" t="s">
        <v>568</v>
      </c>
      <c r="B749" s="149">
        <v>2025</v>
      </c>
      <c r="C749" s="149">
        <v>13</v>
      </c>
      <c r="D749" s="149">
        <v>-0.15051100000000001</v>
      </c>
      <c r="E749" s="149">
        <v>-0.66387099999999999</v>
      </c>
      <c r="F749" s="217">
        <v>1.31358</v>
      </c>
      <c r="G749" s="217">
        <v>86.991200000000006</v>
      </c>
      <c r="H749" s="217">
        <v>0.1875</v>
      </c>
      <c r="I749" s="217">
        <v>261</v>
      </c>
      <c r="J749" s="217">
        <v>382</v>
      </c>
      <c r="K749" s="217">
        <v>0.68320000000000003</v>
      </c>
      <c r="L749" s="217">
        <v>2.2970999999999999</v>
      </c>
      <c r="M749" s="217">
        <v>3101</v>
      </c>
      <c r="N749" s="217">
        <v>8.1178000000000008</v>
      </c>
      <c r="O749" s="217">
        <v>19</v>
      </c>
      <c r="P749" s="217">
        <v>8</v>
      </c>
      <c r="Q749" s="217">
        <v>22</v>
      </c>
      <c r="R749" s="217">
        <v>36</v>
      </c>
      <c r="S749" s="217">
        <v>167</v>
      </c>
      <c r="T749" s="217">
        <v>4.6388999999999996</v>
      </c>
      <c r="U749" s="217">
        <v>5</v>
      </c>
      <c r="V749" s="217">
        <v>4.9700000000000001E-2</v>
      </c>
      <c r="W749" s="217">
        <v>2.0899999999999998E-2</v>
      </c>
      <c r="X749" s="217">
        <v>2.8799999999999999E-2</v>
      </c>
      <c r="Y749" s="217">
        <v>0.51719999999999999</v>
      </c>
      <c r="Z749" s="217">
        <v>100.69799999999999</v>
      </c>
      <c r="AA749" s="217">
        <v>7.3342000000000001</v>
      </c>
      <c r="AB749" s="217">
        <v>203.07</v>
      </c>
      <c r="AC749" s="217">
        <v>63.5</v>
      </c>
      <c r="AD749" s="217">
        <v>1.2999999999999999E-2</v>
      </c>
      <c r="AE749" s="217">
        <v>9.4999999999999998E-3</v>
      </c>
      <c r="AF749" s="217">
        <v>2.9600000000000001E-2</v>
      </c>
      <c r="AG749" s="217">
        <v>6.1999999999999998E-3</v>
      </c>
      <c r="AH749" s="217">
        <v>3.49E-2</v>
      </c>
      <c r="AI749" s="217">
        <v>2.8299999999999999E-2</v>
      </c>
      <c r="AJ749" s="217">
        <v>-7.1999999999999998E-3</v>
      </c>
      <c r="AK749" s="217">
        <v>8.0471000000000004</v>
      </c>
      <c r="AL749" s="217">
        <v>-0.79059999999999997</v>
      </c>
      <c r="AM749" s="217">
        <v>8</v>
      </c>
      <c r="AN749" s="217">
        <v>5</v>
      </c>
      <c r="AO749" s="217">
        <v>0</v>
      </c>
      <c r="AP749" s="217">
        <v>3</v>
      </c>
      <c r="AQ749" s="217">
        <v>5</v>
      </c>
      <c r="AR749" s="217">
        <v>0.6</v>
      </c>
      <c r="AS749" s="217">
        <v>3.8E-3</v>
      </c>
      <c r="AT749" s="217">
        <v>1.7748999999999999</v>
      </c>
      <c r="AU749" s="114" t="str">
        <f>IF(A749&lt;&gt;"",INDEX(Index!$B$1:$B$77,MATCH($A749,Index!$A$1:$A$77,0)),"")</f>
        <v>IND</v>
      </c>
      <c r="AV749" s="123" t="str">
        <f>IF(B749&lt;&gt;"",INDEX(Index!$C$1:$C$77,MATCH($A749,Index!$A$1:$A$77,0)),"")</f>
        <v>Jones</v>
      </c>
      <c r="AW749" s="123">
        <f t="shared" si="14"/>
        <v>24</v>
      </c>
      <c r="AX749" s="113">
        <v>18</v>
      </c>
    </row>
    <row r="750" spans="1:50" x14ac:dyDescent="0.25">
      <c r="A750" s="216" t="s">
        <v>559</v>
      </c>
      <c r="B750" s="149">
        <v>2025</v>
      </c>
      <c r="C750" s="149">
        <v>16</v>
      </c>
      <c r="D750" s="149">
        <v>-0.29441299999999998</v>
      </c>
      <c r="E750" s="149">
        <v>0.194078</v>
      </c>
      <c r="F750" s="217">
        <v>-1.14656</v>
      </c>
      <c r="G750" s="217">
        <v>47.732599999999998</v>
      </c>
      <c r="H750" s="217">
        <v>7.4800000000000005E-2</v>
      </c>
      <c r="I750" s="217">
        <v>327</v>
      </c>
      <c r="J750" s="217">
        <v>520</v>
      </c>
      <c r="K750" s="217">
        <v>0.62880000000000003</v>
      </c>
      <c r="L750" s="217">
        <v>-2.4470000000000001</v>
      </c>
      <c r="M750" s="217">
        <v>3490</v>
      </c>
      <c r="N750" s="217">
        <v>6.7115</v>
      </c>
      <c r="O750" s="217">
        <v>25</v>
      </c>
      <c r="P750" s="217">
        <v>10</v>
      </c>
      <c r="Q750" s="217">
        <v>34</v>
      </c>
      <c r="R750" s="217">
        <v>41</v>
      </c>
      <c r="S750" s="217">
        <v>360</v>
      </c>
      <c r="T750" s="217">
        <v>8.7805</v>
      </c>
      <c r="U750" s="217">
        <v>1</v>
      </c>
      <c r="V750" s="217">
        <v>4.8099999999999997E-2</v>
      </c>
      <c r="W750" s="217">
        <v>1.9199999999999998E-2</v>
      </c>
      <c r="X750" s="217">
        <v>2.8799999999999999E-2</v>
      </c>
      <c r="Y750" s="217">
        <v>0.45450000000000002</v>
      </c>
      <c r="Z750" s="217">
        <v>90.464699999999993</v>
      </c>
      <c r="AA750" s="217">
        <v>5.9764999999999997</v>
      </c>
      <c r="AB750" s="217">
        <v>169.774</v>
      </c>
      <c r="AC750" s="217">
        <v>60.8</v>
      </c>
      <c r="AD750" s="217">
        <v>3.2599999999999997E-2</v>
      </c>
      <c r="AE750" s="217">
        <v>1.0699999999999999E-2</v>
      </c>
      <c r="AF750" s="217">
        <v>-8.8000000000000005E-3</v>
      </c>
      <c r="AG750" s="217">
        <v>1.32E-2</v>
      </c>
      <c r="AH750" s="217">
        <v>-6.3600000000000004E-2</v>
      </c>
      <c r="AI750" s="217">
        <v>1.5100000000000001E-2</v>
      </c>
      <c r="AJ750" s="217">
        <v>2.5000000000000001E-3</v>
      </c>
      <c r="AK750" s="217">
        <v>8.1999999999999993</v>
      </c>
      <c r="AL750" s="217">
        <v>-0.66539999999999999</v>
      </c>
      <c r="AM750" s="217">
        <v>7</v>
      </c>
      <c r="AN750" s="217">
        <v>9</v>
      </c>
      <c r="AO750" s="217">
        <v>0</v>
      </c>
      <c r="AP750" s="217">
        <v>4</v>
      </c>
      <c r="AQ750" s="217">
        <v>9</v>
      </c>
      <c r="AR750" s="217">
        <v>0.44440000000000002</v>
      </c>
      <c r="AS750" s="217">
        <v>2.2000000000000001E-3</v>
      </c>
      <c r="AT750" s="217">
        <v>1.4335</v>
      </c>
      <c r="AU750" s="114" t="str">
        <f>IF(A750&lt;&gt;"",INDEX(Index!$B$1:$B$77,MATCH($A750,Index!$A$1:$A$77,0)),"")</f>
        <v>TB</v>
      </c>
      <c r="AV750" s="123" t="str">
        <f>IF(B750&lt;&gt;"",INDEX(Index!$C$1:$C$77,MATCH($A750,Index!$A$1:$A$77,0)),"")</f>
        <v>Mayfield</v>
      </c>
      <c r="AW750" s="123">
        <f t="shared" si="14"/>
        <v>9</v>
      </c>
      <c r="AX750" s="113">
        <v>18</v>
      </c>
    </row>
    <row r="751" spans="1:50" x14ac:dyDescent="0.25">
      <c r="A751" s="216" t="s">
        <v>587</v>
      </c>
      <c r="B751" s="149">
        <v>2025</v>
      </c>
      <c r="C751" s="149">
        <v>11</v>
      </c>
      <c r="D751" s="149">
        <v>-0.40227099999999999</v>
      </c>
      <c r="E751" s="149">
        <v>0.48293799999999998</v>
      </c>
      <c r="F751" s="217">
        <v>1.9556800000000001</v>
      </c>
      <c r="G751" s="217">
        <v>50.075800000000001</v>
      </c>
      <c r="H751" s="217">
        <v>0.1143</v>
      </c>
      <c r="I751" s="217">
        <v>194</v>
      </c>
      <c r="J751" s="217">
        <v>306</v>
      </c>
      <c r="K751" s="217">
        <v>0.63400000000000001</v>
      </c>
      <c r="L751" s="217">
        <v>-0.87219999999999998</v>
      </c>
      <c r="M751" s="217">
        <v>2042</v>
      </c>
      <c r="N751" s="217">
        <v>6.6731999999999996</v>
      </c>
      <c r="O751" s="217">
        <v>13</v>
      </c>
      <c r="P751" s="217">
        <v>5</v>
      </c>
      <c r="Q751" s="217">
        <v>31</v>
      </c>
      <c r="R751" s="217">
        <v>73</v>
      </c>
      <c r="S751" s="217">
        <v>460</v>
      </c>
      <c r="T751" s="217">
        <v>6.3014000000000001</v>
      </c>
      <c r="U751" s="217">
        <v>9</v>
      </c>
      <c r="V751" s="217">
        <v>4.2500000000000003E-2</v>
      </c>
      <c r="W751" s="217">
        <v>1.6299999999999999E-2</v>
      </c>
      <c r="X751" s="217">
        <v>2.6100000000000002E-2</v>
      </c>
      <c r="Y751" s="217">
        <v>0.46800000000000003</v>
      </c>
      <c r="Z751" s="217">
        <v>90.073499999999996</v>
      </c>
      <c r="AA751" s="217">
        <v>5.7447999999999997</v>
      </c>
      <c r="AB751" s="217">
        <v>191.57</v>
      </c>
      <c r="AC751" s="217">
        <v>58.1</v>
      </c>
      <c r="AD751" s="217">
        <v>6.54E-2</v>
      </c>
      <c r="AE751" s="217">
        <v>-5.8999999999999999E-3</v>
      </c>
      <c r="AF751" s="217">
        <v>2.7900000000000001E-2</v>
      </c>
      <c r="AG751" s="217">
        <v>4.0300000000000002E-2</v>
      </c>
      <c r="AH751" s="217">
        <v>-8.4500000000000006E-2</v>
      </c>
      <c r="AI751" s="217">
        <v>-3.4299999999999997E-2</v>
      </c>
      <c r="AJ751" s="217">
        <v>3.2399999999999998E-2</v>
      </c>
      <c r="AK751" s="217">
        <v>8.4934999999999992</v>
      </c>
      <c r="AL751" s="217">
        <v>-0.86929999999999996</v>
      </c>
      <c r="AM751" s="217">
        <v>3</v>
      </c>
      <c r="AN751" s="217">
        <v>10</v>
      </c>
      <c r="AO751" s="217">
        <v>0</v>
      </c>
      <c r="AP751" s="217">
        <v>0</v>
      </c>
      <c r="AQ751" s="217">
        <v>4</v>
      </c>
      <c r="AR751" s="217">
        <v>0</v>
      </c>
      <c r="AS751" s="217">
        <v>1.8E-3</v>
      </c>
      <c r="AT751" s="217">
        <v>0.79959999999999998</v>
      </c>
      <c r="AU751" s="114" t="str">
        <f>IF(A751&lt;&gt;"",INDEX(Index!$B$1:$B$77,MATCH($A751,Index!$A$1:$A$77,0)),"")</f>
        <v>NYG</v>
      </c>
      <c r="AV751" s="123" t="str">
        <f>IF(B751&lt;&gt;"",INDEX(Index!$C$1:$C$77,MATCH($A751,Index!$A$1:$A$77,0)),"")</f>
        <v>Dart</v>
      </c>
      <c r="AW751" s="123">
        <f t="shared" si="14"/>
        <v>13</v>
      </c>
      <c r="AX751" s="113">
        <v>18</v>
      </c>
    </row>
    <row r="752" spans="1:50" x14ac:dyDescent="0.25">
      <c r="A752" s="216" t="s">
        <v>600</v>
      </c>
      <c r="B752" s="149">
        <v>2025</v>
      </c>
      <c r="C752" s="149">
        <v>3</v>
      </c>
      <c r="D752" s="149">
        <v>-0.50441400000000003</v>
      </c>
      <c r="E752" s="149">
        <v>-0.55890700000000004</v>
      </c>
      <c r="F752" s="217">
        <v>-0.91278199999999998</v>
      </c>
      <c r="G752" s="217">
        <v>-5.9001000000000001</v>
      </c>
      <c r="H752" s="217">
        <v>-5.7799999999999997E-2</v>
      </c>
      <c r="I752" s="217">
        <v>58</v>
      </c>
      <c r="J752" s="217">
        <v>92</v>
      </c>
      <c r="K752" s="217">
        <v>0.63039999999999996</v>
      </c>
      <c r="L752" s="217">
        <v>-3.6926999999999999</v>
      </c>
      <c r="M752" s="217">
        <v>544</v>
      </c>
      <c r="N752" s="217">
        <v>5.9130000000000003</v>
      </c>
      <c r="O752" s="217">
        <v>4</v>
      </c>
      <c r="P752" s="217">
        <v>3</v>
      </c>
      <c r="Q752" s="217">
        <v>5</v>
      </c>
      <c r="R752" s="217">
        <v>0</v>
      </c>
      <c r="S752" s="217">
        <v>0</v>
      </c>
      <c r="T752" s="217"/>
      <c r="U752" s="217">
        <v>0</v>
      </c>
      <c r="V752" s="217">
        <v>4.3499999999999997E-2</v>
      </c>
      <c r="W752" s="217">
        <v>3.2599999999999997E-2</v>
      </c>
      <c r="X752" s="217">
        <v>1.09E-2</v>
      </c>
      <c r="Y752" s="217">
        <v>0.44119999999999998</v>
      </c>
      <c r="Z752" s="217">
        <v>80.162999999999997</v>
      </c>
      <c r="AA752" s="217">
        <v>4.6597999999999997</v>
      </c>
      <c r="AB752" s="217">
        <v>86.400800000000004</v>
      </c>
      <c r="AC752" s="217"/>
      <c r="AD752" s="217">
        <v>-3.0599999999999999E-2</v>
      </c>
      <c r="AE752" s="217">
        <v>1.0999999999999999E-2</v>
      </c>
      <c r="AF752" s="217">
        <v>-5.4100000000000002E-2</v>
      </c>
      <c r="AG752" s="217">
        <v>-7.9200000000000007E-2</v>
      </c>
      <c r="AH752" s="217">
        <v>-0.13619999999999999</v>
      </c>
      <c r="AI752" s="217">
        <v>0.12870000000000001</v>
      </c>
      <c r="AJ752" s="217">
        <v>2.9499999999999998E-2</v>
      </c>
      <c r="AK752" s="217">
        <v>7.7934999999999999</v>
      </c>
      <c r="AL752" s="217">
        <v>-1.2282999999999999</v>
      </c>
      <c r="AM752" s="217">
        <v>0</v>
      </c>
      <c r="AN752" s="217">
        <v>3</v>
      </c>
      <c r="AO752" s="217">
        <v>0</v>
      </c>
      <c r="AP752" s="217">
        <v>0</v>
      </c>
      <c r="AQ752" s="217">
        <v>2</v>
      </c>
      <c r="AR752" s="217">
        <v>0</v>
      </c>
      <c r="AS752" s="217">
        <v>-1E-4</v>
      </c>
      <c r="AT752" s="217">
        <v>-5.4000000000000003E-3</v>
      </c>
      <c r="AU752" s="114" t="str">
        <f>IF(A752&lt;&gt;"",INDEX(Index!$B$1:$B$77,MATCH($A752,Index!$A$1:$A$77,0)),"")</f>
        <v>IND</v>
      </c>
      <c r="AV752" s="123" t="str">
        <f>IF(B752&lt;&gt;"",INDEX(Index!$C$1:$C$77,MATCH($A752,Index!$A$1:$A$77,0)),"")</f>
        <v>Rivers</v>
      </c>
      <c r="AW752" s="123">
        <f t="shared" si="14"/>
        <v>50</v>
      </c>
      <c r="AX752" s="113">
        <v>18</v>
      </c>
    </row>
    <row r="753" spans="1:50" x14ac:dyDescent="0.25">
      <c r="A753" s="216" t="s">
        <v>563</v>
      </c>
      <c r="B753" s="149">
        <v>2025</v>
      </c>
      <c r="C753" s="149">
        <v>16</v>
      </c>
      <c r="D753" s="149">
        <v>-0.56484100000000004</v>
      </c>
      <c r="E753" s="149">
        <v>-4.8277599999999997E-2</v>
      </c>
      <c r="F753" s="217">
        <v>-0.70968399999999998</v>
      </c>
      <c r="G753" s="217">
        <v>56.573099999999997</v>
      </c>
      <c r="H753" s="217">
        <v>8.48E-2</v>
      </c>
      <c r="I753" s="217">
        <v>340</v>
      </c>
      <c r="J753" s="217">
        <v>512</v>
      </c>
      <c r="K753" s="217">
        <v>0.66410000000000002</v>
      </c>
      <c r="L753" s="217">
        <v>1.5749</v>
      </c>
      <c r="M753" s="217">
        <v>3727</v>
      </c>
      <c r="N753" s="217">
        <v>7.2793000000000001</v>
      </c>
      <c r="O753" s="217">
        <v>26</v>
      </c>
      <c r="P753" s="217">
        <v>13</v>
      </c>
      <c r="Q753" s="217">
        <v>54</v>
      </c>
      <c r="R753" s="217">
        <v>71</v>
      </c>
      <c r="S753" s="217">
        <v>510</v>
      </c>
      <c r="T753" s="217">
        <v>7.1830999999999996</v>
      </c>
      <c r="U753" s="217">
        <v>2</v>
      </c>
      <c r="V753" s="217">
        <v>5.0799999999999998E-2</v>
      </c>
      <c r="W753" s="217">
        <v>2.5399999999999999E-2</v>
      </c>
      <c r="X753" s="217">
        <v>2.5399999999999999E-2</v>
      </c>
      <c r="Y753" s="217">
        <v>0.48730000000000001</v>
      </c>
      <c r="Z753" s="217">
        <v>94.099900000000005</v>
      </c>
      <c r="AA753" s="217">
        <v>5.9382000000000001</v>
      </c>
      <c r="AB753" s="217">
        <v>159.815</v>
      </c>
      <c r="AC753" s="217">
        <v>60.2</v>
      </c>
      <c r="AD753" s="217">
        <v>2.4199999999999999E-2</v>
      </c>
      <c r="AE753" s="217">
        <v>-2.3800000000000002E-2</v>
      </c>
      <c r="AF753" s="217">
        <v>2.24E-2</v>
      </c>
      <c r="AG753" s="217">
        <v>-2.1000000000000001E-2</v>
      </c>
      <c r="AH753" s="217">
        <v>1.7600000000000001E-2</v>
      </c>
      <c r="AI753" s="217">
        <v>-8.5000000000000006E-3</v>
      </c>
      <c r="AJ753" s="217">
        <v>8.0000000000000004E-4</v>
      </c>
      <c r="AK753" s="217">
        <v>7.8339999999999996</v>
      </c>
      <c r="AL753" s="217">
        <v>-1.0059</v>
      </c>
      <c r="AM753" s="217">
        <v>11</v>
      </c>
      <c r="AN753" s="217">
        <v>5</v>
      </c>
      <c r="AO753" s="217">
        <v>0</v>
      </c>
      <c r="AP753" s="217">
        <v>3</v>
      </c>
      <c r="AQ753" s="217">
        <v>5</v>
      </c>
      <c r="AR753" s="217">
        <v>0.6</v>
      </c>
      <c r="AS753" s="217">
        <v>2.3999999999999998E-3</v>
      </c>
      <c r="AT753" s="217">
        <v>1.6237999999999999</v>
      </c>
      <c r="AU753" s="114" t="str">
        <f>IF(A753&lt;&gt;"",INDEX(Index!$B$1:$B$77,MATCH($A753,Index!$A$1:$A$77,0)),"")</f>
        <v>LAC</v>
      </c>
      <c r="AV753" s="123" t="str">
        <f>IF(B753&lt;&gt;"",INDEX(Index!$C$1:$C$77,MATCH($A753,Index!$A$1:$A$77,0)),"")</f>
        <v>Herbert</v>
      </c>
      <c r="AW753" s="123">
        <f t="shared" si="14"/>
        <v>3</v>
      </c>
      <c r="AX753" s="113">
        <v>18</v>
      </c>
    </row>
    <row r="754" spans="1:50" x14ac:dyDescent="0.25">
      <c r="A754" s="216" t="s">
        <v>579</v>
      </c>
      <c r="B754" s="149">
        <v>2025</v>
      </c>
      <c r="C754" s="149">
        <v>13</v>
      </c>
      <c r="D754" s="149">
        <v>-0.602128</v>
      </c>
      <c r="E754" s="149">
        <v>2.7648900000000001E-2</v>
      </c>
      <c r="F754" s="217">
        <v>0.96677100000000005</v>
      </c>
      <c r="G754" s="217">
        <v>70.511799999999994</v>
      </c>
      <c r="H754" s="217">
        <v>0.14330000000000001</v>
      </c>
      <c r="I754" s="217">
        <v>259</v>
      </c>
      <c r="J754" s="217">
        <v>398</v>
      </c>
      <c r="K754" s="217">
        <v>0.65080000000000005</v>
      </c>
      <c r="L754" s="217">
        <v>0.60670000000000002</v>
      </c>
      <c r="M754" s="217">
        <v>2872</v>
      </c>
      <c r="N754" s="217">
        <v>7.2161</v>
      </c>
      <c r="O754" s="217">
        <v>18</v>
      </c>
      <c r="P754" s="217">
        <v>8</v>
      </c>
      <c r="Q754" s="217">
        <v>23</v>
      </c>
      <c r="R754" s="217">
        <v>34</v>
      </c>
      <c r="S754" s="217">
        <v>209</v>
      </c>
      <c r="T754" s="217">
        <v>6.1471</v>
      </c>
      <c r="U754" s="217">
        <v>0</v>
      </c>
      <c r="V754" s="217">
        <v>4.5199999999999997E-2</v>
      </c>
      <c r="W754" s="217">
        <v>2.01E-2</v>
      </c>
      <c r="X754" s="217">
        <v>2.5100000000000001E-2</v>
      </c>
      <c r="Y754" s="217">
        <v>0.47760000000000002</v>
      </c>
      <c r="Z754" s="217">
        <v>93.08</v>
      </c>
      <c r="AA754" s="217">
        <v>6.3728999999999996</v>
      </c>
      <c r="AB754" s="217">
        <v>162.95099999999999</v>
      </c>
      <c r="AC754" s="217">
        <v>61.9</v>
      </c>
      <c r="AD754" s="217">
        <v>1.1299999999999999E-2</v>
      </c>
      <c r="AE754" s="217">
        <v>2.4500000000000001E-2</v>
      </c>
      <c r="AF754" s="217">
        <v>1E-3</v>
      </c>
      <c r="AG754" s="217">
        <v>2.2599999999999999E-2</v>
      </c>
      <c r="AH754" s="217">
        <v>2.5999999999999999E-2</v>
      </c>
      <c r="AI754" s="217">
        <v>-1.8200000000000001E-2</v>
      </c>
      <c r="AJ754" s="217">
        <v>2.8999999999999998E-3</v>
      </c>
      <c r="AK754" s="217">
        <v>8.1883999999999997</v>
      </c>
      <c r="AL754" s="217">
        <v>-0.78139999999999998</v>
      </c>
      <c r="AM754" s="217">
        <v>8</v>
      </c>
      <c r="AN754" s="217">
        <v>5</v>
      </c>
      <c r="AO754" s="217">
        <v>0</v>
      </c>
      <c r="AP754" s="217">
        <v>0</v>
      </c>
      <c r="AQ754" s="217">
        <v>3</v>
      </c>
      <c r="AR754" s="217">
        <v>0</v>
      </c>
      <c r="AS754" s="217">
        <v>3.2000000000000002E-3</v>
      </c>
      <c r="AT754" s="217">
        <v>1.5971</v>
      </c>
      <c r="AU754" s="114" t="str">
        <f>IF(A754&lt;&gt;"",INDEX(Index!$B$1:$B$77,MATCH($A754,Index!$A$1:$A$77,0)),"")</f>
        <v>HOU</v>
      </c>
      <c r="AV754" s="123" t="str">
        <f>IF(B754&lt;&gt;"",INDEX(Index!$C$1:$C$77,MATCH($A754,Index!$A$1:$A$77,0)),"")</f>
        <v>Stroud</v>
      </c>
      <c r="AW754" s="123">
        <f t="shared" si="14"/>
        <v>22</v>
      </c>
      <c r="AX754" s="113">
        <v>18</v>
      </c>
    </row>
    <row r="755" spans="1:50" x14ac:dyDescent="0.25">
      <c r="A755" s="216" t="s">
        <v>596</v>
      </c>
      <c r="B755" s="149">
        <v>2025</v>
      </c>
      <c r="C755" s="149">
        <v>2</v>
      </c>
      <c r="D755" s="149">
        <v>-0.60226900000000005</v>
      </c>
      <c r="E755" s="149">
        <v>0.24723500000000001</v>
      </c>
      <c r="F755" s="217">
        <v>0.20761199999999999</v>
      </c>
      <c r="G755" s="217">
        <v>24.134699999999999</v>
      </c>
      <c r="H755" s="217">
        <v>0.30170000000000002</v>
      </c>
      <c r="I755" s="217">
        <v>37</v>
      </c>
      <c r="J755" s="217">
        <v>66</v>
      </c>
      <c r="K755" s="217">
        <v>0.56059999999999999</v>
      </c>
      <c r="L755" s="217">
        <v>-3.0971000000000002</v>
      </c>
      <c r="M755" s="217">
        <v>567</v>
      </c>
      <c r="N755" s="217">
        <v>8.5908999999999995</v>
      </c>
      <c r="O755" s="217">
        <v>2</v>
      </c>
      <c r="P755" s="217">
        <v>2</v>
      </c>
      <c r="Q755" s="217">
        <v>3</v>
      </c>
      <c r="R755" s="217">
        <v>5</v>
      </c>
      <c r="S755" s="217">
        <v>25</v>
      </c>
      <c r="T755" s="217">
        <v>5</v>
      </c>
      <c r="U755" s="217">
        <v>1</v>
      </c>
      <c r="V755" s="217">
        <v>3.0300000000000001E-2</v>
      </c>
      <c r="W755" s="217">
        <v>3.0300000000000001E-2</v>
      </c>
      <c r="X755" s="217">
        <v>0</v>
      </c>
      <c r="Y755" s="217">
        <v>0.46250000000000002</v>
      </c>
      <c r="Z755" s="217">
        <v>82.070700000000002</v>
      </c>
      <c r="AA755" s="217">
        <v>7.3333000000000004</v>
      </c>
      <c r="AB755" s="217">
        <v>178.09</v>
      </c>
      <c r="AC755" s="217">
        <v>68.599999999999994</v>
      </c>
      <c r="AD755" s="217">
        <v>2.3E-2</v>
      </c>
      <c r="AE755" s="217">
        <v>3.39E-2</v>
      </c>
      <c r="AF755" s="217">
        <v>-8.9700000000000002E-2</v>
      </c>
      <c r="AG755" s="217">
        <v>-3.1399999999999997E-2</v>
      </c>
      <c r="AH755" s="217">
        <v>0.29389999999999999</v>
      </c>
      <c r="AI755" s="217">
        <v>-3.44E-2</v>
      </c>
      <c r="AJ755" s="217">
        <v>3.3300000000000003E-2</v>
      </c>
      <c r="AK755" s="217">
        <v>9.3788</v>
      </c>
      <c r="AL755" s="217">
        <v>1.3938999999999999</v>
      </c>
      <c r="AM755" s="217">
        <v>0</v>
      </c>
      <c r="AN755" s="217">
        <v>3</v>
      </c>
      <c r="AO755" s="217">
        <v>0</v>
      </c>
      <c r="AP755" s="217">
        <v>0</v>
      </c>
      <c r="AQ755" s="217">
        <v>1</v>
      </c>
      <c r="AR755" s="217">
        <v>0</v>
      </c>
      <c r="AS755" s="217">
        <v>4.5999999999999999E-3</v>
      </c>
      <c r="AT755" s="217">
        <v>0.3664</v>
      </c>
      <c r="AU755" s="114" t="str">
        <f>IF(A755&lt;&gt;"",INDEX(Index!$B$1:$B$77,MATCH($A755,Index!$A$1:$A$77,0)),"")</f>
        <v>NYG</v>
      </c>
      <c r="AV755" s="123" t="str">
        <f>IF(B755&lt;&gt;"",INDEX(Index!$C$1:$C$77,MATCH($A755,Index!$A$1:$A$77,0)),"")</f>
        <v>Winston</v>
      </c>
      <c r="AW755" s="123">
        <f t="shared" si="14"/>
        <v>53</v>
      </c>
      <c r="AX755" s="113">
        <v>18</v>
      </c>
    </row>
    <row r="756" spans="1:50" x14ac:dyDescent="0.25">
      <c r="A756" s="216" t="s">
        <v>590</v>
      </c>
      <c r="B756" s="149">
        <v>2025</v>
      </c>
      <c r="C756" s="149">
        <v>11</v>
      </c>
      <c r="D756" s="149">
        <v>-0.64204600000000001</v>
      </c>
      <c r="E756" s="149">
        <v>-0.27751100000000001</v>
      </c>
      <c r="F756" s="217">
        <v>1.33731</v>
      </c>
      <c r="G756" s="217">
        <v>13.956</v>
      </c>
      <c r="H756" s="217">
        <v>2.5499999999999998E-2</v>
      </c>
      <c r="I756" s="217">
        <v>293</v>
      </c>
      <c r="J756" s="217">
        <v>453</v>
      </c>
      <c r="K756" s="217">
        <v>0.64680000000000004</v>
      </c>
      <c r="L756" s="217">
        <v>0.90190000000000003</v>
      </c>
      <c r="M756" s="217">
        <v>3123</v>
      </c>
      <c r="N756" s="217">
        <v>6.8940000000000001</v>
      </c>
      <c r="O756" s="217">
        <v>21</v>
      </c>
      <c r="P756" s="217">
        <v>7</v>
      </c>
      <c r="Q756" s="217">
        <v>37</v>
      </c>
      <c r="R756" s="217">
        <v>32</v>
      </c>
      <c r="S756" s="217">
        <v>150</v>
      </c>
      <c r="T756" s="217">
        <v>4.6875</v>
      </c>
      <c r="U756" s="217">
        <v>1</v>
      </c>
      <c r="V756" s="217">
        <v>4.6399999999999997E-2</v>
      </c>
      <c r="W756" s="217">
        <v>1.55E-2</v>
      </c>
      <c r="X756" s="217">
        <v>3.09E-2</v>
      </c>
      <c r="Y756" s="217">
        <v>0.4662</v>
      </c>
      <c r="Z756" s="217">
        <v>93.722399999999993</v>
      </c>
      <c r="AA756" s="217">
        <v>6.0673000000000004</v>
      </c>
      <c r="AB756" s="217">
        <v>182.32499999999999</v>
      </c>
      <c r="AC756" s="217">
        <v>41.3</v>
      </c>
      <c r="AD756" s="217">
        <v>-1.5800000000000002E-2</v>
      </c>
      <c r="AE756" s="217">
        <v>-3.1699999999999999E-2</v>
      </c>
      <c r="AF756" s="217">
        <v>-9.4000000000000004E-3</v>
      </c>
      <c r="AG756" s="217">
        <v>2.0400000000000001E-2</v>
      </c>
      <c r="AH756" s="217">
        <v>-3.32E-2</v>
      </c>
      <c r="AI756" s="217">
        <v>2.93E-2</v>
      </c>
      <c r="AJ756" s="217">
        <v>-7.3000000000000001E-3</v>
      </c>
      <c r="AK756" s="217">
        <v>7.649</v>
      </c>
      <c r="AL756" s="217">
        <v>-1.5563</v>
      </c>
      <c r="AM756" s="217">
        <v>2</v>
      </c>
      <c r="AN756" s="217">
        <v>11</v>
      </c>
      <c r="AO756" s="217">
        <v>0</v>
      </c>
      <c r="AP756" s="217">
        <v>0</v>
      </c>
      <c r="AQ756" s="217">
        <v>5</v>
      </c>
      <c r="AR756" s="217">
        <v>0</v>
      </c>
      <c r="AS756" s="217">
        <v>-1.1000000000000001E-3</v>
      </c>
      <c r="AT756" s="217">
        <v>-0.61639999999999995</v>
      </c>
      <c r="AU756" s="114" t="str">
        <f>IF(A756&lt;&gt;"",INDEX(Index!$B$1:$B$77,MATCH($A756,Index!$A$1:$A$77,0)),"")</f>
        <v>ARI</v>
      </c>
      <c r="AV756" s="123" t="str">
        <f>IF(B756&lt;&gt;"",INDEX(Index!$C$1:$C$77,MATCH($A756,Index!$A$1:$A$77,0)),"")</f>
        <v>Brissett</v>
      </c>
      <c r="AW756" s="123">
        <f t="shared" si="14"/>
        <v>7</v>
      </c>
      <c r="AX756" s="113">
        <v>18</v>
      </c>
    </row>
    <row r="757" spans="1:50" x14ac:dyDescent="0.25">
      <c r="A757" s="216" t="s">
        <v>573</v>
      </c>
      <c r="B757" s="149">
        <v>2025</v>
      </c>
      <c r="C757" s="149">
        <v>16</v>
      </c>
      <c r="D757" s="149">
        <v>-0.90995800000000004</v>
      </c>
      <c r="E757" s="149">
        <v>-0.475107</v>
      </c>
      <c r="F757" s="217">
        <v>-0.11515499999999999</v>
      </c>
      <c r="G757" s="217">
        <v>72.501300000000001</v>
      </c>
      <c r="H757" s="217">
        <v>0.14000000000000001</v>
      </c>
      <c r="I757" s="217">
        <v>303</v>
      </c>
      <c r="J757" s="217">
        <v>447</v>
      </c>
      <c r="K757" s="217">
        <v>0.67789999999999995</v>
      </c>
      <c r="L757" s="217">
        <v>5.1345999999999998</v>
      </c>
      <c r="M757" s="217">
        <v>3850</v>
      </c>
      <c r="N757" s="217">
        <v>8.6129999999999995</v>
      </c>
      <c r="O757" s="217">
        <v>25</v>
      </c>
      <c r="P757" s="217">
        <v>14</v>
      </c>
      <c r="Q757" s="217">
        <v>25</v>
      </c>
      <c r="R757" s="217">
        <v>18</v>
      </c>
      <c r="S757" s="217">
        <v>97</v>
      </c>
      <c r="T757" s="217">
        <v>5.3888999999999996</v>
      </c>
      <c r="U757" s="217">
        <v>0</v>
      </c>
      <c r="V757" s="217">
        <v>5.5899999999999998E-2</v>
      </c>
      <c r="W757" s="217">
        <v>3.1300000000000001E-2</v>
      </c>
      <c r="X757" s="217">
        <v>2.46E-2</v>
      </c>
      <c r="Y757" s="217">
        <v>0.52900000000000003</v>
      </c>
      <c r="Z757" s="217">
        <v>100.051</v>
      </c>
      <c r="AA757" s="217">
        <v>7.5232999999999999</v>
      </c>
      <c r="AB757" s="217">
        <v>165.22300000000001</v>
      </c>
      <c r="AC757" s="217">
        <v>58.3</v>
      </c>
      <c r="AD757" s="217">
        <v>-2.12E-2</v>
      </c>
      <c r="AE757" s="217">
        <v>-5.7000000000000002E-3</v>
      </c>
      <c r="AF757" s="217">
        <v>3.49E-2</v>
      </c>
      <c r="AG757" s="217">
        <v>-6.13E-2</v>
      </c>
      <c r="AH757" s="217">
        <v>8.0299999999999996E-2</v>
      </c>
      <c r="AI757" s="217">
        <v>4.0099999999999997E-2</v>
      </c>
      <c r="AJ757" s="217">
        <v>4.0000000000000002E-4</v>
      </c>
      <c r="AK757" s="217">
        <v>8.0939999999999994</v>
      </c>
      <c r="AL757" s="217">
        <v>-0.76729999999999998</v>
      </c>
      <c r="AM757" s="217">
        <v>13</v>
      </c>
      <c r="AN757" s="217">
        <v>3</v>
      </c>
      <c r="AO757" s="217">
        <v>0</v>
      </c>
      <c r="AP757" s="217">
        <v>2</v>
      </c>
      <c r="AQ757" s="217">
        <v>5</v>
      </c>
      <c r="AR757" s="217">
        <v>0.4</v>
      </c>
      <c r="AS757" s="217">
        <v>1.6999999999999999E-3</v>
      </c>
      <c r="AT757" s="217">
        <v>0.88819999999999999</v>
      </c>
      <c r="AU757" s="114" t="str">
        <f>IF(A757&lt;&gt;"",INDEX(Index!$B$1:$B$77,MATCH($A757,Index!$A$1:$A$77,0)),"")</f>
        <v>SEA</v>
      </c>
      <c r="AV757" s="123" t="str">
        <f>IF(B757&lt;&gt;"",INDEX(Index!$C$1:$C$77,MATCH($A757,Index!$A$1:$A$77,0)),"")</f>
        <v>Darnold</v>
      </c>
      <c r="AW757" s="123">
        <f t="shared" si="14"/>
        <v>21</v>
      </c>
      <c r="AX757" s="113">
        <v>18</v>
      </c>
    </row>
    <row r="758" spans="1:50" x14ac:dyDescent="0.25">
      <c r="A758" s="216" t="s">
        <v>577</v>
      </c>
      <c r="B758" s="149">
        <v>2025</v>
      </c>
      <c r="C758" s="149">
        <v>10</v>
      </c>
      <c r="D758" s="149">
        <v>-0.94467999999999996</v>
      </c>
      <c r="E758" s="149">
        <v>-0.397565</v>
      </c>
      <c r="F758" s="217">
        <v>5.2841800000000001E-2</v>
      </c>
      <c r="G758" s="217">
        <v>-35.343000000000004</v>
      </c>
      <c r="H758" s="217">
        <v>-7.5700000000000003E-2</v>
      </c>
      <c r="I758" s="217">
        <v>251</v>
      </c>
      <c r="J758" s="217">
        <v>412</v>
      </c>
      <c r="K758" s="217">
        <v>0.60919999999999996</v>
      </c>
      <c r="L758" s="217">
        <v>-2.8235000000000001</v>
      </c>
      <c r="M758" s="217">
        <v>2479</v>
      </c>
      <c r="N758" s="217">
        <v>6.0170000000000003</v>
      </c>
      <c r="O758" s="217">
        <v>15</v>
      </c>
      <c r="P758" s="217">
        <v>10</v>
      </c>
      <c r="Q758" s="217">
        <v>18</v>
      </c>
      <c r="R758" s="217">
        <v>11</v>
      </c>
      <c r="S758" s="217">
        <v>50</v>
      </c>
      <c r="T758" s="217">
        <v>4.5454999999999997</v>
      </c>
      <c r="U758" s="217">
        <v>1</v>
      </c>
      <c r="V758" s="217">
        <v>3.6400000000000002E-2</v>
      </c>
      <c r="W758" s="217">
        <v>2.4299999999999999E-2</v>
      </c>
      <c r="X758" s="217">
        <v>1.21E-2</v>
      </c>
      <c r="Y758" s="217">
        <v>0.42830000000000001</v>
      </c>
      <c r="Z758" s="217">
        <v>79.945400000000006</v>
      </c>
      <c r="AA758" s="217">
        <v>5.1418999999999997</v>
      </c>
      <c r="AB758" s="217">
        <v>138.00299999999999</v>
      </c>
      <c r="AC758" s="217">
        <v>40.9</v>
      </c>
      <c r="AD758" s="217">
        <v>-1.4999999999999999E-2</v>
      </c>
      <c r="AE758" s="217">
        <v>1.09E-2</v>
      </c>
      <c r="AF758" s="217">
        <v>-4.1799999999999997E-2</v>
      </c>
      <c r="AG758" s="217">
        <v>-2.6499999999999999E-2</v>
      </c>
      <c r="AH758" s="217">
        <v>-5.91E-2</v>
      </c>
      <c r="AI758" s="217">
        <v>-1.3299999999999999E-2</v>
      </c>
      <c r="AJ758" s="217">
        <v>-3.8999999999999998E-3</v>
      </c>
      <c r="AK758" s="217">
        <v>7.3981000000000003</v>
      </c>
      <c r="AL758" s="217">
        <v>-1.5607</v>
      </c>
      <c r="AM758" s="217">
        <v>4</v>
      </c>
      <c r="AN758" s="217">
        <v>8</v>
      </c>
      <c r="AO758" s="217">
        <v>0</v>
      </c>
      <c r="AP758" s="217">
        <v>2</v>
      </c>
      <c r="AQ758" s="217">
        <v>6</v>
      </c>
      <c r="AR758" s="217">
        <v>0.33329999999999999</v>
      </c>
      <c r="AS758" s="217">
        <v>-2.0999999999999999E-3</v>
      </c>
      <c r="AT758" s="217">
        <v>-0.9879</v>
      </c>
      <c r="AU758" s="114" t="str">
        <f>IF(A758&lt;&gt;"",INDEX(Index!$B$1:$B$77,MATCH($A758,Index!$A$1:$A$77,0)),"")</f>
        <v>CIN</v>
      </c>
      <c r="AV758" s="123" t="str">
        <f>IF(B758&lt;&gt;"",INDEX(Index!$C$1:$C$77,MATCH($A758,Index!$A$1:$A$77,0)),"")</f>
        <v>Flacco</v>
      </c>
      <c r="AW758" s="123">
        <f t="shared" si="14"/>
        <v>29</v>
      </c>
      <c r="AX758" s="113">
        <v>18</v>
      </c>
    </row>
    <row r="759" spans="1:50" x14ac:dyDescent="0.25">
      <c r="A759" s="216" t="s">
        <v>592</v>
      </c>
      <c r="B759" s="149">
        <v>2025</v>
      </c>
      <c r="C759" s="149">
        <v>2</v>
      </c>
      <c r="D759" s="149">
        <v>-0.989923</v>
      </c>
      <c r="E759" s="149">
        <v>0.30007600000000001</v>
      </c>
      <c r="F759" s="217">
        <v>0.66705899999999996</v>
      </c>
      <c r="G759" s="217">
        <v>16.766500000000001</v>
      </c>
      <c r="H759" s="217">
        <v>0.17469999999999999</v>
      </c>
      <c r="I759" s="217">
        <v>52</v>
      </c>
      <c r="J759" s="217">
        <v>66</v>
      </c>
      <c r="K759" s="217">
        <v>0.78790000000000004</v>
      </c>
      <c r="L759" s="217">
        <v>12.930899999999999</v>
      </c>
      <c r="M759" s="217">
        <v>426</v>
      </c>
      <c r="N759" s="217">
        <v>6.4545000000000003</v>
      </c>
      <c r="O759" s="217">
        <v>2</v>
      </c>
      <c r="P759" s="217">
        <v>0</v>
      </c>
      <c r="Q759" s="217">
        <v>8</v>
      </c>
      <c r="R759" s="217">
        <v>19</v>
      </c>
      <c r="S759" s="217">
        <v>156</v>
      </c>
      <c r="T759" s="217">
        <v>8.2104999999999997</v>
      </c>
      <c r="U759" s="217">
        <v>0</v>
      </c>
      <c r="V759" s="217">
        <v>3.0300000000000001E-2</v>
      </c>
      <c r="W759" s="217">
        <v>0</v>
      </c>
      <c r="X759" s="217">
        <v>3.0300000000000001E-2</v>
      </c>
      <c r="Y759" s="217">
        <v>0.52080000000000004</v>
      </c>
      <c r="Z759" s="217">
        <v>103.66200000000001</v>
      </c>
      <c r="AA759" s="217">
        <v>5.7838000000000003</v>
      </c>
      <c r="AB759" s="217">
        <v>227.73699999999999</v>
      </c>
      <c r="AC759" s="217">
        <v>81</v>
      </c>
      <c r="AD759" s="217">
        <v>0.11849999999999999</v>
      </c>
      <c r="AE759" s="217">
        <v>7.6E-3</v>
      </c>
      <c r="AF759" s="217">
        <v>8.1299999999999997E-2</v>
      </c>
      <c r="AG759" s="217">
        <v>7.8700000000000006E-2</v>
      </c>
      <c r="AH759" s="217">
        <v>-4.87E-2</v>
      </c>
      <c r="AI759" s="217">
        <v>-0.1148</v>
      </c>
      <c r="AJ759" s="217">
        <v>-1.8499999999999999E-2</v>
      </c>
      <c r="AK759" s="217">
        <v>6.5</v>
      </c>
      <c r="AL759" s="217">
        <v>-3.0303</v>
      </c>
      <c r="AM759" s="217">
        <v>2</v>
      </c>
      <c r="AN759" s="217">
        <v>2</v>
      </c>
      <c r="AO759" s="217">
        <v>0</v>
      </c>
      <c r="AP759" s="217">
        <v>0</v>
      </c>
      <c r="AQ759" s="217">
        <v>1</v>
      </c>
      <c r="AR759" s="217">
        <v>0</v>
      </c>
      <c r="AS759" s="217">
        <v>4.1000000000000003E-3</v>
      </c>
      <c r="AT759" s="217">
        <v>0.39250000000000002</v>
      </c>
      <c r="AU759" s="114" t="str">
        <f>IF(A759&lt;&gt;"",INDEX(Index!$B$1:$B$77,MATCH($A759,Index!$A$1:$A$77,0)),"")</f>
        <v>BAL</v>
      </c>
      <c r="AV759" s="123" t="str">
        <f>IF(B759&lt;&gt;"",INDEX(Index!$C$1:$C$77,MATCH($A759,Index!$A$1:$A$77,0)),"")</f>
        <v>Huntley</v>
      </c>
      <c r="AW759" s="123">
        <f t="shared" si="14"/>
        <v>45</v>
      </c>
      <c r="AX759" s="113">
        <v>18</v>
      </c>
    </row>
    <row r="760" spans="1:50" x14ac:dyDescent="0.25">
      <c r="A760" s="216" t="s">
        <v>594</v>
      </c>
      <c r="B760" s="149">
        <v>2025</v>
      </c>
      <c r="C760" s="149">
        <v>8</v>
      </c>
      <c r="D760" s="149">
        <v>-1.09829</v>
      </c>
      <c r="E760" s="149">
        <v>0.60227600000000003</v>
      </c>
      <c r="F760" s="217">
        <v>1.3983099999999999</v>
      </c>
      <c r="G760" s="217">
        <v>10.9666</v>
      </c>
      <c r="H760" s="217">
        <v>3.0099999999999998E-2</v>
      </c>
      <c r="I760" s="217">
        <v>198</v>
      </c>
      <c r="J760" s="217">
        <v>289</v>
      </c>
      <c r="K760" s="217">
        <v>0.68510000000000004</v>
      </c>
      <c r="L760" s="217">
        <v>2.0074000000000001</v>
      </c>
      <c r="M760" s="217">
        <v>2125</v>
      </c>
      <c r="N760" s="217">
        <v>7.3529</v>
      </c>
      <c r="O760" s="217">
        <v>9</v>
      </c>
      <c r="P760" s="217">
        <v>5</v>
      </c>
      <c r="Q760" s="217">
        <v>27</v>
      </c>
      <c r="R760" s="217">
        <v>34</v>
      </c>
      <c r="S760" s="217">
        <v>163</v>
      </c>
      <c r="T760" s="217">
        <v>4.7941000000000003</v>
      </c>
      <c r="U760" s="217">
        <v>2</v>
      </c>
      <c r="V760" s="217">
        <v>3.1099999999999999E-2</v>
      </c>
      <c r="W760" s="217">
        <v>1.7299999999999999E-2</v>
      </c>
      <c r="X760" s="217">
        <v>1.38E-2</v>
      </c>
      <c r="Y760" s="217">
        <v>0.45600000000000002</v>
      </c>
      <c r="Z760" s="217">
        <v>92.985900000000001</v>
      </c>
      <c r="AA760" s="217">
        <v>6.0506000000000002</v>
      </c>
      <c r="AB760" s="217">
        <v>164.54900000000001</v>
      </c>
      <c r="AC760" s="217">
        <v>48.3</v>
      </c>
      <c r="AD760" s="217">
        <v>-2E-3</v>
      </c>
      <c r="AE760" s="217">
        <v>-4.5199999999999997E-2</v>
      </c>
      <c r="AF760" s="217">
        <v>5.1200000000000002E-2</v>
      </c>
      <c r="AG760" s="217">
        <v>2.3199999999999998E-2</v>
      </c>
      <c r="AH760" s="217">
        <v>-6.0000000000000001E-3</v>
      </c>
      <c r="AI760" s="217">
        <v>-4.0399999999999998E-2</v>
      </c>
      <c r="AJ760" s="217">
        <v>-2.3900000000000001E-2</v>
      </c>
      <c r="AK760" s="217">
        <v>8.4014000000000006</v>
      </c>
      <c r="AL760" s="217">
        <v>-0.55020000000000002</v>
      </c>
      <c r="AM760" s="217">
        <v>5</v>
      </c>
      <c r="AN760" s="217">
        <v>5</v>
      </c>
      <c r="AO760" s="217">
        <v>0</v>
      </c>
      <c r="AP760" s="217">
        <v>2</v>
      </c>
      <c r="AQ760" s="217">
        <v>3</v>
      </c>
      <c r="AR760" s="217">
        <v>0.66669999999999996</v>
      </c>
      <c r="AS760" s="217">
        <v>4.1999999999999997E-3</v>
      </c>
      <c r="AT760" s="217">
        <v>1.5346</v>
      </c>
      <c r="AU760" s="114" t="str">
        <f>IF(A760&lt;&gt;"",INDEX(Index!$B$1:$B$77,MATCH($A760,Index!$A$1:$A$77,0)),"")</f>
        <v>NO</v>
      </c>
      <c r="AV760" s="123" t="str">
        <f>IF(B760&lt;&gt;"",INDEX(Index!$C$1:$C$77,MATCH($A760,Index!$A$1:$A$77,0)),"")</f>
        <v>Shough</v>
      </c>
      <c r="AW760" s="123">
        <f t="shared" si="14"/>
        <v>16</v>
      </c>
      <c r="AX760" s="113">
        <v>18</v>
      </c>
    </row>
    <row r="761" spans="1:50" x14ac:dyDescent="0.25">
      <c r="A761" s="216" t="s">
        <v>583</v>
      </c>
      <c r="B761" s="149">
        <v>2025</v>
      </c>
      <c r="C761" s="149">
        <v>9</v>
      </c>
      <c r="D761" s="149">
        <v>-1.1552899999999999</v>
      </c>
      <c r="E761" s="149">
        <v>-0.33505600000000002</v>
      </c>
      <c r="F761" s="217">
        <v>0.111455</v>
      </c>
      <c r="G761" s="217">
        <v>11.5778</v>
      </c>
      <c r="H761" s="217">
        <v>3.8100000000000002E-2</v>
      </c>
      <c r="I761" s="217">
        <v>139</v>
      </c>
      <c r="J761" s="217">
        <v>225</v>
      </c>
      <c r="K761" s="217">
        <v>0.61780000000000002</v>
      </c>
      <c r="L761" s="217">
        <v>3.1970999999999998</v>
      </c>
      <c r="M761" s="217">
        <v>1695</v>
      </c>
      <c r="N761" s="217">
        <v>7.5332999999999997</v>
      </c>
      <c r="O761" s="217">
        <v>10</v>
      </c>
      <c r="P761" s="217">
        <v>7</v>
      </c>
      <c r="Q761" s="217">
        <v>16</v>
      </c>
      <c r="R761" s="217">
        <v>44</v>
      </c>
      <c r="S761" s="217">
        <v>303</v>
      </c>
      <c r="T761" s="217">
        <v>6.8864000000000001</v>
      </c>
      <c r="U761" s="217">
        <v>1</v>
      </c>
      <c r="V761" s="217">
        <v>4.4400000000000002E-2</v>
      </c>
      <c r="W761" s="217">
        <v>3.1099999999999999E-2</v>
      </c>
      <c r="X761" s="217">
        <v>1.3299999999999999E-2</v>
      </c>
      <c r="Y761" s="217">
        <v>0.48680000000000001</v>
      </c>
      <c r="Z761" s="217">
        <v>86.805599999999998</v>
      </c>
      <c r="AA761" s="217">
        <v>6.1120000000000001</v>
      </c>
      <c r="AB761" s="217">
        <v>152.57900000000001</v>
      </c>
      <c r="AC761" s="217">
        <v>49.8</v>
      </c>
      <c r="AD761" s="217">
        <v>-8.6E-3</v>
      </c>
      <c r="AE761" s="217">
        <v>3.0999999999999999E-3</v>
      </c>
      <c r="AF761" s="217">
        <v>-2.0199999999999999E-2</v>
      </c>
      <c r="AG761" s="217">
        <v>-4.3099999999999999E-2</v>
      </c>
      <c r="AH761" s="217">
        <v>0.1193</v>
      </c>
      <c r="AI761" s="217">
        <v>-8.2500000000000004E-2</v>
      </c>
      <c r="AJ761" s="217">
        <v>-3.0000000000000001E-3</v>
      </c>
      <c r="AK761" s="217">
        <v>10.195600000000001</v>
      </c>
      <c r="AL761" s="217">
        <v>1.1867000000000001</v>
      </c>
      <c r="AM761" s="217">
        <v>2</v>
      </c>
      <c r="AN761" s="217">
        <v>8</v>
      </c>
      <c r="AO761" s="217">
        <v>0</v>
      </c>
      <c r="AP761" s="217">
        <v>0</v>
      </c>
      <c r="AQ761" s="217">
        <v>1</v>
      </c>
      <c r="AR761" s="217">
        <v>0</v>
      </c>
      <c r="AS761" s="217">
        <v>8.9999999999999998E-4</v>
      </c>
      <c r="AT761" s="217">
        <v>0.2651</v>
      </c>
      <c r="AU761" s="114" t="str">
        <f>IF(A761&lt;&gt;"",INDEX(Index!$B$1:$B$77,MATCH($A761,Index!$A$1:$A$77,0)),"")</f>
        <v>WAS</v>
      </c>
      <c r="AV761" s="123" t="str">
        <f>IF(B761&lt;&gt;"",INDEX(Index!$C$1:$C$77,MATCH($A761,Index!$A$1:$A$77,0)),"")</f>
        <v>Mariota</v>
      </c>
      <c r="AW761" s="123">
        <f t="shared" si="14"/>
        <v>35</v>
      </c>
      <c r="AX761" s="113">
        <v>18</v>
      </c>
    </row>
    <row r="762" spans="1:50" x14ac:dyDescent="0.25">
      <c r="A762" s="216" t="s">
        <v>569</v>
      </c>
      <c r="B762" s="149">
        <v>2025</v>
      </c>
      <c r="C762" s="149">
        <v>9</v>
      </c>
      <c r="D762" s="149">
        <v>-1.17744</v>
      </c>
      <c r="E762" s="149">
        <v>0.21746399999999999</v>
      </c>
      <c r="F762" s="217">
        <v>-1.01745</v>
      </c>
      <c r="G762" s="217">
        <v>-10.984999999999999</v>
      </c>
      <c r="H762" s="217">
        <v>-3.5999999999999997E-2</v>
      </c>
      <c r="I762" s="217">
        <v>128</v>
      </c>
      <c r="J762" s="217">
        <v>202</v>
      </c>
      <c r="K762" s="217">
        <v>0.63370000000000004</v>
      </c>
      <c r="L762" s="217">
        <v>-1.8688</v>
      </c>
      <c r="M762" s="217">
        <v>1242</v>
      </c>
      <c r="N762" s="217">
        <v>6.1485000000000003</v>
      </c>
      <c r="O762" s="217">
        <v>7</v>
      </c>
      <c r="P762" s="217">
        <v>1</v>
      </c>
      <c r="Q762" s="217">
        <v>27</v>
      </c>
      <c r="R762" s="217">
        <v>65</v>
      </c>
      <c r="S762" s="217">
        <v>387</v>
      </c>
      <c r="T762" s="217">
        <v>5.9538000000000002</v>
      </c>
      <c r="U762" s="217">
        <v>4</v>
      </c>
      <c r="V762" s="217">
        <v>3.4700000000000002E-2</v>
      </c>
      <c r="W762" s="217">
        <v>5.0000000000000001E-3</v>
      </c>
      <c r="X762" s="217">
        <v>2.9700000000000001E-2</v>
      </c>
      <c r="Y762" s="217">
        <v>0.44919999999999999</v>
      </c>
      <c r="Z762" s="217">
        <v>89.995900000000006</v>
      </c>
      <c r="AA762" s="217">
        <v>5</v>
      </c>
      <c r="AB762" s="217">
        <v>128.06</v>
      </c>
      <c r="AC762" s="217">
        <v>38.1</v>
      </c>
      <c r="AD762" s="217">
        <v>1.9099999999999999E-2</v>
      </c>
      <c r="AE762" s="217">
        <v>-3.32E-2</v>
      </c>
      <c r="AF762" s="217">
        <v>3.1800000000000002E-2</v>
      </c>
      <c r="AG762" s="217">
        <v>6.0999999999999999E-2</v>
      </c>
      <c r="AH762" s="217">
        <v>-4.8599999999999997E-2</v>
      </c>
      <c r="AI762" s="217">
        <v>-0.1096</v>
      </c>
      <c r="AJ762" s="217">
        <v>-2.9600000000000001E-2</v>
      </c>
      <c r="AK762" s="217">
        <v>6.8266999999999998</v>
      </c>
      <c r="AL762" s="217">
        <v>-2.1484999999999999</v>
      </c>
      <c r="AM762" s="217">
        <v>2</v>
      </c>
      <c r="AN762" s="217">
        <v>7</v>
      </c>
      <c r="AO762" s="217">
        <v>0</v>
      </c>
      <c r="AP762" s="217">
        <v>1</v>
      </c>
      <c r="AQ762" s="217">
        <v>4</v>
      </c>
      <c r="AR762" s="217">
        <v>0.25</v>
      </c>
      <c r="AS762" s="217">
        <v>-4.0000000000000001E-3</v>
      </c>
      <c r="AT762" s="217">
        <v>-1.2298</v>
      </c>
      <c r="AU762" s="114" t="str">
        <f>IF(A762&lt;&gt;"",INDEX(Index!$B$1:$B$77,MATCH($A762,Index!$A$1:$A$77,0)),"")</f>
        <v>NYJ</v>
      </c>
      <c r="AV762" s="123" t="str">
        <f>IF(B762&lt;&gt;"",INDEX(Index!$C$1:$C$77,MATCH($A762,Index!$A$1:$A$77,0)),"")</f>
        <v>Fields</v>
      </c>
      <c r="AW762" s="123">
        <f t="shared" si="14"/>
        <v>16</v>
      </c>
      <c r="AX762" s="113">
        <v>18</v>
      </c>
    </row>
    <row r="763" spans="1:50" x14ac:dyDescent="0.25">
      <c r="A763" s="216" t="s">
        <v>605</v>
      </c>
      <c r="B763" s="149">
        <v>2025</v>
      </c>
      <c r="C763" s="149">
        <v>1</v>
      </c>
      <c r="D763" s="149">
        <v>-1.2985599999999999</v>
      </c>
      <c r="E763" s="149">
        <v>1.18608</v>
      </c>
      <c r="F763" s="217">
        <v>1.18608</v>
      </c>
      <c r="G763" s="217">
        <v>41.048099999999998</v>
      </c>
      <c r="H763" s="217">
        <v>0.73299999999999998</v>
      </c>
      <c r="I763" s="217">
        <v>30</v>
      </c>
      <c r="J763" s="217">
        <v>35</v>
      </c>
      <c r="K763" s="217">
        <v>0.85709999999999997</v>
      </c>
      <c r="L763" s="217">
        <v>21.9849</v>
      </c>
      <c r="M763" s="217">
        <v>422</v>
      </c>
      <c r="N763" s="217">
        <v>12.0571</v>
      </c>
      <c r="O763" s="217">
        <v>3</v>
      </c>
      <c r="P763" s="217">
        <v>0</v>
      </c>
      <c r="Q763" s="217">
        <v>3</v>
      </c>
      <c r="R763" s="217">
        <v>16</v>
      </c>
      <c r="S763" s="217">
        <v>127</v>
      </c>
      <c r="T763" s="217">
        <v>7.9375</v>
      </c>
      <c r="U763" s="217">
        <v>2</v>
      </c>
      <c r="V763" s="217">
        <v>8.5699999999999998E-2</v>
      </c>
      <c r="W763" s="217">
        <v>0</v>
      </c>
      <c r="X763" s="217">
        <v>8.5699999999999998E-2</v>
      </c>
      <c r="Y763" s="217">
        <v>0.69640000000000002</v>
      </c>
      <c r="Z763" s="217">
        <v>145.476</v>
      </c>
      <c r="AA763" s="217">
        <v>12.2895</v>
      </c>
      <c r="AB763" s="217">
        <v>466.24</v>
      </c>
      <c r="AC763" s="217">
        <v>93.5</v>
      </c>
      <c r="AD763" s="217">
        <v>0.1915</v>
      </c>
      <c r="AE763" s="217">
        <v>4.3099999999999999E-2</v>
      </c>
      <c r="AF763" s="217">
        <v>0.1709</v>
      </c>
      <c r="AG763" s="217">
        <v>7.8700000000000006E-2</v>
      </c>
      <c r="AH763" s="217">
        <v>0.25580000000000003</v>
      </c>
      <c r="AI763" s="217">
        <v>-6.7000000000000004E-2</v>
      </c>
      <c r="AJ763" s="217">
        <v>-1.29E-2</v>
      </c>
      <c r="AK763" s="217">
        <v>10.1143</v>
      </c>
      <c r="AL763" s="217">
        <v>1.6286</v>
      </c>
      <c r="AM763" s="217">
        <v>2</v>
      </c>
      <c r="AN763" s="217">
        <v>2</v>
      </c>
      <c r="AO763" s="217">
        <v>0</v>
      </c>
      <c r="AP763" s="217">
        <v>0</v>
      </c>
      <c r="AQ763" s="217">
        <v>0</v>
      </c>
      <c r="AR763" s="217"/>
      <c r="AS763" s="217">
        <v>2.07E-2</v>
      </c>
      <c r="AT763" s="217">
        <v>1.1594</v>
      </c>
      <c r="AU763" s="114" t="str">
        <f>IF(A763&lt;&gt;"",INDEX(Index!$B$1:$B$77,MATCH($A763,Index!$A$1:$A$77,0)),"")</f>
        <v>GB</v>
      </c>
      <c r="AV763" s="123" t="str">
        <f>IF(B763&lt;&gt;"",INDEX(Index!$C$1:$C$77,MATCH($A763,Index!$A$1:$A$77,0)),"")</f>
        <v>Willis</v>
      </c>
      <c r="AW763" s="123">
        <f t="shared" si="14"/>
        <v>53</v>
      </c>
      <c r="AX763" s="113">
        <v>18</v>
      </c>
    </row>
    <row r="764" spans="1:50" x14ac:dyDescent="0.25">
      <c r="A764" s="216" t="s">
        <v>595</v>
      </c>
      <c r="B764" s="149">
        <v>2025</v>
      </c>
      <c r="C764" s="149">
        <v>3</v>
      </c>
      <c r="D764" s="149">
        <v>-1.36273</v>
      </c>
      <c r="E764" s="149">
        <v>0.156083</v>
      </c>
      <c r="F764" s="217">
        <v>0.53834000000000004</v>
      </c>
      <c r="G764" s="217">
        <v>-5.3174000000000001</v>
      </c>
      <c r="H764" s="217">
        <v>-3.0700000000000002E-2</v>
      </c>
      <c r="I764" s="217">
        <v>88</v>
      </c>
      <c r="J764" s="217">
        <v>150</v>
      </c>
      <c r="K764" s="217">
        <v>0.5867</v>
      </c>
      <c r="L764" s="217">
        <v>-5.2324999999999999</v>
      </c>
      <c r="M764" s="217">
        <v>879</v>
      </c>
      <c r="N764" s="217">
        <v>5.86</v>
      </c>
      <c r="O764" s="217">
        <v>5</v>
      </c>
      <c r="P764" s="217">
        <v>1</v>
      </c>
      <c r="Q764" s="217">
        <v>8</v>
      </c>
      <c r="R764" s="217">
        <v>8</v>
      </c>
      <c r="S764" s="217">
        <v>51</v>
      </c>
      <c r="T764" s="217">
        <v>6.375</v>
      </c>
      <c r="U764" s="217">
        <v>1</v>
      </c>
      <c r="V764" s="217">
        <v>3.3300000000000003E-2</v>
      </c>
      <c r="W764" s="217">
        <v>6.7000000000000002E-3</v>
      </c>
      <c r="X764" s="217">
        <v>2.6700000000000002E-2</v>
      </c>
      <c r="Y764" s="217">
        <v>0.41620000000000001</v>
      </c>
      <c r="Z764" s="217">
        <v>83.722200000000001</v>
      </c>
      <c r="AA764" s="217">
        <v>5.5316000000000001</v>
      </c>
      <c r="AB764" s="217">
        <v>178.798</v>
      </c>
      <c r="AC764" s="217"/>
      <c r="AD764" s="217">
        <v>-9.1000000000000004E-3</v>
      </c>
      <c r="AE764" s="217">
        <v>1.46E-2</v>
      </c>
      <c r="AF764" s="217">
        <v>-6.6500000000000004E-2</v>
      </c>
      <c r="AG764" s="217">
        <v>4.6699999999999998E-2</v>
      </c>
      <c r="AH764" s="217">
        <v>0.10639999999999999</v>
      </c>
      <c r="AI764" s="217">
        <v>-0.18379999999999999</v>
      </c>
      <c r="AJ764" s="217">
        <v>-1.21E-2</v>
      </c>
      <c r="AK764" s="217">
        <v>8.7066999999999997</v>
      </c>
      <c r="AL764" s="217">
        <v>-0.16669999999999999</v>
      </c>
      <c r="AM764" s="217">
        <v>4</v>
      </c>
      <c r="AN764" s="217">
        <v>1</v>
      </c>
      <c r="AO764" s="217">
        <v>0</v>
      </c>
      <c r="AP764" s="217">
        <v>1</v>
      </c>
      <c r="AQ764" s="217">
        <v>1</v>
      </c>
      <c r="AR764" s="217">
        <v>1</v>
      </c>
      <c r="AS764" s="217">
        <v>8.0000000000000004E-4</v>
      </c>
      <c r="AT764" s="217">
        <v>0.1444</v>
      </c>
      <c r="AU764" s="114" t="str">
        <f>IF(A764&lt;&gt;"",INDEX(Index!$B$1:$B$77,MATCH($A764,Index!$A$1:$A$77,0)),"")</f>
        <v>HOU</v>
      </c>
      <c r="AV764" s="123" t="str">
        <f>IF(B764&lt;&gt;"",INDEX(Index!$C$1:$C$77,MATCH($A764,Index!$A$1:$A$77,0)),"")</f>
        <v>Mills</v>
      </c>
      <c r="AW764" s="123">
        <f t="shared" si="14"/>
        <v>45</v>
      </c>
      <c r="AX764" s="113">
        <v>18</v>
      </c>
    </row>
    <row r="765" spans="1:50" x14ac:dyDescent="0.25">
      <c r="A765" s="216" t="s">
        <v>597</v>
      </c>
      <c r="B765" s="149">
        <v>2025</v>
      </c>
      <c r="C765" s="149">
        <v>1</v>
      </c>
      <c r="D765" s="149">
        <v>-1.37293</v>
      </c>
      <c r="E765" s="149">
        <v>-9.4016100000000005E-2</v>
      </c>
      <c r="F765" s="217">
        <v>-9.4016100000000005E-2</v>
      </c>
      <c r="G765" s="217">
        <v>6.1036999999999999</v>
      </c>
      <c r="H765" s="217">
        <v>0.10009999999999999</v>
      </c>
      <c r="I765" s="217">
        <v>38</v>
      </c>
      <c r="J765" s="217">
        <v>52</v>
      </c>
      <c r="K765" s="217">
        <v>0.73080000000000001</v>
      </c>
      <c r="L765" s="217">
        <v>5.7622999999999998</v>
      </c>
      <c r="M765" s="217">
        <v>310</v>
      </c>
      <c r="N765" s="217">
        <v>5.9615</v>
      </c>
      <c r="O765" s="217">
        <v>2</v>
      </c>
      <c r="P765" s="217">
        <v>2</v>
      </c>
      <c r="Q765" s="217">
        <v>2</v>
      </c>
      <c r="R765" s="217">
        <v>3</v>
      </c>
      <c r="S765" s="217">
        <v>7</v>
      </c>
      <c r="T765" s="217">
        <v>2.3332999999999999</v>
      </c>
      <c r="U765" s="217">
        <v>0</v>
      </c>
      <c r="V765" s="217">
        <v>3.85E-2</v>
      </c>
      <c r="W765" s="217">
        <v>3.85E-2</v>
      </c>
      <c r="X765" s="217">
        <v>0</v>
      </c>
      <c r="Y765" s="217">
        <v>0.52459999999999996</v>
      </c>
      <c r="Z765" s="217">
        <v>84.615399999999994</v>
      </c>
      <c r="AA765" s="217">
        <v>4.5926</v>
      </c>
      <c r="AB765" s="217">
        <v>110.53400000000001</v>
      </c>
      <c r="AC765" s="217"/>
      <c r="AD765" s="217">
        <v>-8.6E-3</v>
      </c>
      <c r="AE765" s="217">
        <v>-3.2000000000000002E-3</v>
      </c>
      <c r="AF765" s="217">
        <v>0.1328</v>
      </c>
      <c r="AG765" s="217">
        <v>-5.5E-2</v>
      </c>
      <c r="AH765" s="217">
        <v>-0.36459999999999998</v>
      </c>
      <c r="AI765" s="217">
        <v>0.311</v>
      </c>
      <c r="AJ765" s="217">
        <v>1.47E-2</v>
      </c>
      <c r="AK765" s="217">
        <v>5.2308000000000003</v>
      </c>
      <c r="AL765" s="217">
        <v>-2.9037999999999999</v>
      </c>
      <c r="AM765" s="217">
        <v>1</v>
      </c>
      <c r="AN765" s="217">
        <v>3</v>
      </c>
      <c r="AO765" s="217">
        <v>0</v>
      </c>
      <c r="AP765" s="217">
        <v>0</v>
      </c>
      <c r="AQ765" s="217">
        <v>1</v>
      </c>
      <c r="AR765" s="217">
        <v>0</v>
      </c>
      <c r="AS765" s="217">
        <v>-3.8E-3</v>
      </c>
      <c r="AT765" s="217">
        <v>-0.2298</v>
      </c>
      <c r="AU765" s="114" t="str">
        <f>IF(A765&lt;&gt;"",INDEX(Index!$B$1:$B$77,MATCH($A765,Index!$A$1:$A$77,0)),"")</f>
        <v>PIT</v>
      </c>
      <c r="AV765" s="123" t="str">
        <f>IF(B765&lt;&gt;"",INDEX(Index!$C$1:$C$77,MATCH($A765,Index!$A$1:$A$77,0)),"")</f>
        <v>Rudolph</v>
      </c>
      <c r="AW765" s="123">
        <f t="shared" si="14"/>
        <v>55</v>
      </c>
      <c r="AX765" s="113">
        <v>18</v>
      </c>
    </row>
    <row r="766" spans="1:50" x14ac:dyDescent="0.25">
      <c r="A766" s="216" t="s">
        <v>576</v>
      </c>
      <c r="B766" s="149">
        <v>2025</v>
      </c>
      <c r="C766" s="149">
        <v>15</v>
      </c>
      <c r="D766" s="149">
        <v>-1.39452</v>
      </c>
      <c r="E766" s="149">
        <v>-0.39852700000000002</v>
      </c>
      <c r="F766" s="217">
        <v>-0.238983</v>
      </c>
      <c r="G766" s="217">
        <v>8.0113000000000003</v>
      </c>
      <c r="H766" s="217">
        <v>1.49E-2</v>
      </c>
      <c r="I766" s="217">
        <v>280</v>
      </c>
      <c r="J766" s="217">
        <v>442</v>
      </c>
      <c r="K766" s="217">
        <v>0.63349999999999995</v>
      </c>
      <c r="L766" s="217">
        <v>0.25559999999999999</v>
      </c>
      <c r="M766" s="217">
        <v>2745</v>
      </c>
      <c r="N766" s="217">
        <v>6.2103999999999999</v>
      </c>
      <c r="O766" s="217">
        <v>21</v>
      </c>
      <c r="P766" s="217">
        <v>10</v>
      </c>
      <c r="Q766" s="217">
        <v>27</v>
      </c>
      <c r="R766" s="217">
        <v>37</v>
      </c>
      <c r="S766" s="217">
        <v>234</v>
      </c>
      <c r="T766" s="217">
        <v>6.3243</v>
      </c>
      <c r="U766" s="217">
        <v>2</v>
      </c>
      <c r="V766" s="217">
        <v>4.7500000000000001E-2</v>
      </c>
      <c r="W766" s="217">
        <v>2.2599999999999999E-2</v>
      </c>
      <c r="X766" s="217">
        <v>2.4899999999999999E-2</v>
      </c>
      <c r="Y766" s="217">
        <v>0.45069999999999999</v>
      </c>
      <c r="Z766" s="217">
        <v>87.160600000000002</v>
      </c>
      <c r="AA766" s="217">
        <v>5.3582000000000001</v>
      </c>
      <c r="AB766" s="217">
        <v>128.18899999999999</v>
      </c>
      <c r="AC766" s="217">
        <v>48</v>
      </c>
      <c r="AD766" s="217">
        <v>-1.1000000000000001E-3</v>
      </c>
      <c r="AE766" s="217">
        <v>-2.5000000000000001E-3</v>
      </c>
      <c r="AF766" s="217">
        <v>-1.49E-2</v>
      </c>
      <c r="AG766" s="217">
        <v>-1.23E-2</v>
      </c>
      <c r="AH766" s="217">
        <v>-4.53E-2</v>
      </c>
      <c r="AI766" s="217">
        <v>4.1000000000000003E-3</v>
      </c>
      <c r="AJ766" s="217">
        <v>1.4E-2</v>
      </c>
      <c r="AK766" s="217">
        <v>6.4480000000000004</v>
      </c>
      <c r="AL766" s="217">
        <v>-2.0045000000000002</v>
      </c>
      <c r="AM766" s="217">
        <v>8</v>
      </c>
      <c r="AN766" s="217">
        <v>7</v>
      </c>
      <c r="AO766" s="217">
        <v>0</v>
      </c>
      <c r="AP766" s="217">
        <v>4</v>
      </c>
      <c r="AQ766" s="217">
        <v>7</v>
      </c>
      <c r="AR766" s="217">
        <v>0.57140000000000002</v>
      </c>
      <c r="AS766" s="217">
        <v>1.6999999999999999E-3</v>
      </c>
      <c r="AT766" s="217">
        <v>0.92300000000000004</v>
      </c>
      <c r="AU766" s="114" t="str">
        <f>IF(A766&lt;&gt;"",INDEX(Index!$B$1:$B$77,MATCH($A766,Index!$A$1:$A$77,0)),"")</f>
        <v>CAR</v>
      </c>
      <c r="AV766" s="123" t="str">
        <f>IF(B766&lt;&gt;"",INDEX(Index!$C$1:$C$77,MATCH($A766,Index!$A$1:$A$77,0)),"")</f>
        <v>Young</v>
      </c>
      <c r="AW766" s="123">
        <f t="shared" si="14"/>
        <v>16</v>
      </c>
      <c r="AX766" s="113">
        <v>18</v>
      </c>
    </row>
    <row r="767" spans="1:50" x14ac:dyDescent="0.25">
      <c r="A767" s="216" t="s">
        <v>565</v>
      </c>
      <c r="B767" s="149">
        <v>2025</v>
      </c>
      <c r="C767" s="149">
        <v>14</v>
      </c>
      <c r="D767" s="149">
        <v>-1.40096</v>
      </c>
      <c r="E767" s="149">
        <v>0.22736999999999999</v>
      </c>
      <c r="F767" s="217">
        <v>-2.8891</v>
      </c>
      <c r="G767" s="217">
        <v>3.1613000000000002</v>
      </c>
      <c r="H767" s="217">
        <v>7.1000000000000004E-3</v>
      </c>
      <c r="I767" s="217">
        <v>260</v>
      </c>
      <c r="J767" s="217">
        <v>382</v>
      </c>
      <c r="K767" s="217">
        <v>0.68059999999999998</v>
      </c>
      <c r="L767" s="217">
        <v>2.0203000000000002</v>
      </c>
      <c r="M767" s="217">
        <v>2660</v>
      </c>
      <c r="N767" s="217">
        <v>6.9634</v>
      </c>
      <c r="O767" s="217">
        <v>20</v>
      </c>
      <c r="P767" s="217">
        <v>15</v>
      </c>
      <c r="Q767" s="217">
        <v>30</v>
      </c>
      <c r="R767" s="217">
        <v>11</v>
      </c>
      <c r="S767" s="217">
        <v>44</v>
      </c>
      <c r="T767" s="217">
        <v>4</v>
      </c>
      <c r="U767" s="217">
        <v>0</v>
      </c>
      <c r="V767" s="217">
        <v>5.2400000000000002E-2</v>
      </c>
      <c r="W767" s="217">
        <v>3.9300000000000002E-2</v>
      </c>
      <c r="X767" s="217">
        <v>1.3100000000000001E-2</v>
      </c>
      <c r="Y767" s="217">
        <v>0.44490000000000002</v>
      </c>
      <c r="Z767" s="217">
        <v>88.9071</v>
      </c>
      <c r="AA767" s="217">
        <v>5.3155000000000001</v>
      </c>
      <c r="AB767" s="217">
        <v>109.31100000000001</v>
      </c>
      <c r="AC767" s="217">
        <v>37.299999999999997</v>
      </c>
      <c r="AD767" s="217">
        <v>-3.3099999999999997E-2</v>
      </c>
      <c r="AE767" s="217">
        <v>-3.5000000000000001E-3</v>
      </c>
      <c r="AF767" s="217">
        <v>1.9E-2</v>
      </c>
      <c r="AG767" s="217">
        <v>-3.6299999999999999E-2</v>
      </c>
      <c r="AH767" s="217">
        <v>-2.06E-2</v>
      </c>
      <c r="AI767" s="217">
        <v>4.1000000000000002E-2</v>
      </c>
      <c r="AJ767" s="217">
        <v>-3.2599999999999997E-2</v>
      </c>
      <c r="AK767" s="217">
        <v>6.8403</v>
      </c>
      <c r="AL767" s="217">
        <v>-1.911</v>
      </c>
      <c r="AM767" s="217">
        <v>6</v>
      </c>
      <c r="AN767" s="217">
        <v>8</v>
      </c>
      <c r="AO767" s="217">
        <v>0</v>
      </c>
      <c r="AP767" s="217">
        <v>1</v>
      </c>
      <c r="AQ767" s="217">
        <v>5</v>
      </c>
      <c r="AR767" s="217">
        <v>0.2</v>
      </c>
      <c r="AS767" s="217">
        <v>-2.0000000000000001E-4</v>
      </c>
      <c r="AT767" s="217">
        <v>-9.4700000000000006E-2</v>
      </c>
      <c r="AU767" s="114" t="str">
        <f>IF(A767&lt;&gt;"",INDEX(Index!$B$1:$B$77,MATCH($A767,Index!$A$1:$A$77,0)),"")</f>
        <v>MIA</v>
      </c>
      <c r="AV767" s="123" t="str">
        <f>IF(B767&lt;&gt;"",INDEX(Index!$C$1:$C$77,MATCH($A767,Index!$A$1:$A$77,0)),"")</f>
        <v>Tagovailoa</v>
      </c>
      <c r="AW767" s="123">
        <f t="shared" si="14"/>
        <v>15</v>
      </c>
      <c r="AX767" s="113">
        <v>18</v>
      </c>
    </row>
    <row r="768" spans="1:50" x14ac:dyDescent="0.25">
      <c r="A768" s="216" t="s">
        <v>578</v>
      </c>
      <c r="B768" s="149">
        <v>2025</v>
      </c>
      <c r="C768" s="149">
        <v>9</v>
      </c>
      <c r="D768" s="149">
        <v>-1.44156</v>
      </c>
      <c r="E768" s="149">
        <v>0.10895100000000001</v>
      </c>
      <c r="F768" s="217">
        <v>0.26578200000000002</v>
      </c>
      <c r="G768" s="217">
        <v>19.752199999999998</v>
      </c>
      <c r="H768" s="217">
        <v>6.1199999999999997E-2</v>
      </c>
      <c r="I768" s="217">
        <v>166</v>
      </c>
      <c r="J768" s="217">
        <v>276</v>
      </c>
      <c r="K768" s="217">
        <v>0.60140000000000005</v>
      </c>
      <c r="L768" s="217">
        <v>-3.6196999999999999</v>
      </c>
      <c r="M768" s="217">
        <v>1982</v>
      </c>
      <c r="N768" s="217">
        <v>7.1811999999999996</v>
      </c>
      <c r="O768" s="217">
        <v>9</v>
      </c>
      <c r="P768" s="217">
        <v>3</v>
      </c>
      <c r="Q768" s="217">
        <v>13</v>
      </c>
      <c r="R768" s="217">
        <v>13</v>
      </c>
      <c r="S768" s="217">
        <v>77</v>
      </c>
      <c r="T768" s="217">
        <v>5.9230999999999998</v>
      </c>
      <c r="U768" s="217">
        <v>1</v>
      </c>
      <c r="V768" s="217">
        <v>3.2599999999999997E-2</v>
      </c>
      <c r="W768" s="217">
        <v>1.09E-2</v>
      </c>
      <c r="X768" s="217">
        <v>2.1700000000000001E-2</v>
      </c>
      <c r="Y768" s="217">
        <v>0.4768</v>
      </c>
      <c r="Z768" s="217">
        <v>88.466200000000001</v>
      </c>
      <c r="AA768" s="217">
        <v>6.6643999999999997</v>
      </c>
      <c r="AB768" s="217">
        <v>138.63399999999999</v>
      </c>
      <c r="AC768" s="217">
        <v>56.9</v>
      </c>
      <c r="AD768" s="217">
        <v>5.3E-3</v>
      </c>
      <c r="AE768" s="217">
        <v>1.47E-2</v>
      </c>
      <c r="AF768" s="217">
        <v>-7.1199999999999999E-2</v>
      </c>
      <c r="AG768" s="217">
        <v>2.07E-2</v>
      </c>
      <c r="AH768" s="217">
        <v>6.6500000000000004E-2</v>
      </c>
      <c r="AI768" s="217">
        <v>-5.7599999999999998E-2</v>
      </c>
      <c r="AJ768" s="217">
        <v>9.2999999999999992E-3</v>
      </c>
      <c r="AK768" s="217">
        <v>8.3332999999999995</v>
      </c>
      <c r="AL768" s="217">
        <v>-0.52900000000000003</v>
      </c>
      <c r="AM768" s="217">
        <v>3</v>
      </c>
      <c r="AN768" s="217">
        <v>6</v>
      </c>
      <c r="AO768" s="217">
        <v>0</v>
      </c>
      <c r="AP768" s="217">
        <v>0</v>
      </c>
      <c r="AQ768" s="217">
        <v>4</v>
      </c>
      <c r="AR768" s="217">
        <v>0</v>
      </c>
      <c r="AS768" s="217">
        <v>3.5000000000000001E-3</v>
      </c>
      <c r="AT768" s="217">
        <v>1.1247</v>
      </c>
      <c r="AU768" s="114" t="str">
        <f>IF(A768&lt;&gt;"",INDEX(Index!$B$1:$B$77,MATCH($A768,Index!$A$1:$A$77,0)),"")</f>
        <v>ATL</v>
      </c>
      <c r="AV768" s="123" t="str">
        <f>IF(B768&lt;&gt;"",INDEX(Index!$C$1:$C$77,MATCH($A768,Index!$A$1:$A$77,0)),"")</f>
        <v>Penix</v>
      </c>
      <c r="AW768" s="123">
        <f t="shared" si="14"/>
        <v>40</v>
      </c>
      <c r="AX768" s="113">
        <v>18</v>
      </c>
    </row>
    <row r="769" spans="1:50" x14ac:dyDescent="0.25">
      <c r="A769" s="216" t="s">
        <v>585</v>
      </c>
      <c r="B769" s="149">
        <v>2025</v>
      </c>
      <c r="C769" s="149">
        <v>3</v>
      </c>
      <c r="D769" s="149">
        <v>-1.76623</v>
      </c>
      <c r="E769" s="149">
        <v>0.13401099999999999</v>
      </c>
      <c r="F769" s="217">
        <v>-0.76969699999999996</v>
      </c>
      <c r="G769" s="217">
        <v>-35.722200000000001</v>
      </c>
      <c r="H769" s="217">
        <v>-0.23200000000000001</v>
      </c>
      <c r="I769" s="217">
        <v>81</v>
      </c>
      <c r="J769" s="217">
        <v>125</v>
      </c>
      <c r="K769" s="217">
        <v>0.64800000000000002</v>
      </c>
      <c r="L769" s="217">
        <v>0.37569999999999998</v>
      </c>
      <c r="M769" s="217">
        <v>771</v>
      </c>
      <c r="N769" s="217">
        <v>6.1680000000000001</v>
      </c>
      <c r="O769" s="217">
        <v>6</v>
      </c>
      <c r="P769" s="217">
        <v>8</v>
      </c>
      <c r="Q769" s="217">
        <v>9</v>
      </c>
      <c r="R769" s="217">
        <v>8</v>
      </c>
      <c r="S769" s="217">
        <v>40</v>
      </c>
      <c r="T769" s="217">
        <v>5</v>
      </c>
      <c r="U769" s="217">
        <v>1</v>
      </c>
      <c r="V769" s="217">
        <v>4.8000000000000001E-2</v>
      </c>
      <c r="W769" s="217">
        <v>6.4000000000000001E-2</v>
      </c>
      <c r="X769" s="217">
        <v>-1.6E-2</v>
      </c>
      <c r="Y769" s="217">
        <v>0.43509999999999999</v>
      </c>
      <c r="Z769" s="217">
        <v>71.116699999999994</v>
      </c>
      <c r="AA769" s="217">
        <v>3.5148999999999999</v>
      </c>
      <c r="AB769" s="217">
        <v>58.973999999999997</v>
      </c>
      <c r="AC769" s="217"/>
      <c r="AD769" s="217">
        <v>1.35E-2</v>
      </c>
      <c r="AE769" s="217">
        <v>8.0999999999999996E-3</v>
      </c>
      <c r="AF769" s="217">
        <v>2.8000000000000001E-2</v>
      </c>
      <c r="AG769" s="217">
        <v>-0.17480000000000001</v>
      </c>
      <c r="AH769" s="217">
        <v>-8.5599999999999996E-2</v>
      </c>
      <c r="AI769" s="217">
        <v>-0.13930000000000001</v>
      </c>
      <c r="AJ769" s="217">
        <v>4.4999999999999998E-2</v>
      </c>
      <c r="AK769" s="217">
        <v>7.6719999999999997</v>
      </c>
      <c r="AL769" s="217">
        <v>-1.528</v>
      </c>
      <c r="AM769" s="217">
        <v>1</v>
      </c>
      <c r="AN769" s="217">
        <v>4</v>
      </c>
      <c r="AO769" s="217">
        <v>0</v>
      </c>
      <c r="AP769" s="217">
        <v>1</v>
      </c>
      <c r="AQ769" s="217">
        <v>1</v>
      </c>
      <c r="AR769" s="217">
        <v>1</v>
      </c>
      <c r="AS769" s="217">
        <v>-4.0000000000000002E-4</v>
      </c>
      <c r="AT769" s="217">
        <v>-5.45E-2</v>
      </c>
      <c r="AU769" s="114" t="str">
        <f>IF(A769&lt;&gt;"",INDEX(Index!$B$1:$B$77,MATCH($A769,Index!$A$1:$A$77,0)),"")</f>
        <v>CIN</v>
      </c>
      <c r="AV769" s="123" t="str">
        <f>IF(B769&lt;&gt;"",INDEX(Index!$C$1:$C$77,MATCH($A769,Index!$A$1:$A$77,0)),"")</f>
        <v>Browning</v>
      </c>
      <c r="AW769" s="123">
        <f t="shared" si="14"/>
        <v>43</v>
      </c>
      <c r="AX769" s="113">
        <v>18</v>
      </c>
    </row>
    <row r="770" spans="1:50" x14ac:dyDescent="0.25">
      <c r="A770" s="216" t="s">
        <v>603</v>
      </c>
      <c r="B770" s="149">
        <v>2025</v>
      </c>
      <c r="C770" s="149">
        <v>1</v>
      </c>
      <c r="D770" s="149">
        <v>-2.07897</v>
      </c>
      <c r="E770" s="149">
        <v>-0.55177799999999999</v>
      </c>
      <c r="F770" s="217">
        <v>-0.55177799999999999</v>
      </c>
      <c r="G770" s="217">
        <v>-6.3404999999999996</v>
      </c>
      <c r="H770" s="217">
        <v>-0.42270000000000002</v>
      </c>
      <c r="I770" s="217">
        <v>6</v>
      </c>
      <c r="J770" s="217">
        <v>13</v>
      </c>
      <c r="K770" s="217">
        <v>0.46150000000000002</v>
      </c>
      <c r="L770" s="217">
        <v>-20.5305</v>
      </c>
      <c r="M770" s="217">
        <v>37</v>
      </c>
      <c r="N770" s="217">
        <v>2.8462000000000001</v>
      </c>
      <c r="O770" s="217">
        <v>0</v>
      </c>
      <c r="P770" s="217">
        <v>1</v>
      </c>
      <c r="Q770" s="217">
        <v>0</v>
      </c>
      <c r="R770" s="217">
        <v>1</v>
      </c>
      <c r="S770" s="217">
        <v>8</v>
      </c>
      <c r="T770" s="217">
        <v>8</v>
      </c>
      <c r="U770" s="217">
        <v>0</v>
      </c>
      <c r="V770" s="217">
        <v>0</v>
      </c>
      <c r="W770" s="217">
        <v>7.6899999999999996E-2</v>
      </c>
      <c r="X770" s="217">
        <v>-7.6899999999999996E-2</v>
      </c>
      <c r="Y770" s="217">
        <v>0.26669999999999999</v>
      </c>
      <c r="Z770" s="217">
        <v>20.993600000000001</v>
      </c>
      <c r="AA770" s="217">
        <v>-0.61539999999999995</v>
      </c>
      <c r="AB770" s="217">
        <v>-30.699400000000001</v>
      </c>
      <c r="AC770" s="217"/>
      <c r="AD770" s="217">
        <v>-6.3899999999999998E-2</v>
      </c>
      <c r="AE770" s="217">
        <v>0.1028</v>
      </c>
      <c r="AF770" s="217">
        <v>-0.1145</v>
      </c>
      <c r="AG770" s="217">
        <v>-3.9199999999999999E-2</v>
      </c>
      <c r="AH770" s="217">
        <v>-0.26029999999999998</v>
      </c>
      <c r="AI770" s="217">
        <v>-0.13650000000000001</v>
      </c>
      <c r="AJ770" s="217">
        <v>1.5900000000000001E-2</v>
      </c>
      <c r="AK770" s="217">
        <v>5.2308000000000003</v>
      </c>
      <c r="AL770" s="217">
        <v>-6.3076999999999996</v>
      </c>
      <c r="AM770" s="217">
        <v>0</v>
      </c>
      <c r="AN770" s="217">
        <v>2</v>
      </c>
      <c r="AO770" s="217">
        <v>0</v>
      </c>
      <c r="AP770" s="217">
        <v>0</v>
      </c>
      <c r="AQ770" s="217">
        <v>1</v>
      </c>
      <c r="AR770" s="217">
        <v>0</v>
      </c>
      <c r="AS770" s="217">
        <v>-3.0300000000000001E-2</v>
      </c>
      <c r="AT770" s="217">
        <v>-0.45450000000000002</v>
      </c>
      <c r="AU770" s="114" t="str">
        <f>IF(A770&lt;&gt;"",INDEX(Index!$B$1:$B$77,MATCH($A770,Index!$A$1:$A$77,0)),"")</f>
        <v>KC</v>
      </c>
      <c r="AV770" s="123" t="str">
        <f>IF(B770&lt;&gt;"",INDEX(Index!$C$1:$C$77,MATCH($A770,Index!$A$1:$A$77,0)),"")</f>
        <v>Minshew</v>
      </c>
      <c r="AW770" s="123">
        <f t="shared" si="14"/>
        <v>58</v>
      </c>
      <c r="AX770" s="113">
        <v>18</v>
      </c>
    </row>
    <row r="771" spans="1:50" x14ac:dyDescent="0.25">
      <c r="A771" s="216" t="s">
        <v>593</v>
      </c>
      <c r="B771" s="149">
        <v>2025</v>
      </c>
      <c r="C771" s="149">
        <v>1</v>
      </c>
      <c r="D771" s="149">
        <v>-2.1103499999999999</v>
      </c>
      <c r="E771" s="149">
        <v>-0.78385899999999997</v>
      </c>
      <c r="F771" s="217">
        <v>-0.78385899999999997</v>
      </c>
      <c r="G771" s="217">
        <v>-8.7080000000000002</v>
      </c>
      <c r="H771" s="217">
        <v>-0.18140000000000001</v>
      </c>
      <c r="I771" s="217">
        <v>25</v>
      </c>
      <c r="J771" s="217">
        <v>37</v>
      </c>
      <c r="K771" s="217">
        <v>0.67569999999999997</v>
      </c>
      <c r="L771" s="217">
        <v>6.5959000000000003</v>
      </c>
      <c r="M771" s="217">
        <v>293</v>
      </c>
      <c r="N771" s="217">
        <v>7.9188999999999998</v>
      </c>
      <c r="O771" s="217">
        <v>1</v>
      </c>
      <c r="P771" s="217">
        <v>1</v>
      </c>
      <c r="Q771" s="217">
        <v>8</v>
      </c>
      <c r="R771" s="217">
        <v>1</v>
      </c>
      <c r="S771" s="217">
        <v>1</v>
      </c>
      <c r="T771" s="217">
        <v>1</v>
      </c>
      <c r="U771" s="217">
        <v>0</v>
      </c>
      <c r="V771" s="217">
        <v>2.7E-2</v>
      </c>
      <c r="W771" s="217">
        <v>2.7E-2</v>
      </c>
      <c r="X771" s="217">
        <v>0</v>
      </c>
      <c r="Y771" s="217">
        <v>0.45829999999999999</v>
      </c>
      <c r="Z771" s="217">
        <v>89.132900000000006</v>
      </c>
      <c r="AA771" s="217">
        <v>4.7556000000000003</v>
      </c>
      <c r="AB771" s="217">
        <v>-93.4208</v>
      </c>
      <c r="AC771" s="217"/>
      <c r="AD771" s="217">
        <v>-0.12</v>
      </c>
      <c r="AE771" s="217">
        <v>-0.2732</v>
      </c>
      <c r="AF771" s="217">
        <v>2.0299999999999999E-2</v>
      </c>
      <c r="AG771" s="217">
        <v>-7.3800000000000004E-2</v>
      </c>
      <c r="AH771" s="217">
        <v>0.28270000000000001</v>
      </c>
      <c r="AI771" s="217">
        <v>-9.4E-2</v>
      </c>
      <c r="AJ771" s="217">
        <v>3.5999999999999999E-3</v>
      </c>
      <c r="AK771" s="217">
        <v>9.4054000000000002</v>
      </c>
      <c r="AL771" s="217">
        <v>1.5405</v>
      </c>
      <c r="AM771" s="217">
        <v>1</v>
      </c>
      <c r="AN771" s="217">
        <v>2</v>
      </c>
      <c r="AO771" s="217">
        <v>0</v>
      </c>
      <c r="AP771" s="217">
        <v>0</v>
      </c>
      <c r="AQ771" s="217">
        <v>0</v>
      </c>
      <c r="AR771" s="217"/>
      <c r="AS771" s="217">
        <v>-8.2000000000000007E-3</v>
      </c>
      <c r="AT771" s="217">
        <v>-0.39529999999999998</v>
      </c>
      <c r="AU771" s="114" t="str">
        <f>IF(A771&lt;&gt;"",INDEX(Index!$B$1:$B$77,MATCH($A771,Index!$A$1:$A$77,0)),"")</f>
        <v>CAR</v>
      </c>
      <c r="AV771" s="123" t="str">
        <f>IF(B771&lt;&gt;"",INDEX(Index!$C$1:$C$77,MATCH($A771,Index!$A$1:$A$77,0)),"")</f>
        <v>Dalton</v>
      </c>
      <c r="AW771" s="123">
        <f t="shared" si="14"/>
        <v>45</v>
      </c>
      <c r="AX771" s="113">
        <v>18</v>
      </c>
    </row>
    <row r="772" spans="1:50" x14ac:dyDescent="0.25">
      <c r="A772" s="216" t="s">
        <v>584</v>
      </c>
      <c r="B772" s="149">
        <v>2025</v>
      </c>
      <c r="C772" s="149">
        <v>4</v>
      </c>
      <c r="D772" s="149">
        <v>-2.1235200000000001</v>
      </c>
      <c r="E772" s="149">
        <v>-0.72736699999999999</v>
      </c>
      <c r="F772" s="217">
        <v>-0.59244799999999997</v>
      </c>
      <c r="G772" s="217">
        <v>-4.5903</v>
      </c>
      <c r="H772" s="217">
        <v>-2.5499999999999998E-2</v>
      </c>
      <c r="I772" s="217">
        <v>80</v>
      </c>
      <c r="J772" s="217">
        <v>133</v>
      </c>
      <c r="K772" s="217">
        <v>0.60150000000000003</v>
      </c>
      <c r="L772" s="217">
        <v>-0.87760000000000005</v>
      </c>
      <c r="M772" s="217">
        <v>779</v>
      </c>
      <c r="N772" s="217">
        <v>5.8571</v>
      </c>
      <c r="O772" s="217">
        <v>5</v>
      </c>
      <c r="P772" s="217">
        <v>5</v>
      </c>
      <c r="Q772" s="217">
        <v>14</v>
      </c>
      <c r="R772" s="217">
        <v>25</v>
      </c>
      <c r="S772" s="217">
        <v>145</v>
      </c>
      <c r="T772" s="217">
        <v>5.8</v>
      </c>
      <c r="U772" s="217">
        <v>1</v>
      </c>
      <c r="V772" s="217">
        <v>3.7600000000000001E-2</v>
      </c>
      <c r="W772" s="217">
        <v>3.7600000000000001E-2</v>
      </c>
      <c r="X772" s="217">
        <v>0</v>
      </c>
      <c r="Y772" s="217">
        <v>0.44440000000000002</v>
      </c>
      <c r="Z772" s="217">
        <v>73.480599999999995</v>
      </c>
      <c r="AA772" s="217">
        <v>3.8912</v>
      </c>
      <c r="AB772" s="217">
        <v>87.315399999999997</v>
      </c>
      <c r="AC772" s="217">
        <v>51.6</v>
      </c>
      <c r="AD772" s="217">
        <v>-5.0000000000000001E-4</v>
      </c>
      <c r="AE772" s="217">
        <v>0</v>
      </c>
      <c r="AF772" s="217">
        <v>-2.9899999999999999E-2</v>
      </c>
      <c r="AG772" s="217">
        <v>-2.18E-2</v>
      </c>
      <c r="AH772" s="217">
        <v>3.04E-2</v>
      </c>
      <c r="AI772" s="217">
        <v>-7.1900000000000006E-2</v>
      </c>
      <c r="AJ772" s="217">
        <v>-4.7000000000000002E-3</v>
      </c>
      <c r="AK772" s="217">
        <v>8.609</v>
      </c>
      <c r="AL772" s="217">
        <v>-0.41349999999999998</v>
      </c>
      <c r="AM772" s="217">
        <v>1</v>
      </c>
      <c r="AN772" s="217">
        <v>5</v>
      </c>
      <c r="AO772" s="217">
        <v>0</v>
      </c>
      <c r="AP772" s="217">
        <v>1</v>
      </c>
      <c r="AQ772" s="217">
        <v>2</v>
      </c>
      <c r="AR772" s="217">
        <v>0.5</v>
      </c>
      <c r="AS772" s="217">
        <v>-1.4E-3</v>
      </c>
      <c r="AT772" s="217">
        <v>-0.25390000000000001</v>
      </c>
      <c r="AU772" s="114" t="str">
        <f>IF(A772&lt;&gt;"",INDEX(Index!$B$1:$B$77,MATCH($A772,Index!$A$1:$A$77,0)),"")</f>
        <v>NYJ</v>
      </c>
      <c r="AV772" s="123" t="str">
        <f>IF(B772&lt;&gt;"",INDEX(Index!$C$1:$C$77,MATCH($A772,Index!$A$1:$A$77,0)),"")</f>
        <v>Taylor</v>
      </c>
      <c r="AW772" s="123">
        <f t="shared" si="14"/>
        <v>39</v>
      </c>
      <c r="AX772" s="113">
        <v>18</v>
      </c>
    </row>
    <row r="773" spans="1:50" x14ac:dyDescent="0.25">
      <c r="A773" s="216" t="s">
        <v>586</v>
      </c>
      <c r="B773" s="149">
        <v>2025</v>
      </c>
      <c r="C773" s="149">
        <v>5</v>
      </c>
      <c r="D773" s="149">
        <v>-2.2875299999999998</v>
      </c>
      <c r="E773" s="149">
        <v>-0.60543899999999995</v>
      </c>
      <c r="F773" s="217">
        <v>-0.248695</v>
      </c>
      <c r="G773" s="217">
        <v>12.968299999999999</v>
      </c>
      <c r="H773" s="217">
        <v>6.3E-2</v>
      </c>
      <c r="I773" s="217">
        <v>110</v>
      </c>
      <c r="J773" s="217">
        <v>168</v>
      </c>
      <c r="K773" s="217">
        <v>0.65480000000000005</v>
      </c>
      <c r="L773" s="217">
        <v>1.1112</v>
      </c>
      <c r="M773" s="217">
        <v>1216</v>
      </c>
      <c r="N773" s="217">
        <v>7.2381000000000002</v>
      </c>
      <c r="O773" s="217">
        <v>6</v>
      </c>
      <c r="P773" s="217">
        <v>5</v>
      </c>
      <c r="Q773" s="217">
        <v>19</v>
      </c>
      <c r="R773" s="217">
        <v>9</v>
      </c>
      <c r="S773" s="217">
        <v>57</v>
      </c>
      <c r="T773" s="217">
        <v>6.3333000000000004</v>
      </c>
      <c r="U773" s="217">
        <v>0</v>
      </c>
      <c r="V773" s="217">
        <v>3.5700000000000003E-2</v>
      </c>
      <c r="W773" s="217">
        <v>2.98E-2</v>
      </c>
      <c r="X773" s="217">
        <v>6.0000000000000001E-3</v>
      </c>
      <c r="Y773" s="217">
        <v>0.48060000000000003</v>
      </c>
      <c r="Z773" s="217">
        <v>86.3095</v>
      </c>
      <c r="AA773" s="217">
        <v>5.2727000000000004</v>
      </c>
      <c r="AB773" s="217">
        <v>107.76</v>
      </c>
      <c r="AC773" s="217"/>
      <c r="AD773" s="217">
        <v>-2.07E-2</v>
      </c>
      <c r="AE773" s="217">
        <v>-3.1199999999999999E-2</v>
      </c>
      <c r="AF773" s="217">
        <v>2.6200000000000001E-2</v>
      </c>
      <c r="AG773" s="217">
        <v>-2.76E-2</v>
      </c>
      <c r="AH773" s="217">
        <v>5.1000000000000004E-3</v>
      </c>
      <c r="AI773" s="217">
        <v>3.3300000000000003E-2</v>
      </c>
      <c r="AJ773" s="217">
        <v>4.8999999999999998E-3</v>
      </c>
      <c r="AK773" s="217">
        <v>7.6666999999999996</v>
      </c>
      <c r="AL773" s="217">
        <v>-1.3571</v>
      </c>
      <c r="AM773" s="217">
        <v>2</v>
      </c>
      <c r="AN773" s="217">
        <v>3</v>
      </c>
      <c r="AO773" s="217">
        <v>0</v>
      </c>
      <c r="AP773" s="217">
        <v>1</v>
      </c>
      <c r="AQ773" s="217">
        <v>3</v>
      </c>
      <c r="AR773" s="217">
        <v>0.33329999999999999</v>
      </c>
      <c r="AS773" s="217">
        <v>1.1999999999999999E-3</v>
      </c>
      <c r="AT773" s="217">
        <v>0.23880000000000001</v>
      </c>
      <c r="AU773" s="114" t="str">
        <f>IF(A773&lt;&gt;"",INDEX(Index!$B$1:$B$77,MATCH($A773,Index!$A$1:$A$77,0)),"")</f>
        <v>MIN</v>
      </c>
      <c r="AV773" s="123" t="str">
        <f>IF(B773&lt;&gt;"",INDEX(Index!$C$1:$C$77,MATCH($A773,Index!$A$1:$A$77,0)),"")</f>
        <v>Wentz</v>
      </c>
      <c r="AW773" s="123">
        <f t="shared" si="14"/>
        <v>27</v>
      </c>
      <c r="AX773" s="113">
        <v>18</v>
      </c>
    </row>
    <row r="774" spans="1:50" x14ac:dyDescent="0.25">
      <c r="A774" s="216" t="s">
        <v>582</v>
      </c>
      <c r="B774" s="149">
        <v>2025</v>
      </c>
      <c r="C774" s="149">
        <v>16</v>
      </c>
      <c r="D774" s="149">
        <v>-2.3048799999999998</v>
      </c>
      <c r="E774" s="149">
        <v>0.13606599999999999</v>
      </c>
      <c r="F774" s="217">
        <v>-0.98258100000000004</v>
      </c>
      <c r="G774" s="217">
        <v>-91.413600000000002</v>
      </c>
      <c r="H774" s="217">
        <v>-0.1389</v>
      </c>
      <c r="I774" s="217">
        <v>320</v>
      </c>
      <c r="J774" s="217">
        <v>534</v>
      </c>
      <c r="K774" s="217">
        <v>0.59930000000000005</v>
      </c>
      <c r="L774" s="217">
        <v>-3.1288</v>
      </c>
      <c r="M774" s="217">
        <v>3117</v>
      </c>
      <c r="N774" s="217">
        <v>5.8371000000000004</v>
      </c>
      <c r="O774" s="217">
        <v>15</v>
      </c>
      <c r="P774" s="217">
        <v>7</v>
      </c>
      <c r="Q774" s="217">
        <v>55</v>
      </c>
      <c r="R774" s="217">
        <v>30</v>
      </c>
      <c r="S774" s="217">
        <v>158</v>
      </c>
      <c r="T774" s="217">
        <v>5.2667000000000002</v>
      </c>
      <c r="U774" s="217">
        <v>1</v>
      </c>
      <c r="V774" s="217">
        <v>2.81E-2</v>
      </c>
      <c r="W774" s="217">
        <v>1.3100000000000001E-2</v>
      </c>
      <c r="X774" s="217">
        <v>1.4999999999999999E-2</v>
      </c>
      <c r="Y774" s="217">
        <v>0.39360000000000001</v>
      </c>
      <c r="Z774" s="217">
        <v>80.243399999999994</v>
      </c>
      <c r="AA774" s="217">
        <v>4.5705</v>
      </c>
      <c r="AB774" s="217">
        <v>74.467500000000001</v>
      </c>
      <c r="AC774" s="217">
        <v>32.1</v>
      </c>
      <c r="AD774" s="217">
        <v>-1.26E-2</v>
      </c>
      <c r="AE774" s="217">
        <v>-8.0100000000000005E-2</v>
      </c>
      <c r="AF774" s="217">
        <v>-3.5400000000000001E-2</v>
      </c>
      <c r="AG774" s="217">
        <v>3.49E-2</v>
      </c>
      <c r="AH774" s="217">
        <v>-8.6900000000000005E-2</v>
      </c>
      <c r="AI774" s="217">
        <v>-3.1899999999999998E-2</v>
      </c>
      <c r="AJ774" s="217">
        <v>-1E-4</v>
      </c>
      <c r="AK774" s="217">
        <v>7.2827999999999999</v>
      </c>
      <c r="AL774" s="217">
        <v>-1.7603</v>
      </c>
      <c r="AM774" s="217">
        <v>3</v>
      </c>
      <c r="AN774" s="217">
        <v>13</v>
      </c>
      <c r="AO774" s="217">
        <v>0</v>
      </c>
      <c r="AP774" s="217">
        <v>1</v>
      </c>
      <c r="AQ774" s="217">
        <v>5</v>
      </c>
      <c r="AR774" s="217">
        <v>0.2</v>
      </c>
      <c r="AS774" s="217">
        <v>-3.0000000000000001E-3</v>
      </c>
      <c r="AT774" s="217">
        <v>-2.0034000000000001</v>
      </c>
      <c r="AU774" s="114" t="str">
        <f>IF(A774&lt;&gt;"",INDEX(Index!$B$1:$B$77,MATCH($A774,Index!$A$1:$A$77,0)),"")</f>
        <v>TEN</v>
      </c>
      <c r="AV774" s="123" t="str">
        <f>IF(B774&lt;&gt;"",INDEX(Index!$C$1:$C$77,MATCH($A774,Index!$A$1:$A$77,0)),"")</f>
        <v>Ward</v>
      </c>
      <c r="AW774" s="123">
        <f t="shared" si="14"/>
        <v>1</v>
      </c>
      <c r="AX774" s="113">
        <v>18</v>
      </c>
    </row>
    <row r="775" spans="1:50" x14ac:dyDescent="0.25">
      <c r="A775" s="216" t="s">
        <v>588</v>
      </c>
      <c r="B775" s="149">
        <v>2025</v>
      </c>
      <c r="C775" s="149">
        <v>2</v>
      </c>
      <c r="D775" s="149">
        <v>-2.3375599999999999</v>
      </c>
      <c r="E775" s="149">
        <v>-0.378133</v>
      </c>
      <c r="F775" s="217">
        <v>-0.79516200000000004</v>
      </c>
      <c r="G775" s="217">
        <v>-25.889299999999999</v>
      </c>
      <c r="H775" s="217">
        <v>-0.45419999999999999</v>
      </c>
      <c r="I775" s="217">
        <v>34</v>
      </c>
      <c r="J775" s="217">
        <v>52</v>
      </c>
      <c r="K775" s="217">
        <v>0.65380000000000005</v>
      </c>
      <c r="L775" s="217">
        <v>-1.9399</v>
      </c>
      <c r="M775" s="217">
        <v>303</v>
      </c>
      <c r="N775" s="217">
        <v>5.8269000000000002</v>
      </c>
      <c r="O775" s="217">
        <v>0</v>
      </c>
      <c r="P775" s="217">
        <v>4</v>
      </c>
      <c r="Q775" s="217">
        <v>1</v>
      </c>
      <c r="R775" s="217">
        <v>0</v>
      </c>
      <c r="S775" s="217">
        <v>0</v>
      </c>
      <c r="T775" s="217"/>
      <c r="U775" s="217">
        <v>0</v>
      </c>
      <c r="V775" s="217">
        <v>0</v>
      </c>
      <c r="W775" s="217">
        <v>7.6899999999999996E-2</v>
      </c>
      <c r="X775" s="217">
        <v>-7.6899999999999996E-2</v>
      </c>
      <c r="Y775" s="217">
        <v>0.42109999999999997</v>
      </c>
      <c r="Z775" s="217">
        <v>48.798099999999998</v>
      </c>
      <c r="AA775" s="217">
        <v>2.0188999999999999</v>
      </c>
      <c r="AB775" s="217">
        <v>12.234400000000001</v>
      </c>
      <c r="AC775" s="217"/>
      <c r="AD775" s="217">
        <v>-3.0599999999999999E-2</v>
      </c>
      <c r="AE775" s="217">
        <v>6.1100000000000002E-2</v>
      </c>
      <c r="AF775" s="217">
        <v>-5.2900000000000003E-2</v>
      </c>
      <c r="AG775" s="217">
        <v>-0.22439999999999999</v>
      </c>
      <c r="AH775" s="217">
        <v>-0.22239999999999999</v>
      </c>
      <c r="AI775" s="217">
        <v>-2.1000000000000001E-2</v>
      </c>
      <c r="AJ775" s="217">
        <v>-3.7100000000000001E-2</v>
      </c>
      <c r="AK775" s="217">
        <v>6.4423000000000004</v>
      </c>
      <c r="AL775" s="217">
        <v>-2.0577000000000001</v>
      </c>
      <c r="AM775" s="217">
        <v>0</v>
      </c>
      <c r="AN775" s="217">
        <v>3</v>
      </c>
      <c r="AO775" s="217">
        <v>0</v>
      </c>
      <c r="AP775" s="217">
        <v>0</v>
      </c>
      <c r="AQ775" s="217">
        <v>0</v>
      </c>
      <c r="AR775" s="217"/>
      <c r="AS775" s="217">
        <v>-6.8999999999999999E-3</v>
      </c>
      <c r="AT775" s="217">
        <v>-0.39179999999999998</v>
      </c>
      <c r="AU775" s="114" t="str">
        <f>IF(A775&lt;&gt;"",INDEX(Index!$B$1:$B$77,MATCH($A775,Index!$A$1:$A$77,0)),"")</f>
        <v>BAL</v>
      </c>
      <c r="AV775" s="123" t="str">
        <f>IF(B775&lt;&gt;"",INDEX(Index!$C$1:$C$77,MATCH($A775,Index!$A$1:$A$77,0)),"")</f>
        <v>Rush</v>
      </c>
      <c r="AW775" s="123">
        <f t="shared" si="14"/>
        <v>57</v>
      </c>
      <c r="AX775" s="113">
        <v>18</v>
      </c>
    </row>
    <row r="776" spans="1:50" x14ac:dyDescent="0.25">
      <c r="A776" s="216" t="s">
        <v>581</v>
      </c>
      <c r="B776" s="149">
        <v>2025</v>
      </c>
      <c r="C776" s="149">
        <v>8</v>
      </c>
      <c r="D776" s="149">
        <v>-2.4067599999999998</v>
      </c>
      <c r="E776" s="149">
        <v>-0.47380100000000003</v>
      </c>
      <c r="F776" s="217">
        <v>0.738784</v>
      </c>
      <c r="G776" s="217">
        <v>-16.940899999999999</v>
      </c>
      <c r="H776" s="217">
        <v>-5.2299999999999999E-2</v>
      </c>
      <c r="I776" s="217">
        <v>174</v>
      </c>
      <c r="J776" s="217">
        <v>254</v>
      </c>
      <c r="K776" s="217">
        <v>0.68500000000000005</v>
      </c>
      <c r="L776" s="217">
        <v>2.3567999999999998</v>
      </c>
      <c r="M776" s="217">
        <v>1586</v>
      </c>
      <c r="N776" s="217">
        <v>6.2441000000000004</v>
      </c>
      <c r="O776" s="217">
        <v>8</v>
      </c>
      <c r="P776" s="217">
        <v>5</v>
      </c>
      <c r="Q776" s="217">
        <v>18</v>
      </c>
      <c r="R776" s="217">
        <v>30</v>
      </c>
      <c r="S776" s="217">
        <v>168</v>
      </c>
      <c r="T776" s="217">
        <v>5.6</v>
      </c>
      <c r="U776" s="217">
        <v>0</v>
      </c>
      <c r="V776" s="217">
        <v>3.15E-2</v>
      </c>
      <c r="W776" s="217">
        <v>1.9699999999999999E-2</v>
      </c>
      <c r="X776" s="217">
        <v>1.18E-2</v>
      </c>
      <c r="Y776" s="217">
        <v>0.48149999999999998</v>
      </c>
      <c r="Z776" s="217">
        <v>87.483599999999996</v>
      </c>
      <c r="AA776" s="217">
        <v>5.2096</v>
      </c>
      <c r="AB776" s="217">
        <v>139.14599999999999</v>
      </c>
      <c r="AC776" s="217">
        <v>49.7</v>
      </c>
      <c r="AD776" s="217">
        <v>-1E-3</v>
      </c>
      <c r="AE776" s="217">
        <v>1.18E-2</v>
      </c>
      <c r="AF776" s="217">
        <v>2.7E-2</v>
      </c>
      <c r="AG776" s="217">
        <v>1.5699999999999999E-2</v>
      </c>
      <c r="AH776" s="217">
        <v>-5.2299999999999999E-2</v>
      </c>
      <c r="AI776" s="217">
        <v>-0.13300000000000001</v>
      </c>
      <c r="AJ776" s="217">
        <v>6.4000000000000003E-3</v>
      </c>
      <c r="AK776" s="217">
        <v>7.9920999999999998</v>
      </c>
      <c r="AL776" s="217">
        <v>-1.1220000000000001</v>
      </c>
      <c r="AM776" s="217">
        <v>2</v>
      </c>
      <c r="AN776" s="217">
        <v>7</v>
      </c>
      <c r="AO776" s="217">
        <v>0</v>
      </c>
      <c r="AP776" s="217">
        <v>0</v>
      </c>
      <c r="AQ776" s="217">
        <v>4</v>
      </c>
      <c r="AR776" s="217">
        <v>0</v>
      </c>
      <c r="AS776" s="217">
        <v>-2.8E-3</v>
      </c>
      <c r="AT776" s="217">
        <v>-0.90159999999999996</v>
      </c>
      <c r="AU776" s="114" t="str">
        <f>IF(A776&lt;&gt;"",INDEX(Index!$B$1:$B$77,MATCH($A776,Index!$A$1:$A$77,0)),"")</f>
        <v>NO</v>
      </c>
      <c r="AV776" s="123" t="str">
        <f>IF(B776&lt;&gt;"",INDEX(Index!$C$1:$C$77,MATCH($A776,Index!$A$1:$A$77,0)),"")</f>
        <v>Rattler</v>
      </c>
      <c r="AW776" s="123">
        <f t="shared" si="14"/>
        <v>29</v>
      </c>
      <c r="AX776" s="113">
        <v>18</v>
      </c>
    </row>
    <row r="777" spans="1:50" x14ac:dyDescent="0.25">
      <c r="A777" s="216" t="s">
        <v>601</v>
      </c>
      <c r="B777" s="149">
        <v>2025</v>
      </c>
      <c r="C777" s="149">
        <v>1</v>
      </c>
      <c r="D777" s="149">
        <v>-2.4196599999999999</v>
      </c>
      <c r="E777" s="149">
        <v>-0.57393700000000003</v>
      </c>
      <c r="F777" s="217">
        <v>-0.57393700000000003</v>
      </c>
      <c r="G777" s="217">
        <v>-17.5152</v>
      </c>
      <c r="H777" s="217">
        <v>-0.34339999999999998</v>
      </c>
      <c r="I777" s="217">
        <v>27</v>
      </c>
      <c r="J777" s="217">
        <v>40</v>
      </c>
      <c r="K777" s="217">
        <v>0.67500000000000004</v>
      </c>
      <c r="L777" s="217">
        <v>-2.3609</v>
      </c>
      <c r="M777" s="217">
        <v>185</v>
      </c>
      <c r="N777" s="217">
        <v>4.625</v>
      </c>
      <c r="O777" s="217">
        <v>1</v>
      </c>
      <c r="P777" s="217">
        <v>1</v>
      </c>
      <c r="Q777" s="217">
        <v>6</v>
      </c>
      <c r="R777" s="217">
        <v>3</v>
      </c>
      <c r="S777" s="217">
        <v>13</v>
      </c>
      <c r="T777" s="217">
        <v>4.3333000000000004</v>
      </c>
      <c r="U777" s="217">
        <v>0</v>
      </c>
      <c r="V777" s="217">
        <v>2.5000000000000001E-2</v>
      </c>
      <c r="W777" s="217">
        <v>2.5000000000000001E-2</v>
      </c>
      <c r="X777" s="217">
        <v>0</v>
      </c>
      <c r="Y777" s="217">
        <v>0.33329999999999999</v>
      </c>
      <c r="Z777" s="217">
        <v>75.520799999999994</v>
      </c>
      <c r="AA777" s="217">
        <v>2.6086999999999998</v>
      </c>
      <c r="AB777" s="217">
        <v>-40.341000000000001</v>
      </c>
      <c r="AC777" s="217"/>
      <c r="AD777" s="217">
        <v>-2.2800000000000001E-2</v>
      </c>
      <c r="AE777" s="217">
        <v>-2.23E-2</v>
      </c>
      <c r="AF777" s="217">
        <v>-3.09E-2</v>
      </c>
      <c r="AG777" s="217">
        <v>-5.0000000000000001E-3</v>
      </c>
      <c r="AH777" s="217">
        <v>-0.11360000000000001</v>
      </c>
      <c r="AI777" s="217">
        <v>-0.19650000000000001</v>
      </c>
      <c r="AJ777" s="217">
        <v>-2.5499999999999998E-2</v>
      </c>
      <c r="AK777" s="217">
        <v>5.5</v>
      </c>
      <c r="AL777" s="217">
        <v>-3.65</v>
      </c>
      <c r="AM777" s="217">
        <v>0</v>
      </c>
      <c r="AN777" s="217">
        <v>5</v>
      </c>
      <c r="AO777" s="217">
        <v>0</v>
      </c>
      <c r="AP777" s="217">
        <v>0</v>
      </c>
      <c r="AQ777" s="217">
        <v>1</v>
      </c>
      <c r="AR777" s="217">
        <v>0</v>
      </c>
      <c r="AS777" s="217">
        <v>-6.1000000000000004E-3</v>
      </c>
      <c r="AT777" s="217">
        <v>-0.30969999999999998</v>
      </c>
      <c r="AU777" s="114" t="str">
        <f>IF(A777&lt;&gt;"",INDEX(Index!$B$1:$B$77,MATCH($A777,Index!$A$1:$A$77,0)),"")</f>
        <v>LV</v>
      </c>
      <c r="AV777" s="123" t="str">
        <f>IF(B777&lt;&gt;"",INDEX(Index!$C$1:$C$77,MATCH($A777,Index!$A$1:$A$77,0)),"")</f>
        <v>Pickett</v>
      </c>
      <c r="AW777" s="123">
        <f t="shared" si="14"/>
        <v>49</v>
      </c>
      <c r="AX777" s="113">
        <v>18</v>
      </c>
    </row>
    <row r="778" spans="1:50" x14ac:dyDescent="0.25">
      <c r="A778" s="216" t="s">
        <v>572</v>
      </c>
      <c r="B778" s="149">
        <v>2025</v>
      </c>
      <c r="C778" s="149">
        <v>15</v>
      </c>
      <c r="D778" s="149">
        <v>-2.85778</v>
      </c>
      <c r="E778" s="149">
        <v>-0.366948</v>
      </c>
      <c r="F778" s="217">
        <v>-2.9656099999999999</v>
      </c>
      <c r="G778" s="217">
        <v>-56.172800000000002</v>
      </c>
      <c r="H778" s="217">
        <v>-9.9199999999999997E-2</v>
      </c>
      <c r="I778" s="217">
        <v>302</v>
      </c>
      <c r="J778" s="217">
        <v>446</v>
      </c>
      <c r="K778" s="217">
        <v>0.67710000000000004</v>
      </c>
      <c r="L778" s="217">
        <v>0.70709999999999995</v>
      </c>
      <c r="M778" s="217">
        <v>3025</v>
      </c>
      <c r="N778" s="217">
        <v>6.7824999999999998</v>
      </c>
      <c r="O778" s="217">
        <v>19</v>
      </c>
      <c r="P778" s="217">
        <v>17</v>
      </c>
      <c r="Q778" s="217">
        <v>55</v>
      </c>
      <c r="R778" s="217">
        <v>34</v>
      </c>
      <c r="S778" s="217">
        <v>115</v>
      </c>
      <c r="T778" s="217">
        <v>3.3824000000000001</v>
      </c>
      <c r="U778" s="217">
        <v>0</v>
      </c>
      <c r="V778" s="217">
        <v>4.2599999999999999E-2</v>
      </c>
      <c r="W778" s="217">
        <v>3.8100000000000002E-2</v>
      </c>
      <c r="X778" s="217">
        <v>4.4999999999999997E-3</v>
      </c>
      <c r="Y778" s="217">
        <v>0.43990000000000001</v>
      </c>
      <c r="Z778" s="217">
        <v>85.089699999999993</v>
      </c>
      <c r="AA778" s="217">
        <v>4.4611000000000001</v>
      </c>
      <c r="AB778" s="217">
        <v>72.768100000000004</v>
      </c>
      <c r="AC778" s="217">
        <v>34.1</v>
      </c>
      <c r="AD778" s="217">
        <v>-2.8500000000000001E-2</v>
      </c>
      <c r="AE778" s="217">
        <v>-7.6899999999999996E-2</v>
      </c>
      <c r="AF778" s="217">
        <v>3.7900000000000003E-2</v>
      </c>
      <c r="AG778" s="217">
        <v>-7.7100000000000002E-2</v>
      </c>
      <c r="AH778" s="217">
        <v>-9.5200000000000007E-2</v>
      </c>
      <c r="AI778" s="217">
        <v>6.0900000000000003E-2</v>
      </c>
      <c r="AJ778" s="217">
        <v>6.4999999999999997E-3</v>
      </c>
      <c r="AK778" s="217">
        <v>6.1951000000000001</v>
      </c>
      <c r="AL778" s="217">
        <v>-2.7242000000000002</v>
      </c>
      <c r="AM778" s="217">
        <v>2</v>
      </c>
      <c r="AN778" s="217">
        <v>13</v>
      </c>
      <c r="AO778" s="217">
        <v>0</v>
      </c>
      <c r="AP778" s="217">
        <v>0</v>
      </c>
      <c r="AQ778" s="217">
        <v>4</v>
      </c>
      <c r="AR778" s="217">
        <v>0</v>
      </c>
      <c r="AS778" s="217">
        <v>-2.3E-3</v>
      </c>
      <c r="AT778" s="217">
        <v>-1.2778</v>
      </c>
      <c r="AU778" s="114" t="str">
        <f>IF(A778&lt;&gt;"",INDEX(Index!$B$1:$B$77,MATCH($A778,Index!$A$1:$A$77,0)),"")</f>
        <v>LV</v>
      </c>
      <c r="AV778" s="123" t="str">
        <f>IF(B778&lt;&gt;"",INDEX(Index!$C$1:$C$77,MATCH($A778,Index!$A$1:$A$77,0)),"")</f>
        <v>Smith</v>
      </c>
      <c r="AW778" s="123">
        <f t="shared" si="14"/>
        <v>1</v>
      </c>
      <c r="AX778" s="113">
        <v>18</v>
      </c>
    </row>
    <row r="779" spans="1:50" x14ac:dyDescent="0.25">
      <c r="A779" s="216" t="s">
        <v>580</v>
      </c>
      <c r="B779" s="149">
        <v>2025</v>
      </c>
      <c r="C779" s="149">
        <v>9</v>
      </c>
      <c r="D779" s="149">
        <v>-3.2419500000000001</v>
      </c>
      <c r="E779" s="149">
        <v>-0.18168100000000001</v>
      </c>
      <c r="F779" s="217">
        <v>-1.7898400000000001</v>
      </c>
      <c r="G779" s="217">
        <v>-32.530799999999999</v>
      </c>
      <c r="H779" s="217">
        <v>-0.11409999999999999</v>
      </c>
      <c r="I779" s="217">
        <v>126</v>
      </c>
      <c r="J779" s="217">
        <v>220</v>
      </c>
      <c r="K779" s="217">
        <v>0.57269999999999999</v>
      </c>
      <c r="L779" s="217">
        <v>-6.2393999999999998</v>
      </c>
      <c r="M779" s="217">
        <v>1450</v>
      </c>
      <c r="N779" s="217">
        <v>6.5909000000000004</v>
      </c>
      <c r="O779" s="217">
        <v>11</v>
      </c>
      <c r="P779" s="217">
        <v>12</v>
      </c>
      <c r="Q779" s="217">
        <v>27</v>
      </c>
      <c r="R779" s="217">
        <v>23</v>
      </c>
      <c r="S779" s="217">
        <v>184</v>
      </c>
      <c r="T779" s="217">
        <v>8</v>
      </c>
      <c r="U779" s="217">
        <v>4</v>
      </c>
      <c r="V779" s="217">
        <v>0.05</v>
      </c>
      <c r="W779" s="217">
        <v>5.45E-2</v>
      </c>
      <c r="X779" s="217">
        <v>-4.4999999999999997E-3</v>
      </c>
      <c r="Y779" s="217">
        <v>0.43509999999999999</v>
      </c>
      <c r="Z779" s="217">
        <v>71.212100000000007</v>
      </c>
      <c r="AA779" s="217">
        <v>3.9716999999999998</v>
      </c>
      <c r="AB779" s="217">
        <v>43.207599999999999</v>
      </c>
      <c r="AC779" s="217"/>
      <c r="AD779" s="217">
        <v>3.4799999999999998E-2</v>
      </c>
      <c r="AE779" s="217">
        <v>-7.0800000000000002E-2</v>
      </c>
      <c r="AF779" s="217">
        <v>-5.3199999999999997E-2</v>
      </c>
      <c r="AG779" s="217">
        <v>-0.1082</v>
      </c>
      <c r="AH779" s="217">
        <v>1.6799999999999999E-2</v>
      </c>
      <c r="AI779" s="217">
        <v>-1.8200000000000001E-2</v>
      </c>
      <c r="AJ779" s="217">
        <v>1.17E-2</v>
      </c>
      <c r="AK779" s="217">
        <v>8.9408999999999992</v>
      </c>
      <c r="AL779" s="217">
        <v>0.35449999999999998</v>
      </c>
      <c r="AM779" s="217">
        <v>5</v>
      </c>
      <c r="AN779" s="217">
        <v>4</v>
      </c>
      <c r="AO779" s="217">
        <v>0</v>
      </c>
      <c r="AP779" s="217">
        <v>1</v>
      </c>
      <c r="AQ779" s="217">
        <v>4</v>
      </c>
      <c r="AR779" s="217">
        <v>0.25</v>
      </c>
      <c r="AS779" s="217">
        <v>2.9999999999999997E-4</v>
      </c>
      <c r="AT779" s="217">
        <v>7.8E-2</v>
      </c>
      <c r="AU779" s="114" t="str">
        <f>IF(A779&lt;&gt;"",INDEX(Index!$B$1:$B$77,MATCH($A779,Index!$A$1:$A$77,0)),"")</f>
        <v>MIN</v>
      </c>
      <c r="AV779" s="123" t="str">
        <f>IF(B779&lt;&gt;"",INDEX(Index!$C$1:$C$77,MATCH($A779,Index!$A$1:$A$77,0)),"")</f>
        <v>McCarthy</v>
      </c>
      <c r="AW779" s="123">
        <f t="shared" si="14"/>
        <v>16</v>
      </c>
      <c r="AX779" s="113">
        <v>18</v>
      </c>
    </row>
    <row r="780" spans="1:50" x14ac:dyDescent="0.25">
      <c r="A780" s="216" t="s">
        <v>606</v>
      </c>
      <c r="B780" s="149">
        <v>2025</v>
      </c>
      <c r="C780" s="149">
        <v>1</v>
      </c>
      <c r="D780" s="149">
        <v>-3.3631700000000002</v>
      </c>
      <c r="E780" s="149">
        <v>0.113457</v>
      </c>
      <c r="F780" s="217">
        <v>0.113457</v>
      </c>
      <c r="G780" s="217">
        <v>-12.0609</v>
      </c>
      <c r="H780" s="217">
        <v>-0.25130000000000002</v>
      </c>
      <c r="I780" s="217">
        <v>24</v>
      </c>
      <c r="J780" s="217">
        <v>37</v>
      </c>
      <c r="K780" s="217">
        <v>0.64859999999999995</v>
      </c>
      <c r="L780" s="217">
        <v>-1.7394000000000001</v>
      </c>
      <c r="M780" s="217">
        <v>177</v>
      </c>
      <c r="N780" s="217">
        <v>4.7838000000000003</v>
      </c>
      <c r="O780" s="217">
        <v>1</v>
      </c>
      <c r="P780" s="217">
        <v>0</v>
      </c>
      <c r="Q780" s="217">
        <v>5</v>
      </c>
      <c r="R780" s="217">
        <v>4</v>
      </c>
      <c r="S780" s="217">
        <v>18</v>
      </c>
      <c r="T780" s="217">
        <v>4.5</v>
      </c>
      <c r="U780" s="217">
        <v>0</v>
      </c>
      <c r="V780" s="217">
        <v>2.7E-2</v>
      </c>
      <c r="W780" s="217">
        <v>0</v>
      </c>
      <c r="X780" s="217">
        <v>2.7E-2</v>
      </c>
      <c r="Y780" s="217">
        <v>0.29170000000000001</v>
      </c>
      <c r="Z780" s="217">
        <v>85.078800000000001</v>
      </c>
      <c r="AA780" s="217">
        <v>3.4285999999999999</v>
      </c>
      <c r="AB780" s="217">
        <v>115.08799999999999</v>
      </c>
      <c r="AC780" s="217"/>
      <c r="AD780" s="217">
        <v>-4.6600000000000003E-2</v>
      </c>
      <c r="AE780" s="217">
        <v>-5.0299999999999997E-2</v>
      </c>
      <c r="AF780" s="217">
        <v>-2.53E-2</v>
      </c>
      <c r="AG780" s="217">
        <v>7.8700000000000006E-2</v>
      </c>
      <c r="AH780" s="217">
        <v>-0.2366</v>
      </c>
      <c r="AI780" s="217">
        <v>-8.1699999999999995E-2</v>
      </c>
      <c r="AJ780" s="217">
        <v>3.7499999999999999E-2</v>
      </c>
      <c r="AK780" s="217">
        <v>5.1891999999999996</v>
      </c>
      <c r="AL780" s="217">
        <v>-3.2972999999999999</v>
      </c>
      <c r="AM780" s="217">
        <v>0</v>
      </c>
      <c r="AN780" s="217">
        <v>2</v>
      </c>
      <c r="AO780" s="217">
        <v>0</v>
      </c>
      <c r="AP780" s="217">
        <v>0</v>
      </c>
      <c r="AQ780" s="217">
        <v>1</v>
      </c>
      <c r="AR780" s="217">
        <v>0</v>
      </c>
      <c r="AS780" s="217">
        <v>-4.7999999999999996E-3</v>
      </c>
      <c r="AT780" s="217">
        <v>-0.2324</v>
      </c>
      <c r="AU780" s="114" t="str">
        <f>IF(A780&lt;&gt;"",INDEX(Index!$B$1:$B$77,MATCH($A780,Index!$A$1:$A$77,0)),"")</f>
        <v>KC</v>
      </c>
      <c r="AV780" s="123" t="str">
        <f>IF(B780&lt;&gt;"",INDEX(Index!$C$1:$C$77,MATCH($A780,Index!$A$1:$A$77,0)),"")</f>
        <v>Oladokun</v>
      </c>
      <c r="AW780" s="123">
        <f t="shared" si="14"/>
        <v>50</v>
      </c>
      <c r="AX780" s="113">
        <v>18</v>
      </c>
    </row>
    <row r="781" spans="1:50" x14ac:dyDescent="0.25">
      <c r="A781" s="216" t="s">
        <v>598</v>
      </c>
      <c r="B781" s="149">
        <v>2025</v>
      </c>
      <c r="C781" s="149">
        <v>6</v>
      </c>
      <c r="D781" s="149">
        <v>-3.3761999999999999</v>
      </c>
      <c r="E781" s="149">
        <v>3.12482E-2</v>
      </c>
      <c r="F781" s="217">
        <v>0.49045</v>
      </c>
      <c r="G781" s="217">
        <v>-52.440600000000003</v>
      </c>
      <c r="H781" s="217">
        <v>-0.22509999999999999</v>
      </c>
      <c r="I781" s="217">
        <v>109</v>
      </c>
      <c r="J781" s="217">
        <v>190</v>
      </c>
      <c r="K781" s="217">
        <v>0.57369999999999999</v>
      </c>
      <c r="L781" s="217">
        <v>-4.1814</v>
      </c>
      <c r="M781" s="217">
        <v>1289</v>
      </c>
      <c r="N781" s="217">
        <v>6.7842000000000002</v>
      </c>
      <c r="O781" s="217">
        <v>7</v>
      </c>
      <c r="P781" s="217">
        <v>10</v>
      </c>
      <c r="Q781" s="217">
        <v>17</v>
      </c>
      <c r="R781" s="217">
        <v>16</v>
      </c>
      <c r="S781" s="217">
        <v>145</v>
      </c>
      <c r="T781" s="217">
        <v>9.0625</v>
      </c>
      <c r="U781" s="217">
        <v>1</v>
      </c>
      <c r="V781" s="217">
        <v>3.6799999999999999E-2</v>
      </c>
      <c r="W781" s="217">
        <v>5.2600000000000001E-2</v>
      </c>
      <c r="X781" s="217">
        <v>-1.5800000000000002E-2</v>
      </c>
      <c r="Y781" s="217">
        <v>0.37340000000000001</v>
      </c>
      <c r="Z781" s="217">
        <v>68.508799999999994</v>
      </c>
      <c r="AA781" s="217">
        <v>4.0773000000000001</v>
      </c>
      <c r="AB781" s="217">
        <v>103.003</v>
      </c>
      <c r="AC781" s="217"/>
      <c r="AD781" s="217">
        <v>6.0000000000000001E-3</v>
      </c>
      <c r="AE781" s="217">
        <v>-3.27E-2</v>
      </c>
      <c r="AF781" s="217">
        <v>-0.02</v>
      </c>
      <c r="AG781" s="217">
        <v>-0.1452</v>
      </c>
      <c r="AH781" s="217">
        <v>-0.13969999999999999</v>
      </c>
      <c r="AI781" s="217">
        <v>5.7700000000000001E-2</v>
      </c>
      <c r="AJ781" s="217">
        <v>-2.4199999999999999E-2</v>
      </c>
      <c r="AK781" s="217">
        <v>6.9946999999999999</v>
      </c>
      <c r="AL781" s="217">
        <v>-3.0263</v>
      </c>
      <c r="AM781" s="217">
        <v>2</v>
      </c>
      <c r="AN781" s="217">
        <v>5</v>
      </c>
      <c r="AO781" s="217">
        <v>0</v>
      </c>
      <c r="AP781" s="217">
        <v>0</v>
      </c>
      <c r="AQ781" s="217">
        <v>3</v>
      </c>
      <c r="AR781" s="217">
        <v>0</v>
      </c>
      <c r="AS781" s="217">
        <v>-5.1999999999999998E-3</v>
      </c>
      <c r="AT781" s="217">
        <v>-1.2194</v>
      </c>
      <c r="AU781" s="114" t="str">
        <f>IF(A781&lt;&gt;"",INDEX(Index!$B$1:$B$77,MATCH($A781,Index!$A$1:$A$77,0)),"")</f>
        <v>CLE</v>
      </c>
      <c r="AV781" s="123" t="str">
        <f>IF(B781&lt;&gt;"",INDEX(Index!$C$1:$C$77,MATCH($A781,Index!$A$1:$A$77,0)),"")</f>
        <v>Sanders</v>
      </c>
      <c r="AW781" s="123">
        <f t="shared" si="14"/>
        <v>34</v>
      </c>
      <c r="AX781" s="113">
        <v>18</v>
      </c>
    </row>
    <row r="782" spans="1:50" x14ac:dyDescent="0.25">
      <c r="A782" s="216" t="s">
        <v>604</v>
      </c>
      <c r="B782" s="149">
        <v>2025</v>
      </c>
      <c r="C782" s="149">
        <v>2</v>
      </c>
      <c r="D782" s="149">
        <v>-3.48813</v>
      </c>
      <c r="E782" s="149">
        <v>7.8862299999999996E-2</v>
      </c>
      <c r="F782" s="217">
        <v>0.117228</v>
      </c>
      <c r="G782" s="217">
        <v>-2.3727</v>
      </c>
      <c r="H782" s="217">
        <v>-3.44E-2</v>
      </c>
      <c r="I782" s="217">
        <v>39</v>
      </c>
      <c r="J782" s="217">
        <v>60</v>
      </c>
      <c r="K782" s="217">
        <v>0.65</v>
      </c>
      <c r="L782" s="217">
        <v>-0.47549999999999998</v>
      </c>
      <c r="M782" s="217">
        <v>485</v>
      </c>
      <c r="N782" s="217">
        <v>8.0832999999999995</v>
      </c>
      <c r="O782" s="217">
        <v>2</v>
      </c>
      <c r="P782" s="217">
        <v>2</v>
      </c>
      <c r="Q782" s="217">
        <v>4</v>
      </c>
      <c r="R782" s="217">
        <v>3</v>
      </c>
      <c r="S782" s="217">
        <v>12</v>
      </c>
      <c r="T782" s="217">
        <v>4</v>
      </c>
      <c r="U782" s="217">
        <v>0</v>
      </c>
      <c r="V782" s="217">
        <v>3.3300000000000003E-2</v>
      </c>
      <c r="W782" s="217">
        <v>3.3300000000000003E-2</v>
      </c>
      <c r="X782" s="217">
        <v>0</v>
      </c>
      <c r="Y782" s="217">
        <v>0.39129999999999998</v>
      </c>
      <c r="Z782" s="217">
        <v>87.152799999999999</v>
      </c>
      <c r="AA782" s="217">
        <v>6.1875</v>
      </c>
      <c r="AB782" s="217">
        <v>96.049499999999995</v>
      </c>
      <c r="AC782" s="217"/>
      <c r="AD782" s="217">
        <v>-7.1400000000000005E-2</v>
      </c>
      <c r="AE782" s="217">
        <v>9.4000000000000004E-3</v>
      </c>
      <c r="AF782" s="217">
        <v>6.2799999999999995E-2</v>
      </c>
      <c r="AG782" s="217">
        <v>-3.4599999999999999E-2</v>
      </c>
      <c r="AH782" s="217">
        <v>-0.15409999999999999</v>
      </c>
      <c r="AI782" s="217">
        <v>0.14119999999999999</v>
      </c>
      <c r="AJ782" s="217">
        <v>-6.0699999999999997E-2</v>
      </c>
      <c r="AK782" s="217">
        <v>8.65</v>
      </c>
      <c r="AL782" s="217">
        <v>-0.61670000000000003</v>
      </c>
      <c r="AM782" s="217">
        <v>1</v>
      </c>
      <c r="AN782" s="217">
        <v>2</v>
      </c>
      <c r="AO782" s="217">
        <v>0</v>
      </c>
      <c r="AP782" s="217">
        <v>0</v>
      </c>
      <c r="AQ782" s="217">
        <v>0</v>
      </c>
      <c r="AR782" s="217"/>
      <c r="AS782" s="217">
        <v>1.5E-3</v>
      </c>
      <c r="AT782" s="217">
        <v>0.1056</v>
      </c>
      <c r="AU782" s="114" t="str">
        <f>IF(A782&lt;&gt;"",INDEX(Index!$B$1:$B$77,MATCH($A782,Index!$A$1:$A$77,0)),"")</f>
        <v>MIA</v>
      </c>
      <c r="AV782" s="123" t="str">
        <f>IF(B782&lt;&gt;"",INDEX(Index!$C$1:$C$77,MATCH($A782,Index!$A$1:$A$77,0)),"")</f>
        <v>Ewers</v>
      </c>
      <c r="AW782" s="123">
        <f t="shared" si="14"/>
        <v>52</v>
      </c>
      <c r="AX782" s="113">
        <v>18</v>
      </c>
    </row>
    <row r="783" spans="1:50" x14ac:dyDescent="0.25">
      <c r="A783" s="216" t="s">
        <v>589</v>
      </c>
      <c r="B783" s="149">
        <v>2025</v>
      </c>
      <c r="C783" s="149">
        <v>6</v>
      </c>
      <c r="D783" s="149">
        <v>-3.72695</v>
      </c>
      <c r="E783" s="149">
        <v>-8.9766799999999994E-2</v>
      </c>
      <c r="F783" s="217">
        <v>-0.13372500000000001</v>
      </c>
      <c r="G783" s="217">
        <v>-27.662600000000001</v>
      </c>
      <c r="H783" s="217">
        <v>-0.1203</v>
      </c>
      <c r="I783" s="217">
        <v>110</v>
      </c>
      <c r="J783" s="217">
        <v>184</v>
      </c>
      <c r="K783" s="217">
        <v>0.5978</v>
      </c>
      <c r="L783" s="217">
        <v>-7.5071000000000003</v>
      </c>
      <c r="M783" s="217">
        <v>937</v>
      </c>
      <c r="N783" s="217">
        <v>5.0923999999999996</v>
      </c>
      <c r="O783" s="217">
        <v>7</v>
      </c>
      <c r="P783" s="217">
        <v>2</v>
      </c>
      <c r="Q783" s="217">
        <v>19</v>
      </c>
      <c r="R783" s="217">
        <v>13</v>
      </c>
      <c r="S783" s="217">
        <v>87</v>
      </c>
      <c r="T783" s="217">
        <v>6.6923000000000004</v>
      </c>
      <c r="U783" s="217">
        <v>0</v>
      </c>
      <c r="V783" s="217">
        <v>3.7999999999999999E-2</v>
      </c>
      <c r="W783" s="217">
        <v>1.09E-2</v>
      </c>
      <c r="X783" s="217">
        <v>2.7199999999999998E-2</v>
      </c>
      <c r="Y783" s="217">
        <v>0.35220000000000001</v>
      </c>
      <c r="Z783" s="217">
        <v>81.272599999999997</v>
      </c>
      <c r="AA783" s="217">
        <v>4.2365000000000004</v>
      </c>
      <c r="AB783" s="217">
        <v>72.512900000000002</v>
      </c>
      <c r="AC783" s="217"/>
      <c r="AD783" s="217">
        <v>-1.9599999999999999E-2</v>
      </c>
      <c r="AE783" s="217">
        <v>-2.4899999999999999E-2</v>
      </c>
      <c r="AF783" s="217">
        <v>-3.8300000000000001E-2</v>
      </c>
      <c r="AG783" s="217">
        <v>4.5400000000000003E-2</v>
      </c>
      <c r="AH783" s="217">
        <v>-0.159</v>
      </c>
      <c r="AI783" s="217">
        <v>-3.4099999999999998E-2</v>
      </c>
      <c r="AJ783" s="217">
        <v>3.73E-2</v>
      </c>
      <c r="AK783" s="217">
        <v>5.8586999999999998</v>
      </c>
      <c r="AL783" s="217">
        <v>-4.0053999999999998</v>
      </c>
      <c r="AM783" s="217">
        <v>1</v>
      </c>
      <c r="AN783" s="217">
        <v>9</v>
      </c>
      <c r="AO783" s="217">
        <v>0</v>
      </c>
      <c r="AP783" s="217">
        <v>0</v>
      </c>
      <c r="AQ783" s="217">
        <v>2</v>
      </c>
      <c r="AR783" s="217">
        <v>0</v>
      </c>
      <c r="AS783" s="217">
        <v>-3.0999999999999999E-3</v>
      </c>
      <c r="AT783" s="217">
        <v>-0.71830000000000005</v>
      </c>
      <c r="AU783" s="114" t="str">
        <f>IF(A783&lt;&gt;"",INDEX(Index!$B$1:$B$77,MATCH($A783,Index!$A$1:$A$77,0)),"")</f>
        <v>CLE</v>
      </c>
      <c r="AV783" s="123" t="str">
        <f>IF(B783&lt;&gt;"",INDEX(Index!$C$1:$C$77,MATCH($A783,Index!$A$1:$A$77,0)),"")</f>
        <v>Gabriel</v>
      </c>
      <c r="AW783" s="123">
        <f t="shared" si="14"/>
        <v>27</v>
      </c>
      <c r="AX783" s="113">
        <v>18</v>
      </c>
    </row>
    <row r="784" spans="1:50" x14ac:dyDescent="0.25">
      <c r="A784" s="216" t="s">
        <v>607</v>
      </c>
      <c r="B784" s="149">
        <v>2025</v>
      </c>
      <c r="C784" s="149">
        <v>1</v>
      </c>
      <c r="D784" s="149">
        <v>-3.9644499999999998</v>
      </c>
      <c r="E784" s="149">
        <v>5.02914E-2</v>
      </c>
      <c r="F784" s="217">
        <v>5.02914E-2</v>
      </c>
      <c r="G784" s="217">
        <v>5.9192</v>
      </c>
      <c r="H784" s="217">
        <v>0.16</v>
      </c>
      <c r="I784" s="217">
        <v>20</v>
      </c>
      <c r="J784" s="217">
        <v>31</v>
      </c>
      <c r="K784" s="217">
        <v>0.6452</v>
      </c>
      <c r="L784" s="217">
        <v>-0.74009999999999998</v>
      </c>
      <c r="M784" s="217">
        <v>241</v>
      </c>
      <c r="N784" s="217">
        <v>7.7742000000000004</v>
      </c>
      <c r="O784" s="217">
        <v>0</v>
      </c>
      <c r="P784" s="217">
        <v>1</v>
      </c>
      <c r="Q784" s="217">
        <v>2</v>
      </c>
      <c r="R784" s="217">
        <v>2</v>
      </c>
      <c r="S784" s="217">
        <v>10</v>
      </c>
      <c r="T784" s="217">
        <v>5</v>
      </c>
      <c r="U784" s="217">
        <v>0</v>
      </c>
      <c r="V784" s="217">
        <v>0</v>
      </c>
      <c r="W784" s="217">
        <v>3.2300000000000002E-2</v>
      </c>
      <c r="X784" s="217">
        <v>-3.2300000000000002E-2</v>
      </c>
      <c r="Y784" s="217">
        <v>0.48649999999999999</v>
      </c>
      <c r="Z784" s="217">
        <v>74.798400000000001</v>
      </c>
      <c r="AA784" s="217">
        <v>5.5152000000000001</v>
      </c>
      <c r="AB784" s="217">
        <v>82.873000000000005</v>
      </c>
      <c r="AC784" s="217"/>
      <c r="AD784" s="217">
        <v>-3.3700000000000001E-2</v>
      </c>
      <c r="AE784" s="217">
        <v>1.6799999999999999E-2</v>
      </c>
      <c r="AF784" s="217">
        <v>-4.5600000000000002E-2</v>
      </c>
      <c r="AG784" s="217">
        <v>-3.3599999999999998E-2</v>
      </c>
      <c r="AH784" s="217">
        <v>2.4799999999999999E-2</v>
      </c>
      <c r="AI784" s="217">
        <v>2.7900000000000001E-2</v>
      </c>
      <c r="AJ784" s="217">
        <v>0.13020000000000001</v>
      </c>
      <c r="AK784" s="217">
        <v>6.1289999999999996</v>
      </c>
      <c r="AL784" s="217">
        <v>-3.4194</v>
      </c>
      <c r="AM784" s="217">
        <v>0</v>
      </c>
      <c r="AN784" s="217">
        <v>2</v>
      </c>
      <c r="AO784" s="217">
        <v>0</v>
      </c>
      <c r="AP784" s="217">
        <v>0</v>
      </c>
      <c r="AQ784" s="217">
        <v>0</v>
      </c>
      <c r="AR784" s="217"/>
      <c r="AS784" s="217">
        <v>1.5E-3</v>
      </c>
      <c r="AT784" s="217">
        <v>5.6599999999999998E-2</v>
      </c>
      <c r="AU784" s="114" t="str">
        <f>IF(A784&lt;&gt;"",INDEX(Index!$B$1:$B$77,MATCH($A784,Index!$A$1:$A$77,0)),"")</f>
        <v>WAS</v>
      </c>
      <c r="AV784" s="123" t="str">
        <f>IF(B784&lt;&gt;"",INDEX(Index!$C$1:$C$77,MATCH($A784,Index!$A$1:$A$77,0)),"")</f>
        <v>Johnson</v>
      </c>
      <c r="AW784" s="123">
        <f t="shared" si="14"/>
        <v>55</v>
      </c>
      <c r="AX784" s="113">
        <v>18</v>
      </c>
    </row>
    <row r="785" spans="1:50" x14ac:dyDescent="0.25">
      <c r="A785" s="216" t="s">
        <v>602</v>
      </c>
      <c r="B785" s="149">
        <v>2025</v>
      </c>
      <c r="C785" s="149">
        <v>3</v>
      </c>
      <c r="D785" s="149">
        <v>-4.6943599999999996</v>
      </c>
      <c r="E785" s="149">
        <v>-0.123944</v>
      </c>
      <c r="F785" s="217">
        <v>-0.96344099999999999</v>
      </c>
      <c r="G785" s="217">
        <v>-60.152999999999999</v>
      </c>
      <c r="H785" s="217">
        <v>-0.37359999999999999</v>
      </c>
      <c r="I785" s="217">
        <v>77</v>
      </c>
      <c r="J785" s="217">
        <v>131</v>
      </c>
      <c r="K785" s="217">
        <v>0.58779999999999999</v>
      </c>
      <c r="L785" s="217">
        <v>-8.3071999999999999</v>
      </c>
      <c r="M785" s="217">
        <v>679</v>
      </c>
      <c r="N785" s="217">
        <v>5.1832000000000003</v>
      </c>
      <c r="O785" s="217">
        <v>1</v>
      </c>
      <c r="P785" s="217">
        <v>7</v>
      </c>
      <c r="Q785" s="217">
        <v>18</v>
      </c>
      <c r="R785" s="217">
        <v>8</v>
      </c>
      <c r="S785" s="217">
        <v>42</v>
      </c>
      <c r="T785" s="217">
        <v>5.25</v>
      </c>
      <c r="U785" s="217">
        <v>0</v>
      </c>
      <c r="V785" s="217">
        <v>7.6E-3</v>
      </c>
      <c r="W785" s="217">
        <v>5.3400000000000003E-2</v>
      </c>
      <c r="X785" s="217">
        <v>-4.58E-2</v>
      </c>
      <c r="Y785" s="217">
        <v>0.32919999999999999</v>
      </c>
      <c r="Z785" s="217">
        <v>52.942100000000003</v>
      </c>
      <c r="AA785" s="217">
        <v>1.7851999999999999</v>
      </c>
      <c r="AB785" s="217">
        <v>-25.2545</v>
      </c>
      <c r="AC785" s="217"/>
      <c r="AD785" s="217">
        <v>-3.4299999999999997E-2</v>
      </c>
      <c r="AE785" s="217">
        <v>-0.09</v>
      </c>
      <c r="AF785" s="217">
        <v>-3.44E-2</v>
      </c>
      <c r="AG785" s="217">
        <v>-7.8600000000000003E-2</v>
      </c>
      <c r="AH785" s="217">
        <v>-0.15989999999999999</v>
      </c>
      <c r="AI785" s="217">
        <v>-4.2299999999999997E-2</v>
      </c>
      <c r="AJ785" s="217">
        <v>-7.1000000000000004E-3</v>
      </c>
      <c r="AK785" s="217">
        <v>6.0610999999999997</v>
      </c>
      <c r="AL785" s="217">
        <v>-3.1907999999999999</v>
      </c>
      <c r="AM785" s="217">
        <v>0</v>
      </c>
      <c r="AN785" s="217">
        <v>4</v>
      </c>
      <c r="AO785" s="217">
        <v>0</v>
      </c>
      <c r="AP785" s="217">
        <v>0</v>
      </c>
      <c r="AQ785" s="217">
        <v>0</v>
      </c>
      <c r="AR785" s="217"/>
      <c r="AS785" s="217">
        <v>-2.5999999999999999E-3</v>
      </c>
      <c r="AT785" s="217">
        <v>-0.42509999999999998</v>
      </c>
      <c r="AU785" s="114" t="str">
        <f>IF(A785&lt;&gt;"",INDEX(Index!$B$1:$B$77,MATCH($A785,Index!$A$1:$A$77,0)),"")</f>
        <v>NYJ</v>
      </c>
      <c r="AV785" s="123" t="str">
        <f>IF(B785&lt;&gt;"",INDEX(Index!$C$1:$C$77,MATCH($A785,Index!$A$1:$A$77,0)),"")</f>
        <v>Cook</v>
      </c>
      <c r="AW785" s="123">
        <f t="shared" si="14"/>
        <v>29</v>
      </c>
      <c r="AX785" s="113">
        <v>18</v>
      </c>
    </row>
    <row r="786" spans="1:50" x14ac:dyDescent="0.25">
      <c r="A786" s="216" t="s">
        <v>599</v>
      </c>
      <c r="B786" s="149">
        <v>2025</v>
      </c>
      <c r="C786" s="149">
        <v>2</v>
      </c>
      <c r="D786" s="149">
        <v>-5.08758</v>
      </c>
      <c r="E786" s="149">
        <v>-0.65202099999999996</v>
      </c>
      <c r="F786" s="217">
        <v>-1.5617399999999999</v>
      </c>
      <c r="G786" s="217">
        <v>-49.219200000000001</v>
      </c>
      <c r="H786" s="217">
        <v>-0.60760000000000003</v>
      </c>
      <c r="I786" s="217">
        <v>40</v>
      </c>
      <c r="J786" s="217">
        <v>63</v>
      </c>
      <c r="K786" s="217">
        <v>0.63490000000000002</v>
      </c>
      <c r="L786" s="217">
        <v>-5.1319999999999997</v>
      </c>
      <c r="M786" s="217">
        <v>271</v>
      </c>
      <c r="N786" s="217">
        <v>4.3015999999999996</v>
      </c>
      <c r="O786" s="217">
        <v>0</v>
      </c>
      <c r="P786" s="217">
        <v>4</v>
      </c>
      <c r="Q786" s="217">
        <v>12</v>
      </c>
      <c r="R786" s="217">
        <v>2</v>
      </c>
      <c r="S786" s="217">
        <v>16</v>
      </c>
      <c r="T786" s="217">
        <v>8</v>
      </c>
      <c r="U786" s="217">
        <v>0</v>
      </c>
      <c r="V786" s="217">
        <v>0</v>
      </c>
      <c r="W786" s="217">
        <v>6.3500000000000001E-2</v>
      </c>
      <c r="X786" s="217">
        <v>-6.3500000000000001E-2</v>
      </c>
      <c r="Y786" s="217">
        <v>0.25929999999999997</v>
      </c>
      <c r="Z786" s="217">
        <v>46.461599999999997</v>
      </c>
      <c r="AA786" s="217">
        <v>5.33E-2</v>
      </c>
      <c r="AB786" s="217">
        <v>-159.04</v>
      </c>
      <c r="AC786" s="217"/>
      <c r="AD786" s="217">
        <v>-8.3000000000000001E-3</v>
      </c>
      <c r="AE786" s="217">
        <v>-0.1376</v>
      </c>
      <c r="AF786" s="217">
        <v>1.5100000000000001E-2</v>
      </c>
      <c r="AG786" s="217">
        <v>-0.15379999999999999</v>
      </c>
      <c r="AH786" s="217">
        <v>-0.32300000000000001</v>
      </c>
      <c r="AI786" s="217">
        <v>-7.6399999999999996E-2</v>
      </c>
      <c r="AJ786" s="217">
        <v>3.3E-3</v>
      </c>
      <c r="AK786" s="217">
        <v>4.5872999999999999</v>
      </c>
      <c r="AL786" s="217">
        <v>-4.6984000000000004</v>
      </c>
      <c r="AM786" s="217">
        <v>3</v>
      </c>
      <c r="AN786" s="217">
        <v>2</v>
      </c>
      <c r="AO786" s="217">
        <v>0</v>
      </c>
      <c r="AP786" s="217">
        <v>0</v>
      </c>
      <c r="AQ786" s="217">
        <v>0</v>
      </c>
      <c r="AR786" s="217"/>
      <c r="AS786" s="217">
        <v>-1.24E-2</v>
      </c>
      <c r="AT786" s="217">
        <v>-1.0007999999999999</v>
      </c>
      <c r="AU786" s="114" t="str">
        <f>IF(A786&lt;&gt;"",INDEX(Index!$B$1:$B$77,MATCH($A786,Index!$A$1:$A$77,0)),"")</f>
        <v>MIN</v>
      </c>
      <c r="AV786" s="123" t="str">
        <f>IF(B786&lt;&gt;"",INDEX(Index!$C$1:$C$77,MATCH($A786,Index!$A$1:$A$77,0)),"")</f>
        <v>Brosmer</v>
      </c>
      <c r="AW786" s="123">
        <f t="shared" si="14"/>
        <v>41</v>
      </c>
      <c r="AX786" s="113">
        <v>18</v>
      </c>
    </row>
  </sheetData>
  <autoFilter ref="A1:AX1" xr:uid="{4DCE2602-BCAB-461B-A4F9-24317D77A47B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3B0C-94BC-428C-AACA-2C544AAA3EA0}">
  <dimension ref="A1:AA3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9.28515625" bestFit="1" customWidth="1"/>
    <col min="2" max="2" width="13.5703125" bestFit="1" customWidth="1"/>
    <col min="3" max="3" width="8.85546875" bestFit="1" customWidth="1"/>
    <col min="4" max="4" width="17.140625" bestFit="1" customWidth="1"/>
    <col min="5" max="5" width="9.28515625" bestFit="1" customWidth="1"/>
    <col min="6" max="6" width="14.140625" bestFit="1" customWidth="1"/>
    <col min="7" max="7" width="12.85546875" bestFit="1" customWidth="1"/>
    <col min="8" max="8" width="8.85546875" bestFit="1" customWidth="1"/>
    <col min="9" max="9" width="13.42578125" bestFit="1" customWidth="1"/>
    <col min="10" max="10" width="8.85546875" bestFit="1" customWidth="1"/>
    <col min="11" max="11" width="12.140625" bestFit="1" customWidth="1"/>
    <col min="12" max="12" width="8.85546875" bestFit="1" customWidth="1"/>
    <col min="13" max="13" width="11.42578125" bestFit="1" customWidth="1"/>
    <col min="14" max="14" width="12" bestFit="1" customWidth="1"/>
    <col min="15" max="15" width="10.7109375" bestFit="1" customWidth="1"/>
    <col min="16" max="16" width="13" bestFit="1" customWidth="1"/>
    <col min="17" max="17" width="8.85546875" bestFit="1" customWidth="1"/>
    <col min="18" max="18" width="13.7109375" bestFit="1" customWidth="1"/>
    <col min="19" max="19" width="8.85546875" bestFit="1" customWidth="1"/>
    <col min="20" max="20" width="10.140625" bestFit="1" customWidth="1"/>
    <col min="21" max="21" width="8.85546875" bestFit="1" customWidth="1"/>
    <col min="22" max="22" width="11.42578125" bestFit="1" customWidth="1"/>
    <col min="23" max="23" width="8.85546875" bestFit="1" customWidth="1"/>
    <col min="24" max="24" width="7.85546875" bestFit="1" customWidth="1"/>
    <col min="25" max="25" width="8.85546875" bestFit="1" customWidth="1"/>
    <col min="26" max="26" width="9.5703125" bestFit="1" customWidth="1"/>
    <col min="27" max="27" width="8.42578125" bestFit="1" customWidth="1"/>
  </cols>
  <sheetData>
    <row r="1" spans="1:27" x14ac:dyDescent="0.25">
      <c r="A1" s="96" t="s">
        <v>608</v>
      </c>
      <c r="B1" s="96" t="s">
        <v>609</v>
      </c>
      <c r="C1" s="96" t="s">
        <v>396</v>
      </c>
      <c r="D1" s="96" t="s">
        <v>610</v>
      </c>
      <c r="E1" s="96" t="s">
        <v>498</v>
      </c>
      <c r="F1" s="96" t="s">
        <v>611</v>
      </c>
      <c r="G1" s="96" t="s">
        <v>612</v>
      </c>
      <c r="H1" s="96" t="s">
        <v>396</v>
      </c>
      <c r="I1" s="96" t="s">
        <v>613</v>
      </c>
      <c r="J1" s="96" t="s">
        <v>396</v>
      </c>
      <c r="K1" s="96" t="s">
        <v>614</v>
      </c>
      <c r="L1" s="96" t="s">
        <v>396</v>
      </c>
      <c r="M1" s="96" t="s">
        <v>615</v>
      </c>
      <c r="N1" s="96" t="s">
        <v>616</v>
      </c>
      <c r="O1" s="96" t="s">
        <v>617</v>
      </c>
      <c r="P1" s="96" t="s">
        <v>618</v>
      </c>
      <c r="Q1" s="96" t="s">
        <v>396</v>
      </c>
      <c r="R1" s="96" t="s">
        <v>619</v>
      </c>
      <c r="S1" s="96" t="s">
        <v>396</v>
      </c>
      <c r="T1" s="96" t="s">
        <v>620</v>
      </c>
      <c r="U1" s="96" t="s">
        <v>396</v>
      </c>
      <c r="V1" s="96" t="s">
        <v>621</v>
      </c>
      <c r="W1" s="96" t="s">
        <v>396</v>
      </c>
      <c r="X1" s="96" t="s">
        <v>622</v>
      </c>
      <c r="Y1" s="96" t="s">
        <v>396</v>
      </c>
      <c r="Z1" s="96" t="s">
        <v>397</v>
      </c>
      <c r="AA1" s="96" t="s">
        <v>623</v>
      </c>
    </row>
    <row r="2" spans="1:27" x14ac:dyDescent="0.25">
      <c r="A2" s="96" t="s">
        <v>93</v>
      </c>
      <c r="B2" s="96">
        <v>-4.7</v>
      </c>
      <c r="C2" s="96">
        <v>17</v>
      </c>
      <c r="D2" s="96">
        <v>-11.5</v>
      </c>
      <c r="E2" s="109">
        <v>36526</v>
      </c>
      <c r="F2" s="96" t="s">
        <v>624</v>
      </c>
      <c r="G2" s="96">
        <v>-4.7</v>
      </c>
      <c r="H2" s="96">
        <v>20</v>
      </c>
      <c r="I2" s="96">
        <v>-7.2</v>
      </c>
      <c r="J2" s="96">
        <v>12</v>
      </c>
      <c r="K2" s="96">
        <v>-7.2</v>
      </c>
      <c r="L2" s="96">
        <v>26</v>
      </c>
      <c r="M2" s="96">
        <v>-4.7</v>
      </c>
      <c r="N2" s="96">
        <v>1.1000000000000001</v>
      </c>
      <c r="O2" s="96">
        <v>-5.7</v>
      </c>
      <c r="P2" s="96">
        <v>0.4</v>
      </c>
      <c r="Q2" s="96">
        <v>23</v>
      </c>
      <c r="R2" s="96">
        <v>-4.7</v>
      </c>
      <c r="S2" s="96">
        <v>17</v>
      </c>
      <c r="T2" s="96">
        <v>0</v>
      </c>
      <c r="U2" s="96">
        <v>1</v>
      </c>
      <c r="V2" s="96">
        <v>4.2</v>
      </c>
      <c r="W2" s="96">
        <v>12</v>
      </c>
      <c r="X2" s="96">
        <v>0</v>
      </c>
      <c r="Y2" s="96">
        <v>1</v>
      </c>
      <c r="Z2" s="96">
        <v>1</v>
      </c>
      <c r="AA2" s="96">
        <v>2025</v>
      </c>
    </row>
    <row r="3" spans="1:27" x14ac:dyDescent="0.25">
      <c r="A3" s="96" t="s">
        <v>69</v>
      </c>
      <c r="B3" s="96">
        <v>-13.3</v>
      </c>
      <c r="C3" s="96">
        <v>22</v>
      </c>
      <c r="D3" s="96">
        <v>-9.4</v>
      </c>
      <c r="E3" s="109" t="s">
        <v>625</v>
      </c>
      <c r="F3" s="96" t="s">
        <v>624</v>
      </c>
      <c r="G3" s="96">
        <v>-2.9</v>
      </c>
      <c r="H3" s="96">
        <v>19</v>
      </c>
      <c r="I3" s="96">
        <v>0.4</v>
      </c>
      <c r="J3" s="96">
        <v>16</v>
      </c>
      <c r="K3" s="96">
        <v>-9.9</v>
      </c>
      <c r="L3" s="96">
        <v>30</v>
      </c>
      <c r="M3" s="96">
        <v>-0.9</v>
      </c>
      <c r="N3" s="96">
        <v>0.4</v>
      </c>
      <c r="O3" s="96">
        <v>-8.1</v>
      </c>
      <c r="P3" s="96">
        <v>0.4</v>
      </c>
      <c r="Q3" s="96">
        <v>22</v>
      </c>
      <c r="R3" s="96">
        <v>-13.3</v>
      </c>
      <c r="S3" s="96">
        <v>22</v>
      </c>
      <c r="T3" s="96">
        <v>0</v>
      </c>
      <c r="U3" s="96">
        <v>1</v>
      </c>
      <c r="V3" s="96">
        <v>-2.6</v>
      </c>
      <c r="W3" s="96">
        <v>21</v>
      </c>
      <c r="X3" s="96">
        <v>0</v>
      </c>
      <c r="Y3" s="96">
        <v>1</v>
      </c>
      <c r="Z3" s="96">
        <v>1</v>
      </c>
      <c r="AA3" s="96">
        <v>2025</v>
      </c>
    </row>
    <row r="4" spans="1:27" x14ac:dyDescent="0.25">
      <c r="A4" s="96" t="s">
        <v>47</v>
      </c>
      <c r="B4" s="96">
        <v>36.9</v>
      </c>
      <c r="C4" s="96">
        <v>6</v>
      </c>
      <c r="D4" s="96">
        <v>36.6</v>
      </c>
      <c r="E4" s="109" t="s">
        <v>625</v>
      </c>
      <c r="F4" s="96" t="s">
        <v>624</v>
      </c>
      <c r="G4" s="96">
        <v>56.9</v>
      </c>
      <c r="H4" s="96">
        <v>1</v>
      </c>
      <c r="I4" s="96">
        <v>21.8</v>
      </c>
      <c r="J4" s="96">
        <v>26</v>
      </c>
      <c r="K4" s="96">
        <v>1.8</v>
      </c>
      <c r="L4" s="96">
        <v>12</v>
      </c>
      <c r="M4" s="96">
        <v>59.2</v>
      </c>
      <c r="N4" s="96">
        <v>24.9</v>
      </c>
      <c r="O4" s="96">
        <v>2.2999999999999998</v>
      </c>
      <c r="P4" s="96">
        <v>0.6</v>
      </c>
      <c r="Q4" s="96">
        <v>11</v>
      </c>
      <c r="R4" s="96">
        <v>36.9</v>
      </c>
      <c r="S4" s="96">
        <v>6</v>
      </c>
      <c r="T4" s="96">
        <v>0</v>
      </c>
      <c r="U4" s="96">
        <v>1</v>
      </c>
      <c r="V4" s="96">
        <v>-7.9</v>
      </c>
      <c r="W4" s="96">
        <v>27</v>
      </c>
      <c r="X4" s="96">
        <v>0</v>
      </c>
      <c r="Y4" s="96">
        <v>1</v>
      </c>
      <c r="Z4" s="96">
        <v>1</v>
      </c>
      <c r="AA4" s="96">
        <v>2025</v>
      </c>
    </row>
    <row r="5" spans="1:27" x14ac:dyDescent="0.25">
      <c r="A5" s="96" t="s">
        <v>25</v>
      </c>
      <c r="B5" s="96">
        <v>-38.5</v>
      </c>
      <c r="C5" s="96">
        <v>26</v>
      </c>
      <c r="D5" s="96">
        <v>-36.700000000000003</v>
      </c>
      <c r="E5" s="109">
        <v>36526</v>
      </c>
      <c r="F5" s="96" t="s">
        <v>624</v>
      </c>
      <c r="G5" s="96">
        <v>23.5</v>
      </c>
      <c r="H5" s="96">
        <v>7</v>
      </c>
      <c r="I5" s="96">
        <v>58.8</v>
      </c>
      <c r="J5" s="96">
        <v>32</v>
      </c>
      <c r="K5" s="96">
        <v>-3.2</v>
      </c>
      <c r="L5" s="96">
        <v>23</v>
      </c>
      <c r="M5" s="96">
        <v>26.7</v>
      </c>
      <c r="N5" s="96">
        <v>61</v>
      </c>
      <c r="O5" s="96">
        <v>-2.4</v>
      </c>
      <c r="P5" s="96">
        <v>0.3</v>
      </c>
      <c r="Q5" s="96">
        <v>25</v>
      </c>
      <c r="R5" s="96">
        <v>-38.5</v>
      </c>
      <c r="S5" s="96">
        <v>26</v>
      </c>
      <c r="T5" s="96">
        <v>0</v>
      </c>
      <c r="U5" s="96">
        <v>1</v>
      </c>
      <c r="V5" s="96">
        <v>-16.3</v>
      </c>
      <c r="W5" s="96">
        <v>29</v>
      </c>
      <c r="X5" s="96">
        <v>0</v>
      </c>
      <c r="Y5" s="96">
        <v>1</v>
      </c>
      <c r="Z5" s="96">
        <v>1</v>
      </c>
      <c r="AA5" s="96">
        <v>2025</v>
      </c>
    </row>
    <row r="6" spans="1:27" x14ac:dyDescent="0.25">
      <c r="A6" s="96" t="s">
        <v>67</v>
      </c>
      <c r="B6" s="96">
        <v>-47.9</v>
      </c>
      <c r="C6" s="96">
        <v>29</v>
      </c>
      <c r="D6" s="96">
        <v>-49.7</v>
      </c>
      <c r="E6" s="109" t="s">
        <v>625</v>
      </c>
      <c r="F6" s="96" t="s">
        <v>624</v>
      </c>
      <c r="G6" s="96">
        <v>-37.1</v>
      </c>
      <c r="H6" s="96">
        <v>29</v>
      </c>
      <c r="I6" s="96">
        <v>8.1999999999999993</v>
      </c>
      <c r="J6" s="96">
        <v>19</v>
      </c>
      <c r="K6" s="96">
        <v>-2.7</v>
      </c>
      <c r="L6" s="96">
        <v>21</v>
      </c>
      <c r="M6" s="96">
        <v>-39.9</v>
      </c>
      <c r="N6" s="96">
        <v>8.1999999999999993</v>
      </c>
      <c r="O6" s="96">
        <v>-1.6</v>
      </c>
      <c r="P6" s="96">
        <v>0.3</v>
      </c>
      <c r="Q6" s="96">
        <v>24</v>
      </c>
      <c r="R6" s="96">
        <v>-47.9</v>
      </c>
      <c r="S6" s="96">
        <v>29</v>
      </c>
      <c r="T6" s="96">
        <v>0</v>
      </c>
      <c r="U6" s="96">
        <v>1</v>
      </c>
      <c r="V6" s="96">
        <v>-5.0999999999999996</v>
      </c>
      <c r="W6" s="96">
        <v>25</v>
      </c>
      <c r="X6" s="96">
        <v>0</v>
      </c>
      <c r="Y6" s="96">
        <v>1</v>
      </c>
      <c r="Z6" s="96">
        <v>1</v>
      </c>
      <c r="AA6" s="96">
        <v>2025</v>
      </c>
    </row>
    <row r="7" spans="1:27" x14ac:dyDescent="0.25">
      <c r="A7" s="96" t="s">
        <v>72</v>
      </c>
      <c r="B7" s="96">
        <v>-13.3</v>
      </c>
      <c r="C7" s="96">
        <v>23</v>
      </c>
      <c r="D7" s="96">
        <v>-26.9</v>
      </c>
      <c r="E7" s="109" t="s">
        <v>625</v>
      </c>
      <c r="F7" s="96" t="s">
        <v>624</v>
      </c>
      <c r="G7" s="96">
        <v>-7.9</v>
      </c>
      <c r="H7" s="96">
        <v>21</v>
      </c>
      <c r="I7" s="96">
        <v>-3.4</v>
      </c>
      <c r="J7" s="96">
        <v>13</v>
      </c>
      <c r="K7" s="96">
        <v>-8.8000000000000007</v>
      </c>
      <c r="L7" s="96">
        <v>29</v>
      </c>
      <c r="M7" s="96">
        <v>-7.9</v>
      </c>
      <c r="N7" s="96">
        <v>11</v>
      </c>
      <c r="O7" s="96">
        <v>-7.9</v>
      </c>
      <c r="P7" s="96">
        <v>0.2</v>
      </c>
      <c r="Q7" s="96">
        <v>30</v>
      </c>
      <c r="R7" s="96">
        <v>-13.3</v>
      </c>
      <c r="S7" s="96">
        <v>23</v>
      </c>
      <c r="T7" s="96">
        <v>0</v>
      </c>
      <c r="U7" s="96">
        <v>1</v>
      </c>
      <c r="V7" s="96">
        <v>5.4</v>
      </c>
      <c r="W7" s="96">
        <v>11</v>
      </c>
      <c r="X7" s="96">
        <v>0</v>
      </c>
      <c r="Y7" s="96">
        <v>1</v>
      </c>
      <c r="Z7" s="96">
        <v>1</v>
      </c>
      <c r="AA7" s="96">
        <v>2025</v>
      </c>
    </row>
    <row r="8" spans="1:27" x14ac:dyDescent="0.25">
      <c r="A8" s="96" t="s">
        <v>77</v>
      </c>
      <c r="B8" s="96">
        <v>-2.2999999999999998</v>
      </c>
      <c r="C8" s="96">
        <v>16</v>
      </c>
      <c r="D8" s="96">
        <v>-1.7</v>
      </c>
      <c r="E8" s="109">
        <v>36526</v>
      </c>
      <c r="F8" s="96" t="s">
        <v>624</v>
      </c>
      <c r="G8" s="96">
        <v>-13.9</v>
      </c>
      <c r="H8" s="96">
        <v>24</v>
      </c>
      <c r="I8" s="96">
        <v>-11.9</v>
      </c>
      <c r="J8" s="96">
        <v>10</v>
      </c>
      <c r="K8" s="96">
        <v>-0.4</v>
      </c>
      <c r="L8" s="96">
        <v>17</v>
      </c>
      <c r="M8" s="96">
        <v>-13.9</v>
      </c>
      <c r="N8" s="96">
        <v>-11.9</v>
      </c>
      <c r="O8" s="96">
        <v>0.3</v>
      </c>
      <c r="P8" s="96">
        <v>0.4</v>
      </c>
      <c r="Q8" s="96">
        <v>21</v>
      </c>
      <c r="R8" s="96">
        <v>-2.2999999999999998</v>
      </c>
      <c r="S8" s="96">
        <v>16</v>
      </c>
      <c r="T8" s="96">
        <v>0</v>
      </c>
      <c r="U8" s="96">
        <v>1</v>
      </c>
      <c r="V8" s="96">
        <v>1.7</v>
      </c>
      <c r="W8" s="96">
        <v>16</v>
      </c>
      <c r="X8" s="96">
        <v>0</v>
      </c>
      <c r="Y8" s="96">
        <v>1</v>
      </c>
      <c r="Z8" s="96">
        <v>1</v>
      </c>
      <c r="AA8" s="96">
        <v>2025</v>
      </c>
    </row>
    <row r="9" spans="1:27" x14ac:dyDescent="0.25">
      <c r="A9" s="96" t="s">
        <v>91</v>
      </c>
      <c r="B9" s="96">
        <v>-10.8</v>
      </c>
      <c r="C9" s="96">
        <v>20</v>
      </c>
      <c r="D9" s="96">
        <v>-10.199999999999999</v>
      </c>
      <c r="E9" s="109" t="s">
        <v>625</v>
      </c>
      <c r="F9" s="96" t="s">
        <v>624</v>
      </c>
      <c r="G9" s="96">
        <v>-14.4</v>
      </c>
      <c r="H9" s="96">
        <v>25</v>
      </c>
      <c r="I9" s="96">
        <v>-16.600000000000001</v>
      </c>
      <c r="J9" s="96">
        <v>7</v>
      </c>
      <c r="K9" s="96">
        <v>-13</v>
      </c>
      <c r="L9" s="96">
        <v>31</v>
      </c>
      <c r="M9" s="96">
        <v>-14.4</v>
      </c>
      <c r="N9" s="96">
        <v>-16.600000000000001</v>
      </c>
      <c r="O9" s="96">
        <v>-12.4</v>
      </c>
      <c r="P9" s="96">
        <v>0.6</v>
      </c>
      <c r="Q9" s="96">
        <v>12</v>
      </c>
      <c r="R9" s="96">
        <v>-10.8</v>
      </c>
      <c r="S9" s="96">
        <v>20</v>
      </c>
      <c r="T9" s="96">
        <v>0</v>
      </c>
      <c r="U9" s="96">
        <v>1</v>
      </c>
      <c r="V9" s="96">
        <v>-3.8</v>
      </c>
      <c r="W9" s="96">
        <v>23</v>
      </c>
      <c r="X9" s="96">
        <v>0</v>
      </c>
      <c r="Y9" s="96">
        <v>1</v>
      </c>
      <c r="Z9" s="96">
        <v>1</v>
      </c>
      <c r="AA9" s="96">
        <v>2025</v>
      </c>
    </row>
    <row r="10" spans="1:27" x14ac:dyDescent="0.25">
      <c r="A10" s="96" t="s">
        <v>14</v>
      </c>
      <c r="B10" s="96">
        <v>-0.4</v>
      </c>
      <c r="C10" s="96">
        <v>14</v>
      </c>
      <c r="D10" s="96">
        <v>-3.3</v>
      </c>
      <c r="E10" s="109" t="s">
        <v>625</v>
      </c>
      <c r="F10" s="96" t="s">
        <v>624</v>
      </c>
      <c r="G10" s="96">
        <v>25</v>
      </c>
      <c r="H10" s="96">
        <v>6</v>
      </c>
      <c r="I10" s="96">
        <v>26.4</v>
      </c>
      <c r="J10" s="96">
        <v>28</v>
      </c>
      <c r="K10" s="96">
        <v>1</v>
      </c>
      <c r="L10" s="96">
        <v>14</v>
      </c>
      <c r="M10" s="96">
        <v>21.5</v>
      </c>
      <c r="N10" s="96">
        <v>26.4</v>
      </c>
      <c r="O10" s="96">
        <v>1.6</v>
      </c>
      <c r="P10" s="96">
        <v>0.5</v>
      </c>
      <c r="Q10" s="96">
        <v>15</v>
      </c>
      <c r="R10" s="96">
        <v>-0.4</v>
      </c>
      <c r="S10" s="96">
        <v>14</v>
      </c>
      <c r="T10" s="96">
        <v>0</v>
      </c>
      <c r="U10" s="96">
        <v>1</v>
      </c>
      <c r="V10" s="96">
        <v>4.0999999999999996</v>
      </c>
      <c r="W10" s="96">
        <v>13</v>
      </c>
      <c r="X10" s="96">
        <v>0</v>
      </c>
      <c r="Y10" s="96">
        <v>1</v>
      </c>
      <c r="Z10" s="96">
        <v>1</v>
      </c>
      <c r="AA10" s="96">
        <v>2025</v>
      </c>
    </row>
    <row r="11" spans="1:27" x14ac:dyDescent="0.25">
      <c r="A11" s="96" t="s">
        <v>63</v>
      </c>
      <c r="B11" s="96">
        <v>38.1</v>
      </c>
      <c r="C11" s="96">
        <v>5</v>
      </c>
      <c r="D11" s="96">
        <v>46.8</v>
      </c>
      <c r="E11" s="109">
        <v>36526</v>
      </c>
      <c r="F11" s="96" t="s">
        <v>624</v>
      </c>
      <c r="G11" s="96">
        <v>-19.8</v>
      </c>
      <c r="H11" s="96">
        <v>26</v>
      </c>
      <c r="I11" s="96">
        <v>-65.7</v>
      </c>
      <c r="J11" s="96">
        <v>1</v>
      </c>
      <c r="K11" s="96">
        <v>-7.9</v>
      </c>
      <c r="L11" s="96">
        <v>27</v>
      </c>
      <c r="M11" s="96">
        <v>-23.4</v>
      </c>
      <c r="N11" s="96">
        <v>-74.900000000000006</v>
      </c>
      <c r="O11" s="96">
        <v>-4.8</v>
      </c>
      <c r="P11" s="96">
        <v>0.7</v>
      </c>
      <c r="Q11" s="96">
        <v>4</v>
      </c>
      <c r="R11" s="96">
        <v>38.1</v>
      </c>
      <c r="S11" s="96">
        <v>5</v>
      </c>
      <c r="T11" s="96">
        <v>0</v>
      </c>
      <c r="U11" s="96">
        <v>1</v>
      </c>
      <c r="V11" s="96">
        <v>15.4</v>
      </c>
      <c r="W11" s="96">
        <v>1</v>
      </c>
      <c r="X11" s="96">
        <v>0</v>
      </c>
      <c r="Y11" s="96">
        <v>1</v>
      </c>
      <c r="Z11" s="96">
        <v>1</v>
      </c>
      <c r="AA11" s="96">
        <v>2025</v>
      </c>
    </row>
    <row r="12" spans="1:27" x14ac:dyDescent="0.25">
      <c r="A12" s="96" t="s">
        <v>10</v>
      </c>
      <c r="B12" s="96">
        <v>-54.5</v>
      </c>
      <c r="C12" s="96">
        <v>30</v>
      </c>
      <c r="D12" s="96">
        <v>-48.7</v>
      </c>
      <c r="E12" s="109" t="s">
        <v>625</v>
      </c>
      <c r="F12" s="96" t="s">
        <v>624</v>
      </c>
      <c r="G12" s="96">
        <v>-36.700000000000003</v>
      </c>
      <c r="H12" s="96">
        <v>28</v>
      </c>
      <c r="I12" s="96">
        <v>14.6</v>
      </c>
      <c r="J12" s="96">
        <v>24</v>
      </c>
      <c r="K12" s="96">
        <v>-3.2</v>
      </c>
      <c r="L12" s="96">
        <v>22</v>
      </c>
      <c r="M12" s="96">
        <v>-31.5</v>
      </c>
      <c r="N12" s="96">
        <v>14.6</v>
      </c>
      <c r="O12" s="96">
        <v>-2.6</v>
      </c>
      <c r="P12" s="96">
        <v>0.3</v>
      </c>
      <c r="Q12" s="96">
        <v>26</v>
      </c>
      <c r="R12" s="96">
        <v>-54.5</v>
      </c>
      <c r="S12" s="96">
        <v>30</v>
      </c>
      <c r="T12" s="96">
        <v>0</v>
      </c>
      <c r="U12" s="96">
        <v>1</v>
      </c>
      <c r="V12" s="96">
        <v>7.3</v>
      </c>
      <c r="W12" s="96">
        <v>8</v>
      </c>
      <c r="X12" s="96">
        <v>0</v>
      </c>
      <c r="Y12" s="96">
        <v>1</v>
      </c>
      <c r="Z12" s="96">
        <v>1</v>
      </c>
      <c r="AA12" s="96">
        <v>2025</v>
      </c>
    </row>
    <row r="13" spans="1:27" x14ac:dyDescent="0.25">
      <c r="A13" s="96" t="s">
        <v>400</v>
      </c>
      <c r="B13" s="96">
        <v>61.7</v>
      </c>
      <c r="C13" s="96">
        <v>3</v>
      </c>
      <c r="D13" s="96">
        <v>58.6</v>
      </c>
      <c r="E13" s="109">
        <v>36526</v>
      </c>
      <c r="F13" s="96" t="s">
        <v>624</v>
      </c>
      <c r="G13" s="96">
        <v>19.7</v>
      </c>
      <c r="H13" s="96">
        <v>9</v>
      </c>
      <c r="I13" s="96">
        <v>-36.4</v>
      </c>
      <c r="J13" s="96">
        <v>4</v>
      </c>
      <c r="K13" s="96">
        <v>5.6</v>
      </c>
      <c r="L13" s="96">
        <v>10</v>
      </c>
      <c r="M13" s="96">
        <v>19.7</v>
      </c>
      <c r="N13" s="96">
        <v>-32.799999999999997</v>
      </c>
      <c r="O13" s="96">
        <v>6.2</v>
      </c>
      <c r="P13" s="96">
        <v>0.7</v>
      </c>
      <c r="Q13" s="96">
        <v>6</v>
      </c>
      <c r="R13" s="96">
        <v>61.7</v>
      </c>
      <c r="S13" s="96">
        <v>3</v>
      </c>
      <c r="T13" s="96">
        <v>0</v>
      </c>
      <c r="U13" s="96">
        <v>1</v>
      </c>
      <c r="V13" s="96">
        <v>-1.5</v>
      </c>
      <c r="W13" s="96">
        <v>20</v>
      </c>
      <c r="X13" s="96">
        <v>0</v>
      </c>
      <c r="Y13" s="96">
        <v>1</v>
      </c>
      <c r="Z13" s="96">
        <v>1</v>
      </c>
      <c r="AA13" s="96">
        <v>2025</v>
      </c>
    </row>
    <row r="14" spans="1:27" x14ac:dyDescent="0.25">
      <c r="A14" s="96" t="s">
        <v>31</v>
      </c>
      <c r="B14" s="96">
        <v>-33.200000000000003</v>
      </c>
      <c r="C14" s="96">
        <v>25</v>
      </c>
      <c r="D14" s="96">
        <v>-31</v>
      </c>
      <c r="E14" s="109" t="s">
        <v>625</v>
      </c>
      <c r="F14" s="96" t="s">
        <v>624</v>
      </c>
      <c r="G14" s="96">
        <v>-25.7</v>
      </c>
      <c r="H14" s="96">
        <v>27</v>
      </c>
      <c r="I14" s="96">
        <v>8.6</v>
      </c>
      <c r="J14" s="96">
        <v>21</v>
      </c>
      <c r="K14" s="96">
        <v>1</v>
      </c>
      <c r="L14" s="96">
        <v>13</v>
      </c>
      <c r="M14" s="96">
        <v>-30.1</v>
      </c>
      <c r="N14" s="96">
        <v>3.7</v>
      </c>
      <c r="O14" s="96">
        <v>2.9</v>
      </c>
      <c r="P14" s="96">
        <v>0.3</v>
      </c>
      <c r="Q14" s="96">
        <v>27</v>
      </c>
      <c r="R14" s="96">
        <v>-33.200000000000003</v>
      </c>
      <c r="S14" s="96">
        <v>25</v>
      </c>
      <c r="T14" s="96">
        <v>0</v>
      </c>
      <c r="U14" s="96">
        <v>1</v>
      </c>
      <c r="V14" s="96">
        <v>12.5</v>
      </c>
      <c r="W14" s="96">
        <v>2</v>
      </c>
      <c r="X14" s="96">
        <v>0</v>
      </c>
      <c r="Y14" s="96">
        <v>1</v>
      </c>
      <c r="Z14" s="96">
        <v>1</v>
      </c>
      <c r="AA14" s="96">
        <v>2025</v>
      </c>
    </row>
    <row r="15" spans="1:27" x14ac:dyDescent="0.25">
      <c r="A15" s="96" t="s">
        <v>57</v>
      </c>
      <c r="B15" s="96">
        <v>70.8</v>
      </c>
      <c r="C15" s="96">
        <v>2</v>
      </c>
      <c r="D15" s="96">
        <v>75.900000000000006</v>
      </c>
      <c r="E15" s="109">
        <v>36526</v>
      </c>
      <c r="F15" s="96" t="s">
        <v>624</v>
      </c>
      <c r="G15" s="96">
        <v>18.7</v>
      </c>
      <c r="H15" s="96">
        <v>10</v>
      </c>
      <c r="I15" s="96">
        <v>-52.2</v>
      </c>
      <c r="J15" s="96">
        <v>2</v>
      </c>
      <c r="K15" s="96">
        <v>-0.1</v>
      </c>
      <c r="L15" s="96">
        <v>15</v>
      </c>
      <c r="M15" s="96">
        <v>22.5</v>
      </c>
      <c r="N15" s="96">
        <v>-52.3</v>
      </c>
      <c r="O15" s="96">
        <v>1.2</v>
      </c>
      <c r="P15" s="96">
        <v>0.7</v>
      </c>
      <c r="Q15" s="96">
        <v>5</v>
      </c>
      <c r="R15" s="96">
        <v>70.8</v>
      </c>
      <c r="S15" s="96">
        <v>2</v>
      </c>
      <c r="T15" s="96">
        <v>0</v>
      </c>
      <c r="U15" s="96">
        <v>1</v>
      </c>
      <c r="V15" s="96">
        <v>-0.1</v>
      </c>
      <c r="W15" s="96">
        <v>18</v>
      </c>
      <c r="X15" s="96">
        <v>0</v>
      </c>
      <c r="Y15" s="96">
        <v>1</v>
      </c>
      <c r="Z15" s="96">
        <v>1</v>
      </c>
      <c r="AA15" s="96">
        <v>2025</v>
      </c>
    </row>
    <row r="16" spans="1:27" x14ac:dyDescent="0.25">
      <c r="A16" s="96" t="s">
        <v>44</v>
      </c>
      <c r="B16" s="96">
        <v>47.5</v>
      </c>
      <c r="C16" s="96">
        <v>4</v>
      </c>
      <c r="D16" s="96">
        <v>50.3</v>
      </c>
      <c r="E16" s="109">
        <v>36526</v>
      </c>
      <c r="F16" s="96" t="s">
        <v>624</v>
      </c>
      <c r="G16" s="96">
        <v>5.8</v>
      </c>
      <c r="H16" s="96">
        <v>15</v>
      </c>
      <c r="I16" s="96">
        <v>-35.5</v>
      </c>
      <c r="J16" s="96">
        <v>5</v>
      </c>
      <c r="K16" s="96">
        <v>6.2</v>
      </c>
      <c r="L16" s="96">
        <v>9</v>
      </c>
      <c r="M16" s="96">
        <v>4.7</v>
      </c>
      <c r="N16" s="96">
        <v>-38.1</v>
      </c>
      <c r="O16" s="96">
        <v>7.4</v>
      </c>
      <c r="P16" s="96">
        <v>0.7</v>
      </c>
      <c r="Q16" s="96">
        <v>10</v>
      </c>
      <c r="R16" s="96">
        <v>47.5</v>
      </c>
      <c r="S16" s="96">
        <v>4</v>
      </c>
      <c r="T16" s="96">
        <v>0</v>
      </c>
      <c r="U16" s="96">
        <v>1</v>
      </c>
      <c r="V16" s="96">
        <v>5.5</v>
      </c>
      <c r="W16" s="96">
        <v>10</v>
      </c>
      <c r="X16" s="96">
        <v>0</v>
      </c>
      <c r="Y16" s="96">
        <v>1</v>
      </c>
      <c r="Z16" s="96">
        <v>1</v>
      </c>
      <c r="AA16" s="96">
        <v>2025</v>
      </c>
    </row>
    <row r="17" spans="1:27" x14ac:dyDescent="0.25">
      <c r="A17" s="96" t="s">
        <v>399</v>
      </c>
      <c r="B17" s="96">
        <v>-16.5</v>
      </c>
      <c r="C17" s="96">
        <v>24</v>
      </c>
      <c r="D17" s="96">
        <v>-21.1</v>
      </c>
      <c r="E17" s="109" t="s">
        <v>625</v>
      </c>
      <c r="F17" s="96" t="s">
        <v>624</v>
      </c>
      <c r="G17" s="96">
        <v>11.8</v>
      </c>
      <c r="H17" s="96">
        <v>11</v>
      </c>
      <c r="I17" s="96">
        <v>36.5</v>
      </c>
      <c r="J17" s="96">
        <v>30</v>
      </c>
      <c r="K17" s="96">
        <v>8.1999999999999993</v>
      </c>
      <c r="L17" s="96">
        <v>5</v>
      </c>
      <c r="M17" s="96">
        <v>11.8</v>
      </c>
      <c r="N17" s="96">
        <v>42.2</v>
      </c>
      <c r="O17" s="96">
        <v>9.4</v>
      </c>
      <c r="P17" s="96">
        <v>0.5</v>
      </c>
      <c r="Q17" s="96">
        <v>19</v>
      </c>
      <c r="R17" s="96">
        <v>-16.5</v>
      </c>
      <c r="S17" s="96">
        <v>24</v>
      </c>
      <c r="T17" s="96">
        <v>0</v>
      </c>
      <c r="U17" s="96">
        <v>1</v>
      </c>
      <c r="V17" s="96">
        <v>9.6999999999999993</v>
      </c>
      <c r="W17" s="96">
        <v>4</v>
      </c>
      <c r="X17" s="96">
        <v>0</v>
      </c>
      <c r="Y17" s="96">
        <v>1</v>
      </c>
      <c r="Z17" s="96">
        <v>1</v>
      </c>
      <c r="AA17" s="96">
        <v>2025</v>
      </c>
    </row>
    <row r="18" spans="1:27" x14ac:dyDescent="0.25">
      <c r="A18" s="96" t="s">
        <v>60</v>
      </c>
      <c r="B18" s="96">
        <v>18.600000000000001</v>
      </c>
      <c r="C18" s="96">
        <v>11</v>
      </c>
      <c r="D18" s="96">
        <v>17.8</v>
      </c>
      <c r="E18" s="109">
        <v>36526</v>
      </c>
      <c r="F18" s="96" t="s">
        <v>624</v>
      </c>
      <c r="G18" s="96">
        <v>34.4</v>
      </c>
      <c r="H18" s="96">
        <v>3</v>
      </c>
      <c r="I18" s="96">
        <v>13.4</v>
      </c>
      <c r="J18" s="96">
        <v>23</v>
      </c>
      <c r="K18" s="96">
        <v>-2.4</v>
      </c>
      <c r="L18" s="96">
        <v>20</v>
      </c>
      <c r="M18" s="96">
        <v>40.4</v>
      </c>
      <c r="N18" s="96">
        <v>21.3</v>
      </c>
      <c r="O18" s="96">
        <v>-1.3</v>
      </c>
      <c r="P18" s="96">
        <v>0.5</v>
      </c>
      <c r="Q18" s="96">
        <v>18</v>
      </c>
      <c r="R18" s="96">
        <v>18.600000000000001</v>
      </c>
      <c r="S18" s="96">
        <v>11</v>
      </c>
      <c r="T18" s="96">
        <v>0</v>
      </c>
      <c r="U18" s="96">
        <v>1</v>
      </c>
      <c r="V18" s="96">
        <v>8.1</v>
      </c>
      <c r="W18" s="96">
        <v>6</v>
      </c>
      <c r="X18" s="96">
        <v>0</v>
      </c>
      <c r="Y18" s="96">
        <v>1</v>
      </c>
      <c r="Z18" s="96">
        <v>1</v>
      </c>
      <c r="AA18" s="96">
        <v>2025</v>
      </c>
    </row>
    <row r="19" spans="1:27" x14ac:dyDescent="0.25">
      <c r="A19" s="96" t="s">
        <v>21</v>
      </c>
      <c r="B19" s="96">
        <v>27</v>
      </c>
      <c r="C19" s="96">
        <v>8</v>
      </c>
      <c r="D19" s="96">
        <v>29.8</v>
      </c>
      <c r="E19" s="109">
        <v>36526</v>
      </c>
      <c r="F19" s="96" t="s">
        <v>624</v>
      </c>
      <c r="G19" s="96">
        <v>1.1000000000000001</v>
      </c>
      <c r="H19" s="96">
        <v>17</v>
      </c>
      <c r="I19" s="96">
        <v>-18.100000000000001</v>
      </c>
      <c r="J19" s="96">
        <v>6</v>
      </c>
      <c r="K19" s="96">
        <v>7.8</v>
      </c>
      <c r="L19" s="96">
        <v>6</v>
      </c>
      <c r="M19" s="96">
        <v>-1.4</v>
      </c>
      <c r="N19" s="96">
        <v>-22.4</v>
      </c>
      <c r="O19" s="96">
        <v>8.8000000000000007</v>
      </c>
      <c r="P19" s="96">
        <v>0.7</v>
      </c>
      <c r="Q19" s="96">
        <v>9</v>
      </c>
      <c r="R19" s="96">
        <v>27</v>
      </c>
      <c r="S19" s="96">
        <v>8</v>
      </c>
      <c r="T19" s="96">
        <v>0</v>
      </c>
      <c r="U19" s="96">
        <v>1</v>
      </c>
      <c r="V19" s="96">
        <v>-1.4</v>
      </c>
      <c r="W19" s="96">
        <v>19</v>
      </c>
      <c r="X19" s="96">
        <v>0</v>
      </c>
      <c r="Y19" s="96">
        <v>1</v>
      </c>
      <c r="Z19" s="96">
        <v>1</v>
      </c>
      <c r="AA19" s="96">
        <v>2025</v>
      </c>
    </row>
    <row r="20" spans="1:27" x14ac:dyDescent="0.25">
      <c r="A20" s="96" t="s">
        <v>423</v>
      </c>
      <c r="B20" s="96">
        <v>27.3</v>
      </c>
      <c r="C20" s="96">
        <v>7</v>
      </c>
      <c r="D20" s="96">
        <v>15.6</v>
      </c>
      <c r="E20" s="109">
        <v>36526</v>
      </c>
      <c r="F20" s="96" t="s">
        <v>624</v>
      </c>
      <c r="G20" s="96">
        <v>20.7</v>
      </c>
      <c r="H20" s="96">
        <v>8</v>
      </c>
      <c r="I20" s="96">
        <v>-11.6</v>
      </c>
      <c r="J20" s="96">
        <v>11</v>
      </c>
      <c r="K20" s="96">
        <v>-5</v>
      </c>
      <c r="L20" s="96">
        <v>24</v>
      </c>
      <c r="M20" s="96">
        <v>20.7</v>
      </c>
      <c r="N20" s="96">
        <v>0.9</v>
      </c>
      <c r="O20" s="96">
        <v>-4.2</v>
      </c>
      <c r="P20" s="96">
        <v>0.8</v>
      </c>
      <c r="Q20" s="96">
        <v>2</v>
      </c>
      <c r="R20" s="96">
        <v>27.3</v>
      </c>
      <c r="S20" s="96">
        <v>7</v>
      </c>
      <c r="T20" s="96">
        <v>0</v>
      </c>
      <c r="U20" s="96">
        <v>1</v>
      </c>
      <c r="V20" s="96">
        <v>7.4</v>
      </c>
      <c r="W20" s="96">
        <v>7</v>
      </c>
      <c r="X20" s="96">
        <v>0</v>
      </c>
      <c r="Y20" s="96">
        <v>1</v>
      </c>
      <c r="Z20" s="96">
        <v>1</v>
      </c>
      <c r="AA20" s="96">
        <v>2025</v>
      </c>
    </row>
    <row r="21" spans="1:27" x14ac:dyDescent="0.25">
      <c r="A21" s="96" t="s">
        <v>2</v>
      </c>
      <c r="B21" s="96">
        <v>-57.1</v>
      </c>
      <c r="C21" s="96">
        <v>31</v>
      </c>
      <c r="D21" s="96">
        <v>-60.6</v>
      </c>
      <c r="E21" s="109" t="s">
        <v>625</v>
      </c>
      <c r="F21" s="96" t="s">
        <v>624</v>
      </c>
      <c r="G21" s="96">
        <v>-52.1</v>
      </c>
      <c r="H21" s="96">
        <v>31</v>
      </c>
      <c r="I21" s="96">
        <v>8</v>
      </c>
      <c r="J21" s="96">
        <v>18</v>
      </c>
      <c r="K21" s="96">
        <v>3</v>
      </c>
      <c r="L21" s="96">
        <v>11</v>
      </c>
      <c r="M21" s="96">
        <v>-52.3</v>
      </c>
      <c r="N21" s="96">
        <v>11.4</v>
      </c>
      <c r="O21" s="96">
        <v>3.1</v>
      </c>
      <c r="P21" s="96">
        <v>0.3</v>
      </c>
      <c r="Q21" s="96">
        <v>28</v>
      </c>
      <c r="R21" s="96">
        <v>-57.1</v>
      </c>
      <c r="S21" s="96">
        <v>31</v>
      </c>
      <c r="T21" s="96">
        <v>0</v>
      </c>
      <c r="U21" s="96">
        <v>1</v>
      </c>
      <c r="V21" s="96">
        <v>-3.8</v>
      </c>
      <c r="W21" s="96">
        <v>24</v>
      </c>
      <c r="X21" s="96">
        <v>0</v>
      </c>
      <c r="Y21" s="96">
        <v>1</v>
      </c>
      <c r="Z21" s="96">
        <v>1</v>
      </c>
      <c r="AA21" s="96">
        <v>2025</v>
      </c>
    </row>
    <row r="22" spans="1:27" x14ac:dyDescent="0.25">
      <c r="A22" s="96" t="s">
        <v>75</v>
      </c>
      <c r="B22" s="96">
        <v>18.2</v>
      </c>
      <c r="C22" s="96">
        <v>12</v>
      </c>
      <c r="D22" s="96">
        <v>12.9</v>
      </c>
      <c r="E22" s="109">
        <v>36526</v>
      </c>
      <c r="F22" s="96" t="s">
        <v>624</v>
      </c>
      <c r="G22" s="96">
        <v>10.6</v>
      </c>
      <c r="H22" s="96">
        <v>12</v>
      </c>
      <c r="I22" s="96">
        <v>-1.2</v>
      </c>
      <c r="J22" s="96">
        <v>14</v>
      </c>
      <c r="K22" s="96">
        <v>6.3</v>
      </c>
      <c r="L22" s="96">
        <v>8</v>
      </c>
      <c r="M22" s="96">
        <v>10.6</v>
      </c>
      <c r="N22" s="96">
        <v>4.8</v>
      </c>
      <c r="O22" s="96">
        <v>7.1</v>
      </c>
      <c r="P22" s="96">
        <v>0.8</v>
      </c>
      <c r="Q22" s="96">
        <v>3</v>
      </c>
      <c r="R22" s="96">
        <v>18.2</v>
      </c>
      <c r="S22" s="96">
        <v>12</v>
      </c>
      <c r="T22" s="96">
        <v>0</v>
      </c>
      <c r="U22" s="96">
        <v>1</v>
      </c>
      <c r="V22" s="96">
        <v>1.7</v>
      </c>
      <c r="W22" s="96">
        <v>15</v>
      </c>
      <c r="X22" s="96">
        <v>0</v>
      </c>
      <c r="Y22" s="96">
        <v>1</v>
      </c>
      <c r="Z22" s="96">
        <v>1</v>
      </c>
      <c r="AA22" s="96">
        <v>2025</v>
      </c>
    </row>
    <row r="23" spans="1:27" x14ac:dyDescent="0.25">
      <c r="A23" s="96" t="s">
        <v>404</v>
      </c>
      <c r="B23" s="96">
        <v>-40</v>
      </c>
      <c r="C23" s="96">
        <v>27</v>
      </c>
      <c r="D23" s="96">
        <v>-34.799999999999997</v>
      </c>
      <c r="E23" s="109" t="s">
        <v>625</v>
      </c>
      <c r="F23" s="96" t="s">
        <v>624</v>
      </c>
      <c r="G23" s="96">
        <v>-9</v>
      </c>
      <c r="H23" s="96">
        <v>22</v>
      </c>
      <c r="I23" s="96">
        <v>22.8</v>
      </c>
      <c r="J23" s="96">
        <v>27</v>
      </c>
      <c r="K23" s="96">
        <v>-8.1999999999999993</v>
      </c>
      <c r="L23" s="96">
        <v>28</v>
      </c>
      <c r="M23" s="96">
        <v>-4.9000000000000004</v>
      </c>
      <c r="N23" s="96">
        <v>22.8</v>
      </c>
      <c r="O23" s="96">
        <v>-7</v>
      </c>
      <c r="P23" s="96">
        <v>0.1</v>
      </c>
      <c r="Q23" s="96">
        <v>31</v>
      </c>
      <c r="R23" s="96">
        <v>-40</v>
      </c>
      <c r="S23" s="96">
        <v>27</v>
      </c>
      <c r="T23" s="96">
        <v>0</v>
      </c>
      <c r="U23" s="96">
        <v>1</v>
      </c>
      <c r="V23" s="96">
        <v>-20.3</v>
      </c>
      <c r="W23" s="96">
        <v>31</v>
      </c>
      <c r="X23" s="96">
        <v>0</v>
      </c>
      <c r="Y23" s="96">
        <v>1</v>
      </c>
      <c r="Z23" s="96">
        <v>1</v>
      </c>
      <c r="AA23" s="96">
        <v>2025</v>
      </c>
    </row>
    <row r="24" spans="1:27" x14ac:dyDescent="0.25">
      <c r="A24" s="96" t="s">
        <v>403</v>
      </c>
      <c r="B24" s="96">
        <v>-6.8</v>
      </c>
      <c r="C24" s="96">
        <v>18</v>
      </c>
      <c r="D24" s="96">
        <v>-5.5</v>
      </c>
      <c r="E24" s="109" t="s">
        <v>625</v>
      </c>
      <c r="F24" s="96" t="s">
        <v>624</v>
      </c>
      <c r="G24" s="96">
        <v>-2.8</v>
      </c>
      <c r="H24" s="96">
        <v>18</v>
      </c>
      <c r="I24" s="96">
        <v>-1.2</v>
      </c>
      <c r="J24" s="96">
        <v>15</v>
      </c>
      <c r="K24" s="96">
        <v>-5.2</v>
      </c>
      <c r="L24" s="96">
        <v>25</v>
      </c>
      <c r="M24" s="96">
        <v>-2.8</v>
      </c>
      <c r="N24" s="96">
        <v>-1.2</v>
      </c>
      <c r="O24" s="96">
        <v>-3.9</v>
      </c>
      <c r="P24" s="96">
        <v>0.6</v>
      </c>
      <c r="Q24" s="96">
        <v>13</v>
      </c>
      <c r="R24" s="96">
        <v>-6.8</v>
      </c>
      <c r="S24" s="96">
        <v>18</v>
      </c>
      <c r="T24" s="96">
        <v>0</v>
      </c>
      <c r="U24" s="96">
        <v>1</v>
      </c>
      <c r="V24" s="96">
        <v>-22.7</v>
      </c>
      <c r="W24" s="96">
        <v>32</v>
      </c>
      <c r="X24" s="96">
        <v>0</v>
      </c>
      <c r="Y24" s="96">
        <v>1</v>
      </c>
      <c r="Z24" s="96">
        <v>1</v>
      </c>
      <c r="AA24" s="96">
        <v>2025</v>
      </c>
    </row>
    <row r="25" spans="1:27" x14ac:dyDescent="0.25">
      <c r="A25" s="96" t="s">
        <v>95</v>
      </c>
      <c r="B25" s="96">
        <v>-86.3</v>
      </c>
      <c r="C25" s="96">
        <v>32</v>
      </c>
      <c r="D25" s="96">
        <v>-78.400000000000006</v>
      </c>
      <c r="E25" s="109" t="s">
        <v>625</v>
      </c>
      <c r="F25" s="96" t="s">
        <v>624</v>
      </c>
      <c r="G25" s="96">
        <v>-47.8</v>
      </c>
      <c r="H25" s="96">
        <v>30</v>
      </c>
      <c r="I25" s="96">
        <v>38</v>
      </c>
      <c r="J25" s="96">
        <v>31</v>
      </c>
      <c r="K25" s="96">
        <v>-0.4</v>
      </c>
      <c r="L25" s="96">
        <v>18</v>
      </c>
      <c r="M25" s="96">
        <v>-40.6</v>
      </c>
      <c r="N25" s="96">
        <v>38</v>
      </c>
      <c r="O25" s="96">
        <v>0.2</v>
      </c>
      <c r="P25" s="96">
        <v>0.1</v>
      </c>
      <c r="Q25" s="96">
        <v>32</v>
      </c>
      <c r="R25" s="96">
        <v>-86.3</v>
      </c>
      <c r="S25" s="96">
        <v>32</v>
      </c>
      <c r="T25" s="96">
        <v>0</v>
      </c>
      <c r="U25" s="96">
        <v>1</v>
      </c>
      <c r="V25" s="96">
        <v>10.1</v>
      </c>
      <c r="W25" s="96">
        <v>3</v>
      </c>
      <c r="X25" s="96">
        <v>0</v>
      </c>
      <c r="Y25" s="96">
        <v>1</v>
      </c>
      <c r="Z25" s="96">
        <v>1</v>
      </c>
      <c r="AA25" s="96">
        <v>2025</v>
      </c>
    </row>
    <row r="26" spans="1:27" x14ac:dyDescent="0.25">
      <c r="A26" s="96" t="s">
        <v>79</v>
      </c>
      <c r="B26" s="96">
        <v>24</v>
      </c>
      <c r="C26" s="96">
        <v>10</v>
      </c>
      <c r="D26" s="96">
        <v>18.8</v>
      </c>
      <c r="E26" s="109" t="s">
        <v>625</v>
      </c>
      <c r="F26" s="96" t="s">
        <v>624</v>
      </c>
      <c r="G26" s="96">
        <v>25.8</v>
      </c>
      <c r="H26" s="96">
        <v>5</v>
      </c>
      <c r="I26" s="96">
        <v>11</v>
      </c>
      <c r="J26" s="96">
        <v>22</v>
      </c>
      <c r="K26" s="96">
        <v>9.3000000000000007</v>
      </c>
      <c r="L26" s="96">
        <v>4</v>
      </c>
      <c r="M26" s="96">
        <v>25.8</v>
      </c>
      <c r="N26" s="96">
        <v>16.7</v>
      </c>
      <c r="O26" s="96">
        <v>9.6999999999999993</v>
      </c>
      <c r="P26" s="96">
        <v>0.7</v>
      </c>
      <c r="Q26" s="96">
        <v>8</v>
      </c>
      <c r="R26" s="96">
        <v>24</v>
      </c>
      <c r="S26" s="96">
        <v>10</v>
      </c>
      <c r="T26" s="96">
        <v>0</v>
      </c>
      <c r="U26" s="96">
        <v>1</v>
      </c>
      <c r="V26" s="96">
        <v>-14.4</v>
      </c>
      <c r="W26" s="96">
        <v>28</v>
      </c>
      <c r="X26" s="96">
        <v>0</v>
      </c>
      <c r="Y26" s="96">
        <v>1</v>
      </c>
      <c r="Z26" s="96">
        <v>1</v>
      </c>
      <c r="AA26" s="96">
        <v>2025</v>
      </c>
    </row>
    <row r="27" spans="1:27" x14ac:dyDescent="0.25">
      <c r="A27" s="96" t="s">
        <v>38</v>
      </c>
      <c r="B27" s="96">
        <v>24.2</v>
      </c>
      <c r="C27" s="96">
        <v>9</v>
      </c>
      <c r="D27" s="96">
        <v>27.7</v>
      </c>
      <c r="E27" s="109">
        <v>36526</v>
      </c>
      <c r="F27" s="96" t="s">
        <v>624</v>
      </c>
      <c r="G27" s="96">
        <v>31.7</v>
      </c>
      <c r="H27" s="96">
        <v>4</v>
      </c>
      <c r="I27" s="96">
        <v>19.899999999999999</v>
      </c>
      <c r="J27" s="96">
        <v>25</v>
      </c>
      <c r="K27" s="96">
        <v>12.5</v>
      </c>
      <c r="L27" s="96">
        <v>1</v>
      </c>
      <c r="M27" s="96">
        <v>31.7</v>
      </c>
      <c r="N27" s="96">
        <v>16.7</v>
      </c>
      <c r="O27" s="96">
        <v>12.8</v>
      </c>
      <c r="P27" s="96">
        <v>0.7</v>
      </c>
      <c r="Q27" s="96">
        <v>7</v>
      </c>
      <c r="R27" s="96">
        <v>24.2</v>
      </c>
      <c r="S27" s="96">
        <v>9</v>
      </c>
      <c r="T27" s="96">
        <v>0</v>
      </c>
      <c r="U27" s="96">
        <v>1</v>
      </c>
      <c r="V27" s="96">
        <v>3.6</v>
      </c>
      <c r="W27" s="96">
        <v>14</v>
      </c>
      <c r="X27" s="96">
        <v>0</v>
      </c>
      <c r="Y27" s="96">
        <v>1</v>
      </c>
      <c r="Z27" s="96">
        <v>1</v>
      </c>
      <c r="AA27" s="96">
        <v>2025</v>
      </c>
    </row>
    <row r="28" spans="1:27" x14ac:dyDescent="0.25">
      <c r="A28" s="96" t="s">
        <v>85</v>
      </c>
      <c r="B28" s="96">
        <v>-8.5</v>
      </c>
      <c r="C28" s="96">
        <v>19</v>
      </c>
      <c r="D28" s="96">
        <v>-2.1</v>
      </c>
      <c r="E28" s="109">
        <v>36526</v>
      </c>
      <c r="F28" s="96" t="s">
        <v>624</v>
      </c>
      <c r="G28" s="96">
        <v>9.1</v>
      </c>
      <c r="H28" s="96">
        <v>13</v>
      </c>
      <c r="I28" s="96">
        <v>27.5</v>
      </c>
      <c r="J28" s="96">
        <v>29</v>
      </c>
      <c r="K28" s="96">
        <v>9.9</v>
      </c>
      <c r="L28" s="96">
        <v>3</v>
      </c>
      <c r="M28" s="96">
        <v>15</v>
      </c>
      <c r="N28" s="96">
        <v>27.5</v>
      </c>
      <c r="O28" s="96">
        <v>10.3</v>
      </c>
      <c r="P28" s="96">
        <v>0.5</v>
      </c>
      <c r="Q28" s="96">
        <v>16</v>
      </c>
      <c r="R28" s="96">
        <v>-8.5</v>
      </c>
      <c r="S28" s="96">
        <v>19</v>
      </c>
      <c r="T28" s="96">
        <v>0</v>
      </c>
      <c r="U28" s="96">
        <v>1</v>
      </c>
      <c r="V28" s="96">
        <v>0</v>
      </c>
      <c r="W28" s="96">
        <v>17</v>
      </c>
      <c r="X28" s="96">
        <v>0</v>
      </c>
      <c r="Y28" s="96">
        <v>1</v>
      </c>
      <c r="Z28" s="96">
        <v>1</v>
      </c>
      <c r="AA28" s="96">
        <v>2025</v>
      </c>
    </row>
    <row r="29" spans="1:27" x14ac:dyDescent="0.25">
      <c r="A29" s="96" t="s">
        <v>55</v>
      </c>
      <c r="B29" s="96">
        <v>-12.9</v>
      </c>
      <c r="C29" s="96">
        <v>21</v>
      </c>
      <c r="D29" s="96">
        <v>-16.3</v>
      </c>
      <c r="E29" s="109" t="s">
        <v>625</v>
      </c>
      <c r="F29" s="96" t="s">
        <v>624</v>
      </c>
      <c r="G29" s="96">
        <v>-12.5</v>
      </c>
      <c r="H29" s="96">
        <v>23</v>
      </c>
      <c r="I29" s="96">
        <v>8.1999999999999993</v>
      </c>
      <c r="J29" s="96">
        <v>20</v>
      </c>
      <c r="K29" s="96">
        <v>7.7</v>
      </c>
      <c r="L29" s="96">
        <v>7</v>
      </c>
      <c r="M29" s="96">
        <v>-16.5</v>
      </c>
      <c r="N29" s="96">
        <v>8.1999999999999993</v>
      </c>
      <c r="O29" s="96">
        <v>8.4</v>
      </c>
      <c r="P29" s="96">
        <v>0.4</v>
      </c>
      <c r="Q29" s="96">
        <v>20</v>
      </c>
      <c r="R29" s="96">
        <v>-12.9</v>
      </c>
      <c r="S29" s="96">
        <v>21</v>
      </c>
      <c r="T29" s="96">
        <v>0</v>
      </c>
      <c r="U29" s="96">
        <v>1</v>
      </c>
      <c r="V29" s="96">
        <v>6.8</v>
      </c>
      <c r="W29" s="96">
        <v>9</v>
      </c>
      <c r="X29" s="96">
        <v>0</v>
      </c>
      <c r="Y29" s="96">
        <v>1</v>
      </c>
      <c r="Z29" s="96">
        <v>1</v>
      </c>
      <c r="AA29" s="96">
        <v>2025</v>
      </c>
    </row>
    <row r="30" spans="1:27" x14ac:dyDescent="0.25">
      <c r="A30" s="96" t="s">
        <v>405</v>
      </c>
      <c r="B30" s="96">
        <v>-1.2</v>
      </c>
      <c r="C30" s="96">
        <v>15</v>
      </c>
      <c r="D30" s="96">
        <v>3</v>
      </c>
      <c r="E30" s="109">
        <v>36526</v>
      </c>
      <c r="F30" s="96" t="s">
        <v>624</v>
      </c>
      <c r="G30" s="96">
        <v>7.3</v>
      </c>
      <c r="H30" s="96">
        <v>14</v>
      </c>
      <c r="I30" s="96">
        <v>-15</v>
      </c>
      <c r="J30" s="96">
        <v>9</v>
      </c>
      <c r="K30" s="96">
        <v>-23.5</v>
      </c>
      <c r="L30" s="96">
        <v>32</v>
      </c>
      <c r="M30" s="96">
        <v>7.3</v>
      </c>
      <c r="N30" s="96">
        <v>-18.7</v>
      </c>
      <c r="O30" s="96">
        <v>-23</v>
      </c>
      <c r="P30" s="96">
        <v>0.5</v>
      </c>
      <c r="Q30" s="96">
        <v>14</v>
      </c>
      <c r="R30" s="96">
        <v>-1.2</v>
      </c>
      <c r="S30" s="96">
        <v>15</v>
      </c>
      <c r="T30" s="96">
        <v>0</v>
      </c>
      <c r="U30" s="96">
        <v>1</v>
      </c>
      <c r="V30" s="96">
        <v>-6.5</v>
      </c>
      <c r="W30" s="96">
        <v>26</v>
      </c>
      <c r="X30" s="96">
        <v>0</v>
      </c>
      <c r="Y30" s="96">
        <v>1</v>
      </c>
      <c r="Z30" s="96">
        <v>1</v>
      </c>
      <c r="AA30" s="96">
        <v>2025</v>
      </c>
    </row>
    <row r="31" spans="1:27" x14ac:dyDescent="0.25">
      <c r="A31" s="96" t="s">
        <v>402</v>
      </c>
      <c r="B31" s="96">
        <v>0</v>
      </c>
      <c r="C31" s="96">
        <v>13</v>
      </c>
      <c r="D31" s="96">
        <v>1.4</v>
      </c>
      <c r="E31" s="109">
        <v>36526</v>
      </c>
      <c r="F31" s="96" t="s">
        <v>624</v>
      </c>
      <c r="G31" s="96">
        <v>4.5999999999999996</v>
      </c>
      <c r="H31" s="96">
        <v>16</v>
      </c>
      <c r="I31" s="96">
        <v>4.3</v>
      </c>
      <c r="J31" s="96">
        <v>17</v>
      </c>
      <c r="K31" s="96">
        <v>-0.3</v>
      </c>
      <c r="L31" s="96">
        <v>16</v>
      </c>
      <c r="M31" s="96">
        <v>4.5999999999999996</v>
      </c>
      <c r="N31" s="96">
        <v>4.3</v>
      </c>
      <c r="O31" s="96">
        <v>1.1000000000000001</v>
      </c>
      <c r="P31" s="96">
        <v>0.5</v>
      </c>
      <c r="Q31" s="96">
        <v>17</v>
      </c>
      <c r="R31" s="96">
        <v>0</v>
      </c>
      <c r="S31" s="96">
        <v>13</v>
      </c>
      <c r="T31" s="96">
        <v>0</v>
      </c>
      <c r="U31" s="96">
        <v>1</v>
      </c>
      <c r="V31" s="96">
        <v>-18.100000000000001</v>
      </c>
      <c r="W31" s="96">
        <v>30</v>
      </c>
      <c r="X31" s="96">
        <v>0</v>
      </c>
      <c r="Y31" s="96">
        <v>1</v>
      </c>
      <c r="Z31" s="96">
        <v>1</v>
      </c>
      <c r="AA31" s="96">
        <v>2025</v>
      </c>
    </row>
    <row r="32" spans="1:27" x14ac:dyDescent="0.25">
      <c r="A32" s="96" t="s">
        <v>89</v>
      </c>
      <c r="B32" s="96">
        <v>-42.2</v>
      </c>
      <c r="C32" s="96">
        <v>28</v>
      </c>
      <c r="D32" s="96">
        <v>-38.9</v>
      </c>
      <c r="E32" s="109" t="s">
        <v>625</v>
      </c>
      <c r="F32" s="96" t="s">
        <v>624</v>
      </c>
      <c r="G32" s="96">
        <v>-68.900000000000006</v>
      </c>
      <c r="H32" s="96">
        <v>32</v>
      </c>
      <c r="I32" s="96">
        <v>-16.2</v>
      </c>
      <c r="J32" s="96">
        <v>8</v>
      </c>
      <c r="K32" s="96">
        <v>10.5</v>
      </c>
      <c r="L32" s="96">
        <v>2</v>
      </c>
      <c r="M32" s="96">
        <v>-78.5</v>
      </c>
      <c r="N32" s="96">
        <v>-19.600000000000001</v>
      </c>
      <c r="O32" s="96">
        <v>20</v>
      </c>
      <c r="P32" s="96">
        <v>0.3</v>
      </c>
      <c r="Q32" s="96">
        <v>29</v>
      </c>
      <c r="R32" s="96">
        <v>-42.2</v>
      </c>
      <c r="S32" s="96">
        <v>28</v>
      </c>
      <c r="T32" s="96">
        <v>0</v>
      </c>
      <c r="U32" s="96">
        <v>1</v>
      </c>
      <c r="V32" s="96">
        <v>9.4</v>
      </c>
      <c r="W32" s="96">
        <v>5</v>
      </c>
      <c r="X32" s="96">
        <v>0</v>
      </c>
      <c r="Y32" s="96">
        <v>1</v>
      </c>
      <c r="Z32" s="96">
        <v>1</v>
      </c>
      <c r="AA32" s="96">
        <v>2025</v>
      </c>
    </row>
    <row r="33" spans="1:27" x14ac:dyDescent="0.25">
      <c r="A33" s="96" t="s">
        <v>41</v>
      </c>
      <c r="B33" s="96">
        <v>81.5</v>
      </c>
      <c r="C33" s="96">
        <v>1</v>
      </c>
      <c r="D33" s="96">
        <v>75.099999999999994</v>
      </c>
      <c r="E33" s="109">
        <v>36526</v>
      </c>
      <c r="F33" s="96" t="s">
        <v>624</v>
      </c>
      <c r="G33" s="96">
        <v>36.4</v>
      </c>
      <c r="H33" s="96">
        <v>2</v>
      </c>
      <c r="I33" s="96">
        <v>-45.6</v>
      </c>
      <c r="J33" s="96">
        <v>3</v>
      </c>
      <c r="K33" s="96">
        <v>-0.5</v>
      </c>
      <c r="L33" s="96">
        <v>19</v>
      </c>
      <c r="M33" s="96">
        <v>36.4</v>
      </c>
      <c r="N33" s="96">
        <v>-38.799999999999997</v>
      </c>
      <c r="O33" s="96">
        <v>-0.1</v>
      </c>
      <c r="P33" s="96">
        <v>0.8</v>
      </c>
      <c r="Q33" s="96">
        <v>1</v>
      </c>
      <c r="R33" s="96">
        <v>81.5</v>
      </c>
      <c r="S33" s="96">
        <v>1</v>
      </c>
      <c r="T33" s="96">
        <v>0</v>
      </c>
      <c r="U33" s="96">
        <v>1</v>
      </c>
      <c r="V33" s="96">
        <v>-2.6</v>
      </c>
      <c r="W33" s="96">
        <v>22</v>
      </c>
      <c r="X33" s="96">
        <v>0</v>
      </c>
      <c r="Y33" s="96">
        <v>1</v>
      </c>
      <c r="Z33" s="96">
        <v>1</v>
      </c>
      <c r="AA33" s="96">
        <v>2025</v>
      </c>
    </row>
  </sheetData>
  <autoFilter ref="A1:AA33" xr:uid="{44F73B0C-94BC-428C-AACA-2C544AAA3EA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C7C6-0EC5-4820-AB59-1E9E828E9D71}">
  <sheetPr>
    <tabColor theme="7" tint="0.79998168889431442"/>
  </sheetPr>
  <dimension ref="A1:AG273"/>
  <sheetViews>
    <sheetView zoomScale="80" zoomScaleNormal="80" workbookViewId="0">
      <pane xSplit="7" ySplit="1" topLeftCell="H236" activePane="bottomRight" state="frozen"/>
      <selection pane="topRight" activeCell="A403" sqref="A403"/>
      <selection pane="bottomLeft" activeCell="A403" sqref="A403"/>
      <selection pane="bottomRight" activeCell="M266" sqref="M266"/>
    </sheetView>
  </sheetViews>
  <sheetFormatPr defaultRowHeight="15" x14ac:dyDescent="0.25"/>
  <cols>
    <col min="1" max="1" width="10" bestFit="1" customWidth="1"/>
    <col min="2" max="2" width="8.42578125" bestFit="1" customWidth="1"/>
    <col min="3" max="3" width="12.28515625" bestFit="1" customWidth="1"/>
    <col min="4" max="4" width="9.5703125" bestFit="1" customWidth="1"/>
    <col min="5" max="5" width="25.140625" bestFit="1" customWidth="1"/>
    <col min="6" max="6" width="3.85546875" bestFit="1" customWidth="1"/>
    <col min="7" max="7" width="25.140625" bestFit="1" customWidth="1"/>
    <col min="8" max="8" width="9.5703125" bestFit="1" customWidth="1"/>
    <col min="9" max="9" width="9.42578125" bestFit="1" customWidth="1"/>
    <col min="10" max="10" width="8.42578125" bestFit="1" customWidth="1"/>
    <col min="11" max="11" width="9.85546875" bestFit="1" customWidth="1"/>
    <col min="12" max="12" width="9.28515625" bestFit="1" customWidth="1"/>
    <col min="13" max="13" width="8.7109375" bestFit="1" customWidth="1"/>
    <col min="14" max="14" width="8.140625" bestFit="1" customWidth="1"/>
    <col min="15" max="16" width="6" bestFit="1" customWidth="1"/>
    <col min="17" max="18" width="7" bestFit="1" customWidth="1"/>
    <col min="19" max="19" width="10.140625" bestFit="1" customWidth="1"/>
    <col min="20" max="21" width="8.42578125" bestFit="1" customWidth="1"/>
    <col min="22" max="22" width="10.28515625" bestFit="1" customWidth="1"/>
    <col min="23" max="23" width="11.7109375" bestFit="1" customWidth="1"/>
    <col min="24" max="24" width="6" bestFit="1" customWidth="1"/>
    <col min="25" max="25" width="6.28515625" bestFit="1" customWidth="1"/>
    <col min="26" max="26" width="12.7109375" bestFit="1" customWidth="1"/>
    <col min="27" max="28" width="8.140625" bestFit="1" customWidth="1"/>
    <col min="29" max="29" width="10" bestFit="1" customWidth="1"/>
    <col min="30" max="30" width="9.5703125" bestFit="1" customWidth="1"/>
    <col min="31" max="31" width="8" bestFit="1" customWidth="1"/>
    <col min="32" max="32" width="7" bestFit="1" customWidth="1"/>
  </cols>
  <sheetData>
    <row r="1" spans="1:33" x14ac:dyDescent="0.25">
      <c r="A1" s="146" t="s">
        <v>397</v>
      </c>
      <c r="B1" s="146" t="s">
        <v>626</v>
      </c>
      <c r="C1" s="146" t="s">
        <v>627</v>
      </c>
      <c r="D1" s="146" t="s">
        <v>628</v>
      </c>
      <c r="E1" s="146" t="s">
        <v>629</v>
      </c>
      <c r="F1" s="146"/>
      <c r="G1" s="146" t="s">
        <v>630</v>
      </c>
      <c r="H1" s="146"/>
      <c r="I1" s="146" t="s">
        <v>631</v>
      </c>
      <c r="J1" s="146" t="s">
        <v>632</v>
      </c>
      <c r="K1" s="146" t="s">
        <v>633</v>
      </c>
      <c r="L1" s="146" t="s">
        <v>634</v>
      </c>
      <c r="M1" s="146" t="s">
        <v>635</v>
      </c>
      <c r="N1" s="146" t="s">
        <v>636</v>
      </c>
      <c r="O1" s="146" t="s">
        <v>637</v>
      </c>
      <c r="P1" s="146" t="s">
        <v>638</v>
      </c>
      <c r="Q1" s="146" t="s">
        <v>639</v>
      </c>
      <c r="R1" s="146" t="s">
        <v>640</v>
      </c>
      <c r="S1" s="146" t="s">
        <v>641</v>
      </c>
      <c r="T1" s="146" t="s">
        <v>642</v>
      </c>
      <c r="U1" s="146" t="s">
        <v>643</v>
      </c>
      <c r="V1" s="146" t="s">
        <v>644</v>
      </c>
      <c r="W1" s="146" t="s">
        <v>645</v>
      </c>
      <c r="X1" s="146" t="s">
        <v>646</v>
      </c>
      <c r="Y1" s="146" t="s">
        <v>647</v>
      </c>
      <c r="Z1" s="146" t="s">
        <v>648</v>
      </c>
      <c r="AA1" s="146" t="s">
        <v>649</v>
      </c>
      <c r="AB1" s="146" t="s">
        <v>650</v>
      </c>
      <c r="AC1" s="146" t="s">
        <v>651</v>
      </c>
      <c r="AD1" s="146" t="s">
        <v>652</v>
      </c>
      <c r="AE1" s="146" t="s">
        <v>653</v>
      </c>
      <c r="AF1" s="146" t="s">
        <v>654</v>
      </c>
      <c r="AG1" s="146" t="s">
        <v>655</v>
      </c>
    </row>
    <row r="2" spans="1:33" x14ac:dyDescent="0.25">
      <c r="A2" s="9">
        <v>1</v>
      </c>
      <c r="B2" s="9" t="s">
        <v>656</v>
      </c>
      <c r="C2" s="148">
        <v>45904</v>
      </c>
      <c r="D2" s="9" t="s">
        <v>657</v>
      </c>
      <c r="E2" s="9" t="s">
        <v>92</v>
      </c>
      <c r="F2" s="9"/>
      <c r="G2" s="9" t="s">
        <v>56</v>
      </c>
      <c r="H2" s="9" t="s">
        <v>658</v>
      </c>
      <c r="I2" s="9">
        <v>24</v>
      </c>
      <c r="J2" s="9">
        <v>20</v>
      </c>
      <c r="K2" s="9">
        <v>302</v>
      </c>
      <c r="L2" s="9">
        <v>0</v>
      </c>
      <c r="M2" s="9">
        <v>307</v>
      </c>
      <c r="N2" s="9">
        <v>1</v>
      </c>
      <c r="O2" s="149" t="str">
        <f>IF(I2&lt;&gt;"",IF(I2=J2,"TIE",INDEX(Index!$F$1:$F$32,MATCH(E2,Index!$E$1:$E$32,0))),INDEX(Index!$F$1:$F$32,MATCH(E2,Index!$E$1:$E$32,0)))</f>
        <v>PHI</v>
      </c>
      <c r="P2" s="150" t="str">
        <f>IF(I2&lt;&gt;"",IF(I2=J2,"TIE",INDEX(Index!$F$1:$F$32,MATCH(G2,Index!$E$1:$E$32,0))),INDEX(Index!$F$1:$F$32,MATCH(G2,Index!$E$1:$E$32,0)))</f>
        <v>DAL</v>
      </c>
      <c r="Q2" s="155" t="str">
        <f>IF(O2="TIE",INDEX(Index!$F$1:$F$32,MATCH(E2,Index!$E$1:$E$32,0)),"")</f>
        <v/>
      </c>
      <c r="R2" s="155" t="str">
        <f>IF(P2="TIE",INDEX(Index!$F$1:$F$32,MATCH(G2,Index!$E$1:$E$32,0)),"")</f>
        <v/>
      </c>
      <c r="S2" s="151" t="str">
        <f t="shared" ref="S2:S65" si="0">IF(F2="@","A","H")</f>
        <v>H</v>
      </c>
      <c r="T2" s="156" t="str">
        <f>INDEX(Index!$H$1:$H$32,MATCH($E2,Index!$E$1:$E$32,0))</f>
        <v>NE</v>
      </c>
      <c r="U2" s="156" t="str">
        <f>INDEX(Index!$H$1:$H$32,MATCH($G2,Index!$E$1:$E$32,0))</f>
        <v>NE</v>
      </c>
      <c r="V2" s="156" t="str">
        <f t="shared" ref="V2:V65" si="1">IF(T2=U2,"Div",IF(LEFT(T2,1)=LEFT(U2,1),"Con","Non"))</f>
        <v>Div</v>
      </c>
      <c r="W2" s="152" t="str">
        <f t="shared" ref="W2:W65" si="2">IF(I2&lt;&gt;"","Y","N")</f>
        <v>Y</v>
      </c>
      <c r="X2" s="149" t="str">
        <f>INDEX(Index!$G$1:$G$32,MATCH(E2,Index!$E$1:$E$32,0))</f>
        <v>PHI</v>
      </c>
      <c r="Y2" s="150" t="str">
        <f>INDEX(Index!$G$1:$G$32,MATCH(G2,Index!$E$1:$E$32,0))</f>
        <v>DAL</v>
      </c>
      <c r="Z2" s="147" t="str">
        <f t="shared" ref="Z2:Z65" si="3">IF(W2="Y","","Simulate")</f>
        <v/>
      </c>
      <c r="AA2" s="174" t="str" cm="1">
        <f t="array" ref="AA2">IFERROR(IF($W2="Y","",INDEX(EPA!$N$2:$N$512,MATCH(X2&amp;Index!$K$1,EPA!$A$2:$A$512&amp;EPA!$W$2:$W$512,0))),"")</f>
        <v/>
      </c>
      <c r="AB2" s="174" t="str" cm="1">
        <f t="array" ref="AB2">IFERROR(IF($W2="Y","",INDEX(EPA!$N$2:$N$512,MATCH(Y2&amp;Index!$K$1,EPA!$A$2:$A$512&amp;EPA!$W$2:$W$512,0))),"")</f>
        <v/>
      </c>
      <c r="AC2" s="174" t="str">
        <f ca="1">IF(AA2&lt;&gt;"",_xlfn.NORM.INV(RAND(),AA2,Index!$K$2),"")</f>
        <v/>
      </c>
      <c r="AD2" s="174" t="str">
        <f ca="1">IF(AB2&lt;&gt;"",_xlfn.NORM.INV(RAND(),AB2,Index!$K$2),"")</f>
        <v/>
      </c>
      <c r="AE2" s="157" t="str">
        <f t="shared" ref="AE2:AE65" si="4">IF(W2="Y",O2,IF(AC2&gt;AD2,O2,P2))</f>
        <v>PHI</v>
      </c>
      <c r="AF2" s="158" t="str">
        <f t="shared" ref="AF2:AF65" si="5">IF(W2="Y",P2,IF(AC2&gt;AD2,P2,O2))</f>
        <v>DAL</v>
      </c>
      <c r="AG2" s="149">
        <f>ROW(A2)-1</f>
        <v>1</v>
      </c>
    </row>
    <row r="3" spans="1:33" x14ac:dyDescent="0.25">
      <c r="A3" s="9">
        <v>1</v>
      </c>
      <c r="B3" s="9" t="s">
        <v>659</v>
      </c>
      <c r="C3" s="148">
        <v>45905</v>
      </c>
      <c r="D3" s="9" t="s">
        <v>660</v>
      </c>
      <c r="E3" s="9" t="s">
        <v>68</v>
      </c>
      <c r="F3" s="9"/>
      <c r="G3" s="9" t="s">
        <v>16</v>
      </c>
      <c r="H3" s="9" t="s">
        <v>658</v>
      </c>
      <c r="I3" s="9">
        <v>27</v>
      </c>
      <c r="J3" s="9">
        <v>21</v>
      </c>
      <c r="K3" s="9">
        <v>394</v>
      </c>
      <c r="L3" s="9">
        <v>0</v>
      </c>
      <c r="M3" s="9">
        <v>347</v>
      </c>
      <c r="N3" s="9">
        <v>0</v>
      </c>
      <c r="O3" s="149" t="str">
        <f>IF(I3&lt;&gt;"",IF(I3=J3,"TIE",INDEX(Index!$F$1:$F$32,MATCH(E3,Index!$E$1:$E$32,0))),INDEX(Index!$F$1:$F$32,MATCH(E3,Index!$E$1:$E$32,0)))</f>
        <v>LAC</v>
      </c>
      <c r="P3" s="150" t="str">
        <f>IF(I3&lt;&gt;"",IF(I3=J3,"TIE",INDEX(Index!$F$1:$F$32,MATCH(G3,Index!$E$1:$E$32,0))),INDEX(Index!$F$1:$F$32,MATCH(G3,Index!$E$1:$E$32,0)))</f>
        <v>KC</v>
      </c>
      <c r="Q3" s="155" t="str">
        <f>IF(O3="TIE",INDEX(Index!$F$1:$F$32,MATCH(E3,Index!$E$1:$E$32,0)),"")</f>
        <v/>
      </c>
      <c r="R3" s="155" t="str">
        <f>IF(P3="TIE",INDEX(Index!$F$1:$F$32,MATCH(G3,Index!$E$1:$E$32,0)),"")</f>
        <v/>
      </c>
      <c r="S3" s="151" t="str">
        <f t="shared" si="0"/>
        <v>H</v>
      </c>
      <c r="T3" s="156" t="str">
        <f>INDEX(Index!$H$1:$H$32,MATCH($E3,Index!$E$1:$E$32,0))</f>
        <v>AW</v>
      </c>
      <c r="U3" s="156" t="str">
        <f>INDEX(Index!$H$1:$H$32,MATCH($G3,Index!$E$1:$E$32,0))</f>
        <v>AW</v>
      </c>
      <c r="V3" s="156" t="str">
        <f t="shared" si="1"/>
        <v>Div</v>
      </c>
      <c r="W3" s="152" t="str">
        <f t="shared" si="2"/>
        <v>Y</v>
      </c>
      <c r="X3" s="149" t="str">
        <f>INDEX(Index!$G$1:$G$32,MATCH(E3,Index!$E$1:$E$32,0))</f>
        <v>LAC</v>
      </c>
      <c r="Y3" s="150" t="str">
        <f>INDEX(Index!$G$1:$G$32,MATCH(G3,Index!$E$1:$E$32,0))</f>
        <v>KC</v>
      </c>
      <c r="Z3" s="147" t="str">
        <f t="shared" si="3"/>
        <v/>
      </c>
      <c r="AA3" s="174" t="str" cm="1">
        <f t="array" ref="AA3">IFERROR(IF($W3="Y","",INDEX(EPA!$N$2:$N$512,MATCH(X3&amp;Index!$K$1,EPA!$A$2:$A$512&amp;EPA!$W$2:$W$512,0))),"")</f>
        <v/>
      </c>
      <c r="AB3" s="174" t="str" cm="1">
        <f t="array" ref="AB3">IFERROR(IF($W3="Y","",INDEX(EPA!$N$2:$N$512,MATCH(Y3&amp;Index!$K$1,EPA!$A$2:$A$512&amp;EPA!$W$2:$W$512,0))),"")</f>
        <v/>
      </c>
      <c r="AC3" s="174" t="str">
        <f ca="1">IF(AA3&lt;&gt;"",_xlfn.NORM.INV(RAND(),AA3,Index!$K$2),"")</f>
        <v/>
      </c>
      <c r="AD3" s="174" t="str">
        <f ca="1">IF(AB3&lt;&gt;"",_xlfn.NORM.INV(RAND(),AB3,Index!$K$2),"")</f>
        <v/>
      </c>
      <c r="AE3" s="157" t="str">
        <f t="shared" si="4"/>
        <v>LAC</v>
      </c>
      <c r="AF3" s="158" t="str">
        <f t="shared" si="5"/>
        <v>KC</v>
      </c>
      <c r="AG3" s="149">
        <f t="shared" ref="AG3:AG66" si="6">ROW(A3)-1</f>
        <v>2</v>
      </c>
    </row>
    <row r="4" spans="1:33" x14ac:dyDescent="0.25">
      <c r="A4" s="9">
        <v>1</v>
      </c>
      <c r="B4" s="9" t="s">
        <v>661</v>
      </c>
      <c r="C4" s="148">
        <v>45907</v>
      </c>
      <c r="D4" s="9" t="s">
        <v>662</v>
      </c>
      <c r="E4" s="9" t="s">
        <v>0</v>
      </c>
      <c r="F4" s="9" t="s">
        <v>663</v>
      </c>
      <c r="G4" s="9" t="s">
        <v>78</v>
      </c>
      <c r="H4" s="9" t="s">
        <v>658</v>
      </c>
      <c r="I4" s="9">
        <v>23</v>
      </c>
      <c r="J4" s="9">
        <v>20</v>
      </c>
      <c r="K4" s="9">
        <v>260</v>
      </c>
      <c r="L4" s="9">
        <v>0</v>
      </c>
      <c r="M4" s="9">
        <v>358</v>
      </c>
      <c r="N4" s="9">
        <v>0</v>
      </c>
      <c r="O4" s="149" t="str">
        <f>IF(I4&lt;&gt;"",IF(I4=J4,"TIE",INDEX(Index!$F$1:$F$32,MATCH(E4,Index!$E$1:$E$32,0))),INDEX(Index!$F$1:$F$32,MATCH(E4,Index!$E$1:$E$32,0)))</f>
        <v>TB</v>
      </c>
      <c r="P4" s="150" t="str">
        <f>IF(I4&lt;&gt;"",IF(I4=J4,"TIE",INDEX(Index!$F$1:$F$32,MATCH(G4,Index!$E$1:$E$32,0))),INDEX(Index!$F$1:$F$32,MATCH(G4,Index!$E$1:$E$32,0)))</f>
        <v>ATL</v>
      </c>
      <c r="Q4" s="155" t="str">
        <f>IF(O4="TIE",INDEX(Index!$F$1:$F$32,MATCH(E4,Index!$E$1:$E$32,0)),"")</f>
        <v/>
      </c>
      <c r="R4" s="155" t="str">
        <f>IF(P4="TIE",INDEX(Index!$F$1:$F$32,MATCH(G4,Index!$E$1:$E$32,0)),"")</f>
        <v/>
      </c>
      <c r="S4" s="151" t="str">
        <f t="shared" si="0"/>
        <v>A</v>
      </c>
      <c r="T4" s="156" t="str">
        <f>INDEX(Index!$H$1:$H$32,MATCH($E4,Index!$E$1:$E$32,0))</f>
        <v>NS</v>
      </c>
      <c r="U4" s="156" t="str">
        <f>INDEX(Index!$H$1:$H$32,MATCH($G4,Index!$E$1:$E$32,0))</f>
        <v>NS</v>
      </c>
      <c r="V4" s="156" t="str">
        <f t="shared" si="1"/>
        <v>Div</v>
      </c>
      <c r="W4" s="152" t="str">
        <f t="shared" si="2"/>
        <v>Y</v>
      </c>
      <c r="X4" s="149" t="str">
        <f>INDEX(Index!$G$1:$G$32,MATCH(E4,Index!$E$1:$E$32,0))</f>
        <v>TB</v>
      </c>
      <c r="Y4" s="150" t="str">
        <f>INDEX(Index!$G$1:$G$32,MATCH(G4,Index!$E$1:$E$32,0))</f>
        <v>ATL</v>
      </c>
      <c r="Z4" s="147" t="str">
        <f t="shared" si="3"/>
        <v/>
      </c>
      <c r="AA4" s="174" t="str" cm="1">
        <f t="array" ref="AA4">IFERROR(IF($W4="Y","",INDEX(EPA!$N$2:$N$512,MATCH(X4&amp;Index!$K$1,EPA!$A$2:$A$512&amp;EPA!$W$2:$W$512,0))),"")</f>
        <v/>
      </c>
      <c r="AB4" s="174" t="str" cm="1">
        <f t="array" ref="AB4">IFERROR(IF($W4="Y","",INDEX(EPA!$N$2:$N$512,MATCH(Y4&amp;Index!$K$1,EPA!$A$2:$A$512&amp;EPA!$W$2:$W$512,0))),"")</f>
        <v/>
      </c>
      <c r="AC4" s="174" t="str">
        <f ca="1">IF(AA4&lt;&gt;"",_xlfn.NORM.INV(RAND(),AA4,Index!$K$2),"")</f>
        <v/>
      </c>
      <c r="AD4" s="174" t="str">
        <f ca="1">IF(AB4&lt;&gt;"",_xlfn.NORM.INV(RAND(),AB4,Index!$K$2),"")</f>
        <v/>
      </c>
      <c r="AE4" s="157" t="str">
        <f t="shared" si="4"/>
        <v>TB</v>
      </c>
      <c r="AF4" s="158" t="str">
        <f t="shared" si="5"/>
        <v>ATL</v>
      </c>
      <c r="AG4" s="149">
        <f t="shared" si="6"/>
        <v>3</v>
      </c>
    </row>
    <row r="5" spans="1:33" x14ac:dyDescent="0.25">
      <c r="A5" s="9">
        <v>1</v>
      </c>
      <c r="B5" s="9" t="s">
        <v>661</v>
      </c>
      <c r="C5" s="148">
        <v>45907</v>
      </c>
      <c r="D5" s="9" t="s">
        <v>662</v>
      </c>
      <c r="E5" s="9" t="s">
        <v>36</v>
      </c>
      <c r="F5" s="9"/>
      <c r="G5" s="9" t="s">
        <v>12</v>
      </c>
      <c r="H5" s="9" t="s">
        <v>658</v>
      </c>
      <c r="I5" s="9">
        <v>26</v>
      </c>
      <c r="J5" s="9">
        <v>10</v>
      </c>
      <c r="K5" s="9">
        <v>378</v>
      </c>
      <c r="L5" s="9">
        <v>1</v>
      </c>
      <c r="M5" s="9">
        <v>255</v>
      </c>
      <c r="N5" s="9">
        <v>3</v>
      </c>
      <c r="O5" s="149" t="str">
        <f>IF(I5&lt;&gt;"",IF(I5=J5,"TIE",INDEX(Index!$F$1:$F$32,MATCH(E5,Index!$E$1:$E$32,0))),INDEX(Index!$F$1:$F$32,MATCH(E5,Index!$E$1:$E$32,0)))</f>
        <v>JAX</v>
      </c>
      <c r="P5" s="150" t="str">
        <f>IF(I5&lt;&gt;"",IF(I5=J5,"TIE",INDEX(Index!$F$1:$F$32,MATCH(G5,Index!$E$1:$E$32,0))),INDEX(Index!$F$1:$F$32,MATCH(G5,Index!$E$1:$E$32,0)))</f>
        <v>CAR</v>
      </c>
      <c r="Q5" s="155" t="str">
        <f>IF(O5="TIE",INDEX(Index!$F$1:$F$32,MATCH(E5,Index!$E$1:$E$32,0)),"")</f>
        <v/>
      </c>
      <c r="R5" s="155" t="str">
        <f>IF(P5="TIE",INDEX(Index!$F$1:$F$32,MATCH(G5,Index!$E$1:$E$32,0)),"")</f>
        <v/>
      </c>
      <c r="S5" s="151" t="str">
        <f t="shared" si="0"/>
        <v>H</v>
      </c>
      <c r="T5" s="156" t="str">
        <f>INDEX(Index!$H$1:$H$32,MATCH($E5,Index!$E$1:$E$32,0))</f>
        <v>AS</v>
      </c>
      <c r="U5" s="156" t="str">
        <f>INDEX(Index!$H$1:$H$32,MATCH($G5,Index!$E$1:$E$32,0))</f>
        <v>NS</v>
      </c>
      <c r="V5" s="156" t="str">
        <f t="shared" si="1"/>
        <v>Non</v>
      </c>
      <c r="W5" s="152" t="str">
        <f t="shared" si="2"/>
        <v>Y</v>
      </c>
      <c r="X5" s="149" t="str">
        <f>INDEX(Index!$G$1:$G$32,MATCH(E5,Index!$E$1:$E$32,0))</f>
        <v>JAX</v>
      </c>
      <c r="Y5" s="150" t="str">
        <f>INDEX(Index!$G$1:$G$32,MATCH(G5,Index!$E$1:$E$32,0))</f>
        <v>CAR</v>
      </c>
      <c r="Z5" s="147" t="str">
        <f t="shared" si="3"/>
        <v/>
      </c>
      <c r="AA5" s="174" t="str" cm="1">
        <f t="array" ref="AA5">IFERROR(IF($W5="Y","",INDEX(EPA!$N$2:$N$512,MATCH(X5&amp;Index!$K$1,EPA!$A$2:$A$512&amp;EPA!$W$2:$W$512,0))),"")</f>
        <v/>
      </c>
      <c r="AB5" s="174" t="str" cm="1">
        <f t="array" ref="AB5">IFERROR(IF($W5="Y","",INDEX(EPA!$N$2:$N$512,MATCH(Y5&amp;Index!$K$1,EPA!$A$2:$A$512&amp;EPA!$W$2:$W$512,0))),"")</f>
        <v/>
      </c>
      <c r="AC5" s="174" t="str">
        <f ca="1">IF(AA5&lt;&gt;"",_xlfn.NORM.INV(RAND(),AA5,Index!$K$2),"")</f>
        <v/>
      </c>
      <c r="AD5" s="174" t="str">
        <f ca="1">IF(AB5&lt;&gt;"",_xlfn.NORM.INV(RAND(),AB5,Index!$K$2),"")</f>
        <v/>
      </c>
      <c r="AE5" s="157" t="str">
        <f t="shared" si="4"/>
        <v>JAX</v>
      </c>
      <c r="AF5" s="158" t="str">
        <f t="shared" si="5"/>
        <v>CAR</v>
      </c>
      <c r="AG5" s="149">
        <f t="shared" si="6"/>
        <v>4</v>
      </c>
    </row>
    <row r="6" spans="1:33" x14ac:dyDescent="0.25">
      <c r="A6" s="9">
        <v>1</v>
      </c>
      <c r="B6" s="9" t="s">
        <v>661</v>
      </c>
      <c r="C6" s="148">
        <v>45907</v>
      </c>
      <c r="D6" s="9" t="s">
        <v>662</v>
      </c>
      <c r="E6" s="9" t="s">
        <v>53</v>
      </c>
      <c r="F6" s="9" t="s">
        <v>663</v>
      </c>
      <c r="G6" s="9" t="s">
        <v>83</v>
      </c>
      <c r="H6" s="9" t="s">
        <v>658</v>
      </c>
      <c r="I6" s="9">
        <v>17</v>
      </c>
      <c r="J6" s="9">
        <v>16</v>
      </c>
      <c r="K6" s="9">
        <v>141</v>
      </c>
      <c r="L6" s="9">
        <v>0</v>
      </c>
      <c r="M6" s="9">
        <v>327</v>
      </c>
      <c r="N6" s="9">
        <v>2</v>
      </c>
      <c r="O6" s="149" t="str">
        <f>IF(I6&lt;&gt;"",IF(I6=J6,"TIE",INDEX(Index!$F$1:$F$32,MATCH(E6,Index!$E$1:$E$32,0))),INDEX(Index!$F$1:$F$32,MATCH(E6,Index!$E$1:$E$32,0)))</f>
        <v>CIN</v>
      </c>
      <c r="P6" s="150" t="str">
        <f>IF(I6&lt;&gt;"",IF(I6=J6,"TIE",INDEX(Index!$F$1:$F$32,MATCH(G6,Index!$E$1:$E$32,0))),INDEX(Index!$F$1:$F$32,MATCH(G6,Index!$E$1:$E$32,0)))</f>
        <v>CLE</v>
      </c>
      <c r="Q6" s="155" t="str">
        <f>IF(O6="TIE",INDEX(Index!$F$1:$F$32,MATCH(E6,Index!$E$1:$E$32,0)),"")</f>
        <v/>
      </c>
      <c r="R6" s="155" t="str">
        <f>IF(P6="TIE",INDEX(Index!$F$1:$F$32,MATCH(G6,Index!$E$1:$E$32,0)),"")</f>
        <v/>
      </c>
      <c r="S6" s="151" t="str">
        <f t="shared" si="0"/>
        <v>A</v>
      </c>
      <c r="T6" s="156" t="str">
        <f>INDEX(Index!$H$1:$H$32,MATCH($E6,Index!$E$1:$E$32,0))</f>
        <v>AN</v>
      </c>
      <c r="U6" s="156" t="str">
        <f>INDEX(Index!$H$1:$H$32,MATCH($G6,Index!$E$1:$E$32,0))</f>
        <v>AN</v>
      </c>
      <c r="V6" s="156" t="str">
        <f t="shared" si="1"/>
        <v>Div</v>
      </c>
      <c r="W6" s="152" t="str">
        <f t="shared" si="2"/>
        <v>Y</v>
      </c>
      <c r="X6" s="149" t="str">
        <f>INDEX(Index!$G$1:$G$32,MATCH(E6,Index!$E$1:$E$32,0))</f>
        <v>CIN</v>
      </c>
      <c r="Y6" s="150" t="str">
        <f>INDEX(Index!$G$1:$G$32,MATCH(G6,Index!$E$1:$E$32,0))</f>
        <v>CLE</v>
      </c>
      <c r="Z6" s="147" t="str">
        <f t="shared" si="3"/>
        <v/>
      </c>
      <c r="AA6" s="174" t="str" cm="1">
        <f t="array" ref="AA6">IFERROR(IF($W6="Y","",INDEX(EPA!$N$2:$N$512,MATCH(X6&amp;Index!$K$1,EPA!$A$2:$A$512&amp;EPA!$W$2:$W$512,0))),"")</f>
        <v/>
      </c>
      <c r="AB6" s="174" t="str" cm="1">
        <f t="array" ref="AB6">IFERROR(IF($W6="Y","",INDEX(EPA!$N$2:$N$512,MATCH(Y6&amp;Index!$K$1,EPA!$A$2:$A$512&amp;EPA!$W$2:$W$512,0))),"")</f>
        <v/>
      </c>
      <c r="AC6" s="174" t="str">
        <f ca="1">IF(AA6&lt;&gt;"",_xlfn.NORM.INV(RAND(),AA6,Index!$K$2),"")</f>
        <v/>
      </c>
      <c r="AD6" s="174" t="str">
        <f ca="1">IF(AB6&lt;&gt;"",_xlfn.NORM.INV(RAND(),AB6,Index!$K$2),"")</f>
        <v/>
      </c>
      <c r="AE6" s="157" t="str">
        <f t="shared" si="4"/>
        <v>CIN</v>
      </c>
      <c r="AF6" s="158" t="str">
        <f t="shared" si="5"/>
        <v>CLE</v>
      </c>
      <c r="AG6" s="149">
        <f t="shared" si="6"/>
        <v>5</v>
      </c>
    </row>
    <row r="7" spans="1:33" x14ac:dyDescent="0.25">
      <c r="A7" s="9">
        <v>1</v>
      </c>
      <c r="B7" s="9" t="s">
        <v>661</v>
      </c>
      <c r="C7" s="148">
        <v>45907</v>
      </c>
      <c r="D7" s="9" t="s">
        <v>662</v>
      </c>
      <c r="E7" s="9" t="s">
        <v>42</v>
      </c>
      <c r="F7" s="9"/>
      <c r="G7" s="9" t="s">
        <v>62</v>
      </c>
      <c r="H7" s="9" t="s">
        <v>658</v>
      </c>
      <c r="I7" s="9">
        <v>33</v>
      </c>
      <c r="J7" s="9">
        <v>8</v>
      </c>
      <c r="K7" s="9">
        <v>418</v>
      </c>
      <c r="L7" s="9">
        <v>0</v>
      </c>
      <c r="M7" s="9">
        <v>211</v>
      </c>
      <c r="N7" s="9">
        <v>3</v>
      </c>
      <c r="O7" s="149" t="str">
        <f>IF(I7&lt;&gt;"",IF(I7=J7,"TIE",INDEX(Index!$F$1:$F$32,MATCH(E7,Index!$E$1:$E$32,0))),INDEX(Index!$F$1:$F$32,MATCH(E7,Index!$E$1:$E$32,0)))</f>
        <v>IND</v>
      </c>
      <c r="P7" s="150" t="str">
        <f>IF(I7&lt;&gt;"",IF(I7=J7,"TIE",INDEX(Index!$F$1:$F$32,MATCH(G7,Index!$E$1:$E$32,0))),INDEX(Index!$F$1:$F$32,MATCH(G7,Index!$E$1:$E$32,0)))</f>
        <v>MIA</v>
      </c>
      <c r="Q7" s="155" t="str">
        <f>IF(O7="TIE",INDEX(Index!$F$1:$F$32,MATCH(E7,Index!$E$1:$E$32,0)),"")</f>
        <v/>
      </c>
      <c r="R7" s="155" t="str">
        <f>IF(P7="TIE",INDEX(Index!$F$1:$F$32,MATCH(G7,Index!$E$1:$E$32,0)),"")</f>
        <v/>
      </c>
      <c r="S7" s="151" t="str">
        <f t="shared" si="0"/>
        <v>H</v>
      </c>
      <c r="T7" s="156" t="str">
        <f>INDEX(Index!$H$1:$H$32,MATCH($E7,Index!$E$1:$E$32,0))</f>
        <v>AS</v>
      </c>
      <c r="U7" s="156" t="str">
        <f>INDEX(Index!$H$1:$H$32,MATCH($G7,Index!$E$1:$E$32,0))</f>
        <v>AE</v>
      </c>
      <c r="V7" s="156" t="str">
        <f t="shared" si="1"/>
        <v>Con</v>
      </c>
      <c r="W7" s="152" t="str">
        <f t="shared" si="2"/>
        <v>Y</v>
      </c>
      <c r="X7" s="149" t="str">
        <f>INDEX(Index!$G$1:$G$32,MATCH(E7,Index!$E$1:$E$32,0))</f>
        <v>IND</v>
      </c>
      <c r="Y7" s="150" t="str">
        <f>INDEX(Index!$G$1:$G$32,MATCH(G7,Index!$E$1:$E$32,0))</f>
        <v>MIA</v>
      </c>
      <c r="Z7" s="147" t="str">
        <f t="shared" si="3"/>
        <v/>
      </c>
      <c r="AA7" s="174" t="str" cm="1">
        <f t="array" ref="AA7">IFERROR(IF($W7="Y","",INDEX(EPA!$N$2:$N$512,MATCH(X7&amp;Index!$K$1,EPA!$A$2:$A$512&amp;EPA!$W$2:$W$512,0))),"")</f>
        <v/>
      </c>
      <c r="AB7" s="174" t="str" cm="1">
        <f t="array" ref="AB7">IFERROR(IF($W7="Y","",INDEX(EPA!$N$2:$N$512,MATCH(Y7&amp;Index!$K$1,EPA!$A$2:$A$512&amp;EPA!$W$2:$W$512,0))),"")</f>
        <v/>
      </c>
      <c r="AC7" s="174" t="str">
        <f ca="1">IF(AA7&lt;&gt;"",_xlfn.NORM.INV(RAND(),AA7,Index!$K$2),"")</f>
        <v/>
      </c>
      <c r="AD7" s="174" t="str">
        <f ca="1">IF(AB7&lt;&gt;"",_xlfn.NORM.INV(RAND(),AB7,Index!$K$2),"")</f>
        <v/>
      </c>
      <c r="AE7" s="157" t="str">
        <f t="shared" si="4"/>
        <v>IND</v>
      </c>
      <c r="AF7" s="158" t="str">
        <f t="shared" si="5"/>
        <v>MIA</v>
      </c>
      <c r="AG7" s="149">
        <f t="shared" si="6"/>
        <v>6</v>
      </c>
    </row>
    <row r="8" spans="1:33" x14ac:dyDescent="0.25">
      <c r="A8" s="9">
        <v>1</v>
      </c>
      <c r="B8" s="9" t="s">
        <v>661</v>
      </c>
      <c r="C8" s="148">
        <v>45907</v>
      </c>
      <c r="D8" s="9" t="s">
        <v>662</v>
      </c>
      <c r="E8" s="9" t="s">
        <v>27</v>
      </c>
      <c r="F8" s="9" t="s">
        <v>663</v>
      </c>
      <c r="G8" s="9" t="s">
        <v>71</v>
      </c>
      <c r="H8" s="9" t="s">
        <v>658</v>
      </c>
      <c r="I8" s="9">
        <v>20</v>
      </c>
      <c r="J8" s="9">
        <v>13</v>
      </c>
      <c r="K8" s="9">
        <v>276</v>
      </c>
      <c r="L8" s="9">
        <v>0</v>
      </c>
      <c r="M8" s="9">
        <v>315</v>
      </c>
      <c r="N8" s="9">
        <v>0</v>
      </c>
      <c r="O8" s="149" t="str">
        <f>IF(I8&lt;&gt;"",IF(I8=J8,"TIE",INDEX(Index!$F$1:$F$32,MATCH(E8,Index!$E$1:$E$32,0))),INDEX(Index!$F$1:$F$32,MATCH(E8,Index!$E$1:$E$32,0)))</f>
        <v>ARI</v>
      </c>
      <c r="P8" s="150" t="str">
        <f>IF(I8&lt;&gt;"",IF(I8=J8,"TIE",INDEX(Index!$F$1:$F$32,MATCH(G8,Index!$E$1:$E$32,0))),INDEX(Index!$F$1:$F$32,MATCH(G8,Index!$E$1:$E$32,0)))</f>
        <v>NO</v>
      </c>
      <c r="Q8" s="155" t="str">
        <f>IF(O8="TIE",INDEX(Index!$F$1:$F$32,MATCH(E8,Index!$E$1:$E$32,0)),"")</f>
        <v/>
      </c>
      <c r="R8" s="155" t="str">
        <f>IF(P8="TIE",INDEX(Index!$F$1:$F$32,MATCH(G8,Index!$E$1:$E$32,0)),"")</f>
        <v/>
      </c>
      <c r="S8" s="151" t="str">
        <f t="shared" si="0"/>
        <v>A</v>
      </c>
      <c r="T8" s="156" t="str">
        <f>INDEX(Index!$H$1:$H$32,MATCH($E8,Index!$E$1:$E$32,0))</f>
        <v>NW</v>
      </c>
      <c r="U8" s="156" t="str">
        <f>INDEX(Index!$H$1:$H$32,MATCH($G8,Index!$E$1:$E$32,0))</f>
        <v>NS</v>
      </c>
      <c r="V8" s="156" t="str">
        <f t="shared" si="1"/>
        <v>Con</v>
      </c>
      <c r="W8" s="152" t="str">
        <f t="shared" si="2"/>
        <v>Y</v>
      </c>
      <c r="X8" s="149" t="str">
        <f>INDEX(Index!$G$1:$G$32,MATCH(E8,Index!$E$1:$E$32,0))</f>
        <v>ARI</v>
      </c>
      <c r="Y8" s="150" t="str">
        <f>INDEX(Index!$G$1:$G$32,MATCH(G8,Index!$E$1:$E$32,0))</f>
        <v>NO</v>
      </c>
      <c r="Z8" s="147" t="str">
        <f t="shared" si="3"/>
        <v/>
      </c>
      <c r="AA8" s="174" t="str" cm="1">
        <f t="array" ref="AA8">IFERROR(IF($W8="Y","",INDEX(EPA!$N$2:$N$512,MATCH(X8&amp;Index!$K$1,EPA!$A$2:$A$512&amp;EPA!$W$2:$W$512,0))),"")</f>
        <v/>
      </c>
      <c r="AB8" s="174" t="str" cm="1">
        <f t="array" ref="AB8">IFERROR(IF($W8="Y","",INDEX(EPA!$N$2:$N$512,MATCH(Y8&amp;Index!$K$1,EPA!$A$2:$A$512&amp;EPA!$W$2:$W$512,0))),"")</f>
        <v/>
      </c>
      <c r="AC8" s="174" t="str">
        <f ca="1">IF(AA8&lt;&gt;"",_xlfn.NORM.INV(RAND(),AA8,Index!$K$2),"")</f>
        <v/>
      </c>
      <c r="AD8" s="174" t="str">
        <f ca="1">IF(AB8&lt;&gt;"",_xlfn.NORM.INV(RAND(),AB8,Index!$K$2),"")</f>
        <v/>
      </c>
      <c r="AE8" s="157" t="str">
        <f t="shared" si="4"/>
        <v>ARI</v>
      </c>
      <c r="AF8" s="158" t="str">
        <f t="shared" si="5"/>
        <v>NO</v>
      </c>
      <c r="AG8" s="149">
        <f t="shared" si="6"/>
        <v>7</v>
      </c>
    </row>
    <row r="9" spans="1:33" x14ac:dyDescent="0.25">
      <c r="A9" s="9">
        <v>1</v>
      </c>
      <c r="B9" s="9" t="s">
        <v>661</v>
      </c>
      <c r="C9" s="148">
        <v>45907</v>
      </c>
      <c r="D9" s="9" t="s">
        <v>662</v>
      </c>
      <c r="E9" s="9" t="s">
        <v>80</v>
      </c>
      <c r="F9" s="9" t="s">
        <v>663</v>
      </c>
      <c r="G9" s="9" t="s">
        <v>45</v>
      </c>
      <c r="H9" s="9" t="s">
        <v>658</v>
      </c>
      <c r="I9" s="9">
        <v>20</v>
      </c>
      <c r="J9" s="9">
        <v>13</v>
      </c>
      <c r="K9" s="9">
        <v>389</v>
      </c>
      <c r="L9" s="9">
        <v>1</v>
      </c>
      <c r="M9" s="9">
        <v>336</v>
      </c>
      <c r="N9" s="9">
        <v>1</v>
      </c>
      <c r="O9" s="149" t="str">
        <f>IF(I9&lt;&gt;"",IF(I9=J9,"TIE",INDEX(Index!$F$1:$F$32,MATCH(E9,Index!$E$1:$E$32,0))),INDEX(Index!$F$1:$F$32,MATCH(E9,Index!$E$1:$E$32,0)))</f>
        <v>LV</v>
      </c>
      <c r="P9" s="150" t="str">
        <f>IF(I9&lt;&gt;"",IF(I9=J9,"TIE",INDEX(Index!$F$1:$F$32,MATCH(G9,Index!$E$1:$E$32,0))),INDEX(Index!$F$1:$F$32,MATCH(G9,Index!$E$1:$E$32,0)))</f>
        <v>NE</v>
      </c>
      <c r="Q9" s="155" t="str">
        <f>IF(O9="TIE",INDEX(Index!$F$1:$F$32,MATCH(E9,Index!$E$1:$E$32,0)),"")</f>
        <v/>
      </c>
      <c r="R9" s="155" t="str">
        <f>IF(P9="TIE",INDEX(Index!$F$1:$F$32,MATCH(G9,Index!$E$1:$E$32,0)),"")</f>
        <v/>
      </c>
      <c r="S9" s="151" t="str">
        <f t="shared" si="0"/>
        <v>A</v>
      </c>
      <c r="T9" s="156" t="str">
        <f>INDEX(Index!$H$1:$H$32,MATCH($E9,Index!$E$1:$E$32,0))</f>
        <v>AW</v>
      </c>
      <c r="U9" s="156" t="str">
        <f>INDEX(Index!$H$1:$H$32,MATCH($G9,Index!$E$1:$E$32,0))</f>
        <v>AE</v>
      </c>
      <c r="V9" s="156" t="str">
        <f t="shared" si="1"/>
        <v>Con</v>
      </c>
      <c r="W9" s="152" t="str">
        <f t="shared" si="2"/>
        <v>Y</v>
      </c>
      <c r="X9" s="149" t="str">
        <f>INDEX(Index!$G$1:$G$32,MATCH(E9,Index!$E$1:$E$32,0))</f>
        <v>OAK</v>
      </c>
      <c r="Y9" s="150" t="str">
        <f>INDEX(Index!$G$1:$G$32,MATCH(G9,Index!$E$1:$E$32,0))</f>
        <v>NE</v>
      </c>
      <c r="Z9" s="147" t="str">
        <f t="shared" si="3"/>
        <v/>
      </c>
      <c r="AA9" s="174" t="str" cm="1">
        <f t="array" ref="AA9">IFERROR(IF($W9="Y","",INDEX(EPA!$N$2:$N$512,MATCH(X9&amp;Index!$K$1,EPA!$A$2:$A$512&amp;EPA!$W$2:$W$512,0))),"")</f>
        <v/>
      </c>
      <c r="AB9" s="174" t="str" cm="1">
        <f t="array" ref="AB9">IFERROR(IF($W9="Y","",INDEX(EPA!$N$2:$N$512,MATCH(Y9&amp;Index!$K$1,EPA!$A$2:$A$512&amp;EPA!$W$2:$W$512,0))),"")</f>
        <v/>
      </c>
      <c r="AC9" s="174" t="str">
        <f ca="1">IF(AA9&lt;&gt;"",_xlfn.NORM.INV(RAND(),AA9,Index!$K$2),"")</f>
        <v/>
      </c>
      <c r="AD9" s="174" t="str">
        <f ca="1">IF(AB9&lt;&gt;"",_xlfn.NORM.INV(RAND(),AB9,Index!$K$2),"")</f>
        <v/>
      </c>
      <c r="AE9" s="157" t="str">
        <f t="shared" si="4"/>
        <v>LV</v>
      </c>
      <c r="AF9" s="158" t="str">
        <f t="shared" si="5"/>
        <v>NE</v>
      </c>
      <c r="AG9" s="149">
        <f t="shared" si="6"/>
        <v>8</v>
      </c>
    </row>
    <row r="10" spans="1:33" x14ac:dyDescent="0.25">
      <c r="A10" s="9">
        <v>1</v>
      </c>
      <c r="B10" s="9" t="s">
        <v>661</v>
      </c>
      <c r="C10" s="148">
        <v>45907</v>
      </c>
      <c r="D10" s="9" t="s">
        <v>662</v>
      </c>
      <c r="E10" s="9" t="s">
        <v>4</v>
      </c>
      <c r="F10" s="9"/>
      <c r="G10" s="9" t="s">
        <v>49</v>
      </c>
      <c r="H10" s="9" t="s">
        <v>658</v>
      </c>
      <c r="I10" s="9">
        <v>21</v>
      </c>
      <c r="J10" s="9">
        <v>6</v>
      </c>
      <c r="K10" s="9">
        <v>432</v>
      </c>
      <c r="L10" s="9">
        <v>0</v>
      </c>
      <c r="M10" s="9">
        <v>231</v>
      </c>
      <c r="N10" s="9">
        <v>0</v>
      </c>
      <c r="O10" s="149" t="str">
        <f>IF(I10&lt;&gt;"",IF(I10=J10,"TIE",INDEX(Index!$F$1:$F$32,MATCH(E10,Index!$E$1:$E$32,0))),INDEX(Index!$F$1:$F$32,MATCH(E10,Index!$E$1:$E$32,0)))</f>
        <v>WAS</v>
      </c>
      <c r="P10" s="150" t="str">
        <f>IF(I10&lt;&gt;"",IF(I10=J10,"TIE",INDEX(Index!$F$1:$F$32,MATCH(G10,Index!$E$1:$E$32,0))),INDEX(Index!$F$1:$F$32,MATCH(G10,Index!$E$1:$E$32,0)))</f>
        <v>NYG</v>
      </c>
      <c r="Q10" s="155" t="str">
        <f>IF(O10="TIE",INDEX(Index!$F$1:$F$32,MATCH(E10,Index!$E$1:$E$32,0)),"")</f>
        <v/>
      </c>
      <c r="R10" s="155" t="str">
        <f>IF(P10="TIE",INDEX(Index!$F$1:$F$32,MATCH(G10,Index!$E$1:$E$32,0)),"")</f>
        <v/>
      </c>
      <c r="S10" s="151" t="str">
        <f t="shared" si="0"/>
        <v>H</v>
      </c>
      <c r="T10" s="156" t="str">
        <f>INDEX(Index!$H$1:$H$32,MATCH($E10,Index!$E$1:$E$32,0))</f>
        <v>NE</v>
      </c>
      <c r="U10" s="156" t="str">
        <f>INDEX(Index!$H$1:$H$32,MATCH($G10,Index!$E$1:$E$32,0))</f>
        <v>NE</v>
      </c>
      <c r="V10" s="156" t="str">
        <f t="shared" si="1"/>
        <v>Div</v>
      </c>
      <c r="W10" s="152" t="str">
        <f t="shared" si="2"/>
        <v>Y</v>
      </c>
      <c r="X10" s="149" t="str">
        <f>INDEX(Index!$G$1:$G$32,MATCH(E10,Index!$E$1:$E$32,0))</f>
        <v>WAS</v>
      </c>
      <c r="Y10" s="150" t="str">
        <f>INDEX(Index!$G$1:$G$32,MATCH(G10,Index!$E$1:$E$32,0))</f>
        <v>NYG</v>
      </c>
      <c r="Z10" s="147" t="str">
        <f t="shared" si="3"/>
        <v/>
      </c>
      <c r="AA10" s="174" t="str" cm="1">
        <f t="array" ref="AA10">IFERROR(IF($W10="Y","",INDEX(EPA!$N$2:$N$512,MATCH(X10&amp;Index!$K$1,EPA!$A$2:$A$512&amp;EPA!$W$2:$W$512,0))),"")</f>
        <v/>
      </c>
      <c r="AB10" s="174" t="str" cm="1">
        <f t="array" ref="AB10">IFERROR(IF($W10="Y","",INDEX(EPA!$N$2:$N$512,MATCH(Y10&amp;Index!$K$1,EPA!$A$2:$A$512&amp;EPA!$W$2:$W$512,0))),"")</f>
        <v/>
      </c>
      <c r="AC10" s="174" t="str">
        <f ca="1">IF(AA10&lt;&gt;"",_xlfn.NORM.INV(RAND(),AA10,Index!$K$2),"")</f>
        <v/>
      </c>
      <c r="AD10" s="174" t="str">
        <f ca="1">IF(AB10&lt;&gt;"",_xlfn.NORM.INV(RAND(),AB10,Index!$K$2),"")</f>
        <v/>
      </c>
      <c r="AE10" s="157" t="str">
        <f t="shared" si="4"/>
        <v>WAS</v>
      </c>
      <c r="AF10" s="158" t="str">
        <f t="shared" si="5"/>
        <v>NYG</v>
      </c>
      <c r="AG10" s="149">
        <f t="shared" si="6"/>
        <v>9</v>
      </c>
    </row>
    <row r="11" spans="1:33" x14ac:dyDescent="0.25">
      <c r="A11" s="9">
        <v>1</v>
      </c>
      <c r="B11" s="9" t="s">
        <v>661</v>
      </c>
      <c r="C11" s="148">
        <v>45907</v>
      </c>
      <c r="D11" s="9" t="s">
        <v>662</v>
      </c>
      <c r="E11" s="9" t="s">
        <v>73</v>
      </c>
      <c r="F11" s="9" t="s">
        <v>663</v>
      </c>
      <c r="G11" s="9" t="s">
        <v>23</v>
      </c>
      <c r="H11" s="9" t="s">
        <v>658</v>
      </c>
      <c r="I11" s="9">
        <v>34</v>
      </c>
      <c r="J11" s="9">
        <v>32</v>
      </c>
      <c r="K11" s="9">
        <v>271</v>
      </c>
      <c r="L11" s="9">
        <v>0</v>
      </c>
      <c r="M11" s="9">
        <v>394</v>
      </c>
      <c r="N11" s="9">
        <v>1</v>
      </c>
      <c r="O11" s="149" t="str">
        <f>IF(I11&lt;&gt;"",IF(I11=J11,"TIE",INDEX(Index!$F$1:$F$32,MATCH(E11,Index!$E$1:$E$32,0))),INDEX(Index!$F$1:$F$32,MATCH(E11,Index!$E$1:$E$32,0)))</f>
        <v>PIT</v>
      </c>
      <c r="P11" s="150" t="str">
        <f>IF(I11&lt;&gt;"",IF(I11=J11,"TIE",INDEX(Index!$F$1:$F$32,MATCH(G11,Index!$E$1:$E$32,0))),INDEX(Index!$F$1:$F$32,MATCH(G11,Index!$E$1:$E$32,0)))</f>
        <v>NYJ</v>
      </c>
      <c r="Q11" s="155" t="str">
        <f>IF(O11="TIE",INDEX(Index!$F$1:$F$32,MATCH(E11,Index!$E$1:$E$32,0)),"")</f>
        <v/>
      </c>
      <c r="R11" s="155" t="str">
        <f>IF(P11="TIE",INDEX(Index!$F$1:$F$32,MATCH(G11,Index!$E$1:$E$32,0)),"")</f>
        <v/>
      </c>
      <c r="S11" s="151" t="str">
        <f t="shared" si="0"/>
        <v>A</v>
      </c>
      <c r="T11" s="156" t="str">
        <f>INDEX(Index!$H$1:$H$32,MATCH($E11,Index!$E$1:$E$32,0))</f>
        <v>AN</v>
      </c>
      <c r="U11" s="156" t="str">
        <f>INDEX(Index!$H$1:$H$32,MATCH($G11,Index!$E$1:$E$32,0))</f>
        <v>AE</v>
      </c>
      <c r="V11" s="156" t="str">
        <f t="shared" si="1"/>
        <v>Con</v>
      </c>
      <c r="W11" s="152" t="str">
        <f t="shared" si="2"/>
        <v>Y</v>
      </c>
      <c r="X11" s="149" t="str">
        <f>INDEX(Index!$G$1:$G$32,MATCH(E11,Index!$E$1:$E$32,0))</f>
        <v>PIT</v>
      </c>
      <c r="Y11" s="150" t="str">
        <f>INDEX(Index!$G$1:$G$32,MATCH(G11,Index!$E$1:$E$32,0))</f>
        <v>NYJ</v>
      </c>
      <c r="Z11" s="147" t="str">
        <f t="shared" si="3"/>
        <v/>
      </c>
      <c r="AA11" s="174" t="str" cm="1">
        <f t="array" ref="AA11">IFERROR(IF($W11="Y","",INDEX(EPA!$N$2:$N$512,MATCH(X11&amp;Index!$K$1,EPA!$A$2:$A$512&amp;EPA!$W$2:$W$512,0))),"")</f>
        <v/>
      </c>
      <c r="AB11" s="174" t="str" cm="1">
        <f t="array" ref="AB11">IFERROR(IF($W11="Y","",INDEX(EPA!$N$2:$N$512,MATCH(Y11&amp;Index!$K$1,EPA!$A$2:$A$512&amp;EPA!$W$2:$W$512,0))),"")</f>
        <v/>
      </c>
      <c r="AC11" s="174" t="str">
        <f ca="1">IF(AA11&lt;&gt;"",_xlfn.NORM.INV(RAND(),AA11,Index!$K$2),"")</f>
        <v/>
      </c>
      <c r="AD11" s="174" t="str">
        <f ca="1">IF(AB11&lt;&gt;"",_xlfn.NORM.INV(RAND(),AB11,Index!$K$2),"")</f>
        <v/>
      </c>
      <c r="AE11" s="157" t="str">
        <f t="shared" si="4"/>
        <v>PIT</v>
      </c>
      <c r="AF11" s="158" t="str">
        <f t="shared" si="5"/>
        <v>NYJ</v>
      </c>
      <c r="AG11" s="149">
        <f t="shared" si="6"/>
        <v>10</v>
      </c>
    </row>
    <row r="12" spans="1:33" x14ac:dyDescent="0.25">
      <c r="A12" s="9">
        <v>1</v>
      </c>
      <c r="B12" s="9" t="s">
        <v>661</v>
      </c>
      <c r="C12" s="148">
        <v>45907</v>
      </c>
      <c r="D12" s="9" t="s">
        <v>664</v>
      </c>
      <c r="E12" s="9" t="s">
        <v>94</v>
      </c>
      <c r="F12" s="9"/>
      <c r="G12" s="9" t="s">
        <v>19</v>
      </c>
      <c r="H12" s="9" t="s">
        <v>658</v>
      </c>
      <c r="I12" s="9">
        <v>20</v>
      </c>
      <c r="J12" s="9">
        <v>12</v>
      </c>
      <c r="K12" s="9">
        <v>317</v>
      </c>
      <c r="L12" s="9">
        <v>4</v>
      </c>
      <c r="M12" s="9">
        <v>133</v>
      </c>
      <c r="N12" s="9">
        <v>2</v>
      </c>
      <c r="O12" s="149" t="str">
        <f>IF(I12&lt;&gt;"",IF(I12=J12,"TIE",INDEX(Index!$F$1:$F$32,MATCH(E12,Index!$E$1:$E$32,0))),INDEX(Index!$F$1:$F$32,MATCH(E12,Index!$E$1:$E$32,0)))</f>
        <v>DEN</v>
      </c>
      <c r="P12" s="150" t="str">
        <f>IF(I12&lt;&gt;"",IF(I12=J12,"TIE",INDEX(Index!$F$1:$F$32,MATCH(G12,Index!$E$1:$E$32,0))),INDEX(Index!$F$1:$F$32,MATCH(G12,Index!$E$1:$E$32,0)))</f>
        <v>TEN</v>
      </c>
      <c r="Q12" s="155" t="str">
        <f>IF(O12="TIE",INDEX(Index!$F$1:$F$32,MATCH(E12,Index!$E$1:$E$32,0)),"")</f>
        <v/>
      </c>
      <c r="R12" s="155" t="str">
        <f>IF(P12="TIE",INDEX(Index!$F$1:$F$32,MATCH(G12,Index!$E$1:$E$32,0)),"")</f>
        <v/>
      </c>
      <c r="S12" s="151" t="str">
        <f t="shared" si="0"/>
        <v>H</v>
      </c>
      <c r="T12" s="156" t="str">
        <f>INDEX(Index!$H$1:$H$32,MATCH($E12,Index!$E$1:$E$32,0))</f>
        <v>AW</v>
      </c>
      <c r="U12" s="156" t="str">
        <f>INDEX(Index!$H$1:$H$32,MATCH($G12,Index!$E$1:$E$32,0))</f>
        <v>AS</v>
      </c>
      <c r="V12" s="156" t="str">
        <f t="shared" si="1"/>
        <v>Con</v>
      </c>
      <c r="W12" s="152" t="str">
        <f t="shared" si="2"/>
        <v>Y</v>
      </c>
      <c r="X12" s="149" t="str">
        <f>INDEX(Index!$G$1:$G$32,MATCH(E12,Index!$E$1:$E$32,0))</f>
        <v>DEN</v>
      </c>
      <c r="Y12" s="150" t="str">
        <f>INDEX(Index!$G$1:$G$32,MATCH(G12,Index!$E$1:$E$32,0))</f>
        <v>TEN</v>
      </c>
      <c r="Z12" s="147" t="str">
        <f t="shared" si="3"/>
        <v/>
      </c>
      <c r="AA12" s="174" t="str" cm="1">
        <f t="array" ref="AA12">IFERROR(IF($W12="Y","",INDEX(EPA!$N$2:$N$512,MATCH(X12&amp;Index!$K$1,EPA!$A$2:$A$512&amp;EPA!$W$2:$W$512,0))),"")</f>
        <v/>
      </c>
      <c r="AB12" s="174" t="str" cm="1">
        <f t="array" ref="AB12">IFERROR(IF($W12="Y","",INDEX(EPA!$N$2:$N$512,MATCH(Y12&amp;Index!$K$1,EPA!$A$2:$A$512&amp;EPA!$W$2:$W$512,0))),"")</f>
        <v/>
      </c>
      <c r="AC12" s="174" t="str">
        <f ca="1">IF(AA12&lt;&gt;"",_xlfn.NORM.INV(RAND(),AA12,Index!$K$2),"")</f>
        <v/>
      </c>
      <c r="AD12" s="174" t="str">
        <f ca="1">IF(AB12&lt;&gt;"",_xlfn.NORM.INV(RAND(),AB12,Index!$K$2),"")</f>
        <v/>
      </c>
      <c r="AE12" s="157" t="str">
        <f t="shared" si="4"/>
        <v>DEN</v>
      </c>
      <c r="AF12" s="158" t="str">
        <f t="shared" si="5"/>
        <v>TEN</v>
      </c>
      <c r="AG12" s="149">
        <f t="shared" si="6"/>
        <v>11</v>
      </c>
    </row>
    <row r="13" spans="1:33" x14ac:dyDescent="0.25">
      <c r="A13" s="9">
        <v>1</v>
      </c>
      <c r="B13" s="9" t="s">
        <v>661</v>
      </c>
      <c r="C13" s="148">
        <v>45907</v>
      </c>
      <c r="D13" s="9" t="s">
        <v>664</v>
      </c>
      <c r="E13" s="9" t="s">
        <v>30</v>
      </c>
      <c r="F13" s="9" t="s">
        <v>663</v>
      </c>
      <c r="G13" s="9" t="s">
        <v>8</v>
      </c>
      <c r="H13" s="9" t="s">
        <v>658</v>
      </c>
      <c r="I13" s="9">
        <v>17</v>
      </c>
      <c r="J13" s="9">
        <v>13</v>
      </c>
      <c r="K13" s="9">
        <v>384</v>
      </c>
      <c r="L13" s="9">
        <v>2</v>
      </c>
      <c r="M13" s="9">
        <v>230</v>
      </c>
      <c r="N13" s="9">
        <v>2</v>
      </c>
      <c r="O13" s="149" t="str">
        <f>IF(I13&lt;&gt;"",IF(I13=J13,"TIE",INDEX(Index!$F$1:$F$32,MATCH(E13,Index!$E$1:$E$32,0))),INDEX(Index!$F$1:$F$32,MATCH(E13,Index!$E$1:$E$32,0)))</f>
        <v>SF</v>
      </c>
      <c r="P13" s="150" t="str">
        <f>IF(I13&lt;&gt;"",IF(I13=J13,"TIE",INDEX(Index!$F$1:$F$32,MATCH(G13,Index!$E$1:$E$32,0))),INDEX(Index!$F$1:$F$32,MATCH(G13,Index!$E$1:$E$32,0)))</f>
        <v>SEA</v>
      </c>
      <c r="Q13" s="155" t="str">
        <f>IF(O13="TIE",INDEX(Index!$F$1:$F$32,MATCH(E13,Index!$E$1:$E$32,0)),"")</f>
        <v/>
      </c>
      <c r="R13" s="155" t="str">
        <f>IF(P13="TIE",INDEX(Index!$F$1:$F$32,MATCH(G13,Index!$E$1:$E$32,0)),"")</f>
        <v/>
      </c>
      <c r="S13" s="151" t="str">
        <f t="shared" si="0"/>
        <v>A</v>
      </c>
      <c r="T13" s="156" t="str">
        <f>INDEX(Index!$H$1:$H$32,MATCH($E13,Index!$E$1:$E$32,0))</f>
        <v>NW</v>
      </c>
      <c r="U13" s="156" t="str">
        <f>INDEX(Index!$H$1:$H$32,MATCH($G13,Index!$E$1:$E$32,0))</f>
        <v>NW</v>
      </c>
      <c r="V13" s="156" t="str">
        <f t="shared" si="1"/>
        <v>Div</v>
      </c>
      <c r="W13" s="152" t="str">
        <f t="shared" si="2"/>
        <v>Y</v>
      </c>
      <c r="X13" s="149" t="str">
        <f>INDEX(Index!$G$1:$G$32,MATCH(E13,Index!$E$1:$E$32,0))</f>
        <v>SF</v>
      </c>
      <c r="Y13" s="150" t="str">
        <f>INDEX(Index!$G$1:$G$32,MATCH(G13,Index!$E$1:$E$32,0))</f>
        <v>SEA</v>
      </c>
      <c r="Z13" s="147" t="str">
        <f t="shared" si="3"/>
        <v/>
      </c>
      <c r="AA13" s="174" t="str" cm="1">
        <f t="array" ref="AA13">IFERROR(IF($W13="Y","",INDEX(EPA!$N$2:$N$512,MATCH(X13&amp;Index!$K$1,EPA!$A$2:$A$512&amp;EPA!$W$2:$W$512,0))),"")</f>
        <v/>
      </c>
      <c r="AB13" s="174" t="str" cm="1">
        <f t="array" ref="AB13">IFERROR(IF($W13="Y","",INDEX(EPA!$N$2:$N$512,MATCH(Y13&amp;Index!$K$1,EPA!$A$2:$A$512&amp;EPA!$W$2:$W$512,0))),"")</f>
        <v/>
      </c>
      <c r="AC13" s="174" t="str">
        <f ca="1">IF(AA13&lt;&gt;"",_xlfn.NORM.INV(RAND(),AA13,Index!$K$2),"")</f>
        <v/>
      </c>
      <c r="AD13" s="174" t="str">
        <f ca="1">IF(AB13&lt;&gt;"",_xlfn.NORM.INV(RAND(),AB13,Index!$K$2),"")</f>
        <v/>
      </c>
      <c r="AE13" s="157" t="str">
        <f t="shared" si="4"/>
        <v>SF</v>
      </c>
      <c r="AF13" s="158" t="str">
        <f t="shared" si="5"/>
        <v>SEA</v>
      </c>
      <c r="AG13" s="149">
        <f t="shared" si="6"/>
        <v>12</v>
      </c>
    </row>
    <row r="14" spans="1:33" x14ac:dyDescent="0.25">
      <c r="A14" s="9">
        <v>1</v>
      </c>
      <c r="B14" s="9" t="s">
        <v>661</v>
      </c>
      <c r="C14" s="148">
        <v>45907</v>
      </c>
      <c r="D14" s="9" t="s">
        <v>665</v>
      </c>
      <c r="E14" s="9" t="s">
        <v>88</v>
      </c>
      <c r="F14" s="9"/>
      <c r="G14" s="9" t="s">
        <v>86</v>
      </c>
      <c r="H14" s="9" t="s">
        <v>658</v>
      </c>
      <c r="I14" s="9">
        <v>27</v>
      </c>
      <c r="J14" s="9">
        <v>13</v>
      </c>
      <c r="K14" s="9">
        <v>266</v>
      </c>
      <c r="L14" s="9">
        <v>0</v>
      </c>
      <c r="M14" s="9">
        <v>246</v>
      </c>
      <c r="N14" s="9">
        <v>1</v>
      </c>
      <c r="O14" s="149" t="str">
        <f>IF(I14&lt;&gt;"",IF(I14=J14,"TIE",INDEX(Index!$F$1:$F$32,MATCH(E14,Index!$E$1:$E$32,0))),INDEX(Index!$F$1:$F$32,MATCH(E14,Index!$E$1:$E$32,0)))</f>
        <v>GB</v>
      </c>
      <c r="P14" s="150" t="str">
        <f>IF(I14&lt;&gt;"",IF(I14=J14,"TIE",INDEX(Index!$F$1:$F$32,MATCH(G14,Index!$E$1:$E$32,0))),INDEX(Index!$F$1:$F$32,MATCH(G14,Index!$E$1:$E$32,0)))</f>
        <v>DET</v>
      </c>
      <c r="Q14" s="155" t="str">
        <f>IF(O14="TIE",INDEX(Index!$F$1:$F$32,MATCH(E14,Index!$E$1:$E$32,0)),"")</f>
        <v/>
      </c>
      <c r="R14" s="155" t="str">
        <f>IF(P14="TIE",INDEX(Index!$F$1:$F$32,MATCH(G14,Index!$E$1:$E$32,0)),"")</f>
        <v/>
      </c>
      <c r="S14" s="151" t="str">
        <f t="shared" si="0"/>
        <v>H</v>
      </c>
      <c r="T14" s="156" t="str">
        <f>INDEX(Index!$H$1:$H$32,MATCH($E14,Index!$E$1:$E$32,0))</f>
        <v>NN</v>
      </c>
      <c r="U14" s="156" t="str">
        <f>INDEX(Index!$H$1:$H$32,MATCH($G14,Index!$E$1:$E$32,0))</f>
        <v>NN</v>
      </c>
      <c r="V14" s="156" t="str">
        <f t="shared" si="1"/>
        <v>Div</v>
      </c>
      <c r="W14" s="152" t="str">
        <f t="shared" si="2"/>
        <v>Y</v>
      </c>
      <c r="X14" s="149" t="str">
        <f>INDEX(Index!$G$1:$G$32,MATCH(E14,Index!$E$1:$E$32,0))</f>
        <v>GB</v>
      </c>
      <c r="Y14" s="150" t="str">
        <f>INDEX(Index!$G$1:$G$32,MATCH(G14,Index!$E$1:$E$32,0))</f>
        <v>DET</v>
      </c>
      <c r="Z14" s="147" t="str">
        <f t="shared" si="3"/>
        <v/>
      </c>
      <c r="AA14" s="174" t="str" cm="1">
        <f t="array" ref="AA14">IFERROR(IF($W14="Y","",INDEX(EPA!$N$2:$N$512,MATCH(X14&amp;Index!$K$1,EPA!$A$2:$A$512&amp;EPA!$W$2:$W$512,0))),"")</f>
        <v/>
      </c>
      <c r="AB14" s="174" t="str" cm="1">
        <f t="array" ref="AB14">IFERROR(IF($W14="Y","",INDEX(EPA!$N$2:$N$512,MATCH(Y14&amp;Index!$K$1,EPA!$A$2:$A$512&amp;EPA!$W$2:$W$512,0))),"")</f>
        <v/>
      </c>
      <c r="AC14" s="174" t="str">
        <f ca="1">IF(AA14&lt;&gt;"",_xlfn.NORM.INV(RAND(),AA14,Index!$K$2),"")</f>
        <v/>
      </c>
      <c r="AD14" s="174" t="str">
        <f ca="1">IF(AB14&lt;&gt;"",_xlfn.NORM.INV(RAND(),AB14,Index!$K$2),"")</f>
        <v/>
      </c>
      <c r="AE14" s="157" t="str">
        <f t="shared" si="4"/>
        <v>GB</v>
      </c>
      <c r="AF14" s="158" t="str">
        <f t="shared" si="5"/>
        <v>DET</v>
      </c>
      <c r="AG14" s="149">
        <f t="shared" si="6"/>
        <v>13</v>
      </c>
    </row>
    <row r="15" spans="1:33" x14ac:dyDescent="0.25">
      <c r="A15" s="9">
        <v>1</v>
      </c>
      <c r="B15" s="9" t="s">
        <v>661</v>
      </c>
      <c r="C15" s="148">
        <v>45907</v>
      </c>
      <c r="D15" s="9" t="s">
        <v>665</v>
      </c>
      <c r="E15" s="9" t="s">
        <v>90</v>
      </c>
      <c r="F15" s="9"/>
      <c r="G15" s="9" t="s">
        <v>33</v>
      </c>
      <c r="H15" s="9" t="s">
        <v>658</v>
      </c>
      <c r="I15" s="9">
        <v>14</v>
      </c>
      <c r="J15" s="9">
        <v>9</v>
      </c>
      <c r="K15" s="9">
        <v>296</v>
      </c>
      <c r="L15" s="9">
        <v>1</v>
      </c>
      <c r="M15" s="9">
        <v>265</v>
      </c>
      <c r="N15" s="9">
        <v>2</v>
      </c>
      <c r="O15" s="149" t="str">
        <f>IF(I15&lt;&gt;"",IF(I15=J15,"TIE",INDEX(Index!$F$1:$F$32,MATCH(E15,Index!$E$1:$E$32,0))),INDEX(Index!$F$1:$F$32,MATCH(E15,Index!$E$1:$E$32,0)))</f>
        <v>LAR</v>
      </c>
      <c r="P15" s="150" t="str">
        <f>IF(I15&lt;&gt;"",IF(I15=J15,"TIE",INDEX(Index!$F$1:$F$32,MATCH(G15,Index!$E$1:$E$32,0))),INDEX(Index!$F$1:$F$32,MATCH(G15,Index!$E$1:$E$32,0)))</f>
        <v>HOU</v>
      </c>
      <c r="Q15" s="155" t="str">
        <f>IF(O15="TIE",INDEX(Index!$F$1:$F$32,MATCH(E15,Index!$E$1:$E$32,0)),"")</f>
        <v/>
      </c>
      <c r="R15" s="155" t="str">
        <f>IF(P15="TIE",INDEX(Index!$F$1:$F$32,MATCH(G15,Index!$E$1:$E$32,0)),"")</f>
        <v/>
      </c>
      <c r="S15" s="151" t="str">
        <f t="shared" si="0"/>
        <v>H</v>
      </c>
      <c r="T15" s="156" t="str">
        <f>INDEX(Index!$H$1:$H$32,MATCH($E15,Index!$E$1:$E$32,0))</f>
        <v>NW</v>
      </c>
      <c r="U15" s="156" t="str">
        <f>INDEX(Index!$H$1:$H$32,MATCH($G15,Index!$E$1:$E$32,0))</f>
        <v>AS</v>
      </c>
      <c r="V15" s="156" t="str">
        <f t="shared" si="1"/>
        <v>Non</v>
      </c>
      <c r="W15" s="152" t="str">
        <f t="shared" si="2"/>
        <v>Y</v>
      </c>
      <c r="X15" s="149" t="str">
        <f>INDEX(Index!$G$1:$G$32,MATCH(E15,Index!$E$1:$E$32,0))</f>
        <v>LAR</v>
      </c>
      <c r="Y15" s="150" t="str">
        <f>INDEX(Index!$G$1:$G$32,MATCH(G15,Index!$E$1:$E$32,0))</f>
        <v>HOU</v>
      </c>
      <c r="Z15" s="147" t="str">
        <f t="shared" si="3"/>
        <v/>
      </c>
      <c r="AA15" s="174" t="str" cm="1">
        <f t="array" ref="AA15">IFERROR(IF($W15="Y","",INDEX(EPA!$N$2:$N$512,MATCH(X15&amp;Index!$K$1,EPA!$A$2:$A$512&amp;EPA!$W$2:$W$512,0))),"")</f>
        <v/>
      </c>
      <c r="AB15" s="174" t="str" cm="1">
        <f t="array" ref="AB15">IFERROR(IF($W15="Y","",INDEX(EPA!$N$2:$N$512,MATCH(Y15&amp;Index!$K$1,EPA!$A$2:$A$512&amp;EPA!$W$2:$W$512,0))),"")</f>
        <v/>
      </c>
      <c r="AC15" s="174" t="str">
        <f ca="1">IF(AA15&lt;&gt;"",_xlfn.NORM.INV(RAND(),AA15,Index!$K$2),"")</f>
        <v/>
      </c>
      <c r="AD15" s="174" t="str">
        <f ca="1">IF(AB15&lt;&gt;"",_xlfn.NORM.INV(RAND(),AB15,Index!$K$2),"")</f>
        <v/>
      </c>
      <c r="AE15" s="157" t="str">
        <f t="shared" si="4"/>
        <v>LAR</v>
      </c>
      <c r="AF15" s="158" t="str">
        <f t="shared" si="5"/>
        <v>HOU</v>
      </c>
      <c r="AG15" s="149">
        <f t="shared" si="6"/>
        <v>14</v>
      </c>
    </row>
    <row r="16" spans="1:33" x14ac:dyDescent="0.25">
      <c r="A16" s="9">
        <v>1</v>
      </c>
      <c r="B16" s="9" t="s">
        <v>661</v>
      </c>
      <c r="C16" s="148">
        <v>45907</v>
      </c>
      <c r="D16" s="9" t="s">
        <v>657</v>
      </c>
      <c r="E16" s="9" t="s">
        <v>40</v>
      </c>
      <c r="F16" s="9"/>
      <c r="G16" s="9" t="s">
        <v>76</v>
      </c>
      <c r="H16" s="9" t="s">
        <v>658</v>
      </c>
      <c r="I16" s="9">
        <v>41</v>
      </c>
      <c r="J16" s="9">
        <v>40</v>
      </c>
      <c r="K16" s="9">
        <v>497</v>
      </c>
      <c r="L16" s="9">
        <v>0</v>
      </c>
      <c r="M16" s="9">
        <v>432</v>
      </c>
      <c r="N16" s="9">
        <v>1</v>
      </c>
      <c r="O16" s="149" t="str">
        <f>IF(I16&lt;&gt;"",IF(I16=J16,"TIE",INDEX(Index!$F$1:$F$32,MATCH(E16,Index!$E$1:$E$32,0))),INDEX(Index!$F$1:$F$32,MATCH(E16,Index!$E$1:$E$32,0)))</f>
        <v>BUF</v>
      </c>
      <c r="P16" s="150" t="str">
        <f>IF(I16&lt;&gt;"",IF(I16=J16,"TIE",INDEX(Index!$F$1:$F$32,MATCH(G16,Index!$E$1:$E$32,0))),INDEX(Index!$F$1:$F$32,MATCH(G16,Index!$E$1:$E$32,0)))</f>
        <v>BAL</v>
      </c>
      <c r="Q16" s="155" t="str">
        <f>IF(O16="TIE",INDEX(Index!$F$1:$F$32,MATCH(E16,Index!$E$1:$E$32,0)),"")</f>
        <v/>
      </c>
      <c r="R16" s="155" t="str">
        <f>IF(P16="TIE",INDEX(Index!$F$1:$F$32,MATCH(G16,Index!$E$1:$E$32,0)),"")</f>
        <v/>
      </c>
      <c r="S16" s="151" t="str">
        <f t="shared" si="0"/>
        <v>H</v>
      </c>
      <c r="T16" s="156" t="str">
        <f>INDEX(Index!$H$1:$H$32,MATCH($E16,Index!$E$1:$E$32,0))</f>
        <v>AE</v>
      </c>
      <c r="U16" s="156" t="str">
        <f>INDEX(Index!$H$1:$H$32,MATCH($G16,Index!$E$1:$E$32,0))</f>
        <v>AN</v>
      </c>
      <c r="V16" s="156" t="str">
        <f t="shared" si="1"/>
        <v>Con</v>
      </c>
      <c r="W16" s="152" t="str">
        <f t="shared" si="2"/>
        <v>Y</v>
      </c>
      <c r="X16" s="149" t="str">
        <f>INDEX(Index!$G$1:$G$32,MATCH(E16,Index!$E$1:$E$32,0))</f>
        <v>BUF</v>
      </c>
      <c r="Y16" s="150" t="str">
        <f>INDEX(Index!$G$1:$G$32,MATCH(G16,Index!$E$1:$E$32,0))</f>
        <v>BAL</v>
      </c>
      <c r="Z16" s="147" t="str">
        <f t="shared" si="3"/>
        <v/>
      </c>
      <c r="AA16" s="174" t="str" cm="1">
        <f t="array" ref="AA16">IFERROR(IF($W16="Y","",INDEX(EPA!$N$2:$N$512,MATCH(X16&amp;Index!$K$1,EPA!$A$2:$A$512&amp;EPA!$W$2:$W$512,0))),"")</f>
        <v/>
      </c>
      <c r="AB16" s="174" t="str" cm="1">
        <f t="array" ref="AB16">IFERROR(IF($W16="Y","",INDEX(EPA!$N$2:$N$512,MATCH(Y16&amp;Index!$K$1,EPA!$A$2:$A$512&amp;EPA!$W$2:$W$512,0))),"")</f>
        <v/>
      </c>
      <c r="AC16" s="174" t="str">
        <f ca="1">IF(AA16&lt;&gt;"",_xlfn.NORM.INV(RAND(),AA16,Index!$K$2),"")</f>
        <v/>
      </c>
      <c r="AD16" s="174" t="str">
        <f ca="1">IF(AB16&lt;&gt;"",_xlfn.NORM.INV(RAND(),AB16,Index!$K$2),"")</f>
        <v/>
      </c>
      <c r="AE16" s="157" t="str">
        <f t="shared" si="4"/>
        <v>BUF</v>
      </c>
      <c r="AF16" s="158" t="str">
        <f t="shared" si="5"/>
        <v>BAL</v>
      </c>
      <c r="AG16" s="149">
        <f t="shared" si="6"/>
        <v>15</v>
      </c>
    </row>
    <row r="17" spans="1:33" x14ac:dyDescent="0.25">
      <c r="A17" s="9">
        <v>1</v>
      </c>
      <c r="B17" s="9" t="s">
        <v>666</v>
      </c>
      <c r="C17" s="148">
        <v>45908</v>
      </c>
      <c r="D17" s="9" t="s">
        <v>667</v>
      </c>
      <c r="E17" s="9" t="s">
        <v>58</v>
      </c>
      <c r="F17" s="9" t="s">
        <v>663</v>
      </c>
      <c r="G17" s="9" t="s">
        <v>65</v>
      </c>
      <c r="H17" s="9" t="s">
        <v>658</v>
      </c>
      <c r="I17" s="9">
        <v>27</v>
      </c>
      <c r="J17" s="9">
        <v>24</v>
      </c>
      <c r="K17" s="9">
        <v>254</v>
      </c>
      <c r="L17" s="9">
        <v>1</v>
      </c>
      <c r="M17" s="9">
        <v>317</v>
      </c>
      <c r="N17" s="9">
        <v>1</v>
      </c>
      <c r="O17" s="149" t="str">
        <f>IF(I17&lt;&gt;"",IF(I17=J17,"TIE",INDEX(Index!$F$1:$F$32,MATCH(E17,Index!$E$1:$E$32,0))),INDEX(Index!$F$1:$F$32,MATCH(E17,Index!$E$1:$E$32,0)))</f>
        <v>MIN</v>
      </c>
      <c r="P17" s="150" t="str">
        <f>IF(I17&lt;&gt;"",IF(I17=J17,"TIE",INDEX(Index!$F$1:$F$32,MATCH(G17,Index!$E$1:$E$32,0))),INDEX(Index!$F$1:$F$32,MATCH(G17,Index!$E$1:$E$32,0)))</f>
        <v>CHI</v>
      </c>
      <c r="Q17" s="155" t="str">
        <f>IF(O17="TIE",INDEX(Index!$F$1:$F$32,MATCH(E17,Index!$E$1:$E$32,0)),"")</f>
        <v/>
      </c>
      <c r="R17" s="155" t="str">
        <f>IF(P17="TIE",INDEX(Index!$F$1:$F$32,MATCH(G17,Index!$E$1:$E$32,0)),"")</f>
        <v/>
      </c>
      <c r="S17" s="151" t="str">
        <f t="shared" si="0"/>
        <v>A</v>
      </c>
      <c r="T17" s="156" t="str">
        <f>INDEX(Index!$H$1:$H$32,MATCH($E17,Index!$E$1:$E$32,0))</f>
        <v>NN</v>
      </c>
      <c r="U17" s="156" t="str">
        <f>INDEX(Index!$H$1:$H$32,MATCH($G17,Index!$E$1:$E$32,0))</f>
        <v>NN</v>
      </c>
      <c r="V17" s="156" t="str">
        <f t="shared" si="1"/>
        <v>Div</v>
      </c>
      <c r="W17" s="152" t="str">
        <f t="shared" si="2"/>
        <v>Y</v>
      </c>
      <c r="X17" s="149" t="str">
        <f>INDEX(Index!$G$1:$G$32,MATCH(E17,Index!$E$1:$E$32,0))</f>
        <v>MIN</v>
      </c>
      <c r="Y17" s="150" t="str">
        <f>INDEX(Index!$G$1:$G$32,MATCH(G17,Index!$E$1:$E$32,0))</f>
        <v>CHI</v>
      </c>
      <c r="Z17" s="147" t="str">
        <f t="shared" si="3"/>
        <v/>
      </c>
      <c r="AA17" s="174" t="str" cm="1">
        <f t="array" ref="AA17">IFERROR(IF($W17="Y","",INDEX(EPA!$N$2:$N$512,MATCH(X17&amp;Index!$K$1,EPA!$A$2:$A$512&amp;EPA!$W$2:$W$512,0))),"")</f>
        <v/>
      </c>
      <c r="AB17" s="174" t="str" cm="1">
        <f t="array" ref="AB17">IFERROR(IF($W17="Y","",INDEX(EPA!$N$2:$N$512,MATCH(Y17&amp;Index!$K$1,EPA!$A$2:$A$512&amp;EPA!$W$2:$W$512,0))),"")</f>
        <v/>
      </c>
      <c r="AC17" s="174" t="str">
        <f ca="1">IF(AA17&lt;&gt;"",_xlfn.NORM.INV(RAND(),AA17,Index!$K$2),"")</f>
        <v/>
      </c>
      <c r="AD17" s="174" t="str">
        <f ca="1">IF(AB17&lt;&gt;"",_xlfn.NORM.INV(RAND(),AB17,Index!$K$2),"")</f>
        <v/>
      </c>
      <c r="AE17" s="157" t="str">
        <f t="shared" si="4"/>
        <v>MIN</v>
      </c>
      <c r="AF17" s="158" t="str">
        <f t="shared" si="5"/>
        <v>CHI</v>
      </c>
      <c r="AG17" s="149">
        <f t="shared" si="6"/>
        <v>16</v>
      </c>
    </row>
    <row r="18" spans="1:33" x14ac:dyDescent="0.25">
      <c r="A18" s="9">
        <v>2</v>
      </c>
      <c r="B18" s="9" t="s">
        <v>656</v>
      </c>
      <c r="C18" s="148">
        <v>45911</v>
      </c>
      <c r="D18" s="9" t="s">
        <v>667</v>
      </c>
      <c r="E18" s="9" t="s">
        <v>88</v>
      </c>
      <c r="F18" s="9"/>
      <c r="G18" s="9" t="s">
        <v>4</v>
      </c>
      <c r="H18" s="9" t="s">
        <v>658</v>
      </c>
      <c r="I18" s="9">
        <v>27</v>
      </c>
      <c r="J18" s="9">
        <v>18</v>
      </c>
      <c r="K18" s="9">
        <v>404</v>
      </c>
      <c r="L18" s="9">
        <v>0</v>
      </c>
      <c r="M18" s="9">
        <v>230</v>
      </c>
      <c r="N18" s="9">
        <v>0</v>
      </c>
      <c r="O18" s="149" t="str">
        <f>IF(I18&lt;&gt;"",IF(I18=J18,"TIE",INDEX(Index!$F$1:$F$32,MATCH(E18,Index!$E$1:$E$32,0))),INDEX(Index!$F$1:$F$32,MATCH(E18,Index!$E$1:$E$32,0)))</f>
        <v>GB</v>
      </c>
      <c r="P18" s="150" t="str">
        <f>IF(I18&lt;&gt;"",IF(I18=J18,"TIE",INDEX(Index!$F$1:$F$32,MATCH(G18,Index!$E$1:$E$32,0))),INDEX(Index!$F$1:$F$32,MATCH(G18,Index!$E$1:$E$32,0)))</f>
        <v>WAS</v>
      </c>
      <c r="Q18" s="155" t="str">
        <f>IF(O18="TIE",INDEX(Index!$F$1:$F$32,MATCH(E18,Index!$E$1:$E$32,0)),"")</f>
        <v/>
      </c>
      <c r="R18" s="155" t="str">
        <f>IF(P18="TIE",INDEX(Index!$F$1:$F$32,MATCH(G18,Index!$E$1:$E$32,0)),"")</f>
        <v/>
      </c>
      <c r="S18" s="151" t="str">
        <f t="shared" si="0"/>
        <v>H</v>
      </c>
      <c r="T18" s="156" t="str">
        <f>INDEX(Index!$H$1:$H$32,MATCH($E18,Index!$E$1:$E$32,0))</f>
        <v>NN</v>
      </c>
      <c r="U18" s="156" t="str">
        <f>INDEX(Index!$H$1:$H$32,MATCH($G18,Index!$E$1:$E$32,0))</f>
        <v>NE</v>
      </c>
      <c r="V18" s="156" t="str">
        <f t="shared" si="1"/>
        <v>Con</v>
      </c>
      <c r="W18" s="152" t="str">
        <f t="shared" si="2"/>
        <v>Y</v>
      </c>
      <c r="X18" s="149" t="str">
        <f>INDEX(Index!$G$1:$G$32,MATCH(E18,Index!$E$1:$E$32,0))</f>
        <v>GB</v>
      </c>
      <c r="Y18" s="150" t="str">
        <f>INDEX(Index!$G$1:$G$32,MATCH(G18,Index!$E$1:$E$32,0))</f>
        <v>WAS</v>
      </c>
      <c r="Z18" s="147" t="str">
        <f t="shared" si="3"/>
        <v/>
      </c>
      <c r="AA18" s="174" t="str" cm="1">
        <f t="array" ref="AA18">IFERROR(IF($W18="Y","",INDEX(EPA!$N$2:$N$512,MATCH(X18&amp;Index!$K$1,EPA!$A$2:$A$512&amp;EPA!$W$2:$W$512,0))),"")</f>
        <v/>
      </c>
      <c r="AB18" s="174" t="str" cm="1">
        <f t="array" ref="AB18">IFERROR(IF($W18="Y","",INDEX(EPA!$N$2:$N$512,MATCH(Y18&amp;Index!$K$1,EPA!$A$2:$A$512&amp;EPA!$W$2:$W$512,0))),"")</f>
        <v/>
      </c>
      <c r="AC18" s="174" t="str">
        <f ca="1">IF(AA18&lt;&gt;"",_xlfn.NORM.INV(RAND(),AA18,Index!$K$2),"")</f>
        <v/>
      </c>
      <c r="AD18" s="174" t="str">
        <f ca="1">IF(AB18&lt;&gt;"",_xlfn.NORM.INV(RAND(),AB18,Index!$K$2),"")</f>
        <v/>
      </c>
      <c r="AE18" s="157" t="str">
        <f t="shared" si="4"/>
        <v>GB</v>
      </c>
      <c r="AF18" s="158" t="str">
        <f t="shared" si="5"/>
        <v>WAS</v>
      </c>
      <c r="AG18" s="149">
        <f t="shared" si="6"/>
        <v>17</v>
      </c>
    </row>
    <row r="19" spans="1:33" x14ac:dyDescent="0.25">
      <c r="A19" s="9">
        <v>2</v>
      </c>
      <c r="B19" s="9" t="s">
        <v>661</v>
      </c>
      <c r="C19" s="148">
        <v>45914</v>
      </c>
      <c r="D19" s="9" t="s">
        <v>662</v>
      </c>
      <c r="E19" s="9" t="s">
        <v>40</v>
      </c>
      <c r="F19" s="9" t="s">
        <v>663</v>
      </c>
      <c r="G19" s="9" t="s">
        <v>23</v>
      </c>
      <c r="H19" s="9" t="s">
        <v>658</v>
      </c>
      <c r="I19" s="9">
        <v>30</v>
      </c>
      <c r="J19" s="9">
        <v>10</v>
      </c>
      <c r="K19" s="9">
        <v>403</v>
      </c>
      <c r="L19" s="9">
        <v>0</v>
      </c>
      <c r="M19" s="9">
        <v>154</v>
      </c>
      <c r="N19" s="9">
        <v>1</v>
      </c>
      <c r="O19" s="149" t="str">
        <f>IF(I19&lt;&gt;"",IF(I19=J19,"TIE",INDEX(Index!$F$1:$F$32,MATCH(E19,Index!$E$1:$E$32,0))),INDEX(Index!$F$1:$F$32,MATCH(E19,Index!$E$1:$E$32,0)))</f>
        <v>BUF</v>
      </c>
      <c r="P19" s="150" t="str">
        <f>IF(I19&lt;&gt;"",IF(I19=J19,"TIE",INDEX(Index!$F$1:$F$32,MATCH(G19,Index!$E$1:$E$32,0))),INDEX(Index!$F$1:$F$32,MATCH(G19,Index!$E$1:$E$32,0)))</f>
        <v>NYJ</v>
      </c>
      <c r="Q19" s="155" t="str">
        <f>IF(O19="TIE",INDEX(Index!$F$1:$F$32,MATCH(E19,Index!$E$1:$E$32,0)),"")</f>
        <v/>
      </c>
      <c r="R19" s="155" t="str">
        <f>IF(P19="TIE",INDEX(Index!$F$1:$F$32,MATCH(G19,Index!$E$1:$E$32,0)),"")</f>
        <v/>
      </c>
      <c r="S19" s="151" t="str">
        <f t="shared" si="0"/>
        <v>A</v>
      </c>
      <c r="T19" s="156" t="str">
        <f>INDEX(Index!$H$1:$H$32,MATCH($E19,Index!$E$1:$E$32,0))</f>
        <v>AE</v>
      </c>
      <c r="U19" s="156" t="str">
        <f>INDEX(Index!$H$1:$H$32,MATCH($G19,Index!$E$1:$E$32,0))</f>
        <v>AE</v>
      </c>
      <c r="V19" s="156" t="str">
        <f t="shared" si="1"/>
        <v>Div</v>
      </c>
      <c r="W19" s="152" t="str">
        <f t="shared" si="2"/>
        <v>Y</v>
      </c>
      <c r="X19" s="149" t="str">
        <f>INDEX(Index!$G$1:$G$32,MATCH(E19,Index!$E$1:$E$32,0))</f>
        <v>BUF</v>
      </c>
      <c r="Y19" s="150" t="str">
        <f>INDEX(Index!$G$1:$G$32,MATCH(G19,Index!$E$1:$E$32,0))</f>
        <v>NYJ</v>
      </c>
      <c r="Z19" s="147" t="str">
        <f t="shared" si="3"/>
        <v/>
      </c>
      <c r="AA19" s="174" t="str" cm="1">
        <f t="array" ref="AA19">IFERROR(IF($W19="Y","",INDEX(EPA!$N$2:$N$512,MATCH(X19&amp;Index!$K$1,EPA!$A$2:$A$512&amp;EPA!$W$2:$W$512,0))),"")</f>
        <v/>
      </c>
      <c r="AB19" s="174" t="str" cm="1">
        <f t="array" ref="AB19">IFERROR(IF($W19="Y","",INDEX(EPA!$N$2:$N$512,MATCH(Y19&amp;Index!$K$1,EPA!$A$2:$A$512&amp;EPA!$W$2:$W$512,0))),"")</f>
        <v/>
      </c>
      <c r="AC19" s="174" t="str">
        <f ca="1">IF(AA19&lt;&gt;"",_xlfn.NORM.INV(RAND(),AA19,Index!$K$2),"")</f>
        <v/>
      </c>
      <c r="AD19" s="174" t="str">
        <f ca="1">IF(AB19&lt;&gt;"",_xlfn.NORM.INV(RAND(),AB19,Index!$K$2),"")</f>
        <v/>
      </c>
      <c r="AE19" s="157" t="str">
        <f t="shared" si="4"/>
        <v>BUF</v>
      </c>
      <c r="AF19" s="158" t="str">
        <f t="shared" si="5"/>
        <v>NYJ</v>
      </c>
      <c r="AG19" s="149">
        <f t="shared" si="6"/>
        <v>18</v>
      </c>
    </row>
    <row r="20" spans="1:33" x14ac:dyDescent="0.25">
      <c r="A20" s="9">
        <v>2</v>
      </c>
      <c r="B20" s="9" t="s">
        <v>661</v>
      </c>
      <c r="C20" s="148">
        <v>45914</v>
      </c>
      <c r="D20" s="9" t="s">
        <v>662</v>
      </c>
      <c r="E20" s="9" t="s">
        <v>86</v>
      </c>
      <c r="F20" s="9"/>
      <c r="G20" s="9" t="s">
        <v>65</v>
      </c>
      <c r="H20" s="9" t="s">
        <v>658</v>
      </c>
      <c r="I20" s="9">
        <v>52</v>
      </c>
      <c r="J20" s="9">
        <v>21</v>
      </c>
      <c r="K20" s="9">
        <v>511</v>
      </c>
      <c r="L20" s="9">
        <v>0</v>
      </c>
      <c r="M20" s="9">
        <v>339</v>
      </c>
      <c r="N20" s="9">
        <v>2</v>
      </c>
      <c r="O20" s="149" t="str">
        <f>IF(I20&lt;&gt;"",IF(I20=J20,"TIE",INDEX(Index!$F$1:$F$32,MATCH(E20,Index!$E$1:$E$32,0))),INDEX(Index!$F$1:$F$32,MATCH(E20,Index!$E$1:$E$32,0)))</f>
        <v>DET</v>
      </c>
      <c r="P20" s="150" t="str">
        <f>IF(I20&lt;&gt;"",IF(I20=J20,"TIE",INDEX(Index!$F$1:$F$32,MATCH(G20,Index!$E$1:$E$32,0))),INDEX(Index!$F$1:$F$32,MATCH(G20,Index!$E$1:$E$32,0)))</f>
        <v>CHI</v>
      </c>
      <c r="Q20" s="155" t="str">
        <f>IF(O20="TIE",INDEX(Index!$F$1:$F$32,MATCH(E20,Index!$E$1:$E$32,0)),"")</f>
        <v/>
      </c>
      <c r="R20" s="155" t="str">
        <f>IF(P20="TIE",INDEX(Index!$F$1:$F$32,MATCH(G20,Index!$E$1:$E$32,0)),"")</f>
        <v/>
      </c>
      <c r="S20" s="151" t="str">
        <f t="shared" si="0"/>
        <v>H</v>
      </c>
      <c r="T20" s="156" t="str">
        <f>INDEX(Index!$H$1:$H$32,MATCH($E20,Index!$E$1:$E$32,0))</f>
        <v>NN</v>
      </c>
      <c r="U20" s="156" t="str">
        <f>INDEX(Index!$H$1:$H$32,MATCH($G20,Index!$E$1:$E$32,0))</f>
        <v>NN</v>
      </c>
      <c r="V20" s="156" t="str">
        <f t="shared" si="1"/>
        <v>Div</v>
      </c>
      <c r="W20" s="152" t="str">
        <f t="shared" si="2"/>
        <v>Y</v>
      </c>
      <c r="X20" s="149" t="str">
        <f>INDEX(Index!$G$1:$G$32,MATCH(E20,Index!$E$1:$E$32,0))</f>
        <v>DET</v>
      </c>
      <c r="Y20" s="150" t="str">
        <f>INDEX(Index!$G$1:$G$32,MATCH(G20,Index!$E$1:$E$32,0))</f>
        <v>CHI</v>
      </c>
      <c r="Z20" s="147" t="str">
        <f t="shared" si="3"/>
        <v/>
      </c>
      <c r="AA20" s="174" t="str" cm="1">
        <f t="array" ref="AA20">IFERROR(IF($W20="Y","",INDEX(EPA!$N$2:$N$512,MATCH(X20&amp;Index!$K$1,EPA!$A$2:$A$512&amp;EPA!$W$2:$W$512,0))),"")</f>
        <v/>
      </c>
      <c r="AB20" s="174" t="str" cm="1">
        <f t="array" ref="AB20">IFERROR(IF($W20="Y","",INDEX(EPA!$N$2:$N$512,MATCH(Y20&amp;Index!$K$1,EPA!$A$2:$A$512&amp;EPA!$W$2:$W$512,0))),"")</f>
        <v/>
      </c>
      <c r="AC20" s="174" t="str">
        <f ca="1">IF(AA20&lt;&gt;"",_xlfn.NORM.INV(RAND(),AA20,Index!$K$2),"")</f>
        <v/>
      </c>
      <c r="AD20" s="174" t="str">
        <f ca="1">IF(AB20&lt;&gt;"",_xlfn.NORM.INV(RAND(),AB20,Index!$K$2),"")</f>
        <v/>
      </c>
      <c r="AE20" s="157" t="str">
        <f t="shared" si="4"/>
        <v>DET</v>
      </c>
      <c r="AF20" s="158" t="str">
        <f t="shared" si="5"/>
        <v>CHI</v>
      </c>
      <c r="AG20" s="149">
        <f t="shared" si="6"/>
        <v>19</v>
      </c>
    </row>
    <row r="21" spans="1:33" x14ac:dyDescent="0.25">
      <c r="A21" s="9">
        <v>2</v>
      </c>
      <c r="B21" s="9" t="s">
        <v>661</v>
      </c>
      <c r="C21" s="148">
        <v>45914</v>
      </c>
      <c r="D21" s="9" t="s">
        <v>662</v>
      </c>
      <c r="E21" s="9" t="s">
        <v>53</v>
      </c>
      <c r="F21" s="9"/>
      <c r="G21" s="9" t="s">
        <v>36</v>
      </c>
      <c r="H21" s="9" t="s">
        <v>658</v>
      </c>
      <c r="I21" s="9">
        <v>31</v>
      </c>
      <c r="J21" s="9">
        <v>27</v>
      </c>
      <c r="K21" s="9">
        <v>350</v>
      </c>
      <c r="L21" s="9">
        <v>3</v>
      </c>
      <c r="M21" s="9">
        <v>400</v>
      </c>
      <c r="N21" s="9">
        <v>2</v>
      </c>
      <c r="O21" s="149" t="str">
        <f>IF(I21&lt;&gt;"",IF(I21=J21,"TIE",INDEX(Index!$F$1:$F$32,MATCH(E21,Index!$E$1:$E$32,0))),INDEX(Index!$F$1:$F$32,MATCH(E21,Index!$E$1:$E$32,0)))</f>
        <v>CIN</v>
      </c>
      <c r="P21" s="150" t="str">
        <f>IF(I21&lt;&gt;"",IF(I21=J21,"TIE",INDEX(Index!$F$1:$F$32,MATCH(G21,Index!$E$1:$E$32,0))),INDEX(Index!$F$1:$F$32,MATCH(G21,Index!$E$1:$E$32,0)))</f>
        <v>JAX</v>
      </c>
      <c r="Q21" s="155" t="str">
        <f>IF(O21="TIE",INDEX(Index!$F$1:$F$32,MATCH(E21,Index!$E$1:$E$32,0)),"")</f>
        <v/>
      </c>
      <c r="R21" s="155" t="str">
        <f>IF(P21="TIE",INDEX(Index!$F$1:$F$32,MATCH(G21,Index!$E$1:$E$32,0)),"")</f>
        <v/>
      </c>
      <c r="S21" s="151" t="str">
        <f t="shared" si="0"/>
        <v>H</v>
      </c>
      <c r="T21" s="156" t="str">
        <f>INDEX(Index!$H$1:$H$32,MATCH($E21,Index!$E$1:$E$32,0))</f>
        <v>AN</v>
      </c>
      <c r="U21" s="156" t="str">
        <f>INDEX(Index!$H$1:$H$32,MATCH($G21,Index!$E$1:$E$32,0))</f>
        <v>AS</v>
      </c>
      <c r="V21" s="156" t="str">
        <f t="shared" si="1"/>
        <v>Con</v>
      </c>
      <c r="W21" s="152" t="str">
        <f t="shared" si="2"/>
        <v>Y</v>
      </c>
      <c r="X21" s="149" t="str">
        <f>INDEX(Index!$G$1:$G$32,MATCH(E21,Index!$E$1:$E$32,0))</f>
        <v>CIN</v>
      </c>
      <c r="Y21" s="150" t="str">
        <f>INDEX(Index!$G$1:$G$32,MATCH(G21,Index!$E$1:$E$32,0))</f>
        <v>JAX</v>
      </c>
      <c r="Z21" s="147" t="str">
        <f t="shared" si="3"/>
        <v/>
      </c>
      <c r="AA21" s="174" t="str" cm="1">
        <f t="array" ref="AA21">IFERROR(IF($W21="Y","",INDEX(EPA!$N$2:$N$512,MATCH(X21&amp;Index!$K$1,EPA!$A$2:$A$512&amp;EPA!$W$2:$W$512,0))),"")</f>
        <v/>
      </c>
      <c r="AB21" s="174" t="str" cm="1">
        <f t="array" ref="AB21">IFERROR(IF($W21="Y","",INDEX(EPA!$N$2:$N$512,MATCH(Y21&amp;Index!$K$1,EPA!$A$2:$A$512&amp;EPA!$W$2:$W$512,0))),"")</f>
        <v/>
      </c>
      <c r="AC21" s="174" t="str">
        <f ca="1">IF(AA21&lt;&gt;"",_xlfn.NORM.INV(RAND(),AA21,Index!$K$2),"")</f>
        <v/>
      </c>
      <c r="AD21" s="174" t="str">
        <f ca="1">IF(AB21&lt;&gt;"",_xlfn.NORM.INV(RAND(),AB21,Index!$K$2),"")</f>
        <v/>
      </c>
      <c r="AE21" s="157" t="str">
        <f t="shared" si="4"/>
        <v>CIN</v>
      </c>
      <c r="AF21" s="158" t="str">
        <f t="shared" si="5"/>
        <v>JAX</v>
      </c>
      <c r="AG21" s="149">
        <f t="shared" si="6"/>
        <v>20</v>
      </c>
    </row>
    <row r="22" spans="1:33" x14ac:dyDescent="0.25">
      <c r="A22" s="9">
        <v>2</v>
      </c>
      <c r="B22" s="9" t="s">
        <v>661</v>
      </c>
      <c r="C22" s="148">
        <v>45914</v>
      </c>
      <c r="D22" s="9" t="s">
        <v>662</v>
      </c>
      <c r="E22" s="9" t="s">
        <v>76</v>
      </c>
      <c r="F22" s="9"/>
      <c r="G22" s="9" t="s">
        <v>83</v>
      </c>
      <c r="H22" s="9" t="s">
        <v>658</v>
      </c>
      <c r="I22" s="9">
        <v>41</v>
      </c>
      <c r="J22" s="9">
        <v>17</v>
      </c>
      <c r="K22" s="9">
        <v>242</v>
      </c>
      <c r="L22" s="9">
        <v>0</v>
      </c>
      <c r="M22" s="9">
        <v>322</v>
      </c>
      <c r="N22" s="9">
        <v>2</v>
      </c>
      <c r="O22" s="149" t="str">
        <f>IF(I22&lt;&gt;"",IF(I22=J22,"TIE",INDEX(Index!$F$1:$F$32,MATCH(E22,Index!$E$1:$E$32,0))),INDEX(Index!$F$1:$F$32,MATCH(E22,Index!$E$1:$E$32,0)))</f>
        <v>BAL</v>
      </c>
      <c r="P22" s="150" t="str">
        <f>IF(I22&lt;&gt;"",IF(I22=J22,"TIE",INDEX(Index!$F$1:$F$32,MATCH(G22,Index!$E$1:$E$32,0))),INDEX(Index!$F$1:$F$32,MATCH(G22,Index!$E$1:$E$32,0)))</f>
        <v>CLE</v>
      </c>
      <c r="Q22" s="155" t="str">
        <f>IF(O22="TIE",INDEX(Index!$F$1:$F$32,MATCH(E22,Index!$E$1:$E$32,0)),"")</f>
        <v/>
      </c>
      <c r="R22" s="155" t="str">
        <f>IF(P22="TIE",INDEX(Index!$F$1:$F$32,MATCH(G22,Index!$E$1:$E$32,0)),"")</f>
        <v/>
      </c>
      <c r="S22" s="151" t="str">
        <f t="shared" si="0"/>
        <v>H</v>
      </c>
      <c r="T22" s="156" t="str">
        <f>INDEX(Index!$H$1:$H$32,MATCH($E22,Index!$E$1:$E$32,0))</f>
        <v>AN</v>
      </c>
      <c r="U22" s="156" t="str">
        <f>INDEX(Index!$H$1:$H$32,MATCH($G22,Index!$E$1:$E$32,0))</f>
        <v>AN</v>
      </c>
      <c r="V22" s="156" t="str">
        <f t="shared" si="1"/>
        <v>Div</v>
      </c>
      <c r="W22" s="152" t="str">
        <f t="shared" si="2"/>
        <v>Y</v>
      </c>
      <c r="X22" s="149" t="str">
        <f>INDEX(Index!$G$1:$G$32,MATCH(E22,Index!$E$1:$E$32,0))</f>
        <v>BAL</v>
      </c>
      <c r="Y22" s="150" t="str">
        <f>INDEX(Index!$G$1:$G$32,MATCH(G22,Index!$E$1:$E$32,0))</f>
        <v>CLE</v>
      </c>
      <c r="Z22" s="147" t="str">
        <f t="shared" si="3"/>
        <v/>
      </c>
      <c r="AA22" s="174" t="str" cm="1">
        <f t="array" ref="AA22">IFERROR(IF($W22="Y","",INDEX(EPA!$N$2:$N$512,MATCH(X22&amp;Index!$K$1,EPA!$A$2:$A$512&amp;EPA!$W$2:$W$512,0))),"")</f>
        <v/>
      </c>
      <c r="AB22" s="174" t="str" cm="1">
        <f t="array" ref="AB22">IFERROR(IF($W22="Y","",INDEX(EPA!$N$2:$N$512,MATCH(Y22&amp;Index!$K$1,EPA!$A$2:$A$512&amp;EPA!$W$2:$W$512,0))),"")</f>
        <v/>
      </c>
      <c r="AC22" s="174" t="str">
        <f ca="1">IF(AA22&lt;&gt;"",_xlfn.NORM.INV(RAND(),AA22,Index!$K$2),"")</f>
        <v/>
      </c>
      <c r="AD22" s="174" t="str">
        <f ca="1">IF(AB22&lt;&gt;"",_xlfn.NORM.INV(RAND(),AB22,Index!$K$2),"")</f>
        <v/>
      </c>
      <c r="AE22" s="157" t="str">
        <f t="shared" si="4"/>
        <v>BAL</v>
      </c>
      <c r="AF22" s="158" t="str">
        <f t="shared" si="5"/>
        <v>CLE</v>
      </c>
      <c r="AG22" s="149">
        <f t="shared" si="6"/>
        <v>21</v>
      </c>
    </row>
    <row r="23" spans="1:33" x14ac:dyDescent="0.25">
      <c r="A23" s="9">
        <v>2</v>
      </c>
      <c r="B23" s="9" t="s">
        <v>661</v>
      </c>
      <c r="C23" s="148">
        <v>45914</v>
      </c>
      <c r="D23" s="9" t="s">
        <v>662</v>
      </c>
      <c r="E23" s="9" t="s">
        <v>56</v>
      </c>
      <c r="F23" s="9"/>
      <c r="G23" s="9" t="s">
        <v>49</v>
      </c>
      <c r="H23" s="9" t="s">
        <v>658</v>
      </c>
      <c r="I23" s="9">
        <v>40</v>
      </c>
      <c r="J23" s="9">
        <v>37</v>
      </c>
      <c r="K23" s="9">
        <v>478</v>
      </c>
      <c r="L23" s="9">
        <v>1</v>
      </c>
      <c r="M23" s="9">
        <v>506</v>
      </c>
      <c r="N23" s="9">
        <v>1</v>
      </c>
      <c r="O23" s="149" t="str">
        <f>IF(I23&lt;&gt;"",IF(I23=J23,"TIE",INDEX(Index!$F$1:$F$32,MATCH(E23,Index!$E$1:$E$32,0))),INDEX(Index!$F$1:$F$32,MATCH(E23,Index!$E$1:$E$32,0)))</f>
        <v>DAL</v>
      </c>
      <c r="P23" s="150" t="str">
        <f>IF(I23&lt;&gt;"",IF(I23=J23,"TIE",INDEX(Index!$F$1:$F$32,MATCH(G23,Index!$E$1:$E$32,0))),INDEX(Index!$F$1:$F$32,MATCH(G23,Index!$E$1:$E$32,0)))</f>
        <v>NYG</v>
      </c>
      <c r="Q23" s="155" t="str">
        <f>IF(O23="TIE",INDEX(Index!$F$1:$F$32,MATCH(E23,Index!$E$1:$E$32,0)),"")</f>
        <v/>
      </c>
      <c r="R23" s="155" t="str">
        <f>IF(P23="TIE",INDEX(Index!$F$1:$F$32,MATCH(G23,Index!$E$1:$E$32,0)),"")</f>
        <v/>
      </c>
      <c r="S23" s="151" t="str">
        <f t="shared" si="0"/>
        <v>H</v>
      </c>
      <c r="T23" s="156" t="str">
        <f>INDEX(Index!$H$1:$H$32,MATCH($E23,Index!$E$1:$E$32,0))</f>
        <v>NE</v>
      </c>
      <c r="U23" s="156" t="str">
        <f>INDEX(Index!$H$1:$H$32,MATCH($G23,Index!$E$1:$E$32,0))</f>
        <v>NE</v>
      </c>
      <c r="V23" s="156" t="str">
        <f t="shared" si="1"/>
        <v>Div</v>
      </c>
      <c r="W23" s="152" t="str">
        <f t="shared" si="2"/>
        <v>Y</v>
      </c>
      <c r="X23" s="149" t="str">
        <f>INDEX(Index!$G$1:$G$32,MATCH(E23,Index!$E$1:$E$32,0))</f>
        <v>DAL</v>
      </c>
      <c r="Y23" s="150" t="str">
        <f>INDEX(Index!$G$1:$G$32,MATCH(G23,Index!$E$1:$E$32,0))</f>
        <v>NYG</v>
      </c>
      <c r="Z23" s="147" t="str">
        <f t="shared" si="3"/>
        <v/>
      </c>
      <c r="AA23" s="174" t="str" cm="1">
        <f t="array" ref="AA23">IFERROR(IF($W23="Y","",INDEX(EPA!$N$2:$N$512,MATCH(X23&amp;Index!$K$1,EPA!$A$2:$A$512&amp;EPA!$W$2:$W$512,0))),"")</f>
        <v/>
      </c>
      <c r="AB23" s="174" t="str" cm="1">
        <f t="array" ref="AB23">IFERROR(IF($W23="Y","",INDEX(EPA!$N$2:$N$512,MATCH(Y23&amp;Index!$K$1,EPA!$A$2:$A$512&amp;EPA!$W$2:$W$512,0))),"")</f>
        <v/>
      </c>
      <c r="AC23" s="174" t="str">
        <f ca="1">IF(AA23&lt;&gt;"",_xlfn.NORM.INV(RAND(),AA23,Index!$K$2),"")</f>
        <v/>
      </c>
      <c r="AD23" s="174" t="str">
        <f ca="1">IF(AB23&lt;&gt;"",_xlfn.NORM.INV(RAND(),AB23,Index!$K$2),"")</f>
        <v/>
      </c>
      <c r="AE23" s="157" t="str">
        <f t="shared" si="4"/>
        <v>DAL</v>
      </c>
      <c r="AF23" s="158" t="str">
        <f t="shared" si="5"/>
        <v>NYG</v>
      </c>
      <c r="AG23" s="149">
        <f t="shared" si="6"/>
        <v>22</v>
      </c>
    </row>
    <row r="24" spans="1:33" x14ac:dyDescent="0.25">
      <c r="A24" s="9">
        <v>2</v>
      </c>
      <c r="B24" s="9" t="s">
        <v>661</v>
      </c>
      <c r="C24" s="148">
        <v>45914</v>
      </c>
      <c r="D24" s="9" t="s">
        <v>662</v>
      </c>
      <c r="E24" s="9" t="s">
        <v>45</v>
      </c>
      <c r="F24" s="9" t="s">
        <v>663</v>
      </c>
      <c r="G24" s="9" t="s">
        <v>62</v>
      </c>
      <c r="H24" s="9" t="s">
        <v>658</v>
      </c>
      <c r="I24" s="9">
        <v>33</v>
      </c>
      <c r="J24" s="9">
        <v>27</v>
      </c>
      <c r="K24" s="9">
        <v>333</v>
      </c>
      <c r="L24" s="9">
        <v>0</v>
      </c>
      <c r="M24" s="9">
        <v>358</v>
      </c>
      <c r="N24" s="9">
        <v>1</v>
      </c>
      <c r="O24" s="149" t="str">
        <f>IF(I24&lt;&gt;"",IF(I24=J24,"TIE",INDEX(Index!$F$1:$F$32,MATCH(E24,Index!$E$1:$E$32,0))),INDEX(Index!$F$1:$F$32,MATCH(E24,Index!$E$1:$E$32,0)))</f>
        <v>NE</v>
      </c>
      <c r="P24" s="150" t="str">
        <f>IF(I24&lt;&gt;"",IF(I24=J24,"TIE",INDEX(Index!$F$1:$F$32,MATCH(G24,Index!$E$1:$E$32,0))),INDEX(Index!$F$1:$F$32,MATCH(G24,Index!$E$1:$E$32,0)))</f>
        <v>MIA</v>
      </c>
      <c r="Q24" s="155" t="str">
        <f>IF(O24="TIE",INDEX(Index!$F$1:$F$32,MATCH(E24,Index!$E$1:$E$32,0)),"")</f>
        <v/>
      </c>
      <c r="R24" s="155" t="str">
        <f>IF(P24="TIE",INDEX(Index!$F$1:$F$32,MATCH(G24,Index!$E$1:$E$32,0)),"")</f>
        <v/>
      </c>
      <c r="S24" s="151" t="str">
        <f t="shared" si="0"/>
        <v>A</v>
      </c>
      <c r="T24" s="156" t="str">
        <f>INDEX(Index!$H$1:$H$32,MATCH($E24,Index!$E$1:$E$32,0))</f>
        <v>AE</v>
      </c>
      <c r="U24" s="156" t="str">
        <f>INDEX(Index!$H$1:$H$32,MATCH($G24,Index!$E$1:$E$32,0))</f>
        <v>AE</v>
      </c>
      <c r="V24" s="156" t="str">
        <f t="shared" si="1"/>
        <v>Div</v>
      </c>
      <c r="W24" s="152" t="str">
        <f t="shared" si="2"/>
        <v>Y</v>
      </c>
      <c r="X24" s="149" t="str">
        <f>INDEX(Index!$G$1:$G$32,MATCH(E24,Index!$E$1:$E$32,0))</f>
        <v>NE</v>
      </c>
      <c r="Y24" s="150" t="str">
        <f>INDEX(Index!$G$1:$G$32,MATCH(G24,Index!$E$1:$E$32,0))</f>
        <v>MIA</v>
      </c>
      <c r="Z24" s="147" t="str">
        <f t="shared" si="3"/>
        <v/>
      </c>
      <c r="AA24" s="174" t="str" cm="1">
        <f t="array" ref="AA24">IFERROR(IF($W24="Y","",INDEX(EPA!$N$2:$N$512,MATCH(X24&amp;Index!$K$1,EPA!$A$2:$A$512&amp;EPA!$W$2:$W$512,0))),"")</f>
        <v/>
      </c>
      <c r="AB24" s="174" t="str" cm="1">
        <f t="array" ref="AB24">IFERROR(IF($W24="Y","",INDEX(EPA!$N$2:$N$512,MATCH(Y24&amp;Index!$K$1,EPA!$A$2:$A$512&amp;EPA!$W$2:$W$512,0))),"")</f>
        <v/>
      </c>
      <c r="AC24" s="174" t="str">
        <f ca="1">IF(AA24&lt;&gt;"",_xlfn.NORM.INV(RAND(),AA24,Index!$K$2),"")</f>
        <v/>
      </c>
      <c r="AD24" s="174" t="str">
        <f ca="1">IF(AB24&lt;&gt;"",_xlfn.NORM.INV(RAND(),AB24,Index!$K$2),"")</f>
        <v/>
      </c>
      <c r="AE24" s="157" t="str">
        <f t="shared" si="4"/>
        <v>NE</v>
      </c>
      <c r="AF24" s="158" t="str">
        <f t="shared" si="5"/>
        <v>MIA</v>
      </c>
      <c r="AG24" s="149">
        <f t="shared" si="6"/>
        <v>23</v>
      </c>
    </row>
    <row r="25" spans="1:33" x14ac:dyDescent="0.25">
      <c r="A25" s="9">
        <v>2</v>
      </c>
      <c r="B25" s="9" t="s">
        <v>661</v>
      </c>
      <c r="C25" s="148">
        <v>45914</v>
      </c>
      <c r="D25" s="9" t="s">
        <v>662</v>
      </c>
      <c r="E25" s="9" t="s">
        <v>30</v>
      </c>
      <c r="F25" s="9" t="s">
        <v>663</v>
      </c>
      <c r="G25" s="9" t="s">
        <v>71</v>
      </c>
      <c r="H25" s="9" t="s">
        <v>658</v>
      </c>
      <c r="I25" s="9">
        <v>26</v>
      </c>
      <c r="J25" s="9">
        <v>21</v>
      </c>
      <c r="K25" s="9">
        <v>344</v>
      </c>
      <c r="L25" s="9">
        <v>1</v>
      </c>
      <c r="M25" s="9">
        <v>307</v>
      </c>
      <c r="N25" s="9">
        <v>1</v>
      </c>
      <c r="O25" s="149" t="str">
        <f>IF(I25&lt;&gt;"",IF(I25=J25,"TIE",INDEX(Index!$F$1:$F$32,MATCH(E25,Index!$E$1:$E$32,0))),INDEX(Index!$F$1:$F$32,MATCH(E25,Index!$E$1:$E$32,0)))</f>
        <v>SF</v>
      </c>
      <c r="P25" s="150" t="str">
        <f>IF(I25&lt;&gt;"",IF(I25=J25,"TIE",INDEX(Index!$F$1:$F$32,MATCH(G25,Index!$E$1:$E$32,0))),INDEX(Index!$F$1:$F$32,MATCH(G25,Index!$E$1:$E$32,0)))</f>
        <v>NO</v>
      </c>
      <c r="Q25" s="155" t="str">
        <f>IF(O25="TIE",INDEX(Index!$F$1:$F$32,MATCH(E25,Index!$E$1:$E$32,0)),"")</f>
        <v/>
      </c>
      <c r="R25" s="155" t="str">
        <f>IF(P25="TIE",INDEX(Index!$F$1:$F$32,MATCH(G25,Index!$E$1:$E$32,0)),"")</f>
        <v/>
      </c>
      <c r="S25" s="151" t="str">
        <f t="shared" si="0"/>
        <v>A</v>
      </c>
      <c r="T25" s="156" t="str">
        <f>INDEX(Index!$H$1:$H$32,MATCH($E25,Index!$E$1:$E$32,0))</f>
        <v>NW</v>
      </c>
      <c r="U25" s="156" t="str">
        <f>INDEX(Index!$H$1:$H$32,MATCH($G25,Index!$E$1:$E$32,0))</f>
        <v>NS</v>
      </c>
      <c r="V25" s="156" t="str">
        <f t="shared" si="1"/>
        <v>Con</v>
      </c>
      <c r="W25" s="152" t="str">
        <f t="shared" si="2"/>
        <v>Y</v>
      </c>
      <c r="X25" s="149" t="str">
        <f>INDEX(Index!$G$1:$G$32,MATCH(E25,Index!$E$1:$E$32,0))</f>
        <v>SF</v>
      </c>
      <c r="Y25" s="150" t="str">
        <f>INDEX(Index!$G$1:$G$32,MATCH(G25,Index!$E$1:$E$32,0))</f>
        <v>NO</v>
      </c>
      <c r="Z25" s="147" t="str">
        <f t="shared" si="3"/>
        <v/>
      </c>
      <c r="AA25" s="174" t="str" cm="1">
        <f t="array" ref="AA25">IFERROR(IF($W25="Y","",INDEX(EPA!$N$2:$N$512,MATCH(X25&amp;Index!$K$1,EPA!$A$2:$A$512&amp;EPA!$W$2:$W$512,0))),"")</f>
        <v/>
      </c>
      <c r="AB25" s="174" t="str" cm="1">
        <f t="array" ref="AB25">IFERROR(IF($W25="Y","",INDEX(EPA!$N$2:$N$512,MATCH(Y25&amp;Index!$K$1,EPA!$A$2:$A$512&amp;EPA!$W$2:$W$512,0))),"")</f>
        <v/>
      </c>
      <c r="AC25" s="174" t="str">
        <f ca="1">IF(AA25&lt;&gt;"",_xlfn.NORM.INV(RAND(),AA25,Index!$K$2),"")</f>
        <v/>
      </c>
      <c r="AD25" s="174" t="str">
        <f ca="1">IF(AB25&lt;&gt;"",_xlfn.NORM.INV(RAND(),AB25,Index!$K$2),"")</f>
        <v/>
      </c>
      <c r="AE25" s="157" t="str">
        <f t="shared" si="4"/>
        <v>SF</v>
      </c>
      <c r="AF25" s="158" t="str">
        <f t="shared" si="5"/>
        <v>NO</v>
      </c>
      <c r="AG25" s="149">
        <f t="shared" si="6"/>
        <v>24</v>
      </c>
    </row>
    <row r="26" spans="1:33" x14ac:dyDescent="0.25">
      <c r="A26" s="9">
        <v>2</v>
      </c>
      <c r="B26" s="9" t="s">
        <v>661</v>
      </c>
      <c r="C26" s="148">
        <v>45914</v>
      </c>
      <c r="D26" s="9" t="s">
        <v>662</v>
      </c>
      <c r="E26" s="9" t="s">
        <v>90</v>
      </c>
      <c r="F26" s="9" t="s">
        <v>663</v>
      </c>
      <c r="G26" s="9" t="s">
        <v>19</v>
      </c>
      <c r="H26" s="9" t="s">
        <v>658</v>
      </c>
      <c r="I26" s="9">
        <v>33</v>
      </c>
      <c r="J26" s="9">
        <v>19</v>
      </c>
      <c r="K26" s="9">
        <v>439</v>
      </c>
      <c r="L26" s="9">
        <v>1</v>
      </c>
      <c r="M26" s="9">
        <v>252</v>
      </c>
      <c r="N26" s="9">
        <v>1</v>
      </c>
      <c r="O26" s="149" t="str">
        <f>IF(I26&lt;&gt;"",IF(I26=J26,"TIE",INDEX(Index!$F$1:$F$32,MATCH(E26,Index!$E$1:$E$32,0))),INDEX(Index!$F$1:$F$32,MATCH(E26,Index!$E$1:$E$32,0)))</f>
        <v>LAR</v>
      </c>
      <c r="P26" s="150" t="str">
        <f>IF(I26&lt;&gt;"",IF(I26=J26,"TIE",INDEX(Index!$F$1:$F$32,MATCH(G26,Index!$E$1:$E$32,0))),INDEX(Index!$F$1:$F$32,MATCH(G26,Index!$E$1:$E$32,0)))</f>
        <v>TEN</v>
      </c>
      <c r="Q26" s="155" t="str">
        <f>IF(O26="TIE",INDEX(Index!$F$1:$F$32,MATCH(E26,Index!$E$1:$E$32,0)),"")</f>
        <v/>
      </c>
      <c r="R26" s="155" t="str">
        <f>IF(P26="TIE",INDEX(Index!$F$1:$F$32,MATCH(G26,Index!$E$1:$E$32,0)),"")</f>
        <v/>
      </c>
      <c r="S26" s="151" t="str">
        <f t="shared" si="0"/>
        <v>A</v>
      </c>
      <c r="T26" s="156" t="str">
        <f>INDEX(Index!$H$1:$H$32,MATCH($E26,Index!$E$1:$E$32,0))</f>
        <v>NW</v>
      </c>
      <c r="U26" s="156" t="str">
        <f>INDEX(Index!$H$1:$H$32,MATCH($G26,Index!$E$1:$E$32,0))</f>
        <v>AS</v>
      </c>
      <c r="V26" s="156" t="str">
        <f t="shared" si="1"/>
        <v>Non</v>
      </c>
      <c r="W26" s="152" t="str">
        <f t="shared" si="2"/>
        <v>Y</v>
      </c>
      <c r="X26" s="149" t="str">
        <f>INDEX(Index!$G$1:$G$32,MATCH(E26,Index!$E$1:$E$32,0))</f>
        <v>LAR</v>
      </c>
      <c r="Y26" s="150" t="str">
        <f>INDEX(Index!$G$1:$G$32,MATCH(G26,Index!$E$1:$E$32,0))</f>
        <v>TEN</v>
      </c>
      <c r="Z26" s="147" t="str">
        <f t="shared" si="3"/>
        <v/>
      </c>
      <c r="AA26" s="174" t="str" cm="1">
        <f t="array" ref="AA26">IFERROR(IF($W26="Y","",INDEX(EPA!$N$2:$N$512,MATCH(X26&amp;Index!$K$1,EPA!$A$2:$A$512&amp;EPA!$W$2:$W$512,0))),"")</f>
        <v/>
      </c>
      <c r="AB26" s="174" t="str" cm="1">
        <f t="array" ref="AB26">IFERROR(IF($W26="Y","",INDEX(EPA!$N$2:$N$512,MATCH(Y26&amp;Index!$K$1,EPA!$A$2:$A$512&amp;EPA!$W$2:$W$512,0))),"")</f>
        <v/>
      </c>
      <c r="AC26" s="174" t="str">
        <f ca="1">IF(AA26&lt;&gt;"",_xlfn.NORM.INV(RAND(),AA26,Index!$K$2),"")</f>
        <v/>
      </c>
      <c r="AD26" s="174" t="str">
        <f ca="1">IF(AB26&lt;&gt;"",_xlfn.NORM.INV(RAND(),AB26,Index!$K$2),"")</f>
        <v/>
      </c>
      <c r="AE26" s="157" t="str">
        <f t="shared" si="4"/>
        <v>LAR</v>
      </c>
      <c r="AF26" s="158" t="str">
        <f t="shared" si="5"/>
        <v>TEN</v>
      </c>
      <c r="AG26" s="149">
        <f t="shared" si="6"/>
        <v>25</v>
      </c>
    </row>
    <row r="27" spans="1:33" x14ac:dyDescent="0.25">
      <c r="A27" s="9">
        <v>2</v>
      </c>
      <c r="B27" s="9" t="s">
        <v>661</v>
      </c>
      <c r="C27" s="148">
        <v>45914</v>
      </c>
      <c r="D27" s="9" t="s">
        <v>662</v>
      </c>
      <c r="E27" s="9" t="s">
        <v>8</v>
      </c>
      <c r="F27" s="9" t="s">
        <v>663</v>
      </c>
      <c r="G27" s="9" t="s">
        <v>73</v>
      </c>
      <c r="H27" s="9" t="s">
        <v>658</v>
      </c>
      <c r="I27" s="9">
        <v>31</v>
      </c>
      <c r="J27" s="9">
        <v>17</v>
      </c>
      <c r="K27" s="9">
        <v>395</v>
      </c>
      <c r="L27" s="9">
        <v>2</v>
      </c>
      <c r="M27" s="9">
        <v>267</v>
      </c>
      <c r="N27" s="9">
        <v>2</v>
      </c>
      <c r="O27" s="149" t="str">
        <f>IF(I27&lt;&gt;"",IF(I27=J27,"TIE",INDEX(Index!$F$1:$F$32,MATCH(E27,Index!$E$1:$E$32,0))),INDEX(Index!$F$1:$F$32,MATCH(E27,Index!$E$1:$E$32,0)))</f>
        <v>SEA</v>
      </c>
      <c r="P27" s="150" t="str">
        <f>IF(I27&lt;&gt;"",IF(I27=J27,"TIE",INDEX(Index!$F$1:$F$32,MATCH(G27,Index!$E$1:$E$32,0))),INDEX(Index!$F$1:$F$32,MATCH(G27,Index!$E$1:$E$32,0)))</f>
        <v>PIT</v>
      </c>
      <c r="Q27" s="155" t="str">
        <f>IF(O27="TIE",INDEX(Index!$F$1:$F$32,MATCH(E27,Index!$E$1:$E$32,0)),"")</f>
        <v/>
      </c>
      <c r="R27" s="155" t="str">
        <f>IF(P27="TIE",INDEX(Index!$F$1:$F$32,MATCH(G27,Index!$E$1:$E$32,0)),"")</f>
        <v/>
      </c>
      <c r="S27" s="151" t="str">
        <f t="shared" si="0"/>
        <v>A</v>
      </c>
      <c r="T27" s="156" t="str">
        <f>INDEX(Index!$H$1:$H$32,MATCH($E27,Index!$E$1:$E$32,0))</f>
        <v>NW</v>
      </c>
      <c r="U27" s="156" t="str">
        <f>INDEX(Index!$H$1:$H$32,MATCH($G27,Index!$E$1:$E$32,0))</f>
        <v>AN</v>
      </c>
      <c r="V27" s="156" t="str">
        <f t="shared" si="1"/>
        <v>Non</v>
      </c>
      <c r="W27" s="152" t="str">
        <f t="shared" si="2"/>
        <v>Y</v>
      </c>
      <c r="X27" s="149" t="str">
        <f>INDEX(Index!$G$1:$G$32,MATCH(E27,Index!$E$1:$E$32,0))</f>
        <v>SEA</v>
      </c>
      <c r="Y27" s="150" t="str">
        <f>INDEX(Index!$G$1:$G$32,MATCH(G27,Index!$E$1:$E$32,0))</f>
        <v>PIT</v>
      </c>
      <c r="Z27" s="147" t="str">
        <f t="shared" si="3"/>
        <v/>
      </c>
      <c r="AA27" s="174" t="str" cm="1">
        <f t="array" ref="AA27">IFERROR(IF($W27="Y","",INDEX(EPA!$N$2:$N$512,MATCH(X27&amp;Index!$K$1,EPA!$A$2:$A$512&amp;EPA!$W$2:$W$512,0))),"")</f>
        <v/>
      </c>
      <c r="AB27" s="174" t="str" cm="1">
        <f t="array" ref="AB27">IFERROR(IF($W27="Y","",INDEX(EPA!$N$2:$N$512,MATCH(Y27&amp;Index!$K$1,EPA!$A$2:$A$512&amp;EPA!$W$2:$W$512,0))),"")</f>
        <v/>
      </c>
      <c r="AC27" s="174" t="str">
        <f ca="1">IF(AA27&lt;&gt;"",_xlfn.NORM.INV(RAND(),AA27,Index!$K$2),"")</f>
        <v/>
      </c>
      <c r="AD27" s="174" t="str">
        <f ca="1">IF(AB27&lt;&gt;"",_xlfn.NORM.INV(RAND(),AB27,Index!$K$2),"")</f>
        <v/>
      </c>
      <c r="AE27" s="157" t="str">
        <f t="shared" si="4"/>
        <v>SEA</v>
      </c>
      <c r="AF27" s="158" t="str">
        <f t="shared" si="5"/>
        <v>PIT</v>
      </c>
      <c r="AG27" s="149">
        <f t="shared" si="6"/>
        <v>26</v>
      </c>
    </row>
    <row r="28" spans="1:33" x14ac:dyDescent="0.25">
      <c r="A28" s="9">
        <v>2</v>
      </c>
      <c r="B28" s="9" t="s">
        <v>661</v>
      </c>
      <c r="C28" s="148">
        <v>45914</v>
      </c>
      <c r="D28" s="9" t="s">
        <v>664</v>
      </c>
      <c r="E28" s="9" t="s">
        <v>27</v>
      </c>
      <c r="F28" s="9"/>
      <c r="G28" s="9" t="s">
        <v>12</v>
      </c>
      <c r="H28" s="9" t="s">
        <v>658</v>
      </c>
      <c r="I28" s="9">
        <v>27</v>
      </c>
      <c r="J28" s="9">
        <v>22</v>
      </c>
      <c r="K28" s="9">
        <v>293</v>
      </c>
      <c r="L28" s="9">
        <v>1</v>
      </c>
      <c r="M28" s="9">
        <v>352</v>
      </c>
      <c r="N28" s="9">
        <v>2</v>
      </c>
      <c r="O28" s="149" t="str">
        <f>IF(I28&lt;&gt;"",IF(I28=J28,"TIE",INDEX(Index!$F$1:$F$32,MATCH(E28,Index!$E$1:$E$32,0))),INDEX(Index!$F$1:$F$32,MATCH(E28,Index!$E$1:$E$32,0)))</f>
        <v>ARI</v>
      </c>
      <c r="P28" s="150" t="str">
        <f>IF(I28&lt;&gt;"",IF(I28=J28,"TIE",INDEX(Index!$F$1:$F$32,MATCH(G28,Index!$E$1:$E$32,0))),INDEX(Index!$F$1:$F$32,MATCH(G28,Index!$E$1:$E$32,0)))</f>
        <v>CAR</v>
      </c>
      <c r="Q28" s="155" t="str">
        <f>IF(O28="TIE",INDEX(Index!$F$1:$F$32,MATCH(E28,Index!$E$1:$E$32,0)),"")</f>
        <v/>
      </c>
      <c r="R28" s="155" t="str">
        <f>IF(P28="TIE",INDEX(Index!$F$1:$F$32,MATCH(G28,Index!$E$1:$E$32,0)),"")</f>
        <v/>
      </c>
      <c r="S28" s="151" t="str">
        <f t="shared" si="0"/>
        <v>H</v>
      </c>
      <c r="T28" s="156" t="str">
        <f>INDEX(Index!$H$1:$H$32,MATCH($E28,Index!$E$1:$E$32,0))</f>
        <v>NW</v>
      </c>
      <c r="U28" s="156" t="str">
        <f>INDEX(Index!$H$1:$H$32,MATCH($G28,Index!$E$1:$E$32,0))</f>
        <v>NS</v>
      </c>
      <c r="V28" s="156" t="str">
        <f t="shared" si="1"/>
        <v>Con</v>
      </c>
      <c r="W28" s="152" t="str">
        <f t="shared" si="2"/>
        <v>Y</v>
      </c>
      <c r="X28" s="149" t="str">
        <f>INDEX(Index!$G$1:$G$32,MATCH(E28,Index!$E$1:$E$32,0))</f>
        <v>ARI</v>
      </c>
      <c r="Y28" s="150" t="str">
        <f>INDEX(Index!$G$1:$G$32,MATCH(G28,Index!$E$1:$E$32,0))</f>
        <v>CAR</v>
      </c>
      <c r="Z28" s="147" t="str">
        <f t="shared" si="3"/>
        <v/>
      </c>
      <c r="AA28" s="174" t="str" cm="1">
        <f t="array" ref="AA28">IFERROR(IF($W28="Y","",INDEX(EPA!$N$2:$N$512,MATCH(X28&amp;Index!$K$1,EPA!$A$2:$A$512&amp;EPA!$W$2:$W$512,0))),"")</f>
        <v/>
      </c>
      <c r="AB28" s="174" t="str" cm="1">
        <f t="array" ref="AB28">IFERROR(IF($W28="Y","",INDEX(EPA!$N$2:$N$512,MATCH(Y28&amp;Index!$K$1,EPA!$A$2:$A$512&amp;EPA!$W$2:$W$512,0))),"")</f>
        <v/>
      </c>
      <c r="AC28" s="174" t="str">
        <f ca="1">IF(AA28&lt;&gt;"",_xlfn.NORM.INV(RAND(),AA28,Index!$K$2),"")</f>
        <v/>
      </c>
      <c r="AD28" s="174" t="str">
        <f ca="1">IF(AB28&lt;&gt;"",_xlfn.NORM.INV(RAND(),AB28,Index!$K$2),"")</f>
        <v/>
      </c>
      <c r="AE28" s="157" t="str">
        <f t="shared" si="4"/>
        <v>ARI</v>
      </c>
      <c r="AF28" s="158" t="str">
        <f t="shared" si="5"/>
        <v>CAR</v>
      </c>
      <c r="AG28" s="149">
        <f t="shared" si="6"/>
        <v>27</v>
      </c>
    </row>
    <row r="29" spans="1:33" x14ac:dyDescent="0.25">
      <c r="A29" s="9">
        <v>2</v>
      </c>
      <c r="B29" s="9" t="s">
        <v>661</v>
      </c>
      <c r="C29" s="148">
        <v>45914</v>
      </c>
      <c r="D29" s="9" t="s">
        <v>664</v>
      </c>
      <c r="E29" s="9" t="s">
        <v>42</v>
      </c>
      <c r="F29" s="9"/>
      <c r="G29" s="9" t="s">
        <v>94</v>
      </c>
      <c r="H29" s="9" t="s">
        <v>658</v>
      </c>
      <c r="I29" s="9">
        <v>29</v>
      </c>
      <c r="J29" s="9">
        <v>28</v>
      </c>
      <c r="K29" s="9">
        <v>473</v>
      </c>
      <c r="L29" s="9">
        <v>0</v>
      </c>
      <c r="M29" s="9">
        <v>324</v>
      </c>
      <c r="N29" s="9">
        <v>1</v>
      </c>
      <c r="O29" s="149" t="str">
        <f>IF(I29&lt;&gt;"",IF(I29=J29,"TIE",INDEX(Index!$F$1:$F$32,MATCH(E29,Index!$E$1:$E$32,0))),INDEX(Index!$F$1:$F$32,MATCH(E29,Index!$E$1:$E$32,0)))</f>
        <v>IND</v>
      </c>
      <c r="P29" s="150" t="str">
        <f>IF(I29&lt;&gt;"",IF(I29=J29,"TIE",INDEX(Index!$F$1:$F$32,MATCH(G29,Index!$E$1:$E$32,0))),INDEX(Index!$F$1:$F$32,MATCH(G29,Index!$E$1:$E$32,0)))</f>
        <v>DEN</v>
      </c>
      <c r="Q29" s="155" t="str">
        <f>IF(O29="TIE",INDEX(Index!$F$1:$F$32,MATCH(E29,Index!$E$1:$E$32,0)),"")</f>
        <v/>
      </c>
      <c r="R29" s="155" t="str">
        <f>IF(P29="TIE",INDEX(Index!$F$1:$F$32,MATCH(G29,Index!$E$1:$E$32,0)),"")</f>
        <v/>
      </c>
      <c r="S29" s="151" t="str">
        <f t="shared" si="0"/>
        <v>H</v>
      </c>
      <c r="T29" s="156" t="str">
        <f>INDEX(Index!$H$1:$H$32,MATCH($E29,Index!$E$1:$E$32,0))</f>
        <v>AS</v>
      </c>
      <c r="U29" s="156" t="str">
        <f>INDEX(Index!$H$1:$H$32,MATCH($G29,Index!$E$1:$E$32,0))</f>
        <v>AW</v>
      </c>
      <c r="V29" s="156" t="str">
        <f t="shared" si="1"/>
        <v>Con</v>
      </c>
      <c r="W29" s="152" t="str">
        <f t="shared" si="2"/>
        <v>Y</v>
      </c>
      <c r="X29" s="149" t="str">
        <f>INDEX(Index!$G$1:$G$32,MATCH(E29,Index!$E$1:$E$32,0))</f>
        <v>IND</v>
      </c>
      <c r="Y29" s="150" t="str">
        <f>INDEX(Index!$G$1:$G$32,MATCH(G29,Index!$E$1:$E$32,0))</f>
        <v>DEN</v>
      </c>
      <c r="Z29" s="147" t="str">
        <f t="shared" si="3"/>
        <v/>
      </c>
      <c r="AA29" s="174" t="str" cm="1">
        <f t="array" ref="AA29">IFERROR(IF($W29="Y","",INDEX(EPA!$N$2:$N$512,MATCH(X29&amp;Index!$K$1,EPA!$A$2:$A$512&amp;EPA!$W$2:$W$512,0))),"")</f>
        <v/>
      </c>
      <c r="AB29" s="174" t="str" cm="1">
        <f t="array" ref="AB29">IFERROR(IF($W29="Y","",INDEX(EPA!$N$2:$N$512,MATCH(Y29&amp;Index!$K$1,EPA!$A$2:$A$512&amp;EPA!$W$2:$W$512,0))),"")</f>
        <v/>
      </c>
      <c r="AC29" s="174" t="str">
        <f ca="1">IF(AA29&lt;&gt;"",_xlfn.NORM.INV(RAND(),AA29,Index!$K$2),"")</f>
        <v/>
      </c>
      <c r="AD29" s="174" t="str">
        <f ca="1">IF(AB29&lt;&gt;"",_xlfn.NORM.INV(RAND(),AB29,Index!$K$2),"")</f>
        <v/>
      </c>
      <c r="AE29" s="157" t="str">
        <f t="shared" si="4"/>
        <v>IND</v>
      </c>
      <c r="AF29" s="158" t="str">
        <f t="shared" si="5"/>
        <v>DEN</v>
      </c>
      <c r="AG29" s="149">
        <f t="shared" si="6"/>
        <v>28</v>
      </c>
    </row>
    <row r="30" spans="1:33" x14ac:dyDescent="0.25">
      <c r="A30" s="9">
        <v>2</v>
      </c>
      <c r="B30" s="9" t="s">
        <v>661</v>
      </c>
      <c r="C30" s="148">
        <v>45914</v>
      </c>
      <c r="D30" s="9" t="s">
        <v>665</v>
      </c>
      <c r="E30" s="9" t="s">
        <v>92</v>
      </c>
      <c r="F30" s="9" t="s">
        <v>663</v>
      </c>
      <c r="G30" s="9" t="s">
        <v>16</v>
      </c>
      <c r="H30" s="9" t="s">
        <v>658</v>
      </c>
      <c r="I30" s="9">
        <v>20</v>
      </c>
      <c r="J30" s="9">
        <v>17</v>
      </c>
      <c r="K30" s="9">
        <v>216</v>
      </c>
      <c r="L30" s="9">
        <v>0</v>
      </c>
      <c r="M30" s="9">
        <v>294</v>
      </c>
      <c r="N30" s="9">
        <v>1</v>
      </c>
      <c r="O30" s="149" t="str">
        <f>IF(I30&lt;&gt;"",IF(I30=J30,"TIE",INDEX(Index!$F$1:$F$32,MATCH(E30,Index!$E$1:$E$32,0))),INDEX(Index!$F$1:$F$32,MATCH(E30,Index!$E$1:$E$32,0)))</f>
        <v>PHI</v>
      </c>
      <c r="P30" s="150" t="str">
        <f>IF(I30&lt;&gt;"",IF(I30=J30,"TIE",INDEX(Index!$F$1:$F$32,MATCH(G30,Index!$E$1:$E$32,0))),INDEX(Index!$F$1:$F$32,MATCH(G30,Index!$E$1:$E$32,0)))</f>
        <v>KC</v>
      </c>
      <c r="Q30" s="155" t="str">
        <f>IF(O30="TIE",INDEX(Index!$F$1:$F$32,MATCH(E30,Index!$E$1:$E$32,0)),"")</f>
        <v/>
      </c>
      <c r="R30" s="155" t="str">
        <f>IF(P30="TIE",INDEX(Index!$F$1:$F$32,MATCH(G30,Index!$E$1:$E$32,0)),"")</f>
        <v/>
      </c>
      <c r="S30" s="151" t="str">
        <f t="shared" si="0"/>
        <v>A</v>
      </c>
      <c r="T30" s="156" t="str">
        <f>INDEX(Index!$H$1:$H$32,MATCH($E30,Index!$E$1:$E$32,0))</f>
        <v>NE</v>
      </c>
      <c r="U30" s="156" t="str">
        <f>INDEX(Index!$H$1:$H$32,MATCH($G30,Index!$E$1:$E$32,0))</f>
        <v>AW</v>
      </c>
      <c r="V30" s="156" t="str">
        <f t="shared" si="1"/>
        <v>Non</v>
      </c>
      <c r="W30" s="152" t="str">
        <f t="shared" si="2"/>
        <v>Y</v>
      </c>
      <c r="X30" s="149" t="str">
        <f>INDEX(Index!$G$1:$G$32,MATCH(E30,Index!$E$1:$E$32,0))</f>
        <v>PHI</v>
      </c>
      <c r="Y30" s="150" t="str">
        <f>INDEX(Index!$G$1:$G$32,MATCH(G30,Index!$E$1:$E$32,0))</f>
        <v>KC</v>
      </c>
      <c r="Z30" s="147" t="str">
        <f t="shared" si="3"/>
        <v/>
      </c>
      <c r="AA30" s="174" t="str" cm="1">
        <f t="array" ref="AA30">IFERROR(IF($W30="Y","",INDEX(EPA!$N$2:$N$512,MATCH(X30&amp;Index!$K$1,EPA!$A$2:$A$512&amp;EPA!$W$2:$W$512,0))),"")</f>
        <v/>
      </c>
      <c r="AB30" s="174" t="str" cm="1">
        <f t="array" ref="AB30">IFERROR(IF($W30="Y","",INDEX(EPA!$N$2:$N$512,MATCH(Y30&amp;Index!$K$1,EPA!$A$2:$A$512&amp;EPA!$W$2:$W$512,0))),"")</f>
        <v/>
      </c>
      <c r="AC30" s="174" t="str">
        <f ca="1">IF(AA30&lt;&gt;"",_xlfn.NORM.INV(RAND(),AA30,Index!$K$2),"")</f>
        <v/>
      </c>
      <c r="AD30" s="174" t="str">
        <f ca="1">IF(AB30&lt;&gt;"",_xlfn.NORM.INV(RAND(),AB30,Index!$K$2),"")</f>
        <v/>
      </c>
      <c r="AE30" s="157" t="str">
        <f t="shared" si="4"/>
        <v>PHI</v>
      </c>
      <c r="AF30" s="158" t="str">
        <f t="shared" si="5"/>
        <v>KC</v>
      </c>
      <c r="AG30" s="149">
        <f t="shared" si="6"/>
        <v>29</v>
      </c>
    </row>
    <row r="31" spans="1:33" x14ac:dyDescent="0.25">
      <c r="A31" s="9">
        <v>2</v>
      </c>
      <c r="B31" s="9" t="s">
        <v>661</v>
      </c>
      <c r="C31" s="148">
        <v>45914</v>
      </c>
      <c r="D31" s="9" t="s">
        <v>657</v>
      </c>
      <c r="E31" s="9" t="s">
        <v>78</v>
      </c>
      <c r="F31" s="9" t="s">
        <v>663</v>
      </c>
      <c r="G31" s="9" t="s">
        <v>58</v>
      </c>
      <c r="H31" s="9" t="s">
        <v>658</v>
      </c>
      <c r="I31" s="9">
        <v>22</v>
      </c>
      <c r="J31" s="9">
        <v>6</v>
      </c>
      <c r="K31" s="9">
        <v>326</v>
      </c>
      <c r="L31" s="9">
        <v>1</v>
      </c>
      <c r="M31" s="9">
        <v>198</v>
      </c>
      <c r="N31" s="9">
        <v>4</v>
      </c>
      <c r="O31" s="149" t="str">
        <f>IF(I31&lt;&gt;"",IF(I31=J31,"TIE",INDEX(Index!$F$1:$F$32,MATCH(E31,Index!$E$1:$E$32,0))),INDEX(Index!$F$1:$F$32,MATCH(E31,Index!$E$1:$E$32,0)))</f>
        <v>ATL</v>
      </c>
      <c r="P31" s="150" t="str">
        <f>IF(I31&lt;&gt;"",IF(I31=J31,"TIE",INDEX(Index!$F$1:$F$32,MATCH(G31,Index!$E$1:$E$32,0))),INDEX(Index!$F$1:$F$32,MATCH(G31,Index!$E$1:$E$32,0)))</f>
        <v>MIN</v>
      </c>
      <c r="Q31" s="155" t="str">
        <f>IF(O31="TIE",INDEX(Index!$F$1:$F$32,MATCH(E31,Index!$E$1:$E$32,0)),"")</f>
        <v/>
      </c>
      <c r="R31" s="155" t="str">
        <f>IF(P31="TIE",INDEX(Index!$F$1:$F$32,MATCH(G31,Index!$E$1:$E$32,0)),"")</f>
        <v/>
      </c>
      <c r="S31" s="151" t="str">
        <f t="shared" si="0"/>
        <v>A</v>
      </c>
      <c r="T31" s="156" t="str">
        <f>INDEX(Index!$H$1:$H$32,MATCH($E31,Index!$E$1:$E$32,0))</f>
        <v>NS</v>
      </c>
      <c r="U31" s="156" t="str">
        <f>INDEX(Index!$H$1:$H$32,MATCH($G31,Index!$E$1:$E$32,0))</f>
        <v>NN</v>
      </c>
      <c r="V31" s="156" t="str">
        <f t="shared" si="1"/>
        <v>Con</v>
      </c>
      <c r="W31" s="152" t="str">
        <f t="shared" si="2"/>
        <v>Y</v>
      </c>
      <c r="X31" s="149" t="str">
        <f>INDEX(Index!$G$1:$G$32,MATCH(E31,Index!$E$1:$E$32,0))</f>
        <v>ATL</v>
      </c>
      <c r="Y31" s="150" t="str">
        <f>INDEX(Index!$G$1:$G$32,MATCH(G31,Index!$E$1:$E$32,0))</f>
        <v>MIN</v>
      </c>
      <c r="Z31" s="147" t="str">
        <f t="shared" si="3"/>
        <v/>
      </c>
      <c r="AA31" s="174" t="str" cm="1">
        <f t="array" ref="AA31">IFERROR(IF($W31="Y","",INDEX(EPA!$N$2:$N$512,MATCH(X31&amp;Index!$K$1,EPA!$A$2:$A$512&amp;EPA!$W$2:$W$512,0))),"")</f>
        <v/>
      </c>
      <c r="AB31" s="174" t="str" cm="1">
        <f t="array" ref="AB31">IFERROR(IF($W31="Y","",INDEX(EPA!$N$2:$N$512,MATCH(Y31&amp;Index!$K$1,EPA!$A$2:$A$512&amp;EPA!$W$2:$W$512,0))),"")</f>
        <v/>
      </c>
      <c r="AC31" s="174" t="str">
        <f ca="1">IF(AA31&lt;&gt;"",_xlfn.NORM.INV(RAND(),AA31,Index!$K$2),"")</f>
        <v/>
      </c>
      <c r="AD31" s="174" t="str">
        <f ca="1">IF(AB31&lt;&gt;"",_xlfn.NORM.INV(RAND(),AB31,Index!$K$2),"")</f>
        <v/>
      </c>
      <c r="AE31" s="157" t="str">
        <f t="shared" si="4"/>
        <v>ATL</v>
      </c>
      <c r="AF31" s="158" t="str">
        <f t="shared" si="5"/>
        <v>MIN</v>
      </c>
      <c r="AG31" s="149">
        <f t="shared" si="6"/>
        <v>30</v>
      </c>
    </row>
    <row r="32" spans="1:33" x14ac:dyDescent="0.25">
      <c r="A32" s="9">
        <v>2</v>
      </c>
      <c r="B32" s="9" t="s">
        <v>666</v>
      </c>
      <c r="C32" s="148">
        <v>45915</v>
      </c>
      <c r="D32" s="9" t="s">
        <v>668</v>
      </c>
      <c r="E32" s="9" t="s">
        <v>0</v>
      </c>
      <c r="F32" s="9" t="s">
        <v>663</v>
      </c>
      <c r="G32" s="9" t="s">
        <v>33</v>
      </c>
      <c r="H32" s="9" t="s">
        <v>658</v>
      </c>
      <c r="I32" s="9">
        <v>20</v>
      </c>
      <c r="J32" s="9">
        <v>19</v>
      </c>
      <c r="K32" s="9">
        <v>360</v>
      </c>
      <c r="L32" s="9">
        <v>0</v>
      </c>
      <c r="M32" s="9">
        <v>266</v>
      </c>
      <c r="N32" s="9">
        <v>0</v>
      </c>
      <c r="O32" s="149" t="str">
        <f>IF(I32&lt;&gt;"",IF(I32=J32,"TIE",INDEX(Index!$F$1:$F$32,MATCH(E32,Index!$E$1:$E$32,0))),INDEX(Index!$F$1:$F$32,MATCH(E32,Index!$E$1:$E$32,0)))</f>
        <v>TB</v>
      </c>
      <c r="P32" s="150" t="str">
        <f>IF(I32&lt;&gt;"",IF(I32=J32,"TIE",INDEX(Index!$F$1:$F$32,MATCH(G32,Index!$E$1:$E$32,0))),INDEX(Index!$F$1:$F$32,MATCH(G32,Index!$E$1:$E$32,0)))</f>
        <v>HOU</v>
      </c>
      <c r="Q32" s="155" t="str">
        <f>IF(O32="TIE",INDEX(Index!$F$1:$F$32,MATCH(E32,Index!$E$1:$E$32,0)),"")</f>
        <v/>
      </c>
      <c r="R32" s="155" t="str">
        <f>IF(P32="TIE",INDEX(Index!$F$1:$F$32,MATCH(G32,Index!$E$1:$E$32,0)),"")</f>
        <v/>
      </c>
      <c r="S32" s="151" t="str">
        <f t="shared" si="0"/>
        <v>A</v>
      </c>
      <c r="T32" s="156" t="str">
        <f>INDEX(Index!$H$1:$H$32,MATCH($E32,Index!$E$1:$E$32,0))</f>
        <v>NS</v>
      </c>
      <c r="U32" s="156" t="str">
        <f>INDEX(Index!$H$1:$H$32,MATCH($G32,Index!$E$1:$E$32,0))</f>
        <v>AS</v>
      </c>
      <c r="V32" s="156" t="str">
        <f t="shared" si="1"/>
        <v>Non</v>
      </c>
      <c r="W32" s="152" t="str">
        <f t="shared" si="2"/>
        <v>Y</v>
      </c>
      <c r="X32" s="149" t="str">
        <f>INDEX(Index!$G$1:$G$32,MATCH(E32,Index!$E$1:$E$32,0))</f>
        <v>TB</v>
      </c>
      <c r="Y32" s="150" t="str">
        <f>INDEX(Index!$G$1:$G$32,MATCH(G32,Index!$E$1:$E$32,0))</f>
        <v>HOU</v>
      </c>
      <c r="Z32" s="147" t="str">
        <f t="shared" si="3"/>
        <v/>
      </c>
      <c r="AA32" s="174" t="str" cm="1">
        <f t="array" ref="AA32">IFERROR(IF($W32="Y","",INDEX(EPA!$N$2:$N$512,MATCH(X32&amp;Index!$K$1,EPA!$A$2:$A$512&amp;EPA!$W$2:$W$512,0))),"")</f>
        <v/>
      </c>
      <c r="AB32" s="174" t="str" cm="1">
        <f t="array" ref="AB32">IFERROR(IF($W32="Y","",INDEX(EPA!$N$2:$N$512,MATCH(Y32&amp;Index!$K$1,EPA!$A$2:$A$512&amp;EPA!$W$2:$W$512,0))),"")</f>
        <v/>
      </c>
      <c r="AC32" s="174" t="str">
        <f ca="1">IF(AA32&lt;&gt;"",_xlfn.NORM.INV(RAND(),AA32,Index!$K$2),"")</f>
        <v/>
      </c>
      <c r="AD32" s="174" t="str">
        <f ca="1">IF(AB32&lt;&gt;"",_xlfn.NORM.INV(RAND(),AB32,Index!$K$2),"")</f>
        <v/>
      </c>
      <c r="AE32" s="157" t="str">
        <f t="shared" si="4"/>
        <v>TB</v>
      </c>
      <c r="AF32" s="158" t="str">
        <f t="shared" si="5"/>
        <v>HOU</v>
      </c>
      <c r="AG32" s="149">
        <f t="shared" si="6"/>
        <v>31</v>
      </c>
    </row>
    <row r="33" spans="1:33" x14ac:dyDescent="0.25">
      <c r="A33" s="9">
        <v>2</v>
      </c>
      <c r="B33" s="9" t="s">
        <v>666</v>
      </c>
      <c r="C33" s="148">
        <v>45915</v>
      </c>
      <c r="D33" s="9" t="s">
        <v>669</v>
      </c>
      <c r="E33" s="9" t="s">
        <v>68</v>
      </c>
      <c r="F33" s="9" t="s">
        <v>663</v>
      </c>
      <c r="G33" s="9" t="s">
        <v>80</v>
      </c>
      <c r="H33" s="9" t="s">
        <v>658</v>
      </c>
      <c r="I33" s="9">
        <v>20</v>
      </c>
      <c r="J33" s="9">
        <v>9</v>
      </c>
      <c r="K33" s="9">
        <v>317</v>
      </c>
      <c r="L33" s="9">
        <v>1</v>
      </c>
      <c r="M33" s="9">
        <v>218</v>
      </c>
      <c r="N33" s="9">
        <v>3</v>
      </c>
      <c r="O33" s="149" t="str">
        <f>IF(I33&lt;&gt;"",IF(I33=J33,"TIE",INDEX(Index!$F$1:$F$32,MATCH(E33,Index!$E$1:$E$32,0))),INDEX(Index!$F$1:$F$32,MATCH(E33,Index!$E$1:$E$32,0)))</f>
        <v>LAC</v>
      </c>
      <c r="P33" s="150" t="str">
        <f>IF(I33&lt;&gt;"",IF(I33=J33,"TIE",INDEX(Index!$F$1:$F$32,MATCH(G33,Index!$E$1:$E$32,0))),INDEX(Index!$F$1:$F$32,MATCH(G33,Index!$E$1:$E$32,0)))</f>
        <v>LV</v>
      </c>
      <c r="Q33" s="155" t="str">
        <f>IF(O33="TIE",INDEX(Index!$F$1:$F$32,MATCH(E33,Index!$E$1:$E$32,0)),"")</f>
        <v/>
      </c>
      <c r="R33" s="155" t="str">
        <f>IF(P33="TIE",INDEX(Index!$F$1:$F$32,MATCH(G33,Index!$E$1:$E$32,0)),"")</f>
        <v/>
      </c>
      <c r="S33" s="151" t="str">
        <f t="shared" si="0"/>
        <v>A</v>
      </c>
      <c r="T33" s="156" t="str">
        <f>INDEX(Index!$H$1:$H$32,MATCH($E33,Index!$E$1:$E$32,0))</f>
        <v>AW</v>
      </c>
      <c r="U33" s="156" t="str">
        <f>INDEX(Index!$H$1:$H$32,MATCH($G33,Index!$E$1:$E$32,0))</f>
        <v>AW</v>
      </c>
      <c r="V33" s="156" t="str">
        <f t="shared" si="1"/>
        <v>Div</v>
      </c>
      <c r="W33" s="152" t="str">
        <f t="shared" si="2"/>
        <v>Y</v>
      </c>
      <c r="X33" s="149" t="str">
        <f>INDEX(Index!$G$1:$G$32,MATCH(E33,Index!$E$1:$E$32,0))</f>
        <v>LAC</v>
      </c>
      <c r="Y33" s="150" t="str">
        <f>INDEX(Index!$G$1:$G$32,MATCH(G33,Index!$E$1:$E$32,0))</f>
        <v>OAK</v>
      </c>
      <c r="Z33" s="147" t="str">
        <f t="shared" si="3"/>
        <v/>
      </c>
      <c r="AA33" s="174" t="str" cm="1">
        <f t="array" ref="AA33">IFERROR(IF($W33="Y","",INDEX(EPA!$N$2:$N$512,MATCH(X33&amp;Index!$K$1,EPA!$A$2:$A$512&amp;EPA!$W$2:$W$512,0))),"")</f>
        <v/>
      </c>
      <c r="AB33" s="174" t="str" cm="1">
        <f t="array" ref="AB33">IFERROR(IF($W33="Y","",INDEX(EPA!$N$2:$N$512,MATCH(Y33&amp;Index!$K$1,EPA!$A$2:$A$512&amp;EPA!$W$2:$W$512,0))),"")</f>
        <v/>
      </c>
      <c r="AC33" s="174" t="str">
        <f ca="1">IF(AA33&lt;&gt;"",_xlfn.NORM.INV(RAND(),AA33,Index!$K$2),"")</f>
        <v/>
      </c>
      <c r="AD33" s="174" t="str">
        <f ca="1">IF(AB33&lt;&gt;"",_xlfn.NORM.INV(RAND(),AB33,Index!$K$2),"")</f>
        <v/>
      </c>
      <c r="AE33" s="157" t="str">
        <f t="shared" si="4"/>
        <v>LAC</v>
      </c>
      <c r="AF33" s="158" t="str">
        <f t="shared" si="5"/>
        <v>LV</v>
      </c>
      <c r="AG33" s="149">
        <f t="shared" si="6"/>
        <v>32</v>
      </c>
    </row>
    <row r="34" spans="1:33" x14ac:dyDescent="0.25">
      <c r="A34" s="9">
        <v>3</v>
      </c>
      <c r="B34" s="9" t="s">
        <v>656</v>
      </c>
      <c r="C34" s="148">
        <v>45918</v>
      </c>
      <c r="D34" s="9" t="s">
        <v>667</v>
      </c>
      <c r="E34" s="9" t="s">
        <v>40</v>
      </c>
      <c r="F34" s="9"/>
      <c r="G34" s="9" t="s">
        <v>62</v>
      </c>
      <c r="H34" s="9" t="s">
        <v>658</v>
      </c>
      <c r="I34" s="9">
        <v>31</v>
      </c>
      <c r="J34" s="9">
        <v>21</v>
      </c>
      <c r="K34" s="9">
        <v>360</v>
      </c>
      <c r="L34" s="9">
        <v>0</v>
      </c>
      <c r="M34" s="9">
        <v>276</v>
      </c>
      <c r="N34" s="9">
        <v>1</v>
      </c>
      <c r="O34" s="149" t="str">
        <f>IF(I34&lt;&gt;"",IF(I34=J34,"TIE",INDEX(Index!$F$1:$F$32,MATCH(E34,Index!$E$1:$E$32,0))),INDEX(Index!$F$1:$F$32,MATCH(E34,Index!$E$1:$E$32,0)))</f>
        <v>BUF</v>
      </c>
      <c r="P34" s="150" t="str">
        <f>IF(I34&lt;&gt;"",IF(I34=J34,"TIE",INDEX(Index!$F$1:$F$32,MATCH(G34,Index!$E$1:$E$32,0))),INDEX(Index!$F$1:$F$32,MATCH(G34,Index!$E$1:$E$32,0)))</f>
        <v>MIA</v>
      </c>
      <c r="Q34" s="155" t="str">
        <f>IF(O34="TIE",INDEX(Index!$F$1:$F$32,MATCH(E34,Index!$E$1:$E$32,0)),"")</f>
        <v/>
      </c>
      <c r="R34" s="155" t="str">
        <f>IF(P34="TIE",INDEX(Index!$F$1:$F$32,MATCH(G34,Index!$E$1:$E$32,0)),"")</f>
        <v/>
      </c>
      <c r="S34" s="151" t="str">
        <f t="shared" si="0"/>
        <v>H</v>
      </c>
      <c r="T34" s="156" t="str">
        <f>INDEX(Index!$H$1:$H$32,MATCH($E34,Index!$E$1:$E$32,0))</f>
        <v>AE</v>
      </c>
      <c r="U34" s="156" t="str">
        <f>INDEX(Index!$H$1:$H$32,MATCH($G34,Index!$E$1:$E$32,0))</f>
        <v>AE</v>
      </c>
      <c r="V34" s="156" t="str">
        <f t="shared" si="1"/>
        <v>Div</v>
      </c>
      <c r="W34" s="152" t="str">
        <f t="shared" si="2"/>
        <v>Y</v>
      </c>
      <c r="X34" s="149" t="str">
        <f>INDEX(Index!$G$1:$G$32,MATCH(E34,Index!$E$1:$E$32,0))</f>
        <v>BUF</v>
      </c>
      <c r="Y34" s="150" t="str">
        <f>INDEX(Index!$G$1:$G$32,MATCH(G34,Index!$E$1:$E$32,0))</f>
        <v>MIA</v>
      </c>
      <c r="Z34" s="147" t="str">
        <f t="shared" si="3"/>
        <v/>
      </c>
      <c r="AA34" s="174" t="str" cm="1">
        <f t="array" ref="AA34">IFERROR(IF($W34="Y","",INDEX(EPA!$N$2:$N$512,MATCH(X34&amp;Index!$K$1,EPA!$A$2:$A$512&amp;EPA!$W$2:$W$512,0))),"")</f>
        <v/>
      </c>
      <c r="AB34" s="174" t="str" cm="1">
        <f t="array" ref="AB34">IFERROR(IF($W34="Y","",INDEX(EPA!$N$2:$N$512,MATCH(Y34&amp;Index!$K$1,EPA!$A$2:$A$512&amp;EPA!$W$2:$W$512,0))),"")</f>
        <v/>
      </c>
      <c r="AC34" s="174" t="str">
        <f ca="1">IF(AA34&lt;&gt;"",_xlfn.NORM.INV(RAND(),AA34,Index!$K$2),"")</f>
        <v/>
      </c>
      <c r="AD34" s="174" t="str">
        <f ca="1">IF(AB34&lt;&gt;"",_xlfn.NORM.INV(RAND(),AB34,Index!$K$2),"")</f>
        <v/>
      </c>
      <c r="AE34" s="157" t="str">
        <f t="shared" si="4"/>
        <v>BUF</v>
      </c>
      <c r="AF34" s="158" t="str">
        <f t="shared" si="5"/>
        <v>MIA</v>
      </c>
      <c r="AG34" s="149">
        <f t="shared" si="6"/>
        <v>33</v>
      </c>
    </row>
    <row r="35" spans="1:33" x14ac:dyDescent="0.25">
      <c r="A35" s="9">
        <v>3</v>
      </c>
      <c r="B35" s="9" t="s">
        <v>661</v>
      </c>
      <c r="C35" s="148">
        <v>45921</v>
      </c>
      <c r="D35" s="9" t="s">
        <v>662</v>
      </c>
      <c r="E35" s="9" t="s">
        <v>12</v>
      </c>
      <c r="F35" s="9"/>
      <c r="G35" s="9" t="s">
        <v>78</v>
      </c>
      <c r="H35" s="9" t="s">
        <v>658</v>
      </c>
      <c r="I35" s="9">
        <v>30</v>
      </c>
      <c r="J35" s="9">
        <v>0</v>
      </c>
      <c r="K35" s="9">
        <v>224</v>
      </c>
      <c r="L35" s="9">
        <v>1</v>
      </c>
      <c r="M35" s="9">
        <v>332</v>
      </c>
      <c r="N35" s="9">
        <v>3</v>
      </c>
      <c r="O35" s="149" t="str">
        <f>IF(I35&lt;&gt;"",IF(I35=J35,"TIE",INDEX(Index!$F$1:$F$32,MATCH(E35,Index!$E$1:$E$32,0))),INDEX(Index!$F$1:$F$32,MATCH(E35,Index!$E$1:$E$32,0)))</f>
        <v>CAR</v>
      </c>
      <c r="P35" s="150" t="str">
        <f>IF(I35&lt;&gt;"",IF(I35=J35,"TIE",INDEX(Index!$F$1:$F$32,MATCH(G35,Index!$E$1:$E$32,0))),INDEX(Index!$F$1:$F$32,MATCH(G35,Index!$E$1:$E$32,0)))</f>
        <v>ATL</v>
      </c>
      <c r="Q35" s="155" t="str">
        <f>IF(O35="TIE",INDEX(Index!$F$1:$F$32,MATCH(E35,Index!$E$1:$E$32,0)),"")</f>
        <v/>
      </c>
      <c r="R35" s="155" t="str">
        <f>IF(P35="TIE",INDEX(Index!$F$1:$F$32,MATCH(G35,Index!$E$1:$E$32,0)),"")</f>
        <v/>
      </c>
      <c r="S35" s="151" t="str">
        <f t="shared" si="0"/>
        <v>H</v>
      </c>
      <c r="T35" s="156" t="str">
        <f>INDEX(Index!$H$1:$H$32,MATCH($E35,Index!$E$1:$E$32,0))</f>
        <v>NS</v>
      </c>
      <c r="U35" s="156" t="str">
        <f>INDEX(Index!$H$1:$H$32,MATCH($G35,Index!$E$1:$E$32,0))</f>
        <v>NS</v>
      </c>
      <c r="V35" s="156" t="str">
        <f t="shared" si="1"/>
        <v>Div</v>
      </c>
      <c r="W35" s="152" t="str">
        <f t="shared" si="2"/>
        <v>Y</v>
      </c>
      <c r="X35" s="149" t="str">
        <f>INDEX(Index!$G$1:$G$32,MATCH(E35,Index!$E$1:$E$32,0))</f>
        <v>CAR</v>
      </c>
      <c r="Y35" s="150" t="str">
        <f>INDEX(Index!$G$1:$G$32,MATCH(G35,Index!$E$1:$E$32,0))</f>
        <v>ATL</v>
      </c>
      <c r="Z35" s="147" t="str">
        <f t="shared" si="3"/>
        <v/>
      </c>
      <c r="AA35" s="174" t="str" cm="1">
        <f t="array" ref="AA35">IFERROR(IF($W35="Y","",INDEX(EPA!$N$2:$N$512,MATCH(X35&amp;Index!$K$1,EPA!$A$2:$A$512&amp;EPA!$W$2:$W$512,0))),"")</f>
        <v/>
      </c>
      <c r="AB35" s="174" t="str" cm="1">
        <f t="array" ref="AB35">IFERROR(IF($W35="Y","",INDEX(EPA!$N$2:$N$512,MATCH(Y35&amp;Index!$K$1,EPA!$A$2:$A$512&amp;EPA!$W$2:$W$512,0))),"")</f>
        <v/>
      </c>
      <c r="AC35" s="174" t="str">
        <f ca="1">IF(AA35&lt;&gt;"",_xlfn.NORM.INV(RAND(),AA35,Index!$K$2),"")</f>
        <v/>
      </c>
      <c r="AD35" s="174" t="str">
        <f ca="1">IF(AB35&lt;&gt;"",_xlfn.NORM.INV(RAND(),AB35,Index!$K$2),"")</f>
        <v/>
      </c>
      <c r="AE35" s="157" t="str">
        <f t="shared" si="4"/>
        <v>CAR</v>
      </c>
      <c r="AF35" s="158" t="str">
        <f t="shared" si="5"/>
        <v>ATL</v>
      </c>
      <c r="AG35" s="149">
        <f t="shared" si="6"/>
        <v>34</v>
      </c>
    </row>
    <row r="36" spans="1:33" x14ac:dyDescent="0.25">
      <c r="A36" s="9">
        <v>3</v>
      </c>
      <c r="B36" s="9" t="s">
        <v>661</v>
      </c>
      <c r="C36" s="148">
        <v>45921</v>
      </c>
      <c r="D36" s="9" t="s">
        <v>662</v>
      </c>
      <c r="E36" s="9" t="s">
        <v>58</v>
      </c>
      <c r="F36" s="9"/>
      <c r="G36" s="9" t="s">
        <v>53</v>
      </c>
      <c r="H36" s="9" t="s">
        <v>658</v>
      </c>
      <c r="I36" s="9">
        <v>48</v>
      </c>
      <c r="J36" s="9">
        <v>10</v>
      </c>
      <c r="K36" s="9">
        <v>352</v>
      </c>
      <c r="L36" s="9">
        <v>0</v>
      </c>
      <c r="M36" s="9">
        <v>171</v>
      </c>
      <c r="N36" s="9">
        <v>5</v>
      </c>
      <c r="O36" s="149" t="str">
        <f>IF(I36&lt;&gt;"",IF(I36=J36,"TIE",INDEX(Index!$F$1:$F$32,MATCH(E36,Index!$E$1:$E$32,0))),INDEX(Index!$F$1:$F$32,MATCH(E36,Index!$E$1:$E$32,0)))</f>
        <v>MIN</v>
      </c>
      <c r="P36" s="150" t="str">
        <f>IF(I36&lt;&gt;"",IF(I36=J36,"TIE",INDEX(Index!$F$1:$F$32,MATCH(G36,Index!$E$1:$E$32,0))),INDEX(Index!$F$1:$F$32,MATCH(G36,Index!$E$1:$E$32,0)))</f>
        <v>CIN</v>
      </c>
      <c r="Q36" s="155" t="str">
        <f>IF(O36="TIE",INDEX(Index!$F$1:$F$32,MATCH(E36,Index!$E$1:$E$32,0)),"")</f>
        <v/>
      </c>
      <c r="R36" s="155" t="str">
        <f>IF(P36="TIE",INDEX(Index!$F$1:$F$32,MATCH(G36,Index!$E$1:$E$32,0)),"")</f>
        <v/>
      </c>
      <c r="S36" s="151" t="str">
        <f t="shared" si="0"/>
        <v>H</v>
      </c>
      <c r="T36" s="156" t="str">
        <f>INDEX(Index!$H$1:$H$32,MATCH($E36,Index!$E$1:$E$32,0))</f>
        <v>NN</v>
      </c>
      <c r="U36" s="156" t="str">
        <f>INDEX(Index!$H$1:$H$32,MATCH($G36,Index!$E$1:$E$32,0))</f>
        <v>AN</v>
      </c>
      <c r="V36" s="156" t="str">
        <f t="shared" si="1"/>
        <v>Non</v>
      </c>
      <c r="W36" s="152" t="str">
        <f t="shared" si="2"/>
        <v>Y</v>
      </c>
      <c r="X36" s="149" t="str">
        <f>INDEX(Index!$G$1:$G$32,MATCH(E36,Index!$E$1:$E$32,0))</f>
        <v>MIN</v>
      </c>
      <c r="Y36" s="150" t="str">
        <f>INDEX(Index!$G$1:$G$32,MATCH(G36,Index!$E$1:$E$32,0))</f>
        <v>CIN</v>
      </c>
      <c r="Z36" s="147" t="str">
        <f t="shared" si="3"/>
        <v/>
      </c>
      <c r="AA36" s="174" t="str" cm="1">
        <f t="array" ref="AA36">IFERROR(IF($W36="Y","",INDEX(EPA!$N$2:$N$512,MATCH(X36&amp;Index!$K$1,EPA!$A$2:$A$512&amp;EPA!$W$2:$W$512,0))),"")</f>
        <v/>
      </c>
      <c r="AB36" s="174" t="str" cm="1">
        <f t="array" ref="AB36">IFERROR(IF($W36="Y","",INDEX(EPA!$N$2:$N$512,MATCH(Y36&amp;Index!$K$1,EPA!$A$2:$A$512&amp;EPA!$W$2:$W$512,0))),"")</f>
        <v/>
      </c>
      <c r="AC36" s="174" t="str">
        <f ca="1">IF(AA36&lt;&gt;"",_xlfn.NORM.INV(RAND(),AA36,Index!$K$2),"")</f>
        <v/>
      </c>
      <c r="AD36" s="174" t="str">
        <f ca="1">IF(AB36&lt;&gt;"",_xlfn.NORM.INV(RAND(),AB36,Index!$K$2),"")</f>
        <v/>
      </c>
      <c r="AE36" s="157" t="str">
        <f t="shared" si="4"/>
        <v>MIN</v>
      </c>
      <c r="AF36" s="158" t="str">
        <f t="shared" si="5"/>
        <v>CIN</v>
      </c>
      <c r="AG36" s="149">
        <f t="shared" si="6"/>
        <v>35</v>
      </c>
    </row>
    <row r="37" spans="1:33" x14ac:dyDescent="0.25">
      <c r="A37" s="9">
        <v>3</v>
      </c>
      <c r="B37" s="9" t="s">
        <v>661</v>
      </c>
      <c r="C37" s="148">
        <v>45921</v>
      </c>
      <c r="D37" s="9" t="s">
        <v>662</v>
      </c>
      <c r="E37" s="9" t="s">
        <v>83</v>
      </c>
      <c r="F37" s="9"/>
      <c r="G37" s="9" t="s">
        <v>88</v>
      </c>
      <c r="H37" s="9" t="s">
        <v>658</v>
      </c>
      <c r="I37" s="9">
        <v>13</v>
      </c>
      <c r="J37" s="9">
        <v>10</v>
      </c>
      <c r="K37" s="9">
        <v>221</v>
      </c>
      <c r="L37" s="9">
        <v>1</v>
      </c>
      <c r="M37" s="9">
        <v>230</v>
      </c>
      <c r="N37" s="9">
        <v>1</v>
      </c>
      <c r="O37" s="149" t="str">
        <f>IF(I37&lt;&gt;"",IF(I37=J37,"TIE",INDEX(Index!$F$1:$F$32,MATCH(E37,Index!$E$1:$E$32,0))),INDEX(Index!$F$1:$F$32,MATCH(E37,Index!$E$1:$E$32,0)))</f>
        <v>CLE</v>
      </c>
      <c r="P37" s="150" t="str">
        <f>IF(I37&lt;&gt;"",IF(I37=J37,"TIE",INDEX(Index!$F$1:$F$32,MATCH(G37,Index!$E$1:$E$32,0))),INDEX(Index!$F$1:$F$32,MATCH(G37,Index!$E$1:$E$32,0)))</f>
        <v>GB</v>
      </c>
      <c r="Q37" s="155" t="str">
        <f>IF(O37="TIE",INDEX(Index!$F$1:$F$32,MATCH(E37,Index!$E$1:$E$32,0)),"")</f>
        <v/>
      </c>
      <c r="R37" s="155" t="str">
        <f>IF(P37="TIE",INDEX(Index!$F$1:$F$32,MATCH(G37,Index!$E$1:$E$32,0)),"")</f>
        <v/>
      </c>
      <c r="S37" s="151" t="str">
        <f t="shared" si="0"/>
        <v>H</v>
      </c>
      <c r="T37" s="156" t="str">
        <f>INDEX(Index!$H$1:$H$32,MATCH($E37,Index!$E$1:$E$32,0))</f>
        <v>AN</v>
      </c>
      <c r="U37" s="156" t="str">
        <f>INDEX(Index!$H$1:$H$32,MATCH($G37,Index!$E$1:$E$32,0))</f>
        <v>NN</v>
      </c>
      <c r="V37" s="156" t="str">
        <f t="shared" si="1"/>
        <v>Non</v>
      </c>
      <c r="W37" s="152" t="str">
        <f t="shared" si="2"/>
        <v>Y</v>
      </c>
      <c r="X37" s="149" t="str">
        <f>INDEX(Index!$G$1:$G$32,MATCH(E37,Index!$E$1:$E$32,0))</f>
        <v>CLE</v>
      </c>
      <c r="Y37" s="150" t="str">
        <f>INDEX(Index!$G$1:$G$32,MATCH(G37,Index!$E$1:$E$32,0))</f>
        <v>GB</v>
      </c>
      <c r="Z37" s="147" t="str">
        <f t="shared" si="3"/>
        <v/>
      </c>
      <c r="AA37" s="174" t="str" cm="1">
        <f t="array" ref="AA37">IFERROR(IF($W37="Y","",INDEX(EPA!$N$2:$N$512,MATCH(X37&amp;Index!$K$1,EPA!$A$2:$A$512&amp;EPA!$W$2:$W$512,0))),"")</f>
        <v/>
      </c>
      <c r="AB37" s="174" t="str" cm="1">
        <f t="array" ref="AB37">IFERROR(IF($W37="Y","",INDEX(EPA!$N$2:$N$512,MATCH(Y37&amp;Index!$K$1,EPA!$A$2:$A$512&amp;EPA!$W$2:$W$512,0))),"")</f>
        <v/>
      </c>
      <c r="AC37" s="174" t="str">
        <f ca="1">IF(AA37&lt;&gt;"",_xlfn.NORM.INV(RAND(),AA37,Index!$K$2),"")</f>
        <v/>
      </c>
      <c r="AD37" s="174" t="str">
        <f ca="1">IF(AB37&lt;&gt;"",_xlfn.NORM.INV(RAND(),AB37,Index!$K$2),"")</f>
        <v/>
      </c>
      <c r="AE37" s="157" t="str">
        <f t="shared" si="4"/>
        <v>CLE</v>
      </c>
      <c r="AF37" s="158" t="str">
        <f t="shared" si="5"/>
        <v>GB</v>
      </c>
      <c r="AG37" s="149">
        <f t="shared" si="6"/>
        <v>36</v>
      </c>
    </row>
    <row r="38" spans="1:33" x14ac:dyDescent="0.25">
      <c r="A38" s="9">
        <v>3</v>
      </c>
      <c r="B38" s="9" t="s">
        <v>661</v>
      </c>
      <c r="C38" s="148">
        <v>45921</v>
      </c>
      <c r="D38" s="9" t="s">
        <v>662</v>
      </c>
      <c r="E38" s="9" t="s">
        <v>42</v>
      </c>
      <c r="F38" s="9" t="s">
        <v>663</v>
      </c>
      <c r="G38" s="9" t="s">
        <v>19</v>
      </c>
      <c r="H38" s="9" t="s">
        <v>658</v>
      </c>
      <c r="I38" s="9">
        <v>41</v>
      </c>
      <c r="J38" s="9">
        <v>20</v>
      </c>
      <c r="K38" s="9">
        <v>365</v>
      </c>
      <c r="L38" s="9">
        <v>0</v>
      </c>
      <c r="M38" s="9">
        <v>282</v>
      </c>
      <c r="N38" s="9">
        <v>1</v>
      </c>
      <c r="O38" s="149" t="str">
        <f>IF(I38&lt;&gt;"",IF(I38=J38,"TIE",INDEX(Index!$F$1:$F$32,MATCH(E38,Index!$E$1:$E$32,0))),INDEX(Index!$F$1:$F$32,MATCH(E38,Index!$E$1:$E$32,0)))</f>
        <v>IND</v>
      </c>
      <c r="P38" s="150" t="str">
        <f>IF(I38&lt;&gt;"",IF(I38=J38,"TIE",INDEX(Index!$F$1:$F$32,MATCH(G38,Index!$E$1:$E$32,0))),INDEX(Index!$F$1:$F$32,MATCH(G38,Index!$E$1:$E$32,0)))</f>
        <v>TEN</v>
      </c>
      <c r="Q38" s="155" t="str">
        <f>IF(O38="TIE",INDEX(Index!$F$1:$F$32,MATCH(E38,Index!$E$1:$E$32,0)),"")</f>
        <v/>
      </c>
      <c r="R38" s="155" t="str">
        <f>IF(P38="TIE",INDEX(Index!$F$1:$F$32,MATCH(G38,Index!$E$1:$E$32,0)),"")</f>
        <v/>
      </c>
      <c r="S38" s="151" t="str">
        <f t="shared" si="0"/>
        <v>A</v>
      </c>
      <c r="T38" s="156" t="str">
        <f>INDEX(Index!$H$1:$H$32,MATCH($E38,Index!$E$1:$E$32,0))</f>
        <v>AS</v>
      </c>
      <c r="U38" s="156" t="str">
        <f>INDEX(Index!$H$1:$H$32,MATCH($G38,Index!$E$1:$E$32,0))</f>
        <v>AS</v>
      </c>
      <c r="V38" s="156" t="str">
        <f t="shared" si="1"/>
        <v>Div</v>
      </c>
      <c r="W38" s="152" t="str">
        <f t="shared" si="2"/>
        <v>Y</v>
      </c>
      <c r="X38" s="149" t="str">
        <f>INDEX(Index!$G$1:$G$32,MATCH(E38,Index!$E$1:$E$32,0))</f>
        <v>IND</v>
      </c>
      <c r="Y38" s="150" t="str">
        <f>INDEX(Index!$G$1:$G$32,MATCH(G38,Index!$E$1:$E$32,0))</f>
        <v>TEN</v>
      </c>
      <c r="Z38" s="147" t="str">
        <f t="shared" si="3"/>
        <v/>
      </c>
      <c r="AA38" s="174" t="str" cm="1">
        <f t="array" ref="AA38">IFERROR(IF($W38="Y","",INDEX(EPA!$N$2:$N$512,MATCH(X38&amp;Index!$K$1,EPA!$A$2:$A$512&amp;EPA!$W$2:$W$512,0))),"")</f>
        <v/>
      </c>
      <c r="AB38" s="174" t="str" cm="1">
        <f t="array" ref="AB38">IFERROR(IF($W38="Y","",INDEX(EPA!$N$2:$N$512,MATCH(Y38&amp;Index!$K$1,EPA!$A$2:$A$512&amp;EPA!$W$2:$W$512,0))),"")</f>
        <v/>
      </c>
      <c r="AC38" s="174" t="str">
        <f ca="1">IF(AA38&lt;&gt;"",_xlfn.NORM.INV(RAND(),AA38,Index!$K$2),"")</f>
        <v/>
      </c>
      <c r="AD38" s="174" t="str">
        <f ca="1">IF(AB38&lt;&gt;"",_xlfn.NORM.INV(RAND(),AB38,Index!$K$2),"")</f>
        <v/>
      </c>
      <c r="AE38" s="157" t="str">
        <f t="shared" si="4"/>
        <v>IND</v>
      </c>
      <c r="AF38" s="158" t="str">
        <f t="shared" si="5"/>
        <v>TEN</v>
      </c>
      <c r="AG38" s="149">
        <f t="shared" si="6"/>
        <v>37</v>
      </c>
    </row>
    <row r="39" spans="1:33" x14ac:dyDescent="0.25">
      <c r="A39" s="9">
        <v>3</v>
      </c>
      <c r="B39" s="9" t="s">
        <v>661</v>
      </c>
      <c r="C39" s="148">
        <v>45921</v>
      </c>
      <c r="D39" s="9" t="s">
        <v>662</v>
      </c>
      <c r="E39" s="9" t="s">
        <v>36</v>
      </c>
      <c r="F39" s="9"/>
      <c r="G39" s="9" t="s">
        <v>33</v>
      </c>
      <c r="H39" s="9" t="s">
        <v>658</v>
      </c>
      <c r="I39" s="9">
        <v>17</v>
      </c>
      <c r="J39" s="9">
        <v>10</v>
      </c>
      <c r="K39" s="9">
        <v>291</v>
      </c>
      <c r="L39" s="9">
        <v>1</v>
      </c>
      <c r="M39" s="9">
        <v>271</v>
      </c>
      <c r="N39" s="9">
        <v>3</v>
      </c>
      <c r="O39" s="149" t="str">
        <f>IF(I39&lt;&gt;"",IF(I39=J39,"TIE",INDEX(Index!$F$1:$F$32,MATCH(E39,Index!$E$1:$E$32,0))),INDEX(Index!$F$1:$F$32,MATCH(E39,Index!$E$1:$E$32,0)))</f>
        <v>JAX</v>
      </c>
      <c r="P39" s="150" t="str">
        <f>IF(I39&lt;&gt;"",IF(I39=J39,"TIE",INDEX(Index!$F$1:$F$32,MATCH(G39,Index!$E$1:$E$32,0))),INDEX(Index!$F$1:$F$32,MATCH(G39,Index!$E$1:$E$32,0)))</f>
        <v>HOU</v>
      </c>
      <c r="Q39" s="155" t="str">
        <f>IF(O39="TIE",INDEX(Index!$F$1:$F$32,MATCH(E39,Index!$E$1:$E$32,0)),"")</f>
        <v/>
      </c>
      <c r="R39" s="155" t="str">
        <f>IF(P39="TIE",INDEX(Index!$F$1:$F$32,MATCH(G39,Index!$E$1:$E$32,0)),"")</f>
        <v/>
      </c>
      <c r="S39" s="151" t="str">
        <f t="shared" si="0"/>
        <v>H</v>
      </c>
      <c r="T39" s="156" t="str">
        <f>INDEX(Index!$H$1:$H$32,MATCH($E39,Index!$E$1:$E$32,0))</f>
        <v>AS</v>
      </c>
      <c r="U39" s="156" t="str">
        <f>INDEX(Index!$H$1:$H$32,MATCH($G39,Index!$E$1:$E$32,0))</f>
        <v>AS</v>
      </c>
      <c r="V39" s="156" t="str">
        <f t="shared" si="1"/>
        <v>Div</v>
      </c>
      <c r="W39" s="152" t="str">
        <f t="shared" si="2"/>
        <v>Y</v>
      </c>
      <c r="X39" s="149" t="str">
        <f>INDEX(Index!$G$1:$G$32,MATCH(E39,Index!$E$1:$E$32,0))</f>
        <v>JAX</v>
      </c>
      <c r="Y39" s="150" t="str">
        <f>INDEX(Index!$G$1:$G$32,MATCH(G39,Index!$E$1:$E$32,0))</f>
        <v>HOU</v>
      </c>
      <c r="Z39" s="147" t="str">
        <f t="shared" si="3"/>
        <v/>
      </c>
      <c r="AA39" s="174" t="str" cm="1">
        <f t="array" ref="AA39">IFERROR(IF($W39="Y","",INDEX(EPA!$N$2:$N$512,MATCH(X39&amp;Index!$K$1,EPA!$A$2:$A$512&amp;EPA!$W$2:$W$512,0))),"")</f>
        <v/>
      </c>
      <c r="AB39" s="174" t="str" cm="1">
        <f t="array" ref="AB39">IFERROR(IF($W39="Y","",INDEX(EPA!$N$2:$N$512,MATCH(Y39&amp;Index!$K$1,EPA!$A$2:$A$512&amp;EPA!$W$2:$W$512,0))),"")</f>
        <v/>
      </c>
      <c r="AC39" s="174" t="str">
        <f ca="1">IF(AA39&lt;&gt;"",_xlfn.NORM.INV(RAND(),AA39,Index!$K$2),"")</f>
        <v/>
      </c>
      <c r="AD39" s="174" t="str">
        <f ca="1">IF(AB39&lt;&gt;"",_xlfn.NORM.INV(RAND(),AB39,Index!$K$2),"")</f>
        <v/>
      </c>
      <c r="AE39" s="157" t="str">
        <f t="shared" si="4"/>
        <v>JAX</v>
      </c>
      <c r="AF39" s="158" t="str">
        <f t="shared" si="5"/>
        <v>HOU</v>
      </c>
      <c r="AG39" s="149">
        <f t="shared" si="6"/>
        <v>38</v>
      </c>
    </row>
    <row r="40" spans="1:33" x14ac:dyDescent="0.25">
      <c r="A40" s="9">
        <v>3</v>
      </c>
      <c r="B40" s="9" t="s">
        <v>661</v>
      </c>
      <c r="C40" s="148">
        <v>45921</v>
      </c>
      <c r="D40" s="9" t="s">
        <v>662</v>
      </c>
      <c r="E40" s="9" t="s">
        <v>73</v>
      </c>
      <c r="F40" s="9" t="s">
        <v>663</v>
      </c>
      <c r="G40" s="9" t="s">
        <v>45</v>
      </c>
      <c r="H40" s="9" t="s">
        <v>658</v>
      </c>
      <c r="I40" s="9">
        <v>21</v>
      </c>
      <c r="J40" s="9">
        <v>14</v>
      </c>
      <c r="K40" s="9">
        <v>203</v>
      </c>
      <c r="L40" s="9">
        <v>1</v>
      </c>
      <c r="M40" s="9">
        <v>369</v>
      </c>
      <c r="N40" s="9">
        <v>5</v>
      </c>
      <c r="O40" s="149" t="str">
        <f>IF(I40&lt;&gt;"",IF(I40=J40,"TIE",INDEX(Index!$F$1:$F$32,MATCH(E40,Index!$E$1:$E$32,0))),INDEX(Index!$F$1:$F$32,MATCH(E40,Index!$E$1:$E$32,0)))</f>
        <v>PIT</v>
      </c>
      <c r="P40" s="150" t="str">
        <f>IF(I40&lt;&gt;"",IF(I40=J40,"TIE",INDEX(Index!$F$1:$F$32,MATCH(G40,Index!$E$1:$E$32,0))),INDEX(Index!$F$1:$F$32,MATCH(G40,Index!$E$1:$E$32,0)))</f>
        <v>NE</v>
      </c>
      <c r="Q40" s="155" t="str">
        <f>IF(O40="TIE",INDEX(Index!$F$1:$F$32,MATCH(E40,Index!$E$1:$E$32,0)),"")</f>
        <v/>
      </c>
      <c r="R40" s="155" t="str">
        <f>IF(P40="TIE",INDEX(Index!$F$1:$F$32,MATCH(G40,Index!$E$1:$E$32,0)),"")</f>
        <v/>
      </c>
      <c r="S40" s="151" t="str">
        <f t="shared" si="0"/>
        <v>A</v>
      </c>
      <c r="T40" s="156" t="str">
        <f>INDEX(Index!$H$1:$H$32,MATCH($E40,Index!$E$1:$E$32,0))</f>
        <v>AN</v>
      </c>
      <c r="U40" s="156" t="str">
        <f>INDEX(Index!$H$1:$H$32,MATCH($G40,Index!$E$1:$E$32,0))</f>
        <v>AE</v>
      </c>
      <c r="V40" s="156" t="str">
        <f t="shared" si="1"/>
        <v>Con</v>
      </c>
      <c r="W40" s="152" t="str">
        <f t="shared" si="2"/>
        <v>Y</v>
      </c>
      <c r="X40" s="149" t="str">
        <f>INDEX(Index!$G$1:$G$32,MATCH(E40,Index!$E$1:$E$32,0))</f>
        <v>PIT</v>
      </c>
      <c r="Y40" s="150" t="str">
        <f>INDEX(Index!$G$1:$G$32,MATCH(G40,Index!$E$1:$E$32,0))</f>
        <v>NE</v>
      </c>
      <c r="Z40" s="147" t="str">
        <f t="shared" si="3"/>
        <v/>
      </c>
      <c r="AA40" s="174" t="str" cm="1">
        <f t="array" ref="AA40">IFERROR(IF($W40="Y","",INDEX(EPA!$N$2:$N$512,MATCH(X40&amp;Index!$K$1,EPA!$A$2:$A$512&amp;EPA!$W$2:$W$512,0))),"")</f>
        <v/>
      </c>
      <c r="AB40" s="174" t="str" cm="1">
        <f t="array" ref="AB40">IFERROR(IF($W40="Y","",INDEX(EPA!$N$2:$N$512,MATCH(Y40&amp;Index!$K$1,EPA!$A$2:$A$512&amp;EPA!$W$2:$W$512,0))),"")</f>
        <v/>
      </c>
      <c r="AC40" s="174" t="str">
        <f ca="1">IF(AA40&lt;&gt;"",_xlfn.NORM.INV(RAND(),AA40,Index!$K$2),"")</f>
        <v/>
      </c>
      <c r="AD40" s="174" t="str">
        <f ca="1">IF(AB40&lt;&gt;"",_xlfn.NORM.INV(RAND(),AB40,Index!$K$2),"")</f>
        <v/>
      </c>
      <c r="AE40" s="157" t="str">
        <f t="shared" si="4"/>
        <v>PIT</v>
      </c>
      <c r="AF40" s="158" t="str">
        <f t="shared" si="5"/>
        <v>NE</v>
      </c>
      <c r="AG40" s="149">
        <f t="shared" si="6"/>
        <v>39</v>
      </c>
    </row>
    <row r="41" spans="1:33" x14ac:dyDescent="0.25">
      <c r="A41" s="9">
        <v>3</v>
      </c>
      <c r="B41" s="9" t="s">
        <v>661</v>
      </c>
      <c r="C41" s="148">
        <v>45921</v>
      </c>
      <c r="D41" s="9" t="s">
        <v>662</v>
      </c>
      <c r="E41" s="9" t="s">
        <v>0</v>
      </c>
      <c r="F41" s="9"/>
      <c r="G41" s="9" t="s">
        <v>23</v>
      </c>
      <c r="H41" s="9" t="s">
        <v>658</v>
      </c>
      <c r="I41" s="9">
        <v>29</v>
      </c>
      <c r="J41" s="9">
        <v>27</v>
      </c>
      <c r="K41" s="9">
        <v>347</v>
      </c>
      <c r="L41" s="9">
        <v>0</v>
      </c>
      <c r="M41" s="9">
        <v>267</v>
      </c>
      <c r="N41" s="9">
        <v>2</v>
      </c>
      <c r="O41" s="149" t="str">
        <f>IF(I41&lt;&gt;"",IF(I41=J41,"TIE",INDEX(Index!$F$1:$F$32,MATCH(E41,Index!$E$1:$E$32,0))),INDEX(Index!$F$1:$F$32,MATCH(E41,Index!$E$1:$E$32,0)))</f>
        <v>TB</v>
      </c>
      <c r="P41" s="150" t="str">
        <f>IF(I41&lt;&gt;"",IF(I41=J41,"TIE",INDEX(Index!$F$1:$F$32,MATCH(G41,Index!$E$1:$E$32,0))),INDEX(Index!$F$1:$F$32,MATCH(G41,Index!$E$1:$E$32,0)))</f>
        <v>NYJ</v>
      </c>
      <c r="Q41" s="155" t="str">
        <f>IF(O41="TIE",INDEX(Index!$F$1:$F$32,MATCH(E41,Index!$E$1:$E$32,0)),"")</f>
        <v/>
      </c>
      <c r="R41" s="155" t="str">
        <f>IF(P41="TIE",INDEX(Index!$F$1:$F$32,MATCH(G41,Index!$E$1:$E$32,0)),"")</f>
        <v/>
      </c>
      <c r="S41" s="151" t="str">
        <f t="shared" si="0"/>
        <v>H</v>
      </c>
      <c r="T41" s="156" t="str">
        <f>INDEX(Index!$H$1:$H$32,MATCH($E41,Index!$E$1:$E$32,0))</f>
        <v>NS</v>
      </c>
      <c r="U41" s="156" t="str">
        <f>INDEX(Index!$H$1:$H$32,MATCH($G41,Index!$E$1:$E$32,0))</f>
        <v>AE</v>
      </c>
      <c r="V41" s="156" t="str">
        <f t="shared" si="1"/>
        <v>Non</v>
      </c>
      <c r="W41" s="152" t="str">
        <f t="shared" si="2"/>
        <v>Y</v>
      </c>
      <c r="X41" s="149" t="str">
        <f>INDEX(Index!$G$1:$G$32,MATCH(E41,Index!$E$1:$E$32,0))</f>
        <v>TB</v>
      </c>
      <c r="Y41" s="150" t="str">
        <f>INDEX(Index!$G$1:$G$32,MATCH(G41,Index!$E$1:$E$32,0))</f>
        <v>NYJ</v>
      </c>
      <c r="Z41" s="147" t="str">
        <f t="shared" si="3"/>
        <v/>
      </c>
      <c r="AA41" s="174" t="str" cm="1">
        <f t="array" ref="AA41">IFERROR(IF($W41="Y","",INDEX(EPA!$N$2:$N$512,MATCH(X41&amp;Index!$K$1,EPA!$A$2:$A$512&amp;EPA!$W$2:$W$512,0))),"")</f>
        <v/>
      </c>
      <c r="AB41" s="174" t="str" cm="1">
        <f t="array" ref="AB41">IFERROR(IF($W41="Y","",INDEX(EPA!$N$2:$N$512,MATCH(Y41&amp;Index!$K$1,EPA!$A$2:$A$512&amp;EPA!$W$2:$W$512,0))),"")</f>
        <v/>
      </c>
      <c r="AC41" s="174" t="str">
        <f ca="1">IF(AA41&lt;&gt;"",_xlfn.NORM.INV(RAND(),AA41,Index!$K$2),"")</f>
        <v/>
      </c>
      <c r="AD41" s="174" t="str">
        <f ca="1">IF(AB41&lt;&gt;"",_xlfn.NORM.INV(RAND(),AB41,Index!$K$2),"")</f>
        <v/>
      </c>
      <c r="AE41" s="157" t="str">
        <f t="shared" si="4"/>
        <v>TB</v>
      </c>
      <c r="AF41" s="158" t="str">
        <f t="shared" si="5"/>
        <v>NYJ</v>
      </c>
      <c r="AG41" s="149">
        <f t="shared" si="6"/>
        <v>40</v>
      </c>
    </row>
    <row r="42" spans="1:33" x14ac:dyDescent="0.25">
      <c r="A42" s="9">
        <v>3</v>
      </c>
      <c r="B42" s="9" t="s">
        <v>661</v>
      </c>
      <c r="C42" s="148">
        <v>45921</v>
      </c>
      <c r="D42" s="9" t="s">
        <v>662</v>
      </c>
      <c r="E42" s="9" t="s">
        <v>92</v>
      </c>
      <c r="F42" s="9"/>
      <c r="G42" s="9" t="s">
        <v>90</v>
      </c>
      <c r="H42" s="9" t="s">
        <v>658</v>
      </c>
      <c r="I42" s="9">
        <v>33</v>
      </c>
      <c r="J42" s="9">
        <v>26</v>
      </c>
      <c r="K42" s="9">
        <v>288</v>
      </c>
      <c r="L42" s="9">
        <v>1</v>
      </c>
      <c r="M42" s="9">
        <v>356</v>
      </c>
      <c r="N42" s="9">
        <v>1</v>
      </c>
      <c r="O42" s="149" t="str">
        <f>IF(I42&lt;&gt;"",IF(I42=J42,"TIE",INDEX(Index!$F$1:$F$32,MATCH(E42,Index!$E$1:$E$32,0))),INDEX(Index!$F$1:$F$32,MATCH(E42,Index!$E$1:$E$32,0)))</f>
        <v>PHI</v>
      </c>
      <c r="P42" s="150" t="str">
        <f>IF(I42&lt;&gt;"",IF(I42=J42,"TIE",INDEX(Index!$F$1:$F$32,MATCH(G42,Index!$E$1:$E$32,0))),INDEX(Index!$F$1:$F$32,MATCH(G42,Index!$E$1:$E$32,0)))</f>
        <v>LAR</v>
      </c>
      <c r="Q42" s="155" t="str">
        <f>IF(O42="TIE",INDEX(Index!$F$1:$F$32,MATCH(E42,Index!$E$1:$E$32,0)),"")</f>
        <v/>
      </c>
      <c r="R42" s="155" t="str">
        <f>IF(P42="TIE",INDEX(Index!$F$1:$F$32,MATCH(G42,Index!$E$1:$E$32,0)),"")</f>
        <v/>
      </c>
      <c r="S42" s="151" t="str">
        <f t="shared" si="0"/>
        <v>H</v>
      </c>
      <c r="T42" s="156" t="str">
        <f>INDEX(Index!$H$1:$H$32,MATCH($E42,Index!$E$1:$E$32,0))</f>
        <v>NE</v>
      </c>
      <c r="U42" s="156" t="str">
        <f>INDEX(Index!$H$1:$H$32,MATCH($G42,Index!$E$1:$E$32,0))</f>
        <v>NW</v>
      </c>
      <c r="V42" s="156" t="str">
        <f t="shared" si="1"/>
        <v>Con</v>
      </c>
      <c r="W42" s="152" t="str">
        <f t="shared" si="2"/>
        <v>Y</v>
      </c>
      <c r="X42" s="149" t="str">
        <f>INDEX(Index!$G$1:$G$32,MATCH(E42,Index!$E$1:$E$32,0))</f>
        <v>PHI</v>
      </c>
      <c r="Y42" s="150" t="str">
        <f>INDEX(Index!$G$1:$G$32,MATCH(G42,Index!$E$1:$E$32,0))</f>
        <v>LAR</v>
      </c>
      <c r="Z42" s="147" t="str">
        <f t="shared" si="3"/>
        <v/>
      </c>
      <c r="AA42" s="174" t="str" cm="1">
        <f t="array" ref="AA42">IFERROR(IF($W42="Y","",INDEX(EPA!$N$2:$N$512,MATCH(X42&amp;Index!$K$1,EPA!$A$2:$A$512&amp;EPA!$W$2:$W$512,0))),"")</f>
        <v/>
      </c>
      <c r="AB42" s="174" t="str" cm="1">
        <f t="array" ref="AB42">IFERROR(IF($W42="Y","",INDEX(EPA!$N$2:$N$512,MATCH(Y42&amp;Index!$K$1,EPA!$A$2:$A$512&amp;EPA!$W$2:$W$512,0))),"")</f>
        <v/>
      </c>
      <c r="AC42" s="174" t="str">
        <f ca="1">IF(AA42&lt;&gt;"",_xlfn.NORM.INV(RAND(),AA42,Index!$K$2),"")</f>
        <v/>
      </c>
      <c r="AD42" s="174" t="str">
        <f ca="1">IF(AB42&lt;&gt;"",_xlfn.NORM.INV(RAND(),AB42,Index!$K$2),"")</f>
        <v/>
      </c>
      <c r="AE42" s="157" t="str">
        <f t="shared" si="4"/>
        <v>PHI</v>
      </c>
      <c r="AF42" s="158" t="str">
        <f t="shared" si="5"/>
        <v>LAR</v>
      </c>
      <c r="AG42" s="149">
        <f t="shared" si="6"/>
        <v>41</v>
      </c>
    </row>
    <row r="43" spans="1:33" x14ac:dyDescent="0.25">
      <c r="A43" s="9">
        <v>3</v>
      </c>
      <c r="B43" s="9" t="s">
        <v>661</v>
      </c>
      <c r="C43" s="148">
        <v>45921</v>
      </c>
      <c r="D43" s="9" t="s">
        <v>662</v>
      </c>
      <c r="E43" s="9" t="s">
        <v>4</v>
      </c>
      <c r="F43" s="9"/>
      <c r="G43" s="9" t="s">
        <v>80</v>
      </c>
      <c r="H43" s="9" t="s">
        <v>658</v>
      </c>
      <c r="I43" s="9">
        <v>41</v>
      </c>
      <c r="J43" s="9">
        <v>24</v>
      </c>
      <c r="K43" s="9">
        <v>400</v>
      </c>
      <c r="L43" s="9">
        <v>1</v>
      </c>
      <c r="M43" s="9">
        <v>354</v>
      </c>
      <c r="N43" s="9">
        <v>0</v>
      </c>
      <c r="O43" s="149" t="str">
        <f>IF(I43&lt;&gt;"",IF(I43=J43,"TIE",INDEX(Index!$F$1:$F$32,MATCH(E43,Index!$E$1:$E$32,0))),INDEX(Index!$F$1:$F$32,MATCH(E43,Index!$E$1:$E$32,0)))</f>
        <v>WAS</v>
      </c>
      <c r="P43" s="150" t="str">
        <f>IF(I43&lt;&gt;"",IF(I43=J43,"TIE",INDEX(Index!$F$1:$F$32,MATCH(G43,Index!$E$1:$E$32,0))),INDEX(Index!$F$1:$F$32,MATCH(G43,Index!$E$1:$E$32,0)))</f>
        <v>LV</v>
      </c>
      <c r="Q43" s="155" t="str">
        <f>IF(O43="TIE",INDEX(Index!$F$1:$F$32,MATCH(E43,Index!$E$1:$E$32,0)),"")</f>
        <v/>
      </c>
      <c r="R43" s="155" t="str">
        <f>IF(P43="TIE",INDEX(Index!$F$1:$F$32,MATCH(G43,Index!$E$1:$E$32,0)),"")</f>
        <v/>
      </c>
      <c r="S43" s="151" t="str">
        <f t="shared" si="0"/>
        <v>H</v>
      </c>
      <c r="T43" s="156" t="str">
        <f>INDEX(Index!$H$1:$H$32,MATCH($E43,Index!$E$1:$E$32,0))</f>
        <v>NE</v>
      </c>
      <c r="U43" s="156" t="str">
        <f>INDEX(Index!$H$1:$H$32,MATCH($G43,Index!$E$1:$E$32,0))</f>
        <v>AW</v>
      </c>
      <c r="V43" s="156" t="str">
        <f t="shared" si="1"/>
        <v>Non</v>
      </c>
      <c r="W43" s="152" t="str">
        <f t="shared" si="2"/>
        <v>Y</v>
      </c>
      <c r="X43" s="149" t="str">
        <f>INDEX(Index!$G$1:$G$32,MATCH(E43,Index!$E$1:$E$32,0))</f>
        <v>WAS</v>
      </c>
      <c r="Y43" s="150" t="str">
        <f>INDEX(Index!$G$1:$G$32,MATCH(G43,Index!$E$1:$E$32,0))</f>
        <v>OAK</v>
      </c>
      <c r="Z43" s="147" t="str">
        <f t="shared" si="3"/>
        <v/>
      </c>
      <c r="AA43" s="174" t="str" cm="1">
        <f t="array" ref="AA43">IFERROR(IF($W43="Y","",INDEX(EPA!$N$2:$N$512,MATCH(X43&amp;Index!$K$1,EPA!$A$2:$A$512&amp;EPA!$W$2:$W$512,0))),"")</f>
        <v/>
      </c>
      <c r="AB43" s="174" t="str" cm="1">
        <f t="array" ref="AB43">IFERROR(IF($W43="Y","",INDEX(EPA!$N$2:$N$512,MATCH(Y43&amp;Index!$K$1,EPA!$A$2:$A$512&amp;EPA!$W$2:$W$512,0))),"")</f>
        <v/>
      </c>
      <c r="AC43" s="174" t="str">
        <f ca="1">IF(AA43&lt;&gt;"",_xlfn.NORM.INV(RAND(),AA43,Index!$K$2),"")</f>
        <v/>
      </c>
      <c r="AD43" s="174" t="str">
        <f ca="1">IF(AB43&lt;&gt;"",_xlfn.NORM.INV(RAND(),AB43,Index!$K$2),"")</f>
        <v/>
      </c>
      <c r="AE43" s="157" t="str">
        <f t="shared" si="4"/>
        <v>WAS</v>
      </c>
      <c r="AF43" s="158" t="str">
        <f t="shared" si="5"/>
        <v>LV</v>
      </c>
      <c r="AG43" s="149">
        <f t="shared" si="6"/>
        <v>42</v>
      </c>
    </row>
    <row r="44" spans="1:33" x14ac:dyDescent="0.25">
      <c r="A44" s="9">
        <v>3</v>
      </c>
      <c r="B44" s="9" t="s">
        <v>661</v>
      </c>
      <c r="C44" s="148">
        <v>45921</v>
      </c>
      <c r="D44" s="9" t="s">
        <v>664</v>
      </c>
      <c r="E44" s="9" t="s">
        <v>68</v>
      </c>
      <c r="F44" s="9"/>
      <c r="G44" s="9" t="s">
        <v>94</v>
      </c>
      <c r="H44" s="9" t="s">
        <v>658</v>
      </c>
      <c r="I44" s="9">
        <v>23</v>
      </c>
      <c r="J44" s="9">
        <v>20</v>
      </c>
      <c r="K44" s="9">
        <v>376</v>
      </c>
      <c r="L44" s="9">
        <v>2</v>
      </c>
      <c r="M44" s="9">
        <v>265</v>
      </c>
      <c r="N44" s="9">
        <v>0</v>
      </c>
      <c r="O44" s="149" t="str">
        <f>IF(I44&lt;&gt;"",IF(I44=J44,"TIE",INDEX(Index!$F$1:$F$32,MATCH(E44,Index!$E$1:$E$32,0))),INDEX(Index!$F$1:$F$32,MATCH(E44,Index!$E$1:$E$32,0)))</f>
        <v>LAC</v>
      </c>
      <c r="P44" s="150" t="str">
        <f>IF(I44&lt;&gt;"",IF(I44=J44,"TIE",INDEX(Index!$F$1:$F$32,MATCH(G44,Index!$E$1:$E$32,0))),INDEX(Index!$F$1:$F$32,MATCH(G44,Index!$E$1:$E$32,0)))</f>
        <v>DEN</v>
      </c>
      <c r="Q44" s="155" t="str">
        <f>IF(O44="TIE",INDEX(Index!$F$1:$F$32,MATCH(E44,Index!$E$1:$E$32,0)),"")</f>
        <v/>
      </c>
      <c r="R44" s="155" t="str">
        <f>IF(P44="TIE",INDEX(Index!$F$1:$F$32,MATCH(G44,Index!$E$1:$E$32,0)),"")</f>
        <v/>
      </c>
      <c r="S44" s="151" t="str">
        <f t="shared" si="0"/>
        <v>H</v>
      </c>
      <c r="T44" s="156" t="str">
        <f>INDEX(Index!$H$1:$H$32,MATCH($E44,Index!$E$1:$E$32,0))</f>
        <v>AW</v>
      </c>
      <c r="U44" s="156" t="str">
        <f>INDEX(Index!$H$1:$H$32,MATCH($G44,Index!$E$1:$E$32,0))</f>
        <v>AW</v>
      </c>
      <c r="V44" s="156" t="str">
        <f t="shared" si="1"/>
        <v>Div</v>
      </c>
      <c r="W44" s="152" t="str">
        <f t="shared" si="2"/>
        <v>Y</v>
      </c>
      <c r="X44" s="149" t="str">
        <f>INDEX(Index!$G$1:$G$32,MATCH(E44,Index!$E$1:$E$32,0))</f>
        <v>LAC</v>
      </c>
      <c r="Y44" s="150" t="str">
        <f>INDEX(Index!$G$1:$G$32,MATCH(G44,Index!$E$1:$E$32,0))</f>
        <v>DEN</v>
      </c>
      <c r="Z44" s="147" t="str">
        <f t="shared" si="3"/>
        <v/>
      </c>
      <c r="AA44" s="174" t="str" cm="1">
        <f t="array" ref="AA44">IFERROR(IF($W44="Y","",INDEX(EPA!$N$2:$N$512,MATCH(X44&amp;Index!$K$1,EPA!$A$2:$A$512&amp;EPA!$W$2:$W$512,0))),"")</f>
        <v/>
      </c>
      <c r="AB44" s="174" t="str" cm="1">
        <f t="array" ref="AB44">IFERROR(IF($W44="Y","",INDEX(EPA!$N$2:$N$512,MATCH(Y44&amp;Index!$K$1,EPA!$A$2:$A$512&amp;EPA!$W$2:$W$512,0))),"")</f>
        <v/>
      </c>
      <c r="AC44" s="174" t="str">
        <f ca="1">IF(AA44&lt;&gt;"",_xlfn.NORM.INV(RAND(),AA44,Index!$K$2),"")</f>
        <v/>
      </c>
      <c r="AD44" s="174" t="str">
        <f ca="1">IF(AB44&lt;&gt;"",_xlfn.NORM.INV(RAND(),AB44,Index!$K$2),"")</f>
        <v/>
      </c>
      <c r="AE44" s="157" t="str">
        <f t="shared" si="4"/>
        <v>LAC</v>
      </c>
      <c r="AF44" s="158" t="str">
        <f t="shared" si="5"/>
        <v>DEN</v>
      </c>
      <c r="AG44" s="149">
        <f t="shared" si="6"/>
        <v>43</v>
      </c>
    </row>
    <row r="45" spans="1:33" x14ac:dyDescent="0.25">
      <c r="A45" s="9">
        <v>3</v>
      </c>
      <c r="B45" s="9" t="s">
        <v>661</v>
      </c>
      <c r="C45" s="148">
        <v>45921</v>
      </c>
      <c r="D45" s="9" t="s">
        <v>664</v>
      </c>
      <c r="E45" s="9" t="s">
        <v>8</v>
      </c>
      <c r="F45" s="9"/>
      <c r="G45" s="9" t="s">
        <v>71</v>
      </c>
      <c r="H45" s="9" t="s">
        <v>658</v>
      </c>
      <c r="I45" s="9">
        <v>44</v>
      </c>
      <c r="J45" s="9">
        <v>13</v>
      </c>
      <c r="K45" s="9">
        <v>320</v>
      </c>
      <c r="L45" s="9">
        <v>1</v>
      </c>
      <c r="M45" s="9">
        <v>284</v>
      </c>
      <c r="N45" s="9">
        <v>1</v>
      </c>
      <c r="O45" s="149" t="str">
        <f>IF(I45&lt;&gt;"",IF(I45=J45,"TIE",INDEX(Index!$F$1:$F$32,MATCH(E45,Index!$E$1:$E$32,0))),INDEX(Index!$F$1:$F$32,MATCH(E45,Index!$E$1:$E$32,0)))</f>
        <v>SEA</v>
      </c>
      <c r="P45" s="150" t="str">
        <f>IF(I45&lt;&gt;"",IF(I45=J45,"TIE",INDEX(Index!$F$1:$F$32,MATCH(G45,Index!$E$1:$E$32,0))),INDEX(Index!$F$1:$F$32,MATCH(G45,Index!$E$1:$E$32,0)))</f>
        <v>NO</v>
      </c>
      <c r="Q45" s="155" t="str">
        <f>IF(O45="TIE",INDEX(Index!$F$1:$F$32,MATCH(E45,Index!$E$1:$E$32,0)),"")</f>
        <v/>
      </c>
      <c r="R45" s="155" t="str">
        <f>IF(P45="TIE",INDEX(Index!$F$1:$F$32,MATCH(G45,Index!$E$1:$E$32,0)),"")</f>
        <v/>
      </c>
      <c r="S45" s="151" t="str">
        <f t="shared" si="0"/>
        <v>H</v>
      </c>
      <c r="T45" s="156" t="str">
        <f>INDEX(Index!$H$1:$H$32,MATCH($E45,Index!$E$1:$E$32,0))</f>
        <v>NW</v>
      </c>
      <c r="U45" s="156" t="str">
        <f>INDEX(Index!$H$1:$H$32,MATCH($G45,Index!$E$1:$E$32,0))</f>
        <v>NS</v>
      </c>
      <c r="V45" s="156" t="str">
        <f t="shared" si="1"/>
        <v>Con</v>
      </c>
      <c r="W45" s="152" t="str">
        <f t="shared" si="2"/>
        <v>Y</v>
      </c>
      <c r="X45" s="149" t="str">
        <f>INDEX(Index!$G$1:$G$32,MATCH(E45,Index!$E$1:$E$32,0))</f>
        <v>SEA</v>
      </c>
      <c r="Y45" s="150" t="str">
        <f>INDEX(Index!$G$1:$G$32,MATCH(G45,Index!$E$1:$E$32,0))</f>
        <v>NO</v>
      </c>
      <c r="Z45" s="147" t="str">
        <f t="shared" si="3"/>
        <v/>
      </c>
      <c r="AA45" s="174" t="str" cm="1">
        <f t="array" ref="AA45">IFERROR(IF($W45="Y","",INDEX(EPA!$N$2:$N$512,MATCH(X45&amp;Index!$K$1,EPA!$A$2:$A$512&amp;EPA!$W$2:$W$512,0))),"")</f>
        <v/>
      </c>
      <c r="AB45" s="174" t="str" cm="1">
        <f t="array" ref="AB45">IFERROR(IF($W45="Y","",INDEX(EPA!$N$2:$N$512,MATCH(Y45&amp;Index!$K$1,EPA!$A$2:$A$512&amp;EPA!$W$2:$W$512,0))),"")</f>
        <v/>
      </c>
      <c r="AC45" s="174" t="str">
        <f ca="1">IF(AA45&lt;&gt;"",_xlfn.NORM.INV(RAND(),AA45,Index!$K$2),"")</f>
        <v/>
      </c>
      <c r="AD45" s="174" t="str">
        <f ca="1">IF(AB45&lt;&gt;"",_xlfn.NORM.INV(RAND(),AB45,Index!$K$2),"")</f>
        <v/>
      </c>
      <c r="AE45" s="157" t="str">
        <f t="shared" si="4"/>
        <v>SEA</v>
      </c>
      <c r="AF45" s="158" t="str">
        <f t="shared" si="5"/>
        <v>NO</v>
      </c>
      <c r="AG45" s="149">
        <f t="shared" si="6"/>
        <v>44</v>
      </c>
    </row>
    <row r="46" spans="1:33" x14ac:dyDescent="0.25">
      <c r="A46" s="9">
        <v>3</v>
      </c>
      <c r="B46" s="9" t="s">
        <v>661</v>
      </c>
      <c r="C46" s="148">
        <v>45921</v>
      </c>
      <c r="D46" s="9" t="s">
        <v>665</v>
      </c>
      <c r="E46" s="9" t="s">
        <v>65</v>
      </c>
      <c r="F46" s="9"/>
      <c r="G46" s="9" t="s">
        <v>56</v>
      </c>
      <c r="H46" s="9" t="s">
        <v>658</v>
      </c>
      <c r="I46" s="9">
        <v>31</v>
      </c>
      <c r="J46" s="9">
        <v>14</v>
      </c>
      <c r="K46" s="9">
        <v>385</v>
      </c>
      <c r="L46" s="9">
        <v>0</v>
      </c>
      <c r="M46" s="9">
        <v>396</v>
      </c>
      <c r="N46" s="9">
        <v>4</v>
      </c>
      <c r="O46" s="149" t="str">
        <f>IF(I46&lt;&gt;"",IF(I46=J46,"TIE",INDEX(Index!$F$1:$F$32,MATCH(E46,Index!$E$1:$E$32,0))),INDEX(Index!$F$1:$F$32,MATCH(E46,Index!$E$1:$E$32,0)))</f>
        <v>CHI</v>
      </c>
      <c r="P46" s="150" t="str">
        <f>IF(I46&lt;&gt;"",IF(I46=J46,"TIE",INDEX(Index!$F$1:$F$32,MATCH(G46,Index!$E$1:$E$32,0))),INDEX(Index!$F$1:$F$32,MATCH(G46,Index!$E$1:$E$32,0)))</f>
        <v>DAL</v>
      </c>
      <c r="Q46" s="155" t="str">
        <f>IF(O46="TIE",INDEX(Index!$F$1:$F$32,MATCH(E46,Index!$E$1:$E$32,0)),"")</f>
        <v/>
      </c>
      <c r="R46" s="155" t="str">
        <f>IF(P46="TIE",INDEX(Index!$F$1:$F$32,MATCH(G46,Index!$E$1:$E$32,0)),"")</f>
        <v/>
      </c>
      <c r="S46" s="151" t="str">
        <f t="shared" si="0"/>
        <v>H</v>
      </c>
      <c r="T46" s="156" t="str">
        <f>INDEX(Index!$H$1:$H$32,MATCH($E46,Index!$E$1:$E$32,0))</f>
        <v>NN</v>
      </c>
      <c r="U46" s="156" t="str">
        <f>INDEX(Index!$H$1:$H$32,MATCH($G46,Index!$E$1:$E$32,0))</f>
        <v>NE</v>
      </c>
      <c r="V46" s="156" t="str">
        <f t="shared" si="1"/>
        <v>Con</v>
      </c>
      <c r="W46" s="152" t="str">
        <f t="shared" si="2"/>
        <v>Y</v>
      </c>
      <c r="X46" s="149" t="str">
        <f>INDEX(Index!$G$1:$G$32,MATCH(E46,Index!$E$1:$E$32,0))</f>
        <v>CHI</v>
      </c>
      <c r="Y46" s="150" t="str">
        <f>INDEX(Index!$G$1:$G$32,MATCH(G46,Index!$E$1:$E$32,0))</f>
        <v>DAL</v>
      </c>
      <c r="Z46" s="147" t="str">
        <f t="shared" si="3"/>
        <v/>
      </c>
      <c r="AA46" s="174" t="str" cm="1">
        <f t="array" ref="AA46">IFERROR(IF($W46="Y","",INDEX(EPA!$N$2:$N$512,MATCH(X46&amp;Index!$K$1,EPA!$A$2:$A$512&amp;EPA!$W$2:$W$512,0))),"")</f>
        <v/>
      </c>
      <c r="AB46" s="174" t="str" cm="1">
        <f t="array" ref="AB46">IFERROR(IF($W46="Y","",INDEX(EPA!$N$2:$N$512,MATCH(Y46&amp;Index!$K$1,EPA!$A$2:$A$512&amp;EPA!$W$2:$W$512,0))),"")</f>
        <v/>
      </c>
      <c r="AC46" s="174" t="str">
        <f ca="1">IF(AA46&lt;&gt;"",_xlfn.NORM.INV(RAND(),AA46,Index!$K$2),"")</f>
        <v/>
      </c>
      <c r="AD46" s="174" t="str">
        <f ca="1">IF(AB46&lt;&gt;"",_xlfn.NORM.INV(RAND(),AB46,Index!$K$2),"")</f>
        <v/>
      </c>
      <c r="AE46" s="157" t="str">
        <f t="shared" si="4"/>
        <v>CHI</v>
      </c>
      <c r="AF46" s="158" t="str">
        <f t="shared" si="5"/>
        <v>DAL</v>
      </c>
      <c r="AG46" s="149">
        <f t="shared" si="6"/>
        <v>45</v>
      </c>
    </row>
    <row r="47" spans="1:33" x14ac:dyDescent="0.25">
      <c r="A47" s="9">
        <v>3</v>
      </c>
      <c r="B47" s="9" t="s">
        <v>661</v>
      </c>
      <c r="C47" s="148">
        <v>45921</v>
      </c>
      <c r="D47" s="9" t="s">
        <v>665</v>
      </c>
      <c r="E47" s="9" t="s">
        <v>30</v>
      </c>
      <c r="F47" s="9"/>
      <c r="G47" s="9" t="s">
        <v>27</v>
      </c>
      <c r="H47" s="9" t="s">
        <v>658</v>
      </c>
      <c r="I47" s="9">
        <v>16</v>
      </c>
      <c r="J47" s="9">
        <v>15</v>
      </c>
      <c r="K47" s="9">
        <v>355</v>
      </c>
      <c r="L47" s="9">
        <v>1</v>
      </c>
      <c r="M47" s="9">
        <v>260</v>
      </c>
      <c r="N47" s="9">
        <v>0</v>
      </c>
      <c r="O47" s="149" t="str">
        <f>IF(I47&lt;&gt;"",IF(I47=J47,"TIE",INDEX(Index!$F$1:$F$32,MATCH(E47,Index!$E$1:$E$32,0))),INDEX(Index!$F$1:$F$32,MATCH(E47,Index!$E$1:$E$32,0)))</f>
        <v>SF</v>
      </c>
      <c r="P47" s="150" t="str">
        <f>IF(I47&lt;&gt;"",IF(I47=J47,"TIE",INDEX(Index!$F$1:$F$32,MATCH(G47,Index!$E$1:$E$32,0))),INDEX(Index!$F$1:$F$32,MATCH(G47,Index!$E$1:$E$32,0)))</f>
        <v>ARI</v>
      </c>
      <c r="Q47" s="155" t="str">
        <f>IF(O47="TIE",INDEX(Index!$F$1:$F$32,MATCH(E47,Index!$E$1:$E$32,0)),"")</f>
        <v/>
      </c>
      <c r="R47" s="155" t="str">
        <f>IF(P47="TIE",INDEX(Index!$F$1:$F$32,MATCH(G47,Index!$E$1:$E$32,0)),"")</f>
        <v/>
      </c>
      <c r="S47" s="151" t="str">
        <f t="shared" si="0"/>
        <v>H</v>
      </c>
      <c r="T47" s="156" t="str">
        <f>INDEX(Index!$H$1:$H$32,MATCH($E47,Index!$E$1:$E$32,0))</f>
        <v>NW</v>
      </c>
      <c r="U47" s="156" t="str">
        <f>INDEX(Index!$H$1:$H$32,MATCH($G47,Index!$E$1:$E$32,0))</f>
        <v>NW</v>
      </c>
      <c r="V47" s="156" t="str">
        <f t="shared" si="1"/>
        <v>Div</v>
      </c>
      <c r="W47" s="152" t="str">
        <f t="shared" si="2"/>
        <v>Y</v>
      </c>
      <c r="X47" s="149" t="str">
        <f>INDEX(Index!$G$1:$G$32,MATCH(E47,Index!$E$1:$E$32,0))</f>
        <v>SF</v>
      </c>
      <c r="Y47" s="150" t="str">
        <f>INDEX(Index!$G$1:$G$32,MATCH(G47,Index!$E$1:$E$32,0))</f>
        <v>ARI</v>
      </c>
      <c r="Z47" s="147" t="str">
        <f t="shared" si="3"/>
        <v/>
      </c>
      <c r="AA47" s="174" t="str" cm="1">
        <f t="array" ref="AA47">IFERROR(IF($W47="Y","",INDEX(EPA!$N$2:$N$512,MATCH(X47&amp;Index!$K$1,EPA!$A$2:$A$512&amp;EPA!$W$2:$W$512,0))),"")</f>
        <v/>
      </c>
      <c r="AB47" s="174" t="str" cm="1">
        <f t="array" ref="AB47">IFERROR(IF($W47="Y","",INDEX(EPA!$N$2:$N$512,MATCH(Y47&amp;Index!$K$1,EPA!$A$2:$A$512&amp;EPA!$W$2:$W$512,0))),"")</f>
        <v/>
      </c>
      <c r="AC47" s="174" t="str">
        <f ca="1">IF(AA47&lt;&gt;"",_xlfn.NORM.INV(RAND(),AA47,Index!$K$2),"")</f>
        <v/>
      </c>
      <c r="AD47" s="174" t="str">
        <f ca="1">IF(AB47&lt;&gt;"",_xlfn.NORM.INV(RAND(),AB47,Index!$K$2),"")</f>
        <v/>
      </c>
      <c r="AE47" s="157" t="str">
        <f t="shared" si="4"/>
        <v>SF</v>
      </c>
      <c r="AF47" s="158" t="str">
        <f t="shared" si="5"/>
        <v>ARI</v>
      </c>
      <c r="AG47" s="149">
        <f t="shared" si="6"/>
        <v>46</v>
      </c>
    </row>
    <row r="48" spans="1:33" x14ac:dyDescent="0.25">
      <c r="A48" s="9">
        <v>3</v>
      </c>
      <c r="B48" s="9" t="s">
        <v>661</v>
      </c>
      <c r="C48" s="148">
        <v>45921</v>
      </c>
      <c r="D48" s="9" t="s">
        <v>657</v>
      </c>
      <c r="E48" s="9" t="s">
        <v>16</v>
      </c>
      <c r="F48" s="9" t="s">
        <v>663</v>
      </c>
      <c r="G48" s="9" t="s">
        <v>49</v>
      </c>
      <c r="H48" s="9" t="s">
        <v>658</v>
      </c>
      <c r="I48" s="9">
        <v>22</v>
      </c>
      <c r="J48" s="9">
        <v>9</v>
      </c>
      <c r="K48" s="9">
        <v>306</v>
      </c>
      <c r="L48" s="9">
        <v>0</v>
      </c>
      <c r="M48" s="9">
        <v>281</v>
      </c>
      <c r="N48" s="9">
        <v>2</v>
      </c>
      <c r="O48" s="149" t="str">
        <f>IF(I48&lt;&gt;"",IF(I48=J48,"TIE",INDEX(Index!$F$1:$F$32,MATCH(E48,Index!$E$1:$E$32,0))),INDEX(Index!$F$1:$F$32,MATCH(E48,Index!$E$1:$E$32,0)))</f>
        <v>KC</v>
      </c>
      <c r="P48" s="150" t="str">
        <f>IF(I48&lt;&gt;"",IF(I48=J48,"TIE",INDEX(Index!$F$1:$F$32,MATCH(G48,Index!$E$1:$E$32,0))),INDEX(Index!$F$1:$F$32,MATCH(G48,Index!$E$1:$E$32,0)))</f>
        <v>NYG</v>
      </c>
      <c r="Q48" s="155" t="str">
        <f>IF(O48="TIE",INDEX(Index!$F$1:$F$32,MATCH(E48,Index!$E$1:$E$32,0)),"")</f>
        <v/>
      </c>
      <c r="R48" s="155" t="str">
        <f>IF(P48="TIE",INDEX(Index!$F$1:$F$32,MATCH(G48,Index!$E$1:$E$32,0)),"")</f>
        <v/>
      </c>
      <c r="S48" s="151" t="str">
        <f t="shared" si="0"/>
        <v>A</v>
      </c>
      <c r="T48" s="156" t="str">
        <f>INDEX(Index!$H$1:$H$32,MATCH($E48,Index!$E$1:$E$32,0))</f>
        <v>AW</v>
      </c>
      <c r="U48" s="156" t="str">
        <f>INDEX(Index!$H$1:$H$32,MATCH($G48,Index!$E$1:$E$32,0))</f>
        <v>NE</v>
      </c>
      <c r="V48" s="156" t="str">
        <f t="shared" si="1"/>
        <v>Non</v>
      </c>
      <c r="W48" s="152" t="str">
        <f t="shared" si="2"/>
        <v>Y</v>
      </c>
      <c r="X48" s="149" t="str">
        <f>INDEX(Index!$G$1:$G$32,MATCH(E48,Index!$E$1:$E$32,0))</f>
        <v>KC</v>
      </c>
      <c r="Y48" s="150" t="str">
        <f>INDEX(Index!$G$1:$G$32,MATCH(G48,Index!$E$1:$E$32,0))</f>
        <v>NYG</v>
      </c>
      <c r="Z48" s="147" t="str">
        <f t="shared" si="3"/>
        <v/>
      </c>
      <c r="AA48" s="174" t="str" cm="1">
        <f t="array" ref="AA48">IFERROR(IF($W48="Y","",INDEX(EPA!$N$2:$N$512,MATCH(X48&amp;Index!$K$1,EPA!$A$2:$A$512&amp;EPA!$W$2:$W$512,0))),"")</f>
        <v/>
      </c>
      <c r="AB48" s="174" t="str" cm="1">
        <f t="array" ref="AB48">IFERROR(IF($W48="Y","",INDEX(EPA!$N$2:$N$512,MATCH(Y48&amp;Index!$K$1,EPA!$A$2:$A$512&amp;EPA!$W$2:$W$512,0))),"")</f>
        <v/>
      </c>
      <c r="AC48" s="174" t="str">
        <f ca="1">IF(AA48&lt;&gt;"",_xlfn.NORM.INV(RAND(),AA48,Index!$K$2),"")</f>
        <v/>
      </c>
      <c r="AD48" s="174" t="str">
        <f ca="1">IF(AB48&lt;&gt;"",_xlfn.NORM.INV(RAND(),AB48,Index!$K$2),"")</f>
        <v/>
      </c>
      <c r="AE48" s="157" t="str">
        <f t="shared" si="4"/>
        <v>KC</v>
      </c>
      <c r="AF48" s="158" t="str">
        <f t="shared" si="5"/>
        <v>NYG</v>
      </c>
      <c r="AG48" s="149">
        <f t="shared" si="6"/>
        <v>47</v>
      </c>
    </row>
    <row r="49" spans="1:33" x14ac:dyDescent="0.25">
      <c r="A49" s="9">
        <v>3</v>
      </c>
      <c r="B49" s="9" t="s">
        <v>666</v>
      </c>
      <c r="C49" s="148">
        <v>45922</v>
      </c>
      <c r="D49" s="9" t="s">
        <v>667</v>
      </c>
      <c r="E49" s="9" t="s">
        <v>86</v>
      </c>
      <c r="F49" s="9" t="s">
        <v>663</v>
      </c>
      <c r="G49" s="9" t="s">
        <v>76</v>
      </c>
      <c r="H49" s="9" t="s">
        <v>658</v>
      </c>
      <c r="I49" s="9">
        <v>38</v>
      </c>
      <c r="J49" s="9">
        <v>30</v>
      </c>
      <c r="K49" s="9">
        <v>426</v>
      </c>
      <c r="L49" s="9">
        <v>0</v>
      </c>
      <c r="M49" s="9">
        <v>318</v>
      </c>
      <c r="N49" s="9">
        <v>1</v>
      </c>
      <c r="O49" s="149" t="str">
        <f>IF(I49&lt;&gt;"",IF(I49=J49,"TIE",INDEX(Index!$F$1:$F$32,MATCH(E49,Index!$E$1:$E$32,0))),INDEX(Index!$F$1:$F$32,MATCH(E49,Index!$E$1:$E$32,0)))</f>
        <v>DET</v>
      </c>
      <c r="P49" s="150" t="str">
        <f>IF(I49&lt;&gt;"",IF(I49=J49,"TIE",INDEX(Index!$F$1:$F$32,MATCH(G49,Index!$E$1:$E$32,0))),INDEX(Index!$F$1:$F$32,MATCH(G49,Index!$E$1:$E$32,0)))</f>
        <v>BAL</v>
      </c>
      <c r="Q49" s="155" t="str">
        <f>IF(O49="TIE",INDEX(Index!$F$1:$F$32,MATCH(E49,Index!$E$1:$E$32,0)),"")</f>
        <v/>
      </c>
      <c r="R49" s="155" t="str">
        <f>IF(P49="TIE",INDEX(Index!$F$1:$F$32,MATCH(G49,Index!$E$1:$E$32,0)),"")</f>
        <v/>
      </c>
      <c r="S49" s="151" t="str">
        <f t="shared" si="0"/>
        <v>A</v>
      </c>
      <c r="T49" s="156" t="str">
        <f>INDEX(Index!$H$1:$H$32,MATCH($E49,Index!$E$1:$E$32,0))</f>
        <v>NN</v>
      </c>
      <c r="U49" s="156" t="str">
        <f>INDEX(Index!$H$1:$H$32,MATCH($G49,Index!$E$1:$E$32,0))</f>
        <v>AN</v>
      </c>
      <c r="V49" s="156" t="str">
        <f t="shared" si="1"/>
        <v>Non</v>
      </c>
      <c r="W49" s="152" t="str">
        <f t="shared" si="2"/>
        <v>Y</v>
      </c>
      <c r="X49" s="149" t="str">
        <f>INDEX(Index!$G$1:$G$32,MATCH(E49,Index!$E$1:$E$32,0))</f>
        <v>DET</v>
      </c>
      <c r="Y49" s="150" t="str">
        <f>INDEX(Index!$G$1:$G$32,MATCH(G49,Index!$E$1:$E$32,0))</f>
        <v>BAL</v>
      </c>
      <c r="Z49" s="147" t="str">
        <f t="shared" si="3"/>
        <v/>
      </c>
      <c r="AA49" s="174" t="str" cm="1">
        <f t="array" ref="AA49">IFERROR(IF($W49="Y","",INDEX(EPA!$N$2:$N$512,MATCH(X49&amp;Index!$K$1,EPA!$A$2:$A$512&amp;EPA!$W$2:$W$512,0))),"")</f>
        <v/>
      </c>
      <c r="AB49" s="174" t="str" cm="1">
        <f t="array" ref="AB49">IFERROR(IF($W49="Y","",INDEX(EPA!$N$2:$N$512,MATCH(Y49&amp;Index!$K$1,EPA!$A$2:$A$512&amp;EPA!$W$2:$W$512,0))),"")</f>
        <v/>
      </c>
      <c r="AC49" s="174" t="str">
        <f ca="1">IF(AA49&lt;&gt;"",_xlfn.NORM.INV(RAND(),AA49,Index!$K$2),"")</f>
        <v/>
      </c>
      <c r="AD49" s="174" t="str">
        <f ca="1">IF(AB49&lt;&gt;"",_xlfn.NORM.INV(RAND(),AB49,Index!$K$2),"")</f>
        <v/>
      </c>
      <c r="AE49" s="157" t="str">
        <f t="shared" si="4"/>
        <v>DET</v>
      </c>
      <c r="AF49" s="158" t="str">
        <f t="shared" si="5"/>
        <v>BAL</v>
      </c>
      <c r="AG49" s="149">
        <f t="shared" si="6"/>
        <v>48</v>
      </c>
    </row>
    <row r="50" spans="1:33" x14ac:dyDescent="0.25">
      <c r="A50" s="9">
        <v>4</v>
      </c>
      <c r="B50" s="9" t="s">
        <v>656</v>
      </c>
      <c r="C50" s="148">
        <v>45925</v>
      </c>
      <c r="D50" s="9" t="s">
        <v>667</v>
      </c>
      <c r="E50" s="9" t="s">
        <v>8</v>
      </c>
      <c r="F50" s="9" t="s">
        <v>663</v>
      </c>
      <c r="G50" s="9" t="s">
        <v>27</v>
      </c>
      <c r="H50" s="9" t="s">
        <v>658</v>
      </c>
      <c r="I50" s="9">
        <v>23</v>
      </c>
      <c r="J50" s="9">
        <v>20</v>
      </c>
      <c r="K50" s="9">
        <v>384</v>
      </c>
      <c r="L50" s="9">
        <v>1</v>
      </c>
      <c r="M50" s="9">
        <v>253</v>
      </c>
      <c r="N50" s="9">
        <v>2</v>
      </c>
      <c r="O50" s="149" t="str">
        <f>IF(I50&lt;&gt;"",IF(I50=J50,"TIE",INDEX(Index!$F$1:$F$32,MATCH(E50,Index!$E$1:$E$32,0))),INDEX(Index!$F$1:$F$32,MATCH(E50,Index!$E$1:$E$32,0)))</f>
        <v>SEA</v>
      </c>
      <c r="P50" s="150" t="str">
        <f>IF(I50&lt;&gt;"",IF(I50=J50,"TIE",INDEX(Index!$F$1:$F$32,MATCH(G50,Index!$E$1:$E$32,0))),INDEX(Index!$F$1:$F$32,MATCH(G50,Index!$E$1:$E$32,0)))</f>
        <v>ARI</v>
      </c>
      <c r="Q50" s="155" t="str">
        <f>IF(O50="TIE",INDEX(Index!$F$1:$F$32,MATCH(E50,Index!$E$1:$E$32,0)),"")</f>
        <v/>
      </c>
      <c r="R50" s="155" t="str">
        <f>IF(P50="TIE",INDEX(Index!$F$1:$F$32,MATCH(G50,Index!$E$1:$E$32,0)),"")</f>
        <v/>
      </c>
      <c r="S50" s="151" t="str">
        <f t="shared" si="0"/>
        <v>A</v>
      </c>
      <c r="T50" s="156" t="str">
        <f>INDEX(Index!$H$1:$H$32,MATCH($E50,Index!$E$1:$E$32,0))</f>
        <v>NW</v>
      </c>
      <c r="U50" s="156" t="str">
        <f>INDEX(Index!$H$1:$H$32,MATCH($G50,Index!$E$1:$E$32,0))</f>
        <v>NW</v>
      </c>
      <c r="V50" s="156" t="str">
        <f t="shared" si="1"/>
        <v>Div</v>
      </c>
      <c r="W50" s="152" t="str">
        <f t="shared" si="2"/>
        <v>Y</v>
      </c>
      <c r="X50" s="149" t="str">
        <f>INDEX(Index!$G$1:$G$32,MATCH(E50,Index!$E$1:$E$32,0))</f>
        <v>SEA</v>
      </c>
      <c r="Y50" s="150" t="str">
        <f>INDEX(Index!$G$1:$G$32,MATCH(G50,Index!$E$1:$E$32,0))</f>
        <v>ARI</v>
      </c>
      <c r="Z50" s="147" t="str">
        <f t="shared" si="3"/>
        <v/>
      </c>
      <c r="AA50" s="174" t="str" cm="1">
        <f t="array" ref="AA50">IFERROR(IF($W50="Y","",INDEX(EPA!$N$2:$N$512,MATCH(X50&amp;Index!$K$1,EPA!$A$2:$A$512&amp;EPA!$W$2:$W$512,0))),"")</f>
        <v/>
      </c>
      <c r="AB50" s="174" t="str" cm="1">
        <f t="array" ref="AB50">IFERROR(IF($W50="Y","",INDEX(EPA!$N$2:$N$512,MATCH(Y50&amp;Index!$K$1,EPA!$A$2:$A$512&amp;EPA!$W$2:$W$512,0))),"")</f>
        <v/>
      </c>
      <c r="AC50" s="174" t="str">
        <f ca="1">IF(AA50&lt;&gt;"",_xlfn.NORM.INV(RAND(),AA50,Index!$K$2),"")</f>
        <v/>
      </c>
      <c r="AD50" s="174" t="str">
        <f ca="1">IF(AB50&lt;&gt;"",_xlfn.NORM.INV(RAND(),AB50,Index!$K$2),"")</f>
        <v/>
      </c>
      <c r="AE50" s="157" t="str">
        <f t="shared" si="4"/>
        <v>SEA</v>
      </c>
      <c r="AF50" s="158" t="str">
        <f t="shared" si="5"/>
        <v>ARI</v>
      </c>
      <c r="AG50" s="149">
        <f t="shared" si="6"/>
        <v>49</v>
      </c>
    </row>
    <row r="51" spans="1:33" x14ac:dyDescent="0.25">
      <c r="A51" s="9">
        <v>4</v>
      </c>
      <c r="B51" s="9" t="s">
        <v>661</v>
      </c>
      <c r="C51" s="148">
        <v>45928</v>
      </c>
      <c r="D51" s="9" t="s">
        <v>670</v>
      </c>
      <c r="E51" s="9" t="s">
        <v>73</v>
      </c>
      <c r="F51" s="9"/>
      <c r="G51" s="9" t="s">
        <v>58</v>
      </c>
      <c r="H51" s="9" t="s">
        <v>658</v>
      </c>
      <c r="I51" s="9">
        <v>24</v>
      </c>
      <c r="J51" s="9">
        <v>21</v>
      </c>
      <c r="K51" s="9">
        <v>313</v>
      </c>
      <c r="L51" s="9">
        <v>0</v>
      </c>
      <c r="M51" s="9">
        <v>372</v>
      </c>
      <c r="N51" s="9">
        <v>2</v>
      </c>
      <c r="O51" s="149" t="str">
        <f>IF(I51&lt;&gt;"",IF(I51=J51,"TIE",INDEX(Index!$F$1:$F$32,MATCH(E51,Index!$E$1:$E$32,0))),INDEX(Index!$F$1:$F$32,MATCH(E51,Index!$E$1:$E$32,0)))</f>
        <v>PIT</v>
      </c>
      <c r="P51" s="150" t="str">
        <f>IF(I51&lt;&gt;"",IF(I51=J51,"TIE",INDEX(Index!$F$1:$F$32,MATCH(G51,Index!$E$1:$E$32,0))),INDEX(Index!$F$1:$F$32,MATCH(G51,Index!$E$1:$E$32,0)))</f>
        <v>MIN</v>
      </c>
      <c r="Q51" s="155" t="str">
        <f>IF(O51="TIE",INDEX(Index!$F$1:$F$32,MATCH(E51,Index!$E$1:$E$32,0)),"")</f>
        <v/>
      </c>
      <c r="R51" s="155" t="str">
        <f>IF(P51="TIE",INDEX(Index!$F$1:$F$32,MATCH(G51,Index!$E$1:$E$32,0)),"")</f>
        <v/>
      </c>
      <c r="S51" s="151" t="str">
        <f t="shared" si="0"/>
        <v>H</v>
      </c>
      <c r="T51" s="156" t="str">
        <f>INDEX(Index!$H$1:$H$32,MATCH($E51,Index!$E$1:$E$32,0))</f>
        <v>AN</v>
      </c>
      <c r="U51" s="156" t="str">
        <f>INDEX(Index!$H$1:$H$32,MATCH($G51,Index!$E$1:$E$32,0))</f>
        <v>NN</v>
      </c>
      <c r="V51" s="156" t="str">
        <f t="shared" si="1"/>
        <v>Non</v>
      </c>
      <c r="W51" s="152" t="str">
        <f t="shared" si="2"/>
        <v>Y</v>
      </c>
      <c r="X51" s="149" t="str">
        <f>INDEX(Index!$G$1:$G$32,MATCH(E51,Index!$E$1:$E$32,0))</f>
        <v>PIT</v>
      </c>
      <c r="Y51" s="150" t="str">
        <f>INDEX(Index!$G$1:$G$32,MATCH(G51,Index!$E$1:$E$32,0))</f>
        <v>MIN</v>
      </c>
      <c r="Z51" s="147" t="str">
        <f t="shared" si="3"/>
        <v/>
      </c>
      <c r="AA51" s="174" t="str" cm="1">
        <f t="array" ref="AA51">IFERROR(IF($W51="Y","",INDEX(EPA!$N$2:$N$512,MATCH(X51&amp;Index!$K$1,EPA!$A$2:$A$512&amp;EPA!$W$2:$W$512,0))),"")</f>
        <v/>
      </c>
      <c r="AB51" s="174" t="str" cm="1">
        <f t="array" ref="AB51">IFERROR(IF($W51="Y","",INDEX(EPA!$N$2:$N$512,MATCH(Y51&amp;Index!$K$1,EPA!$A$2:$A$512&amp;EPA!$W$2:$W$512,0))),"")</f>
        <v/>
      </c>
      <c r="AC51" s="174" t="str">
        <f ca="1">IF(AA51&lt;&gt;"",_xlfn.NORM.INV(RAND(),AA51,Index!$K$2),"")</f>
        <v/>
      </c>
      <c r="AD51" s="174" t="str">
        <f ca="1">IF(AB51&lt;&gt;"",_xlfn.NORM.INV(RAND(),AB51,Index!$K$2),"")</f>
        <v/>
      </c>
      <c r="AE51" s="157" t="str">
        <f t="shared" si="4"/>
        <v>PIT</v>
      </c>
      <c r="AF51" s="158" t="str">
        <f t="shared" si="5"/>
        <v>MIN</v>
      </c>
      <c r="AG51" s="149">
        <f t="shared" si="6"/>
        <v>50</v>
      </c>
    </row>
    <row r="52" spans="1:33" x14ac:dyDescent="0.25">
      <c r="A52" s="9">
        <v>4</v>
      </c>
      <c r="B52" s="9" t="s">
        <v>661</v>
      </c>
      <c r="C52" s="148">
        <v>45928</v>
      </c>
      <c r="D52" s="9" t="s">
        <v>662</v>
      </c>
      <c r="E52" s="9" t="s">
        <v>78</v>
      </c>
      <c r="F52" s="9"/>
      <c r="G52" s="9" t="s">
        <v>4</v>
      </c>
      <c r="H52" s="9" t="s">
        <v>658</v>
      </c>
      <c r="I52" s="9">
        <v>34</v>
      </c>
      <c r="J52" s="9">
        <v>27</v>
      </c>
      <c r="K52" s="9">
        <v>435</v>
      </c>
      <c r="L52" s="9">
        <v>1</v>
      </c>
      <c r="M52" s="9">
        <v>294</v>
      </c>
      <c r="N52" s="9">
        <v>1</v>
      </c>
      <c r="O52" s="149" t="str">
        <f>IF(I52&lt;&gt;"",IF(I52=J52,"TIE",INDEX(Index!$F$1:$F$32,MATCH(E52,Index!$E$1:$E$32,0))),INDEX(Index!$F$1:$F$32,MATCH(E52,Index!$E$1:$E$32,0)))</f>
        <v>ATL</v>
      </c>
      <c r="P52" s="150" t="str">
        <f>IF(I52&lt;&gt;"",IF(I52=J52,"TIE",INDEX(Index!$F$1:$F$32,MATCH(G52,Index!$E$1:$E$32,0))),INDEX(Index!$F$1:$F$32,MATCH(G52,Index!$E$1:$E$32,0)))</f>
        <v>WAS</v>
      </c>
      <c r="Q52" s="155" t="str">
        <f>IF(O52="TIE",INDEX(Index!$F$1:$F$32,MATCH(E52,Index!$E$1:$E$32,0)),"")</f>
        <v/>
      </c>
      <c r="R52" s="155" t="str">
        <f>IF(P52="TIE",INDEX(Index!$F$1:$F$32,MATCH(G52,Index!$E$1:$E$32,0)),"")</f>
        <v/>
      </c>
      <c r="S52" s="151" t="str">
        <f t="shared" si="0"/>
        <v>H</v>
      </c>
      <c r="T52" s="156" t="str">
        <f>INDEX(Index!$H$1:$H$32,MATCH($E52,Index!$E$1:$E$32,0))</f>
        <v>NS</v>
      </c>
      <c r="U52" s="156" t="str">
        <f>INDEX(Index!$H$1:$H$32,MATCH($G52,Index!$E$1:$E$32,0))</f>
        <v>NE</v>
      </c>
      <c r="V52" s="156" t="str">
        <f t="shared" si="1"/>
        <v>Con</v>
      </c>
      <c r="W52" s="152" t="str">
        <f t="shared" si="2"/>
        <v>Y</v>
      </c>
      <c r="X52" s="149" t="str">
        <f>INDEX(Index!$G$1:$G$32,MATCH(E52,Index!$E$1:$E$32,0))</f>
        <v>ATL</v>
      </c>
      <c r="Y52" s="150" t="str">
        <f>INDEX(Index!$G$1:$G$32,MATCH(G52,Index!$E$1:$E$32,0))</f>
        <v>WAS</v>
      </c>
      <c r="Z52" s="147" t="str">
        <f t="shared" si="3"/>
        <v/>
      </c>
      <c r="AA52" s="174" t="str" cm="1">
        <f t="array" ref="AA52">IFERROR(IF($W52="Y","",INDEX(EPA!$N$2:$N$512,MATCH(X52&amp;Index!$K$1,EPA!$A$2:$A$512&amp;EPA!$W$2:$W$512,0))),"")</f>
        <v/>
      </c>
      <c r="AB52" s="174" t="str" cm="1">
        <f t="array" ref="AB52">IFERROR(IF($W52="Y","",INDEX(EPA!$N$2:$N$512,MATCH(Y52&amp;Index!$K$1,EPA!$A$2:$A$512&amp;EPA!$W$2:$W$512,0))),"")</f>
        <v/>
      </c>
      <c r="AC52" s="174" t="str">
        <f ca="1">IF(AA52&lt;&gt;"",_xlfn.NORM.INV(RAND(),AA52,Index!$K$2),"")</f>
        <v/>
      </c>
      <c r="AD52" s="174" t="str">
        <f ca="1">IF(AB52&lt;&gt;"",_xlfn.NORM.INV(RAND(),AB52,Index!$K$2),"")</f>
        <v/>
      </c>
      <c r="AE52" s="157" t="str">
        <f t="shared" si="4"/>
        <v>ATL</v>
      </c>
      <c r="AF52" s="158" t="str">
        <f t="shared" si="5"/>
        <v>WAS</v>
      </c>
      <c r="AG52" s="149">
        <f t="shared" si="6"/>
        <v>51</v>
      </c>
    </row>
    <row r="53" spans="1:33" x14ac:dyDescent="0.25">
      <c r="A53" s="9">
        <v>4</v>
      </c>
      <c r="B53" s="9" t="s">
        <v>661</v>
      </c>
      <c r="C53" s="148">
        <v>45928</v>
      </c>
      <c r="D53" s="9" t="s">
        <v>662</v>
      </c>
      <c r="E53" s="9" t="s">
        <v>40</v>
      </c>
      <c r="F53" s="9"/>
      <c r="G53" s="9" t="s">
        <v>71</v>
      </c>
      <c r="H53" s="9" t="s">
        <v>658</v>
      </c>
      <c r="I53" s="9">
        <v>31</v>
      </c>
      <c r="J53" s="9">
        <v>19</v>
      </c>
      <c r="K53" s="9">
        <v>356</v>
      </c>
      <c r="L53" s="9">
        <v>1</v>
      </c>
      <c r="M53" s="9">
        <v>298</v>
      </c>
      <c r="N53" s="9">
        <v>1</v>
      </c>
      <c r="O53" s="149" t="str">
        <f>IF(I53&lt;&gt;"",IF(I53=J53,"TIE",INDEX(Index!$F$1:$F$32,MATCH(E53,Index!$E$1:$E$32,0))),INDEX(Index!$F$1:$F$32,MATCH(E53,Index!$E$1:$E$32,0)))</f>
        <v>BUF</v>
      </c>
      <c r="P53" s="150" t="str">
        <f>IF(I53&lt;&gt;"",IF(I53=J53,"TIE",INDEX(Index!$F$1:$F$32,MATCH(G53,Index!$E$1:$E$32,0))),INDEX(Index!$F$1:$F$32,MATCH(G53,Index!$E$1:$E$32,0)))</f>
        <v>NO</v>
      </c>
      <c r="Q53" s="155" t="str">
        <f>IF(O53="TIE",INDEX(Index!$F$1:$F$32,MATCH(E53,Index!$E$1:$E$32,0)),"")</f>
        <v/>
      </c>
      <c r="R53" s="155" t="str">
        <f>IF(P53="TIE",INDEX(Index!$F$1:$F$32,MATCH(G53,Index!$E$1:$E$32,0)),"")</f>
        <v/>
      </c>
      <c r="S53" s="151" t="str">
        <f t="shared" si="0"/>
        <v>H</v>
      </c>
      <c r="T53" s="156" t="str">
        <f>INDEX(Index!$H$1:$H$32,MATCH($E53,Index!$E$1:$E$32,0))</f>
        <v>AE</v>
      </c>
      <c r="U53" s="156" t="str">
        <f>INDEX(Index!$H$1:$H$32,MATCH($G53,Index!$E$1:$E$32,0))</f>
        <v>NS</v>
      </c>
      <c r="V53" s="156" t="str">
        <f t="shared" si="1"/>
        <v>Non</v>
      </c>
      <c r="W53" s="152" t="str">
        <f t="shared" si="2"/>
        <v>Y</v>
      </c>
      <c r="X53" s="149" t="str">
        <f>INDEX(Index!$G$1:$G$32,MATCH(E53,Index!$E$1:$E$32,0))</f>
        <v>BUF</v>
      </c>
      <c r="Y53" s="150" t="str">
        <f>INDEX(Index!$G$1:$G$32,MATCH(G53,Index!$E$1:$E$32,0))</f>
        <v>NO</v>
      </c>
      <c r="Z53" s="147" t="str">
        <f t="shared" si="3"/>
        <v/>
      </c>
      <c r="AA53" s="174" t="str" cm="1">
        <f t="array" ref="AA53">IFERROR(IF($W53="Y","",INDEX(EPA!$N$2:$N$512,MATCH(X53&amp;Index!$K$1,EPA!$A$2:$A$512&amp;EPA!$W$2:$W$512,0))),"")</f>
        <v/>
      </c>
      <c r="AB53" s="174" t="str" cm="1">
        <f t="array" ref="AB53">IFERROR(IF($W53="Y","",INDEX(EPA!$N$2:$N$512,MATCH(Y53&amp;Index!$K$1,EPA!$A$2:$A$512&amp;EPA!$W$2:$W$512,0))),"")</f>
        <v/>
      </c>
      <c r="AC53" s="174" t="str">
        <f ca="1">IF(AA53&lt;&gt;"",_xlfn.NORM.INV(RAND(),AA53,Index!$K$2),"")</f>
        <v/>
      </c>
      <c r="AD53" s="174" t="str">
        <f ca="1">IF(AB53&lt;&gt;"",_xlfn.NORM.INV(RAND(),AB53,Index!$K$2),"")</f>
        <v/>
      </c>
      <c r="AE53" s="157" t="str">
        <f t="shared" si="4"/>
        <v>BUF</v>
      </c>
      <c r="AF53" s="158" t="str">
        <f t="shared" si="5"/>
        <v>NO</v>
      </c>
      <c r="AG53" s="149">
        <f t="shared" si="6"/>
        <v>52</v>
      </c>
    </row>
    <row r="54" spans="1:33" x14ac:dyDescent="0.25">
      <c r="A54" s="9">
        <v>4</v>
      </c>
      <c r="B54" s="9" t="s">
        <v>661</v>
      </c>
      <c r="C54" s="148">
        <v>45928</v>
      </c>
      <c r="D54" s="9" t="s">
        <v>662</v>
      </c>
      <c r="E54" s="9" t="s">
        <v>45</v>
      </c>
      <c r="F54" s="9"/>
      <c r="G54" s="9" t="s">
        <v>12</v>
      </c>
      <c r="H54" s="9" t="s">
        <v>658</v>
      </c>
      <c r="I54" s="9">
        <v>42</v>
      </c>
      <c r="J54" s="9">
        <v>13</v>
      </c>
      <c r="K54" s="9">
        <v>307</v>
      </c>
      <c r="L54" s="9">
        <v>0</v>
      </c>
      <c r="M54" s="9">
        <v>326</v>
      </c>
      <c r="N54" s="9">
        <v>0</v>
      </c>
      <c r="O54" s="149" t="str">
        <f>IF(I54&lt;&gt;"",IF(I54=J54,"TIE",INDEX(Index!$F$1:$F$32,MATCH(E54,Index!$E$1:$E$32,0))),INDEX(Index!$F$1:$F$32,MATCH(E54,Index!$E$1:$E$32,0)))</f>
        <v>NE</v>
      </c>
      <c r="P54" s="150" t="str">
        <f>IF(I54&lt;&gt;"",IF(I54=J54,"TIE",INDEX(Index!$F$1:$F$32,MATCH(G54,Index!$E$1:$E$32,0))),INDEX(Index!$F$1:$F$32,MATCH(G54,Index!$E$1:$E$32,0)))</f>
        <v>CAR</v>
      </c>
      <c r="Q54" s="155" t="str">
        <f>IF(O54="TIE",INDEX(Index!$F$1:$F$32,MATCH(E54,Index!$E$1:$E$32,0)),"")</f>
        <v/>
      </c>
      <c r="R54" s="155" t="str">
        <f>IF(P54="TIE",INDEX(Index!$F$1:$F$32,MATCH(G54,Index!$E$1:$E$32,0)),"")</f>
        <v/>
      </c>
      <c r="S54" s="151" t="str">
        <f t="shared" si="0"/>
        <v>H</v>
      </c>
      <c r="T54" s="156" t="str">
        <f>INDEX(Index!$H$1:$H$32,MATCH($E54,Index!$E$1:$E$32,0))</f>
        <v>AE</v>
      </c>
      <c r="U54" s="156" t="str">
        <f>INDEX(Index!$H$1:$H$32,MATCH($G54,Index!$E$1:$E$32,0))</f>
        <v>NS</v>
      </c>
      <c r="V54" s="156" t="str">
        <f t="shared" si="1"/>
        <v>Non</v>
      </c>
      <c r="W54" s="152" t="str">
        <f t="shared" si="2"/>
        <v>Y</v>
      </c>
      <c r="X54" s="149" t="str">
        <f>INDEX(Index!$G$1:$G$32,MATCH(E54,Index!$E$1:$E$32,0))</f>
        <v>NE</v>
      </c>
      <c r="Y54" s="150" t="str">
        <f>INDEX(Index!$G$1:$G$32,MATCH(G54,Index!$E$1:$E$32,0))</f>
        <v>CAR</v>
      </c>
      <c r="Z54" s="147" t="str">
        <f t="shared" si="3"/>
        <v/>
      </c>
      <c r="AA54" s="174" t="str" cm="1">
        <f t="array" ref="AA54">IFERROR(IF($W54="Y","",INDEX(EPA!$N$2:$N$512,MATCH(X54&amp;Index!$K$1,EPA!$A$2:$A$512&amp;EPA!$W$2:$W$512,0))),"")</f>
        <v/>
      </c>
      <c r="AB54" s="174" t="str" cm="1">
        <f t="array" ref="AB54">IFERROR(IF($W54="Y","",INDEX(EPA!$N$2:$N$512,MATCH(Y54&amp;Index!$K$1,EPA!$A$2:$A$512&amp;EPA!$W$2:$W$512,0))),"")</f>
        <v/>
      </c>
      <c r="AC54" s="174" t="str">
        <f ca="1">IF(AA54&lt;&gt;"",_xlfn.NORM.INV(RAND(),AA54,Index!$K$2),"")</f>
        <v/>
      </c>
      <c r="AD54" s="174" t="str">
        <f ca="1">IF(AB54&lt;&gt;"",_xlfn.NORM.INV(RAND(),AB54,Index!$K$2),"")</f>
        <v/>
      </c>
      <c r="AE54" s="157" t="str">
        <f t="shared" si="4"/>
        <v>NE</v>
      </c>
      <c r="AF54" s="158" t="str">
        <f t="shared" si="5"/>
        <v>CAR</v>
      </c>
      <c r="AG54" s="149">
        <f t="shared" si="6"/>
        <v>53</v>
      </c>
    </row>
    <row r="55" spans="1:33" x14ac:dyDescent="0.25">
      <c r="A55" s="9">
        <v>4</v>
      </c>
      <c r="B55" s="9" t="s">
        <v>661</v>
      </c>
      <c r="C55" s="148">
        <v>45928</v>
      </c>
      <c r="D55" s="9" t="s">
        <v>662</v>
      </c>
      <c r="E55" s="9" t="s">
        <v>86</v>
      </c>
      <c r="F55" s="9"/>
      <c r="G55" s="9" t="s">
        <v>83</v>
      </c>
      <c r="H55" s="9" t="s">
        <v>658</v>
      </c>
      <c r="I55" s="9">
        <v>34</v>
      </c>
      <c r="J55" s="9">
        <v>10</v>
      </c>
      <c r="K55" s="9">
        <v>277</v>
      </c>
      <c r="L55" s="9">
        <v>1</v>
      </c>
      <c r="M55" s="9">
        <v>249</v>
      </c>
      <c r="N55" s="9">
        <v>3</v>
      </c>
      <c r="O55" s="149" t="str">
        <f>IF(I55&lt;&gt;"",IF(I55=J55,"TIE",INDEX(Index!$F$1:$F$32,MATCH(E55,Index!$E$1:$E$32,0))),INDEX(Index!$F$1:$F$32,MATCH(E55,Index!$E$1:$E$32,0)))</f>
        <v>DET</v>
      </c>
      <c r="P55" s="150" t="str">
        <f>IF(I55&lt;&gt;"",IF(I55=J55,"TIE",INDEX(Index!$F$1:$F$32,MATCH(G55,Index!$E$1:$E$32,0))),INDEX(Index!$F$1:$F$32,MATCH(G55,Index!$E$1:$E$32,0)))</f>
        <v>CLE</v>
      </c>
      <c r="Q55" s="155" t="str">
        <f>IF(O55="TIE",INDEX(Index!$F$1:$F$32,MATCH(E55,Index!$E$1:$E$32,0)),"")</f>
        <v/>
      </c>
      <c r="R55" s="155" t="str">
        <f>IF(P55="TIE",INDEX(Index!$F$1:$F$32,MATCH(G55,Index!$E$1:$E$32,0)),"")</f>
        <v/>
      </c>
      <c r="S55" s="151" t="str">
        <f t="shared" si="0"/>
        <v>H</v>
      </c>
      <c r="T55" s="156" t="str">
        <f>INDEX(Index!$H$1:$H$32,MATCH($E55,Index!$E$1:$E$32,0))</f>
        <v>NN</v>
      </c>
      <c r="U55" s="156" t="str">
        <f>INDEX(Index!$H$1:$H$32,MATCH($G55,Index!$E$1:$E$32,0))</f>
        <v>AN</v>
      </c>
      <c r="V55" s="156" t="str">
        <f t="shared" si="1"/>
        <v>Non</v>
      </c>
      <c r="W55" s="152" t="str">
        <f t="shared" si="2"/>
        <v>Y</v>
      </c>
      <c r="X55" s="149" t="str">
        <f>INDEX(Index!$G$1:$G$32,MATCH(E55,Index!$E$1:$E$32,0))</f>
        <v>DET</v>
      </c>
      <c r="Y55" s="150" t="str">
        <f>INDEX(Index!$G$1:$G$32,MATCH(G55,Index!$E$1:$E$32,0))</f>
        <v>CLE</v>
      </c>
      <c r="Z55" s="147" t="str">
        <f t="shared" si="3"/>
        <v/>
      </c>
      <c r="AA55" s="174" t="str" cm="1">
        <f t="array" ref="AA55">IFERROR(IF($W55="Y","",INDEX(EPA!$N$2:$N$512,MATCH(X55&amp;Index!$K$1,EPA!$A$2:$A$512&amp;EPA!$W$2:$W$512,0))),"")</f>
        <v/>
      </c>
      <c r="AB55" s="174" t="str" cm="1">
        <f t="array" ref="AB55">IFERROR(IF($W55="Y","",INDEX(EPA!$N$2:$N$512,MATCH(Y55&amp;Index!$K$1,EPA!$A$2:$A$512&amp;EPA!$W$2:$W$512,0))),"")</f>
        <v/>
      </c>
      <c r="AC55" s="174" t="str">
        <f ca="1">IF(AA55&lt;&gt;"",_xlfn.NORM.INV(RAND(),AA55,Index!$K$2),"")</f>
        <v/>
      </c>
      <c r="AD55" s="174" t="str">
        <f ca="1">IF(AB55&lt;&gt;"",_xlfn.NORM.INV(RAND(),AB55,Index!$K$2),"")</f>
        <v/>
      </c>
      <c r="AE55" s="157" t="str">
        <f t="shared" si="4"/>
        <v>DET</v>
      </c>
      <c r="AF55" s="158" t="str">
        <f t="shared" si="5"/>
        <v>CLE</v>
      </c>
      <c r="AG55" s="149">
        <f t="shared" si="6"/>
        <v>54</v>
      </c>
    </row>
    <row r="56" spans="1:33" x14ac:dyDescent="0.25">
      <c r="A56" s="9">
        <v>4</v>
      </c>
      <c r="B56" s="9" t="s">
        <v>661</v>
      </c>
      <c r="C56" s="148">
        <v>45928</v>
      </c>
      <c r="D56" s="9" t="s">
        <v>662</v>
      </c>
      <c r="E56" s="9" t="s">
        <v>33</v>
      </c>
      <c r="F56" s="9"/>
      <c r="G56" s="9" t="s">
        <v>19</v>
      </c>
      <c r="H56" s="9" t="s">
        <v>658</v>
      </c>
      <c r="I56" s="9">
        <v>26</v>
      </c>
      <c r="J56" s="9">
        <v>0</v>
      </c>
      <c r="K56" s="9">
        <v>353</v>
      </c>
      <c r="L56" s="9">
        <v>0</v>
      </c>
      <c r="M56" s="9">
        <v>175</v>
      </c>
      <c r="N56" s="9">
        <v>1</v>
      </c>
      <c r="O56" s="149" t="str">
        <f>IF(I56&lt;&gt;"",IF(I56=J56,"TIE",INDEX(Index!$F$1:$F$32,MATCH(E56,Index!$E$1:$E$32,0))),INDEX(Index!$F$1:$F$32,MATCH(E56,Index!$E$1:$E$32,0)))</f>
        <v>HOU</v>
      </c>
      <c r="P56" s="150" t="str">
        <f>IF(I56&lt;&gt;"",IF(I56=J56,"TIE",INDEX(Index!$F$1:$F$32,MATCH(G56,Index!$E$1:$E$32,0))),INDEX(Index!$F$1:$F$32,MATCH(G56,Index!$E$1:$E$32,0)))</f>
        <v>TEN</v>
      </c>
      <c r="Q56" s="155" t="str">
        <f>IF(O56="TIE",INDEX(Index!$F$1:$F$32,MATCH(E56,Index!$E$1:$E$32,0)),"")</f>
        <v/>
      </c>
      <c r="R56" s="155" t="str">
        <f>IF(P56="TIE",INDEX(Index!$F$1:$F$32,MATCH(G56,Index!$E$1:$E$32,0)),"")</f>
        <v/>
      </c>
      <c r="S56" s="151" t="str">
        <f t="shared" si="0"/>
        <v>H</v>
      </c>
      <c r="T56" s="156" t="str">
        <f>INDEX(Index!$H$1:$H$32,MATCH($E56,Index!$E$1:$E$32,0))</f>
        <v>AS</v>
      </c>
      <c r="U56" s="156" t="str">
        <f>INDEX(Index!$H$1:$H$32,MATCH($G56,Index!$E$1:$E$32,0))</f>
        <v>AS</v>
      </c>
      <c r="V56" s="156" t="str">
        <f t="shared" si="1"/>
        <v>Div</v>
      </c>
      <c r="W56" s="152" t="str">
        <f t="shared" si="2"/>
        <v>Y</v>
      </c>
      <c r="X56" s="149" t="str">
        <f>INDEX(Index!$G$1:$G$32,MATCH(E56,Index!$E$1:$E$32,0))</f>
        <v>HOU</v>
      </c>
      <c r="Y56" s="150" t="str">
        <f>INDEX(Index!$G$1:$G$32,MATCH(G56,Index!$E$1:$E$32,0))</f>
        <v>TEN</v>
      </c>
      <c r="Z56" s="147" t="str">
        <f t="shared" si="3"/>
        <v/>
      </c>
      <c r="AA56" s="174" t="str" cm="1">
        <f t="array" ref="AA56">IFERROR(IF($W56="Y","",INDEX(EPA!$N$2:$N$512,MATCH(X56&amp;Index!$K$1,EPA!$A$2:$A$512&amp;EPA!$W$2:$W$512,0))),"")</f>
        <v/>
      </c>
      <c r="AB56" s="174" t="str" cm="1">
        <f t="array" ref="AB56">IFERROR(IF($W56="Y","",INDEX(EPA!$N$2:$N$512,MATCH(Y56&amp;Index!$K$1,EPA!$A$2:$A$512&amp;EPA!$W$2:$W$512,0))),"")</f>
        <v/>
      </c>
      <c r="AC56" s="174" t="str">
        <f ca="1">IF(AA56&lt;&gt;"",_xlfn.NORM.INV(RAND(),AA56,Index!$K$2),"")</f>
        <v/>
      </c>
      <c r="AD56" s="174" t="str">
        <f ca="1">IF(AB56&lt;&gt;"",_xlfn.NORM.INV(RAND(),AB56,Index!$K$2),"")</f>
        <v/>
      </c>
      <c r="AE56" s="157" t="str">
        <f t="shared" si="4"/>
        <v>HOU</v>
      </c>
      <c r="AF56" s="158" t="str">
        <f t="shared" si="5"/>
        <v>TEN</v>
      </c>
      <c r="AG56" s="149">
        <f t="shared" si="6"/>
        <v>55</v>
      </c>
    </row>
    <row r="57" spans="1:33" x14ac:dyDescent="0.25">
      <c r="A57" s="9">
        <v>4</v>
      </c>
      <c r="B57" s="9" t="s">
        <v>661</v>
      </c>
      <c r="C57" s="148">
        <v>45928</v>
      </c>
      <c r="D57" s="9" t="s">
        <v>662</v>
      </c>
      <c r="E57" s="9" t="s">
        <v>49</v>
      </c>
      <c r="F57" s="9"/>
      <c r="G57" s="9" t="s">
        <v>68</v>
      </c>
      <c r="H57" s="9" t="s">
        <v>658</v>
      </c>
      <c r="I57" s="9">
        <v>21</v>
      </c>
      <c r="J57" s="9">
        <v>18</v>
      </c>
      <c r="K57" s="9">
        <v>250</v>
      </c>
      <c r="L57" s="9">
        <v>0</v>
      </c>
      <c r="M57" s="9">
        <v>338</v>
      </c>
      <c r="N57" s="9">
        <v>2</v>
      </c>
      <c r="O57" s="149" t="str">
        <f>IF(I57&lt;&gt;"",IF(I57=J57,"TIE",INDEX(Index!$F$1:$F$32,MATCH(E57,Index!$E$1:$E$32,0))),INDEX(Index!$F$1:$F$32,MATCH(E57,Index!$E$1:$E$32,0)))</f>
        <v>NYG</v>
      </c>
      <c r="P57" s="150" t="str">
        <f>IF(I57&lt;&gt;"",IF(I57=J57,"TIE",INDEX(Index!$F$1:$F$32,MATCH(G57,Index!$E$1:$E$32,0))),INDEX(Index!$F$1:$F$32,MATCH(G57,Index!$E$1:$E$32,0)))</f>
        <v>LAC</v>
      </c>
      <c r="Q57" s="155" t="str">
        <f>IF(O57="TIE",INDEX(Index!$F$1:$F$32,MATCH(E57,Index!$E$1:$E$32,0)),"")</f>
        <v/>
      </c>
      <c r="R57" s="155" t="str">
        <f>IF(P57="TIE",INDEX(Index!$F$1:$F$32,MATCH(G57,Index!$E$1:$E$32,0)),"")</f>
        <v/>
      </c>
      <c r="S57" s="151" t="str">
        <f t="shared" si="0"/>
        <v>H</v>
      </c>
      <c r="T57" s="156" t="str">
        <f>INDEX(Index!$H$1:$H$32,MATCH($E57,Index!$E$1:$E$32,0))</f>
        <v>NE</v>
      </c>
      <c r="U57" s="156" t="str">
        <f>INDEX(Index!$H$1:$H$32,MATCH($G57,Index!$E$1:$E$32,0))</f>
        <v>AW</v>
      </c>
      <c r="V57" s="156" t="str">
        <f t="shared" si="1"/>
        <v>Non</v>
      </c>
      <c r="W57" s="152" t="str">
        <f t="shared" si="2"/>
        <v>Y</v>
      </c>
      <c r="X57" s="149" t="str">
        <f>INDEX(Index!$G$1:$G$32,MATCH(E57,Index!$E$1:$E$32,0))</f>
        <v>NYG</v>
      </c>
      <c r="Y57" s="150" t="str">
        <f>INDEX(Index!$G$1:$G$32,MATCH(G57,Index!$E$1:$E$32,0))</f>
        <v>LAC</v>
      </c>
      <c r="Z57" s="147" t="str">
        <f t="shared" si="3"/>
        <v/>
      </c>
      <c r="AA57" s="174" t="str" cm="1">
        <f t="array" ref="AA57">IFERROR(IF($W57="Y","",INDEX(EPA!$N$2:$N$512,MATCH(X57&amp;Index!$K$1,EPA!$A$2:$A$512&amp;EPA!$W$2:$W$512,0))),"")</f>
        <v/>
      </c>
      <c r="AB57" s="174" t="str" cm="1">
        <f t="array" ref="AB57">IFERROR(IF($W57="Y","",INDEX(EPA!$N$2:$N$512,MATCH(Y57&amp;Index!$K$1,EPA!$A$2:$A$512&amp;EPA!$W$2:$W$512,0))),"")</f>
        <v/>
      </c>
      <c r="AC57" s="174" t="str">
        <f ca="1">IF(AA57&lt;&gt;"",_xlfn.NORM.INV(RAND(),AA57,Index!$K$2),"")</f>
        <v/>
      </c>
      <c r="AD57" s="174" t="str">
        <f ca="1">IF(AB57&lt;&gt;"",_xlfn.NORM.INV(RAND(),AB57,Index!$K$2),"")</f>
        <v/>
      </c>
      <c r="AE57" s="157" t="str">
        <f t="shared" si="4"/>
        <v>NYG</v>
      </c>
      <c r="AF57" s="158" t="str">
        <f t="shared" si="5"/>
        <v>LAC</v>
      </c>
      <c r="AG57" s="149">
        <f t="shared" si="6"/>
        <v>56</v>
      </c>
    </row>
    <row r="58" spans="1:33" x14ac:dyDescent="0.25">
      <c r="A58" s="9">
        <v>4</v>
      </c>
      <c r="B58" s="9" t="s">
        <v>661</v>
      </c>
      <c r="C58" s="148">
        <v>45928</v>
      </c>
      <c r="D58" s="9" t="s">
        <v>662</v>
      </c>
      <c r="E58" s="9" t="s">
        <v>92</v>
      </c>
      <c r="F58" s="9" t="s">
        <v>663</v>
      </c>
      <c r="G58" s="9" t="s">
        <v>0</v>
      </c>
      <c r="H58" s="9" t="s">
        <v>658</v>
      </c>
      <c r="I58" s="9">
        <v>31</v>
      </c>
      <c r="J58" s="9">
        <v>25</v>
      </c>
      <c r="K58" s="9">
        <v>200</v>
      </c>
      <c r="L58" s="9">
        <v>0</v>
      </c>
      <c r="M58" s="9">
        <v>376</v>
      </c>
      <c r="N58" s="9">
        <v>2</v>
      </c>
      <c r="O58" s="149" t="str">
        <f>IF(I58&lt;&gt;"",IF(I58=J58,"TIE",INDEX(Index!$F$1:$F$32,MATCH(E58,Index!$E$1:$E$32,0))),INDEX(Index!$F$1:$F$32,MATCH(E58,Index!$E$1:$E$32,0)))</f>
        <v>PHI</v>
      </c>
      <c r="P58" s="150" t="str">
        <f>IF(I58&lt;&gt;"",IF(I58=J58,"TIE",INDEX(Index!$F$1:$F$32,MATCH(G58,Index!$E$1:$E$32,0))),INDEX(Index!$F$1:$F$32,MATCH(G58,Index!$E$1:$E$32,0)))</f>
        <v>TB</v>
      </c>
      <c r="Q58" s="155" t="str">
        <f>IF(O58="TIE",INDEX(Index!$F$1:$F$32,MATCH(E58,Index!$E$1:$E$32,0)),"")</f>
        <v/>
      </c>
      <c r="R58" s="155" t="str">
        <f>IF(P58="TIE",INDEX(Index!$F$1:$F$32,MATCH(G58,Index!$E$1:$E$32,0)),"")</f>
        <v/>
      </c>
      <c r="S58" s="151" t="str">
        <f t="shared" si="0"/>
        <v>A</v>
      </c>
      <c r="T58" s="156" t="str">
        <f>INDEX(Index!$H$1:$H$32,MATCH($E58,Index!$E$1:$E$32,0))</f>
        <v>NE</v>
      </c>
      <c r="U58" s="156" t="str">
        <f>INDEX(Index!$H$1:$H$32,MATCH($G58,Index!$E$1:$E$32,0))</f>
        <v>NS</v>
      </c>
      <c r="V58" s="156" t="str">
        <f t="shared" si="1"/>
        <v>Con</v>
      </c>
      <c r="W58" s="152" t="str">
        <f t="shared" si="2"/>
        <v>Y</v>
      </c>
      <c r="X58" s="149" t="str">
        <f>INDEX(Index!$G$1:$G$32,MATCH(E58,Index!$E$1:$E$32,0))</f>
        <v>PHI</v>
      </c>
      <c r="Y58" s="150" t="str">
        <f>INDEX(Index!$G$1:$G$32,MATCH(G58,Index!$E$1:$E$32,0))</f>
        <v>TB</v>
      </c>
      <c r="Z58" s="147" t="str">
        <f t="shared" si="3"/>
        <v/>
      </c>
      <c r="AA58" s="174" t="str" cm="1">
        <f t="array" ref="AA58">IFERROR(IF($W58="Y","",INDEX(EPA!$N$2:$N$512,MATCH(X58&amp;Index!$K$1,EPA!$A$2:$A$512&amp;EPA!$W$2:$W$512,0))),"")</f>
        <v/>
      </c>
      <c r="AB58" s="174" t="str" cm="1">
        <f t="array" ref="AB58">IFERROR(IF($W58="Y","",INDEX(EPA!$N$2:$N$512,MATCH(Y58&amp;Index!$K$1,EPA!$A$2:$A$512&amp;EPA!$W$2:$W$512,0))),"")</f>
        <v/>
      </c>
      <c r="AC58" s="174" t="str">
        <f ca="1">IF(AA58&lt;&gt;"",_xlfn.NORM.INV(RAND(),AA58,Index!$K$2),"")</f>
        <v/>
      </c>
      <c r="AD58" s="174" t="str">
        <f ca="1">IF(AB58&lt;&gt;"",_xlfn.NORM.INV(RAND(),AB58,Index!$K$2),"")</f>
        <v/>
      </c>
      <c r="AE58" s="157" t="str">
        <f t="shared" si="4"/>
        <v>PHI</v>
      </c>
      <c r="AF58" s="158" t="str">
        <f t="shared" si="5"/>
        <v>TB</v>
      </c>
      <c r="AG58" s="149">
        <f t="shared" si="6"/>
        <v>57</v>
      </c>
    </row>
    <row r="59" spans="1:33" x14ac:dyDescent="0.25">
      <c r="A59" s="9">
        <v>4</v>
      </c>
      <c r="B59" s="9" t="s">
        <v>661</v>
      </c>
      <c r="C59" s="148">
        <v>45928</v>
      </c>
      <c r="D59" s="9" t="s">
        <v>664</v>
      </c>
      <c r="E59" s="9" t="s">
        <v>90</v>
      </c>
      <c r="F59" s="9"/>
      <c r="G59" s="9" t="s">
        <v>42</v>
      </c>
      <c r="H59" s="9" t="s">
        <v>658</v>
      </c>
      <c r="I59" s="9">
        <v>27</v>
      </c>
      <c r="J59" s="9">
        <v>20</v>
      </c>
      <c r="K59" s="9">
        <v>462</v>
      </c>
      <c r="L59" s="9">
        <v>1</v>
      </c>
      <c r="M59" s="9">
        <v>333</v>
      </c>
      <c r="N59" s="9">
        <v>3</v>
      </c>
      <c r="O59" s="149" t="str">
        <f>IF(I59&lt;&gt;"",IF(I59=J59,"TIE",INDEX(Index!$F$1:$F$32,MATCH(E59,Index!$E$1:$E$32,0))),INDEX(Index!$F$1:$F$32,MATCH(E59,Index!$E$1:$E$32,0)))</f>
        <v>LAR</v>
      </c>
      <c r="P59" s="150" t="str">
        <f>IF(I59&lt;&gt;"",IF(I59=J59,"TIE",INDEX(Index!$F$1:$F$32,MATCH(G59,Index!$E$1:$E$32,0))),INDEX(Index!$F$1:$F$32,MATCH(G59,Index!$E$1:$E$32,0)))</f>
        <v>IND</v>
      </c>
      <c r="Q59" s="155" t="str">
        <f>IF(O59="TIE",INDEX(Index!$F$1:$F$32,MATCH(E59,Index!$E$1:$E$32,0)),"")</f>
        <v/>
      </c>
      <c r="R59" s="155" t="str">
        <f>IF(P59="TIE",INDEX(Index!$F$1:$F$32,MATCH(G59,Index!$E$1:$E$32,0)),"")</f>
        <v/>
      </c>
      <c r="S59" s="151" t="str">
        <f t="shared" si="0"/>
        <v>H</v>
      </c>
      <c r="T59" s="156" t="str">
        <f>INDEX(Index!$H$1:$H$32,MATCH($E59,Index!$E$1:$E$32,0))</f>
        <v>NW</v>
      </c>
      <c r="U59" s="156" t="str">
        <f>INDEX(Index!$H$1:$H$32,MATCH($G59,Index!$E$1:$E$32,0))</f>
        <v>AS</v>
      </c>
      <c r="V59" s="156" t="str">
        <f t="shared" si="1"/>
        <v>Non</v>
      </c>
      <c r="W59" s="152" t="str">
        <f t="shared" si="2"/>
        <v>Y</v>
      </c>
      <c r="X59" s="149" t="str">
        <f>INDEX(Index!$G$1:$G$32,MATCH(E59,Index!$E$1:$E$32,0))</f>
        <v>LAR</v>
      </c>
      <c r="Y59" s="150" t="str">
        <f>INDEX(Index!$G$1:$G$32,MATCH(G59,Index!$E$1:$E$32,0))</f>
        <v>IND</v>
      </c>
      <c r="Z59" s="147" t="str">
        <f t="shared" si="3"/>
        <v/>
      </c>
      <c r="AA59" s="174" t="str" cm="1">
        <f t="array" ref="AA59">IFERROR(IF($W59="Y","",INDEX(EPA!$N$2:$N$512,MATCH(X59&amp;Index!$K$1,EPA!$A$2:$A$512&amp;EPA!$W$2:$W$512,0))),"")</f>
        <v/>
      </c>
      <c r="AB59" s="174" t="str" cm="1">
        <f t="array" ref="AB59">IFERROR(IF($W59="Y","",INDEX(EPA!$N$2:$N$512,MATCH(Y59&amp;Index!$K$1,EPA!$A$2:$A$512&amp;EPA!$W$2:$W$512,0))),"")</f>
        <v/>
      </c>
      <c r="AC59" s="174" t="str">
        <f ca="1">IF(AA59&lt;&gt;"",_xlfn.NORM.INV(RAND(),AA59,Index!$K$2),"")</f>
        <v/>
      </c>
      <c r="AD59" s="174" t="str">
        <f ca="1">IF(AB59&lt;&gt;"",_xlfn.NORM.INV(RAND(),AB59,Index!$K$2),"")</f>
        <v/>
      </c>
      <c r="AE59" s="157" t="str">
        <f t="shared" si="4"/>
        <v>LAR</v>
      </c>
      <c r="AF59" s="158" t="str">
        <f t="shared" si="5"/>
        <v>IND</v>
      </c>
      <c r="AG59" s="149">
        <f t="shared" si="6"/>
        <v>58</v>
      </c>
    </row>
    <row r="60" spans="1:33" x14ac:dyDescent="0.25">
      <c r="A60" s="9">
        <v>4</v>
      </c>
      <c r="B60" s="9" t="s">
        <v>661</v>
      </c>
      <c r="C60" s="148">
        <v>45928</v>
      </c>
      <c r="D60" s="9" t="s">
        <v>664</v>
      </c>
      <c r="E60" s="9" t="s">
        <v>36</v>
      </c>
      <c r="F60" s="9" t="s">
        <v>663</v>
      </c>
      <c r="G60" s="9" t="s">
        <v>30</v>
      </c>
      <c r="H60" s="9" t="s">
        <v>658</v>
      </c>
      <c r="I60" s="9">
        <v>26</v>
      </c>
      <c r="J60" s="9">
        <v>21</v>
      </c>
      <c r="K60" s="9">
        <v>325</v>
      </c>
      <c r="L60" s="9">
        <v>0</v>
      </c>
      <c r="M60" s="9">
        <v>389</v>
      </c>
      <c r="N60" s="9">
        <v>4</v>
      </c>
      <c r="O60" s="149" t="str">
        <f>IF(I60&lt;&gt;"",IF(I60=J60,"TIE",INDEX(Index!$F$1:$F$32,MATCH(E60,Index!$E$1:$E$32,0))),INDEX(Index!$F$1:$F$32,MATCH(E60,Index!$E$1:$E$32,0)))</f>
        <v>JAX</v>
      </c>
      <c r="P60" s="150" t="str">
        <f>IF(I60&lt;&gt;"",IF(I60=J60,"TIE",INDEX(Index!$F$1:$F$32,MATCH(G60,Index!$E$1:$E$32,0))),INDEX(Index!$F$1:$F$32,MATCH(G60,Index!$E$1:$E$32,0)))</f>
        <v>SF</v>
      </c>
      <c r="Q60" s="155" t="str">
        <f>IF(O60="TIE",INDEX(Index!$F$1:$F$32,MATCH(E60,Index!$E$1:$E$32,0)),"")</f>
        <v/>
      </c>
      <c r="R60" s="155" t="str">
        <f>IF(P60="TIE",INDEX(Index!$F$1:$F$32,MATCH(G60,Index!$E$1:$E$32,0)),"")</f>
        <v/>
      </c>
      <c r="S60" s="151" t="str">
        <f t="shared" si="0"/>
        <v>A</v>
      </c>
      <c r="T60" s="156" t="str">
        <f>INDEX(Index!$H$1:$H$32,MATCH($E60,Index!$E$1:$E$32,0))</f>
        <v>AS</v>
      </c>
      <c r="U60" s="156" t="str">
        <f>INDEX(Index!$H$1:$H$32,MATCH($G60,Index!$E$1:$E$32,0))</f>
        <v>NW</v>
      </c>
      <c r="V60" s="156" t="str">
        <f t="shared" si="1"/>
        <v>Non</v>
      </c>
      <c r="W60" s="152" t="str">
        <f t="shared" si="2"/>
        <v>Y</v>
      </c>
      <c r="X60" s="149" t="str">
        <f>INDEX(Index!$G$1:$G$32,MATCH(E60,Index!$E$1:$E$32,0))</f>
        <v>JAX</v>
      </c>
      <c r="Y60" s="150" t="str">
        <f>INDEX(Index!$G$1:$G$32,MATCH(G60,Index!$E$1:$E$32,0))</f>
        <v>SF</v>
      </c>
      <c r="Z60" s="147" t="str">
        <f t="shared" si="3"/>
        <v/>
      </c>
      <c r="AA60" s="174" t="str" cm="1">
        <f t="array" ref="AA60">IFERROR(IF($W60="Y","",INDEX(EPA!$N$2:$N$512,MATCH(X60&amp;Index!$K$1,EPA!$A$2:$A$512&amp;EPA!$W$2:$W$512,0))),"")</f>
        <v/>
      </c>
      <c r="AB60" s="174" t="str" cm="1">
        <f t="array" ref="AB60">IFERROR(IF($W60="Y","",INDEX(EPA!$N$2:$N$512,MATCH(Y60&amp;Index!$K$1,EPA!$A$2:$A$512&amp;EPA!$W$2:$W$512,0))),"")</f>
        <v/>
      </c>
      <c r="AC60" s="174" t="str">
        <f ca="1">IF(AA60&lt;&gt;"",_xlfn.NORM.INV(RAND(),AA60,Index!$K$2),"")</f>
        <v/>
      </c>
      <c r="AD60" s="174" t="str">
        <f ca="1">IF(AB60&lt;&gt;"",_xlfn.NORM.INV(RAND(),AB60,Index!$K$2),"")</f>
        <v/>
      </c>
      <c r="AE60" s="157" t="str">
        <f t="shared" si="4"/>
        <v>JAX</v>
      </c>
      <c r="AF60" s="158" t="str">
        <f t="shared" si="5"/>
        <v>SF</v>
      </c>
      <c r="AG60" s="149">
        <f t="shared" si="6"/>
        <v>59</v>
      </c>
    </row>
    <row r="61" spans="1:33" x14ac:dyDescent="0.25">
      <c r="A61" s="9">
        <v>4</v>
      </c>
      <c r="B61" s="9" t="s">
        <v>661</v>
      </c>
      <c r="C61" s="148">
        <v>45928</v>
      </c>
      <c r="D61" s="9" t="s">
        <v>665</v>
      </c>
      <c r="E61" s="9" t="s">
        <v>65</v>
      </c>
      <c r="F61" s="9" t="s">
        <v>663</v>
      </c>
      <c r="G61" s="9" t="s">
        <v>80</v>
      </c>
      <c r="H61" s="9" t="s">
        <v>658</v>
      </c>
      <c r="I61" s="9">
        <v>25</v>
      </c>
      <c r="J61" s="9">
        <v>24</v>
      </c>
      <c r="K61" s="9">
        <v>271</v>
      </c>
      <c r="L61" s="9">
        <v>1</v>
      </c>
      <c r="M61" s="9">
        <v>357</v>
      </c>
      <c r="N61" s="9">
        <v>4</v>
      </c>
      <c r="O61" s="149" t="str">
        <f>IF(I61&lt;&gt;"",IF(I61=J61,"TIE",INDEX(Index!$F$1:$F$32,MATCH(E61,Index!$E$1:$E$32,0))),INDEX(Index!$F$1:$F$32,MATCH(E61,Index!$E$1:$E$32,0)))</f>
        <v>CHI</v>
      </c>
      <c r="P61" s="150" t="str">
        <f>IF(I61&lt;&gt;"",IF(I61=J61,"TIE",INDEX(Index!$F$1:$F$32,MATCH(G61,Index!$E$1:$E$32,0))),INDEX(Index!$F$1:$F$32,MATCH(G61,Index!$E$1:$E$32,0)))</f>
        <v>LV</v>
      </c>
      <c r="Q61" s="155" t="str">
        <f>IF(O61="TIE",INDEX(Index!$F$1:$F$32,MATCH(E61,Index!$E$1:$E$32,0)),"")</f>
        <v/>
      </c>
      <c r="R61" s="155" t="str">
        <f>IF(P61="TIE",INDEX(Index!$F$1:$F$32,MATCH(G61,Index!$E$1:$E$32,0)),"")</f>
        <v/>
      </c>
      <c r="S61" s="151" t="str">
        <f t="shared" si="0"/>
        <v>A</v>
      </c>
      <c r="T61" s="156" t="str">
        <f>INDEX(Index!$H$1:$H$32,MATCH($E61,Index!$E$1:$E$32,0))</f>
        <v>NN</v>
      </c>
      <c r="U61" s="156" t="str">
        <f>INDEX(Index!$H$1:$H$32,MATCH($G61,Index!$E$1:$E$32,0))</f>
        <v>AW</v>
      </c>
      <c r="V61" s="156" t="str">
        <f t="shared" si="1"/>
        <v>Non</v>
      </c>
      <c r="W61" s="152" t="str">
        <f t="shared" si="2"/>
        <v>Y</v>
      </c>
      <c r="X61" s="149" t="str">
        <f>INDEX(Index!$G$1:$G$32,MATCH(E61,Index!$E$1:$E$32,0))</f>
        <v>CHI</v>
      </c>
      <c r="Y61" s="150" t="str">
        <f>INDEX(Index!$G$1:$G$32,MATCH(G61,Index!$E$1:$E$32,0))</f>
        <v>OAK</v>
      </c>
      <c r="Z61" s="147" t="str">
        <f t="shared" si="3"/>
        <v/>
      </c>
      <c r="AA61" s="174" t="str" cm="1">
        <f t="array" ref="AA61">IFERROR(IF($W61="Y","",INDEX(EPA!$N$2:$N$512,MATCH(X61&amp;Index!$K$1,EPA!$A$2:$A$512&amp;EPA!$W$2:$W$512,0))),"")</f>
        <v/>
      </c>
      <c r="AB61" s="174" t="str" cm="1">
        <f t="array" ref="AB61">IFERROR(IF($W61="Y","",INDEX(EPA!$N$2:$N$512,MATCH(Y61&amp;Index!$K$1,EPA!$A$2:$A$512&amp;EPA!$W$2:$W$512,0))),"")</f>
        <v/>
      </c>
      <c r="AC61" s="174" t="str">
        <f ca="1">IF(AA61&lt;&gt;"",_xlfn.NORM.INV(RAND(),AA61,Index!$K$2),"")</f>
        <v/>
      </c>
      <c r="AD61" s="174" t="str">
        <f ca="1">IF(AB61&lt;&gt;"",_xlfn.NORM.INV(RAND(),AB61,Index!$K$2),"")</f>
        <v/>
      </c>
      <c r="AE61" s="157" t="str">
        <f t="shared" si="4"/>
        <v>CHI</v>
      </c>
      <c r="AF61" s="158" t="str">
        <f t="shared" si="5"/>
        <v>LV</v>
      </c>
      <c r="AG61" s="149">
        <f t="shared" si="6"/>
        <v>60</v>
      </c>
    </row>
    <row r="62" spans="1:33" x14ac:dyDescent="0.25">
      <c r="A62" s="153">
        <v>4</v>
      </c>
      <c r="B62" s="153" t="s">
        <v>661</v>
      </c>
      <c r="C62" s="154">
        <v>45928</v>
      </c>
      <c r="D62" s="153" t="s">
        <v>665</v>
      </c>
      <c r="E62" s="153" t="s">
        <v>16</v>
      </c>
      <c r="F62" s="153"/>
      <c r="G62" s="153" t="s">
        <v>76</v>
      </c>
      <c r="H62" s="153" t="s">
        <v>658</v>
      </c>
      <c r="I62" s="153">
        <v>37</v>
      </c>
      <c r="J62" s="153">
        <v>20</v>
      </c>
      <c r="K62" s="153">
        <v>382</v>
      </c>
      <c r="L62" s="153">
        <v>0</v>
      </c>
      <c r="M62" s="153">
        <v>360</v>
      </c>
      <c r="N62" s="153">
        <v>2</v>
      </c>
      <c r="O62" s="149" t="str">
        <f>IF(I62&lt;&gt;"",IF(I62=J62,"TIE",INDEX(Index!$F$1:$F$32,MATCH(E62,Index!$E$1:$E$32,0))),INDEX(Index!$F$1:$F$32,MATCH(E62,Index!$E$1:$E$32,0)))</f>
        <v>KC</v>
      </c>
      <c r="P62" s="150" t="str">
        <f>IF(I62&lt;&gt;"",IF(I62=J62,"TIE",INDEX(Index!$F$1:$F$32,MATCH(G62,Index!$E$1:$E$32,0))),INDEX(Index!$F$1:$F$32,MATCH(G62,Index!$E$1:$E$32,0)))</f>
        <v>BAL</v>
      </c>
      <c r="Q62" s="155" t="str">
        <f>IF(O62="TIE",INDEX(Index!$F$1:$F$32,MATCH(E62,Index!$E$1:$E$32,0)),"")</f>
        <v/>
      </c>
      <c r="R62" s="155" t="str">
        <f>IF(P62="TIE",INDEX(Index!$F$1:$F$32,MATCH(G62,Index!$E$1:$E$32,0)),"")</f>
        <v/>
      </c>
      <c r="S62" s="151" t="str">
        <f t="shared" si="0"/>
        <v>H</v>
      </c>
      <c r="T62" s="156" t="str">
        <f>INDEX(Index!$H$1:$H$32,MATCH($E62,Index!$E$1:$E$32,0))</f>
        <v>AW</v>
      </c>
      <c r="U62" s="156" t="str">
        <f>INDEX(Index!$H$1:$H$32,MATCH($G62,Index!$E$1:$E$32,0))</f>
        <v>AN</v>
      </c>
      <c r="V62" s="156" t="str">
        <f t="shared" si="1"/>
        <v>Con</v>
      </c>
      <c r="W62" s="152" t="str">
        <f t="shared" si="2"/>
        <v>Y</v>
      </c>
      <c r="X62" s="149" t="str">
        <f>INDEX(Index!$G$1:$G$32,MATCH(E62,Index!$E$1:$E$32,0))</f>
        <v>KC</v>
      </c>
      <c r="Y62" s="150" t="str">
        <f>INDEX(Index!$G$1:$G$32,MATCH(G62,Index!$E$1:$E$32,0))</f>
        <v>BAL</v>
      </c>
      <c r="Z62" s="147" t="str">
        <f t="shared" si="3"/>
        <v/>
      </c>
      <c r="AA62" s="174" t="str" cm="1">
        <f t="array" ref="AA62">IFERROR(IF($W62="Y","",INDEX(EPA!$N$2:$N$512,MATCH(X62&amp;Index!$K$1,EPA!$A$2:$A$512&amp;EPA!$W$2:$W$512,0))),"")</f>
        <v/>
      </c>
      <c r="AB62" s="174" t="str" cm="1">
        <f t="array" ref="AB62">IFERROR(IF($W62="Y","",INDEX(EPA!$N$2:$N$512,MATCH(Y62&amp;Index!$K$1,EPA!$A$2:$A$512&amp;EPA!$W$2:$W$512,0))),"")</f>
        <v/>
      </c>
      <c r="AC62" s="174" t="str">
        <f ca="1">IF(AA62&lt;&gt;"",_xlfn.NORM.INV(RAND(),AA62,Index!$K$2),"")</f>
        <v/>
      </c>
      <c r="AD62" s="174" t="str">
        <f ca="1">IF(AB62&lt;&gt;"",_xlfn.NORM.INV(RAND(),AB62,Index!$K$2),"")</f>
        <v/>
      </c>
      <c r="AE62" s="157" t="str">
        <f t="shared" si="4"/>
        <v>KC</v>
      </c>
      <c r="AF62" s="158" t="str">
        <f t="shared" si="5"/>
        <v>BAL</v>
      </c>
      <c r="AG62" s="149">
        <f t="shared" si="6"/>
        <v>61</v>
      </c>
    </row>
    <row r="63" spans="1:33" x14ac:dyDescent="0.25">
      <c r="A63" s="9">
        <v>4</v>
      </c>
      <c r="B63" s="9" t="s">
        <v>661</v>
      </c>
      <c r="C63" s="148">
        <v>45928</v>
      </c>
      <c r="D63" s="9" t="s">
        <v>657</v>
      </c>
      <c r="E63" s="9" t="s">
        <v>88</v>
      </c>
      <c r="F63" s="9" t="s">
        <v>663</v>
      </c>
      <c r="G63" s="9" t="s">
        <v>56</v>
      </c>
      <c r="H63" s="9" t="s">
        <v>658</v>
      </c>
      <c r="I63" s="9">
        <v>40</v>
      </c>
      <c r="J63" s="9">
        <v>40</v>
      </c>
      <c r="K63" s="9">
        <v>489</v>
      </c>
      <c r="L63" s="9">
        <v>1</v>
      </c>
      <c r="M63" s="9">
        <v>436</v>
      </c>
      <c r="N63" s="9">
        <v>0</v>
      </c>
      <c r="O63" s="149" t="str">
        <f>IF(I63&lt;&gt;"",IF(I63=J63,"TIE",INDEX(Index!$F$1:$F$32,MATCH(E63,Index!$E$1:$E$32,0))),INDEX(Index!$F$1:$F$32,MATCH(E63,Index!$E$1:$E$32,0)))</f>
        <v>TIE</v>
      </c>
      <c r="P63" s="150" t="str">
        <f>IF(I63&lt;&gt;"",IF(I63=J63,"TIE",INDEX(Index!$F$1:$F$32,MATCH(G63,Index!$E$1:$E$32,0))),INDEX(Index!$F$1:$F$32,MATCH(G63,Index!$E$1:$E$32,0)))</f>
        <v>TIE</v>
      </c>
      <c r="Q63" s="155" t="str">
        <f>IF(O63="TIE",INDEX(Index!$F$1:$F$32,MATCH(E63,Index!$E$1:$E$32,0)),"")</f>
        <v>GB</v>
      </c>
      <c r="R63" s="155" t="str">
        <f>IF(P63="TIE",INDEX(Index!$F$1:$F$32,MATCH(G63,Index!$E$1:$E$32,0)),"")</f>
        <v>DAL</v>
      </c>
      <c r="S63" s="151" t="str">
        <f t="shared" si="0"/>
        <v>A</v>
      </c>
      <c r="T63" s="156" t="str">
        <f>INDEX(Index!$H$1:$H$32,MATCH($E63,Index!$E$1:$E$32,0))</f>
        <v>NN</v>
      </c>
      <c r="U63" s="156" t="str">
        <f>INDEX(Index!$H$1:$H$32,MATCH($G63,Index!$E$1:$E$32,0))</f>
        <v>NE</v>
      </c>
      <c r="V63" s="156" t="str">
        <f t="shared" si="1"/>
        <v>Con</v>
      </c>
      <c r="W63" s="152" t="str">
        <f t="shared" si="2"/>
        <v>Y</v>
      </c>
      <c r="X63" s="149" t="str">
        <f>INDEX(Index!$G$1:$G$32,MATCH(E63,Index!$E$1:$E$32,0))</f>
        <v>GB</v>
      </c>
      <c r="Y63" s="150" t="str">
        <f>INDEX(Index!$G$1:$G$32,MATCH(G63,Index!$E$1:$E$32,0))</f>
        <v>DAL</v>
      </c>
      <c r="Z63" s="147" t="str">
        <f t="shared" si="3"/>
        <v/>
      </c>
      <c r="AA63" s="174" t="str" cm="1">
        <f t="array" ref="AA63">IFERROR(IF($W63="Y","",INDEX(EPA!$N$2:$N$512,MATCH(X63&amp;Index!$K$1,EPA!$A$2:$A$512&amp;EPA!$W$2:$W$512,0))),"")</f>
        <v/>
      </c>
      <c r="AB63" s="174" t="str" cm="1">
        <f t="array" ref="AB63">IFERROR(IF($W63="Y","",INDEX(EPA!$N$2:$N$512,MATCH(Y63&amp;Index!$K$1,EPA!$A$2:$A$512&amp;EPA!$W$2:$W$512,0))),"")</f>
        <v/>
      </c>
      <c r="AC63" s="174" t="str">
        <f ca="1">IF(AA63&lt;&gt;"",_xlfn.NORM.INV(RAND(),AA63,Index!$K$2),"")</f>
        <v/>
      </c>
      <c r="AD63" s="174" t="str">
        <f ca="1">IF(AB63&lt;&gt;"",_xlfn.NORM.INV(RAND(),AB63,Index!$K$2),"")</f>
        <v/>
      </c>
      <c r="AE63" s="157" t="str">
        <f t="shared" si="4"/>
        <v>TIE</v>
      </c>
      <c r="AF63" s="158" t="str">
        <f t="shared" si="5"/>
        <v>TIE</v>
      </c>
      <c r="AG63" s="149">
        <f t="shared" si="6"/>
        <v>62</v>
      </c>
    </row>
    <row r="64" spans="1:33" x14ac:dyDescent="0.25">
      <c r="A64" s="9">
        <v>4</v>
      </c>
      <c r="B64" s="9" t="s">
        <v>666</v>
      </c>
      <c r="C64" s="148">
        <v>45929</v>
      </c>
      <c r="D64" s="9" t="s">
        <v>671</v>
      </c>
      <c r="E64" s="9" t="s">
        <v>62</v>
      </c>
      <c r="F64" s="9"/>
      <c r="G64" s="9" t="s">
        <v>23</v>
      </c>
      <c r="H64" s="9" t="s">
        <v>658</v>
      </c>
      <c r="I64" s="9">
        <v>27</v>
      </c>
      <c r="J64" s="9">
        <v>21</v>
      </c>
      <c r="K64" s="9">
        <v>300</v>
      </c>
      <c r="L64" s="9">
        <v>0</v>
      </c>
      <c r="M64" s="9">
        <v>404</v>
      </c>
      <c r="N64" s="9">
        <v>3</v>
      </c>
      <c r="O64" s="149" t="str">
        <f>IF(I64&lt;&gt;"",IF(I64=J64,"TIE",INDEX(Index!$F$1:$F$32,MATCH(E64,Index!$E$1:$E$32,0))),INDEX(Index!$F$1:$F$32,MATCH(E64,Index!$E$1:$E$32,0)))</f>
        <v>MIA</v>
      </c>
      <c r="P64" s="150" t="str">
        <f>IF(I64&lt;&gt;"",IF(I64=J64,"TIE",INDEX(Index!$F$1:$F$32,MATCH(G64,Index!$E$1:$E$32,0))),INDEX(Index!$F$1:$F$32,MATCH(G64,Index!$E$1:$E$32,0)))</f>
        <v>NYJ</v>
      </c>
      <c r="Q64" s="155" t="str">
        <f>IF(O64="TIE",INDEX(Index!$F$1:$F$32,MATCH(E64,Index!$E$1:$E$32,0)),"")</f>
        <v/>
      </c>
      <c r="R64" s="155" t="str">
        <f>IF(P64="TIE",INDEX(Index!$F$1:$F$32,MATCH(G64,Index!$E$1:$E$32,0)),"")</f>
        <v/>
      </c>
      <c r="S64" s="151" t="str">
        <f t="shared" si="0"/>
        <v>H</v>
      </c>
      <c r="T64" s="156" t="str">
        <f>INDEX(Index!$H$1:$H$32,MATCH($E64,Index!$E$1:$E$32,0))</f>
        <v>AE</v>
      </c>
      <c r="U64" s="156" t="str">
        <f>INDEX(Index!$H$1:$H$32,MATCH($G64,Index!$E$1:$E$32,0))</f>
        <v>AE</v>
      </c>
      <c r="V64" s="156" t="str">
        <f t="shared" si="1"/>
        <v>Div</v>
      </c>
      <c r="W64" s="152" t="str">
        <f t="shared" si="2"/>
        <v>Y</v>
      </c>
      <c r="X64" s="149" t="str">
        <f>INDEX(Index!$G$1:$G$32,MATCH(E64,Index!$E$1:$E$32,0))</f>
        <v>MIA</v>
      </c>
      <c r="Y64" s="150" t="str">
        <f>INDEX(Index!$G$1:$G$32,MATCH(G64,Index!$E$1:$E$32,0))</f>
        <v>NYJ</v>
      </c>
      <c r="Z64" s="147" t="str">
        <f t="shared" si="3"/>
        <v/>
      </c>
      <c r="AA64" s="174" t="str" cm="1">
        <f t="array" ref="AA64">IFERROR(IF($W64="Y","",INDEX(EPA!$N$2:$N$512,MATCH(X64&amp;Index!$K$1,EPA!$A$2:$A$512&amp;EPA!$W$2:$W$512,0))),"")</f>
        <v/>
      </c>
      <c r="AB64" s="174" t="str" cm="1">
        <f t="array" ref="AB64">IFERROR(IF($W64="Y","",INDEX(EPA!$N$2:$N$512,MATCH(Y64&amp;Index!$K$1,EPA!$A$2:$A$512&amp;EPA!$W$2:$W$512,0))),"")</f>
        <v/>
      </c>
      <c r="AC64" s="174" t="str">
        <f ca="1">IF(AA64&lt;&gt;"",_xlfn.NORM.INV(RAND(),AA64,Index!$K$2),"")</f>
        <v/>
      </c>
      <c r="AD64" s="174" t="str">
        <f ca="1">IF(AB64&lt;&gt;"",_xlfn.NORM.INV(RAND(),AB64,Index!$K$2),"")</f>
        <v/>
      </c>
      <c r="AE64" s="157" t="str">
        <f t="shared" si="4"/>
        <v>MIA</v>
      </c>
      <c r="AF64" s="158" t="str">
        <f t="shared" si="5"/>
        <v>NYJ</v>
      </c>
      <c r="AG64" s="149">
        <f t="shared" si="6"/>
        <v>63</v>
      </c>
    </row>
    <row r="65" spans="1:33" x14ac:dyDescent="0.25">
      <c r="A65" s="9">
        <v>4</v>
      </c>
      <c r="B65" s="9" t="s">
        <v>666</v>
      </c>
      <c r="C65" s="148">
        <v>45929</v>
      </c>
      <c r="D65" s="9" t="s">
        <v>667</v>
      </c>
      <c r="E65" s="9" t="s">
        <v>94</v>
      </c>
      <c r="F65" s="9"/>
      <c r="G65" s="9" t="s">
        <v>53</v>
      </c>
      <c r="H65" s="9" t="s">
        <v>658</v>
      </c>
      <c r="I65" s="9">
        <v>28</v>
      </c>
      <c r="J65" s="9">
        <v>3</v>
      </c>
      <c r="K65" s="9">
        <v>512</v>
      </c>
      <c r="L65" s="9">
        <v>1</v>
      </c>
      <c r="M65" s="9">
        <v>159</v>
      </c>
      <c r="N65" s="9">
        <v>0</v>
      </c>
      <c r="O65" s="149" t="str">
        <f>IF(I65&lt;&gt;"",IF(I65=J65,"TIE",INDEX(Index!$F$1:$F$32,MATCH(E65,Index!$E$1:$E$32,0))),INDEX(Index!$F$1:$F$32,MATCH(E65,Index!$E$1:$E$32,0)))</f>
        <v>DEN</v>
      </c>
      <c r="P65" s="150" t="str">
        <f>IF(I65&lt;&gt;"",IF(I65=J65,"TIE",INDEX(Index!$F$1:$F$32,MATCH(G65,Index!$E$1:$E$32,0))),INDEX(Index!$F$1:$F$32,MATCH(G65,Index!$E$1:$E$32,0)))</f>
        <v>CIN</v>
      </c>
      <c r="Q65" s="155" t="str">
        <f>IF(O65="TIE",INDEX(Index!$F$1:$F$32,MATCH(E65,Index!$E$1:$E$32,0)),"")</f>
        <v/>
      </c>
      <c r="R65" s="155" t="str">
        <f>IF(P65="TIE",INDEX(Index!$F$1:$F$32,MATCH(G65,Index!$E$1:$E$32,0)),"")</f>
        <v/>
      </c>
      <c r="S65" s="151" t="str">
        <f t="shared" si="0"/>
        <v>H</v>
      </c>
      <c r="T65" s="156" t="str">
        <f>INDEX(Index!$H$1:$H$32,MATCH($E65,Index!$E$1:$E$32,0))</f>
        <v>AW</v>
      </c>
      <c r="U65" s="156" t="str">
        <f>INDEX(Index!$H$1:$H$32,MATCH($G65,Index!$E$1:$E$32,0))</f>
        <v>AN</v>
      </c>
      <c r="V65" s="156" t="str">
        <f t="shared" si="1"/>
        <v>Con</v>
      </c>
      <c r="W65" s="152" t="str">
        <f t="shared" si="2"/>
        <v>Y</v>
      </c>
      <c r="X65" s="149" t="str">
        <f>INDEX(Index!$G$1:$G$32,MATCH(E65,Index!$E$1:$E$32,0))</f>
        <v>DEN</v>
      </c>
      <c r="Y65" s="150" t="str">
        <f>INDEX(Index!$G$1:$G$32,MATCH(G65,Index!$E$1:$E$32,0))</f>
        <v>CIN</v>
      </c>
      <c r="Z65" s="147" t="str">
        <f t="shared" si="3"/>
        <v/>
      </c>
      <c r="AA65" s="174" t="str" cm="1">
        <f t="array" ref="AA65">IFERROR(IF($W65="Y","",INDEX(EPA!$N$2:$N$512,MATCH(X65&amp;Index!$K$1,EPA!$A$2:$A$512&amp;EPA!$W$2:$W$512,0))),"")</f>
        <v/>
      </c>
      <c r="AB65" s="174" t="str" cm="1">
        <f t="array" ref="AB65">IFERROR(IF($W65="Y","",INDEX(EPA!$N$2:$N$512,MATCH(Y65&amp;Index!$K$1,EPA!$A$2:$A$512&amp;EPA!$W$2:$W$512,0))),"")</f>
        <v/>
      </c>
      <c r="AC65" s="174" t="str">
        <f ca="1">IF(AA65&lt;&gt;"",_xlfn.NORM.INV(RAND(),AA65,Index!$K$2),"")</f>
        <v/>
      </c>
      <c r="AD65" s="174" t="str">
        <f ca="1">IF(AB65&lt;&gt;"",_xlfn.NORM.INV(RAND(),AB65,Index!$K$2),"")</f>
        <v/>
      </c>
      <c r="AE65" s="157" t="str">
        <f t="shared" si="4"/>
        <v>DEN</v>
      </c>
      <c r="AF65" s="158" t="str">
        <f t="shared" si="5"/>
        <v>CIN</v>
      </c>
      <c r="AG65" s="149">
        <f t="shared" si="6"/>
        <v>64</v>
      </c>
    </row>
    <row r="66" spans="1:33" x14ac:dyDescent="0.25">
      <c r="A66" s="9">
        <v>5</v>
      </c>
      <c r="B66" s="9" t="s">
        <v>656</v>
      </c>
      <c r="C66" s="148">
        <v>45932</v>
      </c>
      <c r="D66" s="9" t="s">
        <v>667</v>
      </c>
      <c r="E66" s="9" t="s">
        <v>30</v>
      </c>
      <c r="F66" s="9" t="s">
        <v>663</v>
      </c>
      <c r="G66" s="9" t="s">
        <v>90</v>
      </c>
      <c r="H66" s="9" t="s">
        <v>658</v>
      </c>
      <c r="I66" s="9">
        <v>26</v>
      </c>
      <c r="J66" s="9">
        <v>23</v>
      </c>
      <c r="K66" s="9">
        <v>407</v>
      </c>
      <c r="L66" s="9">
        <v>0</v>
      </c>
      <c r="M66" s="9">
        <v>456</v>
      </c>
      <c r="N66" s="9">
        <v>2</v>
      </c>
      <c r="O66" s="149" t="str">
        <f>IF(I66&lt;&gt;"",IF(I66=J66,"TIE",INDEX(Index!$F$1:$F$32,MATCH(E66,Index!$E$1:$E$32,0))),INDEX(Index!$F$1:$F$32,MATCH(E66,Index!$E$1:$E$32,0)))</f>
        <v>SF</v>
      </c>
      <c r="P66" s="150" t="str">
        <f>IF(I66&lt;&gt;"",IF(I66=J66,"TIE",INDEX(Index!$F$1:$F$32,MATCH(G66,Index!$E$1:$E$32,0))),INDEX(Index!$F$1:$F$32,MATCH(G66,Index!$E$1:$E$32,0)))</f>
        <v>LAR</v>
      </c>
      <c r="Q66" s="155" t="str">
        <f>IF(O66="TIE",INDEX(Index!$F$1:$F$32,MATCH(E66,Index!$E$1:$E$32,0)),"")</f>
        <v/>
      </c>
      <c r="R66" s="155" t="str">
        <f>IF(P66="TIE",INDEX(Index!$F$1:$F$32,MATCH(G66,Index!$E$1:$E$32,0)),"")</f>
        <v/>
      </c>
      <c r="S66" s="151" t="str">
        <f t="shared" ref="S66:S129" si="7">IF(F66="@","A","H")</f>
        <v>A</v>
      </c>
      <c r="T66" s="156" t="str">
        <f>INDEX(Index!$H$1:$H$32,MATCH($E66,Index!$E$1:$E$32,0))</f>
        <v>NW</v>
      </c>
      <c r="U66" s="156" t="str">
        <f>INDEX(Index!$H$1:$H$32,MATCH($G66,Index!$E$1:$E$32,0))</f>
        <v>NW</v>
      </c>
      <c r="V66" s="156" t="str">
        <f t="shared" ref="V66:V129" si="8">IF(T66=U66,"Div",IF(LEFT(T66,1)=LEFT(U66,1),"Con","Non"))</f>
        <v>Div</v>
      </c>
      <c r="W66" s="152" t="str">
        <f t="shared" ref="W66:W129" si="9">IF(I66&lt;&gt;"","Y","N")</f>
        <v>Y</v>
      </c>
      <c r="X66" s="149" t="str">
        <f>INDEX(Index!$G$1:$G$32,MATCH(E66,Index!$E$1:$E$32,0))</f>
        <v>SF</v>
      </c>
      <c r="Y66" s="150" t="str">
        <f>INDEX(Index!$G$1:$G$32,MATCH(G66,Index!$E$1:$E$32,0))</f>
        <v>LAR</v>
      </c>
      <c r="Z66" s="147" t="str">
        <f t="shared" ref="Z66:Z129" si="10">IF(W66="Y","","Simulate")</f>
        <v/>
      </c>
      <c r="AA66" s="174" t="str" cm="1">
        <f t="array" ref="AA66">IFERROR(IF($W66="Y","",INDEX(EPA!$N$2:$N$512,MATCH(X66&amp;Index!$K$1,EPA!$A$2:$A$512&amp;EPA!$W$2:$W$512,0))),"")</f>
        <v/>
      </c>
      <c r="AB66" s="174" t="str" cm="1">
        <f t="array" ref="AB66">IFERROR(IF($W66="Y","",INDEX(EPA!$N$2:$N$512,MATCH(Y66&amp;Index!$K$1,EPA!$A$2:$A$512&amp;EPA!$W$2:$W$512,0))),"")</f>
        <v/>
      </c>
      <c r="AC66" s="174" t="str">
        <f ca="1">IF(AA66&lt;&gt;"",_xlfn.NORM.INV(RAND(),AA66,Index!$K$2),"")</f>
        <v/>
      </c>
      <c r="AD66" s="174" t="str">
        <f ca="1">IF(AB66&lt;&gt;"",_xlfn.NORM.INV(RAND(),AB66,Index!$K$2),"")</f>
        <v/>
      </c>
      <c r="AE66" s="157" t="str">
        <f t="shared" ref="AE66:AE129" si="11">IF(W66="Y",O66,IF(AC66&gt;AD66,O66,P66))</f>
        <v>SF</v>
      </c>
      <c r="AF66" s="158" t="str">
        <f t="shared" ref="AF66:AF129" si="12">IF(W66="Y",P66,IF(AC66&gt;AD66,P66,O66))</f>
        <v>LAR</v>
      </c>
      <c r="AG66" s="149">
        <f t="shared" si="6"/>
        <v>65</v>
      </c>
    </row>
    <row r="67" spans="1:33" x14ac:dyDescent="0.25">
      <c r="A67" s="9">
        <v>5</v>
      </c>
      <c r="B67" s="9" t="s">
        <v>661</v>
      </c>
      <c r="C67" s="148">
        <v>45935</v>
      </c>
      <c r="D67" s="9" t="s">
        <v>670</v>
      </c>
      <c r="E67" s="9" t="s">
        <v>58</v>
      </c>
      <c r="F67" s="9" t="s">
        <v>663</v>
      </c>
      <c r="G67" s="9" t="s">
        <v>83</v>
      </c>
      <c r="H67" s="9" t="s">
        <v>658</v>
      </c>
      <c r="I67" s="9">
        <v>21</v>
      </c>
      <c r="J67" s="9">
        <v>17</v>
      </c>
      <c r="K67" s="9">
        <v>349</v>
      </c>
      <c r="L67" s="9">
        <v>2</v>
      </c>
      <c r="M67" s="9">
        <v>322</v>
      </c>
      <c r="N67" s="9">
        <v>0</v>
      </c>
      <c r="O67" s="149" t="str">
        <f>IF(I67&lt;&gt;"",IF(I67=J67,"TIE",INDEX(Index!$F$1:$F$32,MATCH(E67,Index!$E$1:$E$32,0))),INDEX(Index!$F$1:$F$32,MATCH(E67,Index!$E$1:$E$32,0)))</f>
        <v>MIN</v>
      </c>
      <c r="P67" s="150" t="str">
        <f>IF(I67&lt;&gt;"",IF(I67=J67,"TIE",INDEX(Index!$F$1:$F$32,MATCH(G67,Index!$E$1:$E$32,0))),INDEX(Index!$F$1:$F$32,MATCH(G67,Index!$E$1:$E$32,0)))</f>
        <v>CLE</v>
      </c>
      <c r="Q67" s="155" t="str">
        <f>IF(O67="TIE",INDEX(Index!$F$1:$F$32,MATCH(E67,Index!$E$1:$E$32,0)),"")</f>
        <v/>
      </c>
      <c r="R67" s="155" t="str">
        <f>IF(P67="TIE",INDEX(Index!$F$1:$F$32,MATCH(G67,Index!$E$1:$E$32,0)),"")</f>
        <v/>
      </c>
      <c r="S67" s="151" t="str">
        <f t="shared" si="7"/>
        <v>A</v>
      </c>
      <c r="T67" s="156" t="str">
        <f>INDEX(Index!$H$1:$H$32,MATCH($E67,Index!$E$1:$E$32,0))</f>
        <v>NN</v>
      </c>
      <c r="U67" s="156" t="str">
        <f>INDEX(Index!$H$1:$H$32,MATCH($G67,Index!$E$1:$E$32,0))</f>
        <v>AN</v>
      </c>
      <c r="V67" s="156" t="str">
        <f t="shared" si="8"/>
        <v>Non</v>
      </c>
      <c r="W67" s="152" t="str">
        <f t="shared" si="9"/>
        <v>Y</v>
      </c>
      <c r="X67" s="149" t="str">
        <f>INDEX(Index!$G$1:$G$32,MATCH(E67,Index!$E$1:$E$32,0))</f>
        <v>MIN</v>
      </c>
      <c r="Y67" s="150" t="str">
        <f>INDEX(Index!$G$1:$G$32,MATCH(G67,Index!$E$1:$E$32,0))</f>
        <v>CLE</v>
      </c>
      <c r="Z67" s="147" t="str">
        <f t="shared" si="10"/>
        <v/>
      </c>
      <c r="AA67" s="174" t="str" cm="1">
        <f t="array" ref="AA67">IFERROR(IF($W67="Y","",INDEX(EPA!$N$2:$N$512,MATCH(X67&amp;Index!$K$1,EPA!$A$2:$A$512&amp;EPA!$W$2:$W$512,0))),"")</f>
        <v/>
      </c>
      <c r="AB67" s="174" t="str" cm="1">
        <f t="array" ref="AB67">IFERROR(IF($W67="Y","",INDEX(EPA!$N$2:$N$512,MATCH(Y67&amp;Index!$K$1,EPA!$A$2:$A$512&amp;EPA!$W$2:$W$512,0))),"")</f>
        <v/>
      </c>
      <c r="AC67" s="174" t="str">
        <f ca="1">IF(AA67&lt;&gt;"",_xlfn.NORM.INV(RAND(),AA67,Index!$K$2),"")</f>
        <v/>
      </c>
      <c r="AD67" s="174" t="str">
        <f ca="1">IF(AB67&lt;&gt;"",_xlfn.NORM.INV(RAND(),AB67,Index!$K$2),"")</f>
        <v/>
      </c>
      <c r="AE67" s="157" t="str">
        <f t="shared" si="11"/>
        <v>MIN</v>
      </c>
      <c r="AF67" s="158" t="str">
        <f t="shared" si="12"/>
        <v>CLE</v>
      </c>
      <c r="AG67" s="149">
        <f t="shared" ref="AG67:AG130" si="13">ROW(A67)-1</f>
        <v>66</v>
      </c>
    </row>
    <row r="68" spans="1:33" x14ac:dyDescent="0.25">
      <c r="A68" s="9">
        <v>5</v>
      </c>
      <c r="B68" s="9" t="s">
        <v>661</v>
      </c>
      <c r="C68" s="148">
        <v>45935</v>
      </c>
      <c r="D68" s="9" t="s">
        <v>662</v>
      </c>
      <c r="E68" s="9" t="s">
        <v>12</v>
      </c>
      <c r="F68" s="9"/>
      <c r="G68" s="9" t="s">
        <v>62</v>
      </c>
      <c r="H68" s="9" t="s">
        <v>658</v>
      </c>
      <c r="I68" s="9">
        <v>27</v>
      </c>
      <c r="J68" s="9">
        <v>24</v>
      </c>
      <c r="K68" s="9">
        <v>418</v>
      </c>
      <c r="L68" s="9">
        <v>2</v>
      </c>
      <c r="M68" s="9">
        <v>248</v>
      </c>
      <c r="N68" s="9">
        <v>0</v>
      </c>
      <c r="O68" s="149" t="str">
        <f>IF(I68&lt;&gt;"",IF(I68=J68,"TIE",INDEX(Index!$F$1:$F$32,MATCH(E68,Index!$E$1:$E$32,0))),INDEX(Index!$F$1:$F$32,MATCH(E68,Index!$E$1:$E$32,0)))</f>
        <v>CAR</v>
      </c>
      <c r="P68" s="150" t="str">
        <f>IF(I68&lt;&gt;"",IF(I68=J68,"TIE",INDEX(Index!$F$1:$F$32,MATCH(G68,Index!$E$1:$E$32,0))),INDEX(Index!$F$1:$F$32,MATCH(G68,Index!$E$1:$E$32,0)))</f>
        <v>MIA</v>
      </c>
      <c r="Q68" s="155" t="str">
        <f>IF(O68="TIE",INDEX(Index!$F$1:$F$32,MATCH(E68,Index!$E$1:$E$32,0)),"")</f>
        <v/>
      </c>
      <c r="R68" s="155" t="str">
        <f>IF(P68="TIE",INDEX(Index!$F$1:$F$32,MATCH(G68,Index!$E$1:$E$32,0)),"")</f>
        <v/>
      </c>
      <c r="S68" s="151" t="str">
        <f t="shared" si="7"/>
        <v>H</v>
      </c>
      <c r="T68" s="156" t="str">
        <f>INDEX(Index!$H$1:$H$32,MATCH($E68,Index!$E$1:$E$32,0))</f>
        <v>NS</v>
      </c>
      <c r="U68" s="156" t="str">
        <f>INDEX(Index!$H$1:$H$32,MATCH($G68,Index!$E$1:$E$32,0))</f>
        <v>AE</v>
      </c>
      <c r="V68" s="156" t="str">
        <f t="shared" si="8"/>
        <v>Non</v>
      </c>
      <c r="W68" s="152" t="str">
        <f t="shared" si="9"/>
        <v>Y</v>
      </c>
      <c r="X68" s="149" t="str">
        <f>INDEX(Index!$G$1:$G$32,MATCH(E68,Index!$E$1:$E$32,0))</f>
        <v>CAR</v>
      </c>
      <c r="Y68" s="150" t="str">
        <f>INDEX(Index!$G$1:$G$32,MATCH(G68,Index!$E$1:$E$32,0))</f>
        <v>MIA</v>
      </c>
      <c r="Z68" s="147" t="str">
        <f t="shared" si="10"/>
        <v/>
      </c>
      <c r="AA68" s="174" t="str" cm="1">
        <f t="array" ref="AA68">IFERROR(IF($W68="Y","",INDEX(EPA!$N$2:$N$512,MATCH(X68&amp;Index!$K$1,EPA!$A$2:$A$512&amp;EPA!$W$2:$W$512,0))),"")</f>
        <v/>
      </c>
      <c r="AB68" s="174" t="str" cm="1">
        <f t="array" ref="AB68">IFERROR(IF($W68="Y","",INDEX(EPA!$N$2:$N$512,MATCH(Y68&amp;Index!$K$1,EPA!$A$2:$A$512&amp;EPA!$W$2:$W$512,0))),"")</f>
        <v/>
      </c>
      <c r="AC68" s="174" t="str">
        <f ca="1">IF(AA68&lt;&gt;"",_xlfn.NORM.INV(RAND(),AA68,Index!$K$2),"")</f>
        <v/>
      </c>
      <c r="AD68" s="174" t="str">
        <f ca="1">IF(AB68&lt;&gt;"",_xlfn.NORM.INV(RAND(),AB68,Index!$K$2),"")</f>
        <v/>
      </c>
      <c r="AE68" s="157" t="str">
        <f t="shared" si="11"/>
        <v>CAR</v>
      </c>
      <c r="AF68" s="158" t="str">
        <f t="shared" si="12"/>
        <v>MIA</v>
      </c>
      <c r="AG68" s="149">
        <f t="shared" si="13"/>
        <v>67</v>
      </c>
    </row>
    <row r="69" spans="1:33" x14ac:dyDescent="0.25">
      <c r="A69" s="9">
        <v>5</v>
      </c>
      <c r="B69" s="9" t="s">
        <v>661</v>
      </c>
      <c r="C69" s="148">
        <v>45935</v>
      </c>
      <c r="D69" s="9" t="s">
        <v>662</v>
      </c>
      <c r="E69" s="9" t="s">
        <v>42</v>
      </c>
      <c r="F69" s="9"/>
      <c r="G69" s="9" t="s">
        <v>80</v>
      </c>
      <c r="H69" s="9" t="s">
        <v>658</v>
      </c>
      <c r="I69" s="9">
        <v>40</v>
      </c>
      <c r="J69" s="9">
        <v>6</v>
      </c>
      <c r="K69" s="9">
        <v>317</v>
      </c>
      <c r="L69" s="9">
        <v>0</v>
      </c>
      <c r="M69" s="9">
        <v>296</v>
      </c>
      <c r="N69" s="9">
        <v>2</v>
      </c>
      <c r="O69" s="149" t="str">
        <f>IF(I69&lt;&gt;"",IF(I69=J69,"TIE",INDEX(Index!$F$1:$F$32,MATCH(E69,Index!$E$1:$E$32,0))),INDEX(Index!$F$1:$F$32,MATCH(E69,Index!$E$1:$E$32,0)))</f>
        <v>IND</v>
      </c>
      <c r="P69" s="150" t="str">
        <f>IF(I69&lt;&gt;"",IF(I69=J69,"TIE",INDEX(Index!$F$1:$F$32,MATCH(G69,Index!$E$1:$E$32,0))),INDEX(Index!$F$1:$F$32,MATCH(G69,Index!$E$1:$E$32,0)))</f>
        <v>LV</v>
      </c>
      <c r="Q69" s="155" t="str">
        <f>IF(O69="TIE",INDEX(Index!$F$1:$F$32,MATCH(E69,Index!$E$1:$E$32,0)),"")</f>
        <v/>
      </c>
      <c r="R69" s="155" t="str">
        <f>IF(P69="TIE",INDEX(Index!$F$1:$F$32,MATCH(G69,Index!$E$1:$E$32,0)),"")</f>
        <v/>
      </c>
      <c r="S69" s="151" t="str">
        <f t="shared" si="7"/>
        <v>H</v>
      </c>
      <c r="T69" s="156" t="str">
        <f>INDEX(Index!$H$1:$H$32,MATCH($E69,Index!$E$1:$E$32,0))</f>
        <v>AS</v>
      </c>
      <c r="U69" s="156" t="str">
        <f>INDEX(Index!$H$1:$H$32,MATCH($G69,Index!$E$1:$E$32,0))</f>
        <v>AW</v>
      </c>
      <c r="V69" s="156" t="str">
        <f t="shared" si="8"/>
        <v>Con</v>
      </c>
      <c r="W69" s="152" t="str">
        <f t="shared" si="9"/>
        <v>Y</v>
      </c>
      <c r="X69" s="149" t="str">
        <f>INDEX(Index!$G$1:$G$32,MATCH(E69,Index!$E$1:$E$32,0))</f>
        <v>IND</v>
      </c>
      <c r="Y69" s="150" t="str">
        <f>INDEX(Index!$G$1:$G$32,MATCH(G69,Index!$E$1:$E$32,0))</f>
        <v>OAK</v>
      </c>
      <c r="Z69" s="147" t="str">
        <f t="shared" si="10"/>
        <v/>
      </c>
      <c r="AA69" s="174" t="str" cm="1">
        <f t="array" ref="AA69">IFERROR(IF($W69="Y","",INDEX(EPA!$N$2:$N$512,MATCH(X69&amp;Index!$K$1,EPA!$A$2:$A$512&amp;EPA!$W$2:$W$512,0))),"")</f>
        <v/>
      </c>
      <c r="AB69" s="174" t="str" cm="1">
        <f t="array" ref="AB69">IFERROR(IF($W69="Y","",INDEX(EPA!$N$2:$N$512,MATCH(Y69&amp;Index!$K$1,EPA!$A$2:$A$512&amp;EPA!$W$2:$W$512,0))),"")</f>
        <v/>
      </c>
      <c r="AC69" s="174" t="str">
        <f ca="1">IF(AA69&lt;&gt;"",_xlfn.NORM.INV(RAND(),AA69,Index!$K$2),"")</f>
        <v/>
      </c>
      <c r="AD69" s="174" t="str">
        <f ca="1">IF(AB69&lt;&gt;"",_xlfn.NORM.INV(RAND(),AB69,Index!$K$2),"")</f>
        <v/>
      </c>
      <c r="AE69" s="157" t="str">
        <f t="shared" si="11"/>
        <v>IND</v>
      </c>
      <c r="AF69" s="158" t="str">
        <f t="shared" si="12"/>
        <v>LV</v>
      </c>
      <c r="AG69" s="149">
        <f t="shared" si="13"/>
        <v>68</v>
      </c>
    </row>
    <row r="70" spans="1:33" x14ac:dyDescent="0.25">
      <c r="A70" s="9">
        <v>5</v>
      </c>
      <c r="B70" s="9" t="s">
        <v>661</v>
      </c>
      <c r="C70" s="148">
        <v>45935</v>
      </c>
      <c r="D70" s="9" t="s">
        <v>662</v>
      </c>
      <c r="E70" s="9" t="s">
        <v>56</v>
      </c>
      <c r="F70" s="9" t="s">
        <v>663</v>
      </c>
      <c r="G70" s="9" t="s">
        <v>23</v>
      </c>
      <c r="H70" s="9" t="s">
        <v>658</v>
      </c>
      <c r="I70" s="9">
        <v>37</v>
      </c>
      <c r="J70" s="9">
        <v>22</v>
      </c>
      <c r="K70" s="9">
        <v>416</v>
      </c>
      <c r="L70" s="9">
        <v>0</v>
      </c>
      <c r="M70" s="9">
        <v>378</v>
      </c>
      <c r="N70" s="9">
        <v>1</v>
      </c>
      <c r="O70" s="149" t="str">
        <f>IF(I70&lt;&gt;"",IF(I70=J70,"TIE",INDEX(Index!$F$1:$F$32,MATCH(E70,Index!$E$1:$E$32,0))),INDEX(Index!$F$1:$F$32,MATCH(E70,Index!$E$1:$E$32,0)))</f>
        <v>DAL</v>
      </c>
      <c r="P70" s="150" t="str">
        <f>IF(I70&lt;&gt;"",IF(I70=J70,"TIE",INDEX(Index!$F$1:$F$32,MATCH(G70,Index!$E$1:$E$32,0))),INDEX(Index!$F$1:$F$32,MATCH(G70,Index!$E$1:$E$32,0)))</f>
        <v>NYJ</v>
      </c>
      <c r="Q70" s="155" t="str">
        <f>IF(O70="TIE",INDEX(Index!$F$1:$F$32,MATCH(E70,Index!$E$1:$E$32,0)),"")</f>
        <v/>
      </c>
      <c r="R70" s="155" t="str">
        <f>IF(P70="TIE",INDEX(Index!$F$1:$F$32,MATCH(G70,Index!$E$1:$E$32,0)),"")</f>
        <v/>
      </c>
      <c r="S70" s="151" t="str">
        <f t="shared" si="7"/>
        <v>A</v>
      </c>
      <c r="T70" s="156" t="str">
        <f>INDEX(Index!$H$1:$H$32,MATCH($E70,Index!$E$1:$E$32,0))</f>
        <v>NE</v>
      </c>
      <c r="U70" s="156" t="str">
        <f>INDEX(Index!$H$1:$H$32,MATCH($G70,Index!$E$1:$E$32,0))</f>
        <v>AE</v>
      </c>
      <c r="V70" s="156" t="str">
        <f t="shared" si="8"/>
        <v>Non</v>
      </c>
      <c r="W70" s="152" t="str">
        <f t="shared" si="9"/>
        <v>Y</v>
      </c>
      <c r="X70" s="149" t="str">
        <f>INDEX(Index!$G$1:$G$32,MATCH(E70,Index!$E$1:$E$32,0))</f>
        <v>DAL</v>
      </c>
      <c r="Y70" s="150" t="str">
        <f>INDEX(Index!$G$1:$G$32,MATCH(G70,Index!$E$1:$E$32,0))</f>
        <v>NYJ</v>
      </c>
      <c r="Z70" s="147" t="str">
        <f t="shared" si="10"/>
        <v/>
      </c>
      <c r="AA70" s="174" t="str" cm="1">
        <f t="array" ref="AA70">IFERROR(IF($W70="Y","",INDEX(EPA!$N$2:$N$512,MATCH(X70&amp;Index!$K$1,EPA!$A$2:$A$512&amp;EPA!$W$2:$W$512,0))),"")</f>
        <v/>
      </c>
      <c r="AB70" s="174" t="str" cm="1">
        <f t="array" ref="AB70">IFERROR(IF($W70="Y","",INDEX(EPA!$N$2:$N$512,MATCH(Y70&amp;Index!$K$1,EPA!$A$2:$A$512&amp;EPA!$W$2:$W$512,0))),"")</f>
        <v/>
      </c>
      <c r="AC70" s="174" t="str">
        <f ca="1">IF(AA70&lt;&gt;"",_xlfn.NORM.INV(RAND(),AA70,Index!$K$2),"")</f>
        <v/>
      </c>
      <c r="AD70" s="174" t="str">
        <f ca="1">IF(AB70&lt;&gt;"",_xlfn.NORM.INV(RAND(),AB70,Index!$K$2),"")</f>
        <v/>
      </c>
      <c r="AE70" s="157" t="str">
        <f t="shared" si="11"/>
        <v>DAL</v>
      </c>
      <c r="AF70" s="158" t="str">
        <f t="shared" si="12"/>
        <v>NYJ</v>
      </c>
      <c r="AG70" s="149">
        <f t="shared" si="13"/>
        <v>69</v>
      </c>
    </row>
    <row r="71" spans="1:33" x14ac:dyDescent="0.25">
      <c r="A71" s="9">
        <v>5</v>
      </c>
      <c r="B71" s="9" t="s">
        <v>661</v>
      </c>
      <c r="C71" s="148">
        <v>45935</v>
      </c>
      <c r="D71" s="9" t="s">
        <v>662</v>
      </c>
      <c r="E71" s="9" t="s">
        <v>94</v>
      </c>
      <c r="F71" s="9" t="s">
        <v>663</v>
      </c>
      <c r="G71" s="9" t="s">
        <v>92</v>
      </c>
      <c r="H71" s="9" t="s">
        <v>658</v>
      </c>
      <c r="I71" s="9">
        <v>21</v>
      </c>
      <c r="J71" s="9">
        <v>17</v>
      </c>
      <c r="K71" s="9">
        <v>358</v>
      </c>
      <c r="L71" s="9">
        <v>0</v>
      </c>
      <c r="M71" s="9">
        <v>302</v>
      </c>
      <c r="N71" s="9">
        <v>0</v>
      </c>
      <c r="O71" s="149" t="str">
        <f>IF(I71&lt;&gt;"",IF(I71=J71,"TIE",INDEX(Index!$F$1:$F$32,MATCH(E71,Index!$E$1:$E$32,0))),INDEX(Index!$F$1:$F$32,MATCH(E71,Index!$E$1:$E$32,0)))</f>
        <v>DEN</v>
      </c>
      <c r="P71" s="150" t="str">
        <f>IF(I71&lt;&gt;"",IF(I71=J71,"TIE",INDEX(Index!$F$1:$F$32,MATCH(G71,Index!$E$1:$E$32,0))),INDEX(Index!$F$1:$F$32,MATCH(G71,Index!$E$1:$E$32,0)))</f>
        <v>PHI</v>
      </c>
      <c r="Q71" s="155" t="str">
        <f>IF(O71="TIE",INDEX(Index!$F$1:$F$32,MATCH(E71,Index!$E$1:$E$32,0)),"")</f>
        <v/>
      </c>
      <c r="R71" s="155" t="str">
        <f>IF(P71="TIE",INDEX(Index!$F$1:$F$32,MATCH(G71,Index!$E$1:$E$32,0)),"")</f>
        <v/>
      </c>
      <c r="S71" s="151" t="str">
        <f t="shared" si="7"/>
        <v>A</v>
      </c>
      <c r="T71" s="156" t="str">
        <f>INDEX(Index!$H$1:$H$32,MATCH($E71,Index!$E$1:$E$32,0))</f>
        <v>AW</v>
      </c>
      <c r="U71" s="156" t="str">
        <f>INDEX(Index!$H$1:$H$32,MATCH($G71,Index!$E$1:$E$32,0))</f>
        <v>NE</v>
      </c>
      <c r="V71" s="156" t="str">
        <f t="shared" si="8"/>
        <v>Non</v>
      </c>
      <c r="W71" s="152" t="str">
        <f t="shared" si="9"/>
        <v>Y</v>
      </c>
      <c r="X71" s="149" t="str">
        <f>INDEX(Index!$G$1:$G$32,MATCH(E71,Index!$E$1:$E$32,0))</f>
        <v>DEN</v>
      </c>
      <c r="Y71" s="150" t="str">
        <f>INDEX(Index!$G$1:$G$32,MATCH(G71,Index!$E$1:$E$32,0))</f>
        <v>PHI</v>
      </c>
      <c r="Z71" s="147" t="str">
        <f t="shared" si="10"/>
        <v/>
      </c>
      <c r="AA71" s="174" t="str" cm="1">
        <f t="array" ref="AA71">IFERROR(IF($W71="Y","",INDEX(EPA!$N$2:$N$512,MATCH(X71&amp;Index!$K$1,EPA!$A$2:$A$512&amp;EPA!$W$2:$W$512,0))),"")</f>
        <v/>
      </c>
      <c r="AB71" s="174" t="str" cm="1">
        <f t="array" ref="AB71">IFERROR(IF($W71="Y","",INDEX(EPA!$N$2:$N$512,MATCH(Y71&amp;Index!$K$1,EPA!$A$2:$A$512&amp;EPA!$W$2:$W$512,0))),"")</f>
        <v/>
      </c>
      <c r="AC71" s="174" t="str">
        <f ca="1">IF(AA71&lt;&gt;"",_xlfn.NORM.INV(RAND(),AA71,Index!$K$2),"")</f>
        <v/>
      </c>
      <c r="AD71" s="174" t="str">
        <f ca="1">IF(AB71&lt;&gt;"",_xlfn.NORM.INV(RAND(),AB71,Index!$K$2),"")</f>
        <v/>
      </c>
      <c r="AE71" s="157" t="str">
        <f t="shared" si="11"/>
        <v>DEN</v>
      </c>
      <c r="AF71" s="158" t="str">
        <f t="shared" si="12"/>
        <v>PHI</v>
      </c>
      <c r="AG71" s="149">
        <f t="shared" si="13"/>
        <v>70</v>
      </c>
    </row>
    <row r="72" spans="1:33" x14ac:dyDescent="0.25">
      <c r="A72" s="9">
        <v>5</v>
      </c>
      <c r="B72" s="9" t="s">
        <v>661</v>
      </c>
      <c r="C72" s="148">
        <v>45935</v>
      </c>
      <c r="D72" s="9" t="s">
        <v>662</v>
      </c>
      <c r="E72" s="9" t="s">
        <v>33</v>
      </c>
      <c r="F72" s="9" t="s">
        <v>663</v>
      </c>
      <c r="G72" s="9" t="s">
        <v>76</v>
      </c>
      <c r="H72" s="9" t="s">
        <v>658</v>
      </c>
      <c r="I72" s="9">
        <v>44</v>
      </c>
      <c r="J72" s="9">
        <v>10</v>
      </c>
      <c r="K72" s="9">
        <v>417</v>
      </c>
      <c r="L72" s="9">
        <v>0</v>
      </c>
      <c r="M72" s="9">
        <v>207</v>
      </c>
      <c r="N72" s="9">
        <v>3</v>
      </c>
      <c r="O72" s="149" t="str">
        <f>IF(I72&lt;&gt;"",IF(I72=J72,"TIE",INDEX(Index!$F$1:$F$32,MATCH(E72,Index!$E$1:$E$32,0))),INDEX(Index!$F$1:$F$32,MATCH(E72,Index!$E$1:$E$32,0)))</f>
        <v>HOU</v>
      </c>
      <c r="P72" s="150" t="str">
        <f>IF(I72&lt;&gt;"",IF(I72=J72,"TIE",INDEX(Index!$F$1:$F$32,MATCH(G72,Index!$E$1:$E$32,0))),INDEX(Index!$F$1:$F$32,MATCH(G72,Index!$E$1:$E$32,0)))</f>
        <v>BAL</v>
      </c>
      <c r="Q72" s="155" t="str">
        <f>IF(O72="TIE",INDEX(Index!$F$1:$F$32,MATCH(E72,Index!$E$1:$E$32,0)),"")</f>
        <v/>
      </c>
      <c r="R72" s="155" t="str">
        <f>IF(P72="TIE",INDEX(Index!$F$1:$F$32,MATCH(G72,Index!$E$1:$E$32,0)),"")</f>
        <v/>
      </c>
      <c r="S72" s="151" t="str">
        <f t="shared" si="7"/>
        <v>A</v>
      </c>
      <c r="T72" s="156" t="str">
        <f>INDEX(Index!$H$1:$H$32,MATCH($E72,Index!$E$1:$E$32,0))</f>
        <v>AS</v>
      </c>
      <c r="U72" s="156" t="str">
        <f>INDEX(Index!$H$1:$H$32,MATCH($G72,Index!$E$1:$E$32,0))</f>
        <v>AN</v>
      </c>
      <c r="V72" s="156" t="str">
        <f t="shared" si="8"/>
        <v>Con</v>
      </c>
      <c r="W72" s="152" t="str">
        <f t="shared" si="9"/>
        <v>Y</v>
      </c>
      <c r="X72" s="149" t="str">
        <f>INDEX(Index!$G$1:$G$32,MATCH(E72,Index!$E$1:$E$32,0))</f>
        <v>HOU</v>
      </c>
      <c r="Y72" s="150" t="str">
        <f>INDEX(Index!$G$1:$G$32,MATCH(G72,Index!$E$1:$E$32,0))</f>
        <v>BAL</v>
      </c>
      <c r="Z72" s="147" t="str">
        <f t="shared" si="10"/>
        <v/>
      </c>
      <c r="AA72" s="174" t="str" cm="1">
        <f t="array" ref="AA72">IFERROR(IF($W72="Y","",INDEX(EPA!$N$2:$N$512,MATCH(X72&amp;Index!$K$1,EPA!$A$2:$A$512&amp;EPA!$W$2:$W$512,0))),"")</f>
        <v/>
      </c>
      <c r="AB72" s="174" t="str" cm="1">
        <f t="array" ref="AB72">IFERROR(IF($W72="Y","",INDEX(EPA!$N$2:$N$512,MATCH(Y72&amp;Index!$K$1,EPA!$A$2:$A$512&amp;EPA!$W$2:$W$512,0))),"")</f>
        <v/>
      </c>
      <c r="AC72" s="174" t="str">
        <f ca="1">IF(AA72&lt;&gt;"",_xlfn.NORM.INV(RAND(),AA72,Index!$K$2),"")</f>
        <v/>
      </c>
      <c r="AD72" s="174" t="str">
        <f ca="1">IF(AB72&lt;&gt;"",_xlfn.NORM.INV(RAND(),AB72,Index!$K$2),"")</f>
        <v/>
      </c>
      <c r="AE72" s="157" t="str">
        <f t="shared" si="11"/>
        <v>HOU</v>
      </c>
      <c r="AF72" s="158" t="str">
        <f t="shared" si="12"/>
        <v>BAL</v>
      </c>
      <c r="AG72" s="149">
        <f t="shared" si="13"/>
        <v>71</v>
      </c>
    </row>
    <row r="73" spans="1:33" x14ac:dyDescent="0.25">
      <c r="A73" s="9">
        <v>5</v>
      </c>
      <c r="B73" s="9" t="s">
        <v>661</v>
      </c>
      <c r="C73" s="148">
        <v>45935</v>
      </c>
      <c r="D73" s="9" t="s">
        <v>662</v>
      </c>
      <c r="E73" s="9" t="s">
        <v>71</v>
      </c>
      <c r="F73" s="9"/>
      <c r="G73" s="9" t="s">
        <v>49</v>
      </c>
      <c r="H73" s="9" t="s">
        <v>658</v>
      </c>
      <c r="I73" s="9">
        <v>26</v>
      </c>
      <c r="J73" s="9">
        <v>14</v>
      </c>
      <c r="K73" s="9">
        <v>332</v>
      </c>
      <c r="L73" s="9">
        <v>0</v>
      </c>
      <c r="M73" s="9">
        <v>335</v>
      </c>
      <c r="N73" s="9">
        <v>5</v>
      </c>
      <c r="O73" s="149" t="str">
        <f>IF(I73&lt;&gt;"",IF(I73=J73,"TIE",INDEX(Index!$F$1:$F$32,MATCH(E73,Index!$E$1:$E$32,0))),INDEX(Index!$F$1:$F$32,MATCH(E73,Index!$E$1:$E$32,0)))</f>
        <v>NO</v>
      </c>
      <c r="P73" s="150" t="str">
        <f>IF(I73&lt;&gt;"",IF(I73=J73,"TIE",INDEX(Index!$F$1:$F$32,MATCH(G73,Index!$E$1:$E$32,0))),INDEX(Index!$F$1:$F$32,MATCH(G73,Index!$E$1:$E$32,0)))</f>
        <v>NYG</v>
      </c>
      <c r="Q73" s="155" t="str">
        <f>IF(O73="TIE",INDEX(Index!$F$1:$F$32,MATCH(E73,Index!$E$1:$E$32,0)),"")</f>
        <v/>
      </c>
      <c r="R73" s="155" t="str">
        <f>IF(P73="TIE",INDEX(Index!$F$1:$F$32,MATCH(G73,Index!$E$1:$E$32,0)),"")</f>
        <v/>
      </c>
      <c r="S73" s="151" t="str">
        <f t="shared" si="7"/>
        <v>H</v>
      </c>
      <c r="T73" s="156" t="str">
        <f>INDEX(Index!$H$1:$H$32,MATCH($E73,Index!$E$1:$E$32,0))</f>
        <v>NS</v>
      </c>
      <c r="U73" s="156" t="str">
        <f>INDEX(Index!$H$1:$H$32,MATCH($G73,Index!$E$1:$E$32,0))</f>
        <v>NE</v>
      </c>
      <c r="V73" s="156" t="str">
        <f t="shared" si="8"/>
        <v>Con</v>
      </c>
      <c r="W73" s="152" t="str">
        <f t="shared" si="9"/>
        <v>Y</v>
      </c>
      <c r="X73" s="149" t="str">
        <f>INDEX(Index!$G$1:$G$32,MATCH(E73,Index!$E$1:$E$32,0))</f>
        <v>NO</v>
      </c>
      <c r="Y73" s="150" t="str">
        <f>INDEX(Index!$G$1:$G$32,MATCH(G73,Index!$E$1:$E$32,0))</f>
        <v>NYG</v>
      </c>
      <c r="Z73" s="147" t="str">
        <f t="shared" si="10"/>
        <v/>
      </c>
      <c r="AA73" s="174" t="str" cm="1">
        <f t="array" ref="AA73">IFERROR(IF($W73="Y","",INDEX(EPA!$N$2:$N$512,MATCH(X73&amp;Index!$K$1,EPA!$A$2:$A$512&amp;EPA!$W$2:$W$512,0))),"")</f>
        <v/>
      </c>
      <c r="AB73" s="174" t="str" cm="1">
        <f t="array" ref="AB73">IFERROR(IF($W73="Y","",INDEX(EPA!$N$2:$N$512,MATCH(Y73&amp;Index!$K$1,EPA!$A$2:$A$512&amp;EPA!$W$2:$W$512,0))),"")</f>
        <v/>
      </c>
      <c r="AC73" s="174" t="str">
        <f ca="1">IF(AA73&lt;&gt;"",_xlfn.NORM.INV(RAND(),AA73,Index!$K$2),"")</f>
        <v/>
      </c>
      <c r="AD73" s="174" t="str">
        <f ca="1">IF(AB73&lt;&gt;"",_xlfn.NORM.INV(RAND(),AB73,Index!$K$2),"")</f>
        <v/>
      </c>
      <c r="AE73" s="157" t="str">
        <f t="shared" si="11"/>
        <v>NO</v>
      </c>
      <c r="AF73" s="158" t="str">
        <f t="shared" si="12"/>
        <v>NYG</v>
      </c>
      <c r="AG73" s="149">
        <f t="shared" si="13"/>
        <v>72</v>
      </c>
    </row>
    <row r="74" spans="1:33" x14ac:dyDescent="0.25">
      <c r="A74" s="9">
        <v>5</v>
      </c>
      <c r="B74" s="9" t="s">
        <v>661</v>
      </c>
      <c r="C74" s="148">
        <v>45935</v>
      </c>
      <c r="D74" s="9" t="s">
        <v>664</v>
      </c>
      <c r="E74" s="9" t="s">
        <v>19</v>
      </c>
      <c r="F74" s="9" t="s">
        <v>663</v>
      </c>
      <c r="G74" s="9" t="s">
        <v>27</v>
      </c>
      <c r="H74" s="9" t="s">
        <v>658</v>
      </c>
      <c r="I74" s="9">
        <v>22</v>
      </c>
      <c r="J74" s="9">
        <v>21</v>
      </c>
      <c r="K74" s="9">
        <v>327</v>
      </c>
      <c r="L74" s="9">
        <v>2</v>
      </c>
      <c r="M74" s="9">
        <v>360</v>
      </c>
      <c r="N74" s="9">
        <v>3</v>
      </c>
      <c r="O74" s="149" t="str">
        <f>IF(I74&lt;&gt;"",IF(I74=J74,"TIE",INDEX(Index!$F$1:$F$32,MATCH(E74,Index!$E$1:$E$32,0))),INDEX(Index!$F$1:$F$32,MATCH(E74,Index!$E$1:$E$32,0)))</f>
        <v>TEN</v>
      </c>
      <c r="P74" s="150" t="str">
        <f>IF(I74&lt;&gt;"",IF(I74=J74,"TIE",INDEX(Index!$F$1:$F$32,MATCH(G74,Index!$E$1:$E$32,0))),INDEX(Index!$F$1:$F$32,MATCH(G74,Index!$E$1:$E$32,0)))</f>
        <v>ARI</v>
      </c>
      <c r="Q74" s="155" t="str">
        <f>IF(O74="TIE",INDEX(Index!$F$1:$F$32,MATCH(E74,Index!$E$1:$E$32,0)),"")</f>
        <v/>
      </c>
      <c r="R74" s="155" t="str">
        <f>IF(P74="TIE",INDEX(Index!$F$1:$F$32,MATCH(G74,Index!$E$1:$E$32,0)),"")</f>
        <v/>
      </c>
      <c r="S74" s="151" t="str">
        <f t="shared" si="7"/>
        <v>A</v>
      </c>
      <c r="T74" s="156" t="str">
        <f>INDEX(Index!$H$1:$H$32,MATCH($E74,Index!$E$1:$E$32,0))</f>
        <v>AS</v>
      </c>
      <c r="U74" s="156" t="str">
        <f>INDEX(Index!$H$1:$H$32,MATCH($G74,Index!$E$1:$E$32,0))</f>
        <v>NW</v>
      </c>
      <c r="V74" s="156" t="str">
        <f t="shared" si="8"/>
        <v>Non</v>
      </c>
      <c r="W74" s="152" t="str">
        <f t="shared" si="9"/>
        <v>Y</v>
      </c>
      <c r="X74" s="149" t="str">
        <f>INDEX(Index!$G$1:$G$32,MATCH(E74,Index!$E$1:$E$32,0))</f>
        <v>TEN</v>
      </c>
      <c r="Y74" s="150" t="str">
        <f>INDEX(Index!$G$1:$G$32,MATCH(G74,Index!$E$1:$E$32,0))</f>
        <v>ARI</v>
      </c>
      <c r="Z74" s="147" t="str">
        <f t="shared" si="10"/>
        <v/>
      </c>
      <c r="AA74" s="174" t="str" cm="1">
        <f t="array" ref="AA74">IFERROR(IF($W74="Y","",INDEX(EPA!$N$2:$N$512,MATCH(X74&amp;Index!$K$1,EPA!$A$2:$A$512&amp;EPA!$W$2:$W$512,0))),"")</f>
        <v/>
      </c>
      <c r="AB74" s="174" t="str" cm="1">
        <f t="array" ref="AB74">IFERROR(IF($W74="Y","",INDEX(EPA!$N$2:$N$512,MATCH(Y74&amp;Index!$K$1,EPA!$A$2:$A$512&amp;EPA!$W$2:$W$512,0))),"")</f>
        <v/>
      </c>
      <c r="AC74" s="174" t="str">
        <f ca="1">IF(AA74&lt;&gt;"",_xlfn.NORM.INV(RAND(),AA74,Index!$K$2),"")</f>
        <v/>
      </c>
      <c r="AD74" s="174" t="str">
        <f ca="1">IF(AB74&lt;&gt;"",_xlfn.NORM.INV(RAND(),AB74,Index!$K$2),"")</f>
        <v/>
      </c>
      <c r="AE74" s="157" t="str">
        <f t="shared" si="11"/>
        <v>TEN</v>
      </c>
      <c r="AF74" s="158" t="str">
        <f t="shared" si="12"/>
        <v>ARI</v>
      </c>
      <c r="AG74" s="149">
        <f t="shared" si="13"/>
        <v>73</v>
      </c>
    </row>
    <row r="75" spans="1:33" x14ac:dyDescent="0.25">
      <c r="A75" s="9">
        <v>5</v>
      </c>
      <c r="B75" s="9" t="s">
        <v>661</v>
      </c>
      <c r="C75" s="148">
        <v>45935</v>
      </c>
      <c r="D75" s="9" t="s">
        <v>664</v>
      </c>
      <c r="E75" s="9" t="s">
        <v>0</v>
      </c>
      <c r="F75" s="9" t="s">
        <v>663</v>
      </c>
      <c r="G75" s="9" t="s">
        <v>8</v>
      </c>
      <c r="H75" s="9" t="s">
        <v>658</v>
      </c>
      <c r="I75" s="9">
        <v>38</v>
      </c>
      <c r="J75" s="9">
        <v>35</v>
      </c>
      <c r="K75" s="9">
        <v>426</v>
      </c>
      <c r="L75" s="9">
        <v>0</v>
      </c>
      <c r="M75" s="9">
        <v>463</v>
      </c>
      <c r="N75" s="9">
        <v>2</v>
      </c>
      <c r="O75" s="149" t="str">
        <f>IF(I75&lt;&gt;"",IF(I75=J75,"TIE",INDEX(Index!$F$1:$F$32,MATCH(E75,Index!$E$1:$E$32,0))),INDEX(Index!$F$1:$F$32,MATCH(E75,Index!$E$1:$E$32,0)))</f>
        <v>TB</v>
      </c>
      <c r="P75" s="150" t="str">
        <f>IF(I75&lt;&gt;"",IF(I75=J75,"TIE",INDEX(Index!$F$1:$F$32,MATCH(G75,Index!$E$1:$E$32,0))),INDEX(Index!$F$1:$F$32,MATCH(G75,Index!$E$1:$E$32,0)))</f>
        <v>SEA</v>
      </c>
      <c r="Q75" s="155" t="str">
        <f>IF(O75="TIE",INDEX(Index!$F$1:$F$32,MATCH(E75,Index!$E$1:$E$32,0)),"")</f>
        <v/>
      </c>
      <c r="R75" s="155" t="str">
        <f>IF(P75="TIE",INDEX(Index!$F$1:$F$32,MATCH(G75,Index!$E$1:$E$32,0)),"")</f>
        <v/>
      </c>
      <c r="S75" s="151" t="str">
        <f t="shared" si="7"/>
        <v>A</v>
      </c>
      <c r="T75" s="156" t="str">
        <f>INDEX(Index!$H$1:$H$32,MATCH($E75,Index!$E$1:$E$32,0))</f>
        <v>NS</v>
      </c>
      <c r="U75" s="156" t="str">
        <f>INDEX(Index!$H$1:$H$32,MATCH($G75,Index!$E$1:$E$32,0))</f>
        <v>NW</v>
      </c>
      <c r="V75" s="156" t="str">
        <f t="shared" si="8"/>
        <v>Con</v>
      </c>
      <c r="W75" s="152" t="str">
        <f t="shared" si="9"/>
        <v>Y</v>
      </c>
      <c r="X75" s="149" t="str">
        <f>INDEX(Index!$G$1:$G$32,MATCH(E75,Index!$E$1:$E$32,0))</f>
        <v>TB</v>
      </c>
      <c r="Y75" s="150" t="str">
        <f>INDEX(Index!$G$1:$G$32,MATCH(G75,Index!$E$1:$E$32,0))</f>
        <v>SEA</v>
      </c>
      <c r="Z75" s="147" t="str">
        <f t="shared" si="10"/>
        <v/>
      </c>
      <c r="AA75" s="174" t="str" cm="1">
        <f t="array" ref="AA75">IFERROR(IF($W75="Y","",INDEX(EPA!$N$2:$N$512,MATCH(X75&amp;Index!$K$1,EPA!$A$2:$A$512&amp;EPA!$W$2:$W$512,0))),"")</f>
        <v/>
      </c>
      <c r="AB75" s="174" t="str" cm="1">
        <f t="array" ref="AB75">IFERROR(IF($W75="Y","",INDEX(EPA!$N$2:$N$512,MATCH(Y75&amp;Index!$K$1,EPA!$A$2:$A$512&amp;EPA!$W$2:$W$512,0))),"")</f>
        <v/>
      </c>
      <c r="AC75" s="174" t="str">
        <f ca="1">IF(AA75&lt;&gt;"",_xlfn.NORM.INV(RAND(),AA75,Index!$K$2),"")</f>
        <v/>
      </c>
      <c r="AD75" s="174" t="str">
        <f ca="1">IF(AB75&lt;&gt;"",_xlfn.NORM.INV(RAND(),AB75,Index!$K$2),"")</f>
        <v/>
      </c>
      <c r="AE75" s="157" t="str">
        <f t="shared" si="11"/>
        <v>TB</v>
      </c>
      <c r="AF75" s="158" t="str">
        <f t="shared" si="12"/>
        <v>SEA</v>
      </c>
      <c r="AG75" s="149">
        <f t="shared" si="13"/>
        <v>74</v>
      </c>
    </row>
    <row r="76" spans="1:33" x14ac:dyDescent="0.25">
      <c r="A76" s="9">
        <v>5</v>
      </c>
      <c r="B76" s="9" t="s">
        <v>661</v>
      </c>
      <c r="C76" s="148">
        <v>45935</v>
      </c>
      <c r="D76" s="9" t="s">
        <v>665</v>
      </c>
      <c r="E76" s="9" t="s">
        <v>86</v>
      </c>
      <c r="F76" s="9" t="s">
        <v>663</v>
      </c>
      <c r="G76" s="9" t="s">
        <v>53</v>
      </c>
      <c r="H76" s="9" t="s">
        <v>658</v>
      </c>
      <c r="I76" s="9">
        <v>37</v>
      </c>
      <c r="J76" s="9">
        <v>24</v>
      </c>
      <c r="K76" s="9">
        <v>365</v>
      </c>
      <c r="L76" s="9">
        <v>1</v>
      </c>
      <c r="M76" s="9">
        <v>322</v>
      </c>
      <c r="N76" s="9">
        <v>3</v>
      </c>
      <c r="O76" s="149" t="str">
        <f>IF(I76&lt;&gt;"",IF(I76=J76,"TIE",INDEX(Index!$F$1:$F$32,MATCH(E76,Index!$E$1:$E$32,0))),INDEX(Index!$F$1:$F$32,MATCH(E76,Index!$E$1:$E$32,0)))</f>
        <v>DET</v>
      </c>
      <c r="P76" s="150" t="str">
        <f>IF(I76&lt;&gt;"",IF(I76=J76,"TIE",INDEX(Index!$F$1:$F$32,MATCH(G76,Index!$E$1:$E$32,0))),INDEX(Index!$F$1:$F$32,MATCH(G76,Index!$E$1:$E$32,0)))</f>
        <v>CIN</v>
      </c>
      <c r="Q76" s="155" t="str">
        <f>IF(O76="TIE",INDEX(Index!$F$1:$F$32,MATCH(E76,Index!$E$1:$E$32,0)),"")</f>
        <v/>
      </c>
      <c r="R76" s="155" t="str">
        <f>IF(P76="TIE",INDEX(Index!$F$1:$F$32,MATCH(G76,Index!$E$1:$E$32,0)),"")</f>
        <v/>
      </c>
      <c r="S76" s="151" t="str">
        <f t="shared" si="7"/>
        <v>A</v>
      </c>
      <c r="T76" s="156" t="str">
        <f>INDEX(Index!$H$1:$H$32,MATCH($E76,Index!$E$1:$E$32,0))</f>
        <v>NN</v>
      </c>
      <c r="U76" s="156" t="str">
        <f>INDEX(Index!$H$1:$H$32,MATCH($G76,Index!$E$1:$E$32,0))</f>
        <v>AN</v>
      </c>
      <c r="V76" s="156" t="str">
        <f t="shared" si="8"/>
        <v>Non</v>
      </c>
      <c r="W76" s="152" t="str">
        <f t="shared" si="9"/>
        <v>Y</v>
      </c>
      <c r="X76" s="149" t="str">
        <f>INDEX(Index!$G$1:$G$32,MATCH(E76,Index!$E$1:$E$32,0))</f>
        <v>DET</v>
      </c>
      <c r="Y76" s="150" t="str">
        <f>INDEX(Index!$G$1:$G$32,MATCH(G76,Index!$E$1:$E$32,0))</f>
        <v>CIN</v>
      </c>
      <c r="Z76" s="147" t="str">
        <f t="shared" si="10"/>
        <v/>
      </c>
      <c r="AA76" s="174" t="str" cm="1">
        <f t="array" ref="AA76">IFERROR(IF($W76="Y","",INDEX(EPA!$N$2:$N$512,MATCH(X76&amp;Index!$K$1,EPA!$A$2:$A$512&amp;EPA!$W$2:$W$512,0))),"")</f>
        <v/>
      </c>
      <c r="AB76" s="174" t="str" cm="1">
        <f t="array" ref="AB76">IFERROR(IF($W76="Y","",INDEX(EPA!$N$2:$N$512,MATCH(Y76&amp;Index!$K$1,EPA!$A$2:$A$512&amp;EPA!$W$2:$W$512,0))),"")</f>
        <v/>
      </c>
      <c r="AC76" s="174" t="str">
        <f ca="1">IF(AA76&lt;&gt;"",_xlfn.NORM.INV(RAND(),AA76,Index!$K$2),"")</f>
        <v/>
      </c>
      <c r="AD76" s="174" t="str">
        <f ca="1">IF(AB76&lt;&gt;"",_xlfn.NORM.INV(RAND(),AB76,Index!$K$2),"")</f>
        <v/>
      </c>
      <c r="AE76" s="157" t="str">
        <f t="shared" si="11"/>
        <v>DET</v>
      </c>
      <c r="AF76" s="158" t="str">
        <f t="shared" si="12"/>
        <v>CIN</v>
      </c>
      <c r="AG76" s="149">
        <f t="shared" si="13"/>
        <v>75</v>
      </c>
    </row>
    <row r="77" spans="1:33" x14ac:dyDescent="0.25">
      <c r="A77" s="9">
        <v>5</v>
      </c>
      <c r="B77" s="9" t="s">
        <v>661</v>
      </c>
      <c r="C77" s="148">
        <v>45935</v>
      </c>
      <c r="D77" s="9" t="s">
        <v>665</v>
      </c>
      <c r="E77" s="9" t="s">
        <v>4</v>
      </c>
      <c r="F77" s="9" t="s">
        <v>663</v>
      </c>
      <c r="G77" s="9" t="s">
        <v>68</v>
      </c>
      <c r="H77" s="9" t="s">
        <v>658</v>
      </c>
      <c r="I77" s="9">
        <v>27</v>
      </c>
      <c r="J77" s="9">
        <v>10</v>
      </c>
      <c r="K77" s="9">
        <v>389</v>
      </c>
      <c r="L77" s="9">
        <v>1</v>
      </c>
      <c r="M77" s="9">
        <v>336</v>
      </c>
      <c r="N77" s="9">
        <v>2</v>
      </c>
      <c r="O77" s="149" t="str">
        <f>IF(I77&lt;&gt;"",IF(I77=J77,"TIE",INDEX(Index!$F$1:$F$32,MATCH(E77,Index!$E$1:$E$32,0))),INDEX(Index!$F$1:$F$32,MATCH(E77,Index!$E$1:$E$32,0)))</f>
        <v>WAS</v>
      </c>
      <c r="P77" s="150" t="str">
        <f>IF(I77&lt;&gt;"",IF(I77=J77,"TIE",INDEX(Index!$F$1:$F$32,MATCH(G77,Index!$E$1:$E$32,0))),INDEX(Index!$F$1:$F$32,MATCH(G77,Index!$E$1:$E$32,0)))</f>
        <v>LAC</v>
      </c>
      <c r="Q77" s="155" t="str">
        <f>IF(O77="TIE",INDEX(Index!$F$1:$F$32,MATCH(E77,Index!$E$1:$E$32,0)),"")</f>
        <v/>
      </c>
      <c r="R77" s="155" t="str">
        <f>IF(P77="TIE",INDEX(Index!$F$1:$F$32,MATCH(G77,Index!$E$1:$E$32,0)),"")</f>
        <v/>
      </c>
      <c r="S77" s="151" t="str">
        <f t="shared" si="7"/>
        <v>A</v>
      </c>
      <c r="T77" s="156" t="str">
        <f>INDEX(Index!$H$1:$H$32,MATCH($E77,Index!$E$1:$E$32,0))</f>
        <v>NE</v>
      </c>
      <c r="U77" s="156" t="str">
        <f>INDEX(Index!$H$1:$H$32,MATCH($G77,Index!$E$1:$E$32,0))</f>
        <v>AW</v>
      </c>
      <c r="V77" s="156" t="str">
        <f t="shared" si="8"/>
        <v>Non</v>
      </c>
      <c r="W77" s="152" t="str">
        <f t="shared" si="9"/>
        <v>Y</v>
      </c>
      <c r="X77" s="149" t="str">
        <f>INDEX(Index!$G$1:$G$32,MATCH(E77,Index!$E$1:$E$32,0))</f>
        <v>WAS</v>
      </c>
      <c r="Y77" s="150" t="str">
        <f>INDEX(Index!$G$1:$G$32,MATCH(G77,Index!$E$1:$E$32,0))</f>
        <v>LAC</v>
      </c>
      <c r="Z77" s="147" t="str">
        <f t="shared" si="10"/>
        <v/>
      </c>
      <c r="AA77" s="174" t="str" cm="1">
        <f t="array" ref="AA77">IFERROR(IF($W77="Y","",INDEX(EPA!$N$2:$N$512,MATCH(X77&amp;Index!$K$1,EPA!$A$2:$A$512&amp;EPA!$W$2:$W$512,0))),"")</f>
        <v/>
      </c>
      <c r="AB77" s="174" t="str" cm="1">
        <f t="array" ref="AB77">IFERROR(IF($W77="Y","",INDEX(EPA!$N$2:$N$512,MATCH(Y77&amp;Index!$K$1,EPA!$A$2:$A$512&amp;EPA!$W$2:$W$512,0))),"")</f>
        <v/>
      </c>
      <c r="AC77" s="174" t="str">
        <f ca="1">IF(AA77&lt;&gt;"",_xlfn.NORM.INV(RAND(),AA77,Index!$K$2),"")</f>
        <v/>
      </c>
      <c r="AD77" s="174" t="str">
        <f ca="1">IF(AB77&lt;&gt;"",_xlfn.NORM.INV(RAND(),AB77,Index!$K$2),"")</f>
        <v/>
      </c>
      <c r="AE77" s="157" t="str">
        <f t="shared" si="11"/>
        <v>WAS</v>
      </c>
      <c r="AF77" s="158" t="str">
        <f t="shared" si="12"/>
        <v>LAC</v>
      </c>
      <c r="AG77" s="149">
        <f t="shared" si="13"/>
        <v>76</v>
      </c>
    </row>
    <row r="78" spans="1:33" x14ac:dyDescent="0.25">
      <c r="A78" s="9">
        <v>5</v>
      </c>
      <c r="B78" s="9" t="s">
        <v>661</v>
      </c>
      <c r="C78" s="148">
        <v>45935</v>
      </c>
      <c r="D78" s="9" t="s">
        <v>657</v>
      </c>
      <c r="E78" s="9" t="s">
        <v>45</v>
      </c>
      <c r="F78" s="9" t="s">
        <v>663</v>
      </c>
      <c r="G78" s="9" t="s">
        <v>40</v>
      </c>
      <c r="H78" s="9" t="s">
        <v>658</v>
      </c>
      <c r="I78" s="9">
        <v>23</v>
      </c>
      <c r="J78" s="9">
        <v>20</v>
      </c>
      <c r="K78" s="9">
        <v>338</v>
      </c>
      <c r="L78" s="9">
        <v>1</v>
      </c>
      <c r="M78" s="9">
        <v>363</v>
      </c>
      <c r="N78" s="9">
        <v>3</v>
      </c>
      <c r="O78" s="149" t="str">
        <f>IF(I78&lt;&gt;"",IF(I78=J78,"TIE",INDEX(Index!$F$1:$F$32,MATCH(E78,Index!$E$1:$E$32,0))),INDEX(Index!$F$1:$F$32,MATCH(E78,Index!$E$1:$E$32,0)))</f>
        <v>NE</v>
      </c>
      <c r="P78" s="150" t="str">
        <f>IF(I78&lt;&gt;"",IF(I78=J78,"TIE",INDEX(Index!$F$1:$F$32,MATCH(G78,Index!$E$1:$E$32,0))),INDEX(Index!$F$1:$F$32,MATCH(G78,Index!$E$1:$E$32,0)))</f>
        <v>BUF</v>
      </c>
      <c r="Q78" s="155" t="str">
        <f>IF(O78="TIE",INDEX(Index!$F$1:$F$32,MATCH(E78,Index!$E$1:$E$32,0)),"")</f>
        <v/>
      </c>
      <c r="R78" s="155" t="str">
        <f>IF(P78="TIE",INDEX(Index!$F$1:$F$32,MATCH(G78,Index!$E$1:$E$32,0)),"")</f>
        <v/>
      </c>
      <c r="S78" s="151" t="str">
        <f t="shared" si="7"/>
        <v>A</v>
      </c>
      <c r="T78" s="156" t="str">
        <f>INDEX(Index!$H$1:$H$32,MATCH($E78,Index!$E$1:$E$32,0))</f>
        <v>AE</v>
      </c>
      <c r="U78" s="156" t="str">
        <f>INDEX(Index!$H$1:$H$32,MATCH($G78,Index!$E$1:$E$32,0))</f>
        <v>AE</v>
      </c>
      <c r="V78" s="156" t="str">
        <f t="shared" si="8"/>
        <v>Div</v>
      </c>
      <c r="W78" s="152" t="str">
        <f t="shared" si="9"/>
        <v>Y</v>
      </c>
      <c r="X78" s="149" t="str">
        <f>INDEX(Index!$G$1:$G$32,MATCH(E78,Index!$E$1:$E$32,0))</f>
        <v>NE</v>
      </c>
      <c r="Y78" s="150" t="str">
        <f>INDEX(Index!$G$1:$G$32,MATCH(G78,Index!$E$1:$E$32,0))</f>
        <v>BUF</v>
      </c>
      <c r="Z78" s="147" t="str">
        <f t="shared" si="10"/>
        <v/>
      </c>
      <c r="AA78" s="174" t="str" cm="1">
        <f t="array" ref="AA78">IFERROR(IF($W78="Y","",INDEX(EPA!$N$2:$N$512,MATCH(X78&amp;Index!$K$1,EPA!$A$2:$A$512&amp;EPA!$W$2:$W$512,0))),"")</f>
        <v/>
      </c>
      <c r="AB78" s="174" t="str" cm="1">
        <f t="array" ref="AB78">IFERROR(IF($W78="Y","",INDEX(EPA!$N$2:$N$512,MATCH(Y78&amp;Index!$K$1,EPA!$A$2:$A$512&amp;EPA!$W$2:$W$512,0))),"")</f>
        <v/>
      </c>
      <c r="AC78" s="174" t="str">
        <f ca="1">IF(AA78&lt;&gt;"",_xlfn.NORM.INV(RAND(),AA78,Index!$K$2),"")</f>
        <v/>
      </c>
      <c r="AD78" s="174" t="str">
        <f ca="1">IF(AB78&lt;&gt;"",_xlfn.NORM.INV(RAND(),AB78,Index!$K$2),"")</f>
        <v/>
      </c>
      <c r="AE78" s="157" t="str">
        <f t="shared" si="11"/>
        <v>NE</v>
      </c>
      <c r="AF78" s="158" t="str">
        <f t="shared" si="12"/>
        <v>BUF</v>
      </c>
      <c r="AG78" s="149">
        <f t="shared" si="13"/>
        <v>77</v>
      </c>
    </row>
    <row r="79" spans="1:33" x14ac:dyDescent="0.25">
      <c r="A79" s="9">
        <v>5</v>
      </c>
      <c r="B79" s="9" t="s">
        <v>666</v>
      </c>
      <c r="C79" s="148">
        <v>45936</v>
      </c>
      <c r="D79" s="9" t="s">
        <v>667</v>
      </c>
      <c r="E79" s="9" t="s">
        <v>36</v>
      </c>
      <c r="F79" s="9"/>
      <c r="G79" s="9" t="s">
        <v>16</v>
      </c>
      <c r="H79" s="9" t="s">
        <v>658</v>
      </c>
      <c r="I79" s="9">
        <v>31</v>
      </c>
      <c r="J79" s="9">
        <v>28</v>
      </c>
      <c r="K79" s="9">
        <v>319</v>
      </c>
      <c r="L79" s="9">
        <v>2</v>
      </c>
      <c r="M79" s="9">
        <v>476</v>
      </c>
      <c r="N79" s="9">
        <v>1</v>
      </c>
      <c r="O79" s="149" t="str">
        <f>IF(I79&lt;&gt;"",IF(I79=J79,"TIE",INDEX(Index!$F$1:$F$32,MATCH(E79,Index!$E$1:$E$32,0))),INDEX(Index!$F$1:$F$32,MATCH(E79,Index!$E$1:$E$32,0)))</f>
        <v>JAX</v>
      </c>
      <c r="P79" s="150" t="str">
        <f>IF(I79&lt;&gt;"",IF(I79=J79,"TIE",INDEX(Index!$F$1:$F$32,MATCH(G79,Index!$E$1:$E$32,0))),INDEX(Index!$F$1:$F$32,MATCH(G79,Index!$E$1:$E$32,0)))</f>
        <v>KC</v>
      </c>
      <c r="Q79" s="155" t="str">
        <f>IF(O79="TIE",INDEX(Index!$F$1:$F$32,MATCH(E79,Index!$E$1:$E$32,0)),"")</f>
        <v/>
      </c>
      <c r="R79" s="155" t="str">
        <f>IF(P79="TIE",INDEX(Index!$F$1:$F$32,MATCH(G79,Index!$E$1:$E$32,0)),"")</f>
        <v/>
      </c>
      <c r="S79" s="151" t="str">
        <f t="shared" si="7"/>
        <v>H</v>
      </c>
      <c r="T79" s="156" t="str">
        <f>INDEX(Index!$H$1:$H$32,MATCH($E79,Index!$E$1:$E$32,0))</f>
        <v>AS</v>
      </c>
      <c r="U79" s="156" t="str">
        <f>INDEX(Index!$H$1:$H$32,MATCH($G79,Index!$E$1:$E$32,0))</f>
        <v>AW</v>
      </c>
      <c r="V79" s="156" t="str">
        <f t="shared" si="8"/>
        <v>Con</v>
      </c>
      <c r="W79" s="152" t="str">
        <f t="shared" si="9"/>
        <v>Y</v>
      </c>
      <c r="X79" s="149" t="str">
        <f>INDEX(Index!$G$1:$G$32,MATCH(E79,Index!$E$1:$E$32,0))</f>
        <v>JAX</v>
      </c>
      <c r="Y79" s="150" t="str">
        <f>INDEX(Index!$G$1:$G$32,MATCH(G79,Index!$E$1:$E$32,0))</f>
        <v>KC</v>
      </c>
      <c r="Z79" s="147" t="str">
        <f t="shared" si="10"/>
        <v/>
      </c>
      <c r="AA79" s="174" t="str" cm="1">
        <f t="array" ref="AA79">IFERROR(IF($W79="Y","",INDEX(EPA!$N$2:$N$512,MATCH(X79&amp;Index!$K$1,EPA!$A$2:$A$512&amp;EPA!$W$2:$W$512,0))),"")</f>
        <v/>
      </c>
      <c r="AB79" s="174" t="str" cm="1">
        <f t="array" ref="AB79">IFERROR(IF($W79="Y","",INDEX(EPA!$N$2:$N$512,MATCH(Y79&amp;Index!$K$1,EPA!$A$2:$A$512&amp;EPA!$W$2:$W$512,0))),"")</f>
        <v/>
      </c>
      <c r="AC79" s="174" t="str">
        <f ca="1">IF(AA79&lt;&gt;"",_xlfn.NORM.INV(RAND(),AA79,Index!$K$2),"")</f>
        <v/>
      </c>
      <c r="AD79" s="174" t="str">
        <f ca="1">IF(AB79&lt;&gt;"",_xlfn.NORM.INV(RAND(),AB79,Index!$K$2),"")</f>
        <v/>
      </c>
      <c r="AE79" s="157" t="str">
        <f t="shared" si="11"/>
        <v>JAX</v>
      </c>
      <c r="AF79" s="158" t="str">
        <f t="shared" si="12"/>
        <v>KC</v>
      </c>
      <c r="AG79" s="149">
        <f t="shared" si="13"/>
        <v>78</v>
      </c>
    </row>
    <row r="80" spans="1:33" x14ac:dyDescent="0.25">
      <c r="A80" s="9">
        <v>6</v>
      </c>
      <c r="B80" s="9" t="s">
        <v>656</v>
      </c>
      <c r="C80" s="148">
        <v>45939</v>
      </c>
      <c r="D80" s="9" t="s">
        <v>667</v>
      </c>
      <c r="E80" s="9" t="s">
        <v>49</v>
      </c>
      <c r="F80" s="9"/>
      <c r="G80" s="9" t="s">
        <v>92</v>
      </c>
      <c r="H80" s="9" t="s">
        <v>658</v>
      </c>
      <c r="I80" s="9">
        <v>34</v>
      </c>
      <c r="J80" s="9">
        <v>17</v>
      </c>
      <c r="K80" s="9">
        <v>366</v>
      </c>
      <c r="L80" s="9">
        <v>0</v>
      </c>
      <c r="M80" s="9">
        <v>339</v>
      </c>
      <c r="N80" s="9">
        <v>2</v>
      </c>
      <c r="O80" s="149" t="str">
        <f>IF(I80&lt;&gt;"",IF(I80=J80,"TIE",INDEX(Index!$F$1:$F$32,MATCH(E80,Index!$E$1:$E$32,0))),INDEX(Index!$F$1:$F$32,MATCH(E80,Index!$E$1:$E$32,0)))</f>
        <v>NYG</v>
      </c>
      <c r="P80" s="150" t="str">
        <f>IF(I80&lt;&gt;"",IF(I80=J80,"TIE",INDEX(Index!$F$1:$F$32,MATCH(G80,Index!$E$1:$E$32,0))),INDEX(Index!$F$1:$F$32,MATCH(G80,Index!$E$1:$E$32,0)))</f>
        <v>PHI</v>
      </c>
      <c r="Q80" s="155" t="str">
        <f>IF(O80="TIE",INDEX(Index!$F$1:$F$32,MATCH(E80,Index!$E$1:$E$32,0)),"")</f>
        <v/>
      </c>
      <c r="R80" s="155" t="str">
        <f>IF(P80="TIE",INDEX(Index!$F$1:$F$32,MATCH(G80,Index!$E$1:$E$32,0)),"")</f>
        <v/>
      </c>
      <c r="S80" s="151" t="str">
        <f t="shared" si="7"/>
        <v>H</v>
      </c>
      <c r="T80" s="156" t="str">
        <f>INDEX(Index!$H$1:$H$32,MATCH($E80,Index!$E$1:$E$32,0))</f>
        <v>NE</v>
      </c>
      <c r="U80" s="156" t="str">
        <f>INDEX(Index!$H$1:$H$32,MATCH($G80,Index!$E$1:$E$32,0))</f>
        <v>NE</v>
      </c>
      <c r="V80" s="156" t="str">
        <f t="shared" si="8"/>
        <v>Div</v>
      </c>
      <c r="W80" s="152" t="str">
        <f t="shared" si="9"/>
        <v>Y</v>
      </c>
      <c r="X80" s="149" t="str">
        <f>INDEX(Index!$G$1:$G$32,MATCH(E80,Index!$E$1:$E$32,0))</f>
        <v>NYG</v>
      </c>
      <c r="Y80" s="150" t="str">
        <f>INDEX(Index!$G$1:$G$32,MATCH(G80,Index!$E$1:$E$32,0))</f>
        <v>PHI</v>
      </c>
      <c r="Z80" s="147" t="str">
        <f t="shared" si="10"/>
        <v/>
      </c>
      <c r="AA80" s="174" t="str" cm="1">
        <f t="array" ref="AA80">IFERROR(IF($W80="Y","",INDEX(EPA!$N$2:$N$512,MATCH(X80&amp;Index!$K$1,EPA!$A$2:$A$512&amp;EPA!$W$2:$W$512,0))),"")</f>
        <v/>
      </c>
      <c r="AB80" s="174" t="str" cm="1">
        <f t="array" ref="AB80">IFERROR(IF($W80="Y","",INDEX(EPA!$N$2:$N$512,MATCH(Y80&amp;Index!$K$1,EPA!$A$2:$A$512&amp;EPA!$W$2:$W$512,0))),"")</f>
        <v/>
      </c>
      <c r="AC80" s="174" t="str">
        <f ca="1">IF(AA80&lt;&gt;"",_xlfn.NORM.INV(RAND(),AA80,Index!$K$2),"")</f>
        <v/>
      </c>
      <c r="AD80" s="174" t="str">
        <f ca="1">IF(AB80&lt;&gt;"",_xlfn.NORM.INV(RAND(),AB80,Index!$K$2),"")</f>
        <v/>
      </c>
      <c r="AE80" s="157" t="str">
        <f t="shared" si="11"/>
        <v>NYG</v>
      </c>
      <c r="AF80" s="158" t="str">
        <f t="shared" si="12"/>
        <v>PHI</v>
      </c>
      <c r="AG80" s="149">
        <f t="shared" si="13"/>
        <v>79</v>
      </c>
    </row>
    <row r="81" spans="1:33" x14ac:dyDescent="0.25">
      <c r="A81" s="9">
        <v>6</v>
      </c>
      <c r="B81" s="9" t="s">
        <v>661</v>
      </c>
      <c r="C81" s="148">
        <v>45942</v>
      </c>
      <c r="D81" s="9" t="s">
        <v>670</v>
      </c>
      <c r="E81" s="9" t="s">
        <v>94</v>
      </c>
      <c r="F81" s="9" t="s">
        <v>663</v>
      </c>
      <c r="G81" s="9" t="s">
        <v>23</v>
      </c>
      <c r="H81" s="9" t="s">
        <v>658</v>
      </c>
      <c r="I81" s="9">
        <v>13</v>
      </c>
      <c r="J81" s="9">
        <v>11</v>
      </c>
      <c r="K81" s="9">
        <v>246</v>
      </c>
      <c r="L81" s="9">
        <v>1</v>
      </c>
      <c r="M81" s="9">
        <v>82</v>
      </c>
      <c r="N81" s="9">
        <v>0</v>
      </c>
      <c r="O81" s="149" t="str">
        <f>IF(I81&lt;&gt;"",IF(I81=J81,"TIE",INDEX(Index!$F$1:$F$32,MATCH(E81,Index!$E$1:$E$32,0))),INDEX(Index!$F$1:$F$32,MATCH(E81,Index!$E$1:$E$32,0)))</f>
        <v>DEN</v>
      </c>
      <c r="P81" s="150" t="str">
        <f>IF(I81&lt;&gt;"",IF(I81=J81,"TIE",INDEX(Index!$F$1:$F$32,MATCH(G81,Index!$E$1:$E$32,0))),INDEX(Index!$F$1:$F$32,MATCH(G81,Index!$E$1:$E$32,0)))</f>
        <v>NYJ</v>
      </c>
      <c r="Q81" s="155" t="str">
        <f>IF(O81="TIE",INDEX(Index!$F$1:$F$32,MATCH(E81,Index!$E$1:$E$32,0)),"")</f>
        <v/>
      </c>
      <c r="R81" s="155" t="str">
        <f>IF(P81="TIE",INDEX(Index!$F$1:$F$32,MATCH(G81,Index!$E$1:$E$32,0)),"")</f>
        <v/>
      </c>
      <c r="S81" s="151" t="str">
        <f t="shared" si="7"/>
        <v>A</v>
      </c>
      <c r="T81" s="156" t="str">
        <f>INDEX(Index!$H$1:$H$32,MATCH($E81,Index!$E$1:$E$32,0))</f>
        <v>AW</v>
      </c>
      <c r="U81" s="156" t="str">
        <f>INDEX(Index!$H$1:$H$32,MATCH($G81,Index!$E$1:$E$32,0))</f>
        <v>AE</v>
      </c>
      <c r="V81" s="156" t="str">
        <f t="shared" si="8"/>
        <v>Con</v>
      </c>
      <c r="W81" s="152" t="str">
        <f t="shared" si="9"/>
        <v>Y</v>
      </c>
      <c r="X81" s="149" t="str">
        <f>INDEX(Index!$G$1:$G$32,MATCH(E81,Index!$E$1:$E$32,0))</f>
        <v>DEN</v>
      </c>
      <c r="Y81" s="150" t="str">
        <f>INDEX(Index!$G$1:$G$32,MATCH(G81,Index!$E$1:$E$32,0))</f>
        <v>NYJ</v>
      </c>
      <c r="Z81" s="147" t="str">
        <f t="shared" si="10"/>
        <v/>
      </c>
      <c r="AA81" s="174" t="str" cm="1">
        <f t="array" ref="AA81">IFERROR(IF($W81="Y","",INDEX(EPA!$N$2:$N$512,MATCH(X81&amp;Index!$K$1,EPA!$A$2:$A$512&amp;EPA!$W$2:$W$512,0))),"")</f>
        <v/>
      </c>
      <c r="AB81" s="174" t="str" cm="1">
        <f t="array" ref="AB81">IFERROR(IF($W81="Y","",INDEX(EPA!$N$2:$N$512,MATCH(Y81&amp;Index!$K$1,EPA!$A$2:$A$512&amp;EPA!$W$2:$W$512,0))),"")</f>
        <v/>
      </c>
      <c r="AC81" s="174" t="str">
        <f ca="1">IF(AA81&lt;&gt;"",_xlfn.NORM.INV(RAND(),AA81,Index!$K$2),"")</f>
        <v/>
      </c>
      <c r="AD81" s="174" t="str">
        <f ca="1">IF(AB81&lt;&gt;"",_xlfn.NORM.INV(RAND(),AB81,Index!$K$2),"")</f>
        <v/>
      </c>
      <c r="AE81" s="157" t="str">
        <f t="shared" si="11"/>
        <v>DEN</v>
      </c>
      <c r="AF81" s="158" t="str">
        <f t="shared" si="12"/>
        <v>NYJ</v>
      </c>
      <c r="AG81" s="149">
        <f t="shared" si="13"/>
        <v>80</v>
      </c>
    </row>
    <row r="82" spans="1:33" x14ac:dyDescent="0.25">
      <c r="A82" s="9">
        <v>6</v>
      </c>
      <c r="B82" s="9" t="s">
        <v>661</v>
      </c>
      <c r="C82" s="148">
        <v>45942</v>
      </c>
      <c r="D82" s="9" t="s">
        <v>662</v>
      </c>
      <c r="E82" s="9" t="s">
        <v>12</v>
      </c>
      <c r="F82" s="9"/>
      <c r="G82" s="9" t="s">
        <v>56</v>
      </c>
      <c r="H82" s="9" t="s">
        <v>658</v>
      </c>
      <c r="I82" s="9">
        <v>30</v>
      </c>
      <c r="J82" s="9">
        <v>27</v>
      </c>
      <c r="K82" s="9">
        <v>410</v>
      </c>
      <c r="L82" s="9">
        <v>1</v>
      </c>
      <c r="M82" s="9">
        <v>292</v>
      </c>
      <c r="N82" s="9">
        <v>0</v>
      </c>
      <c r="O82" s="149" t="str">
        <f>IF(I82&lt;&gt;"",IF(I82=J82,"TIE",INDEX(Index!$F$1:$F$32,MATCH(E82,Index!$E$1:$E$32,0))),INDEX(Index!$F$1:$F$32,MATCH(E82,Index!$E$1:$E$32,0)))</f>
        <v>CAR</v>
      </c>
      <c r="P82" s="150" t="str">
        <f>IF(I82&lt;&gt;"",IF(I82=J82,"TIE",INDEX(Index!$F$1:$F$32,MATCH(G82,Index!$E$1:$E$32,0))),INDEX(Index!$F$1:$F$32,MATCH(G82,Index!$E$1:$E$32,0)))</f>
        <v>DAL</v>
      </c>
      <c r="Q82" s="155" t="str">
        <f>IF(O82="TIE",INDEX(Index!$F$1:$F$32,MATCH(E82,Index!$E$1:$E$32,0)),"")</f>
        <v/>
      </c>
      <c r="R82" s="155" t="str">
        <f>IF(P82="TIE",INDEX(Index!$F$1:$F$32,MATCH(G82,Index!$E$1:$E$32,0)),"")</f>
        <v/>
      </c>
      <c r="S82" s="151" t="str">
        <f t="shared" si="7"/>
        <v>H</v>
      </c>
      <c r="T82" s="156" t="str">
        <f>INDEX(Index!$H$1:$H$32,MATCH($E82,Index!$E$1:$E$32,0))</f>
        <v>NS</v>
      </c>
      <c r="U82" s="156" t="str">
        <f>INDEX(Index!$H$1:$H$32,MATCH($G82,Index!$E$1:$E$32,0))</f>
        <v>NE</v>
      </c>
      <c r="V82" s="156" t="str">
        <f t="shared" si="8"/>
        <v>Con</v>
      </c>
      <c r="W82" s="152" t="str">
        <f t="shared" si="9"/>
        <v>Y</v>
      </c>
      <c r="X82" s="149" t="str">
        <f>INDEX(Index!$G$1:$G$32,MATCH(E82,Index!$E$1:$E$32,0))</f>
        <v>CAR</v>
      </c>
      <c r="Y82" s="150" t="str">
        <f>INDEX(Index!$G$1:$G$32,MATCH(G82,Index!$E$1:$E$32,0))</f>
        <v>DAL</v>
      </c>
      <c r="Z82" s="147" t="str">
        <f t="shared" si="10"/>
        <v/>
      </c>
      <c r="AA82" s="174" t="str" cm="1">
        <f t="array" ref="AA82">IFERROR(IF($W82="Y","",INDEX(EPA!$N$2:$N$512,MATCH(X82&amp;Index!$K$1,EPA!$A$2:$A$512&amp;EPA!$W$2:$W$512,0))),"")</f>
        <v/>
      </c>
      <c r="AB82" s="174" t="str" cm="1">
        <f t="array" ref="AB82">IFERROR(IF($W82="Y","",INDEX(EPA!$N$2:$N$512,MATCH(Y82&amp;Index!$K$1,EPA!$A$2:$A$512&amp;EPA!$W$2:$W$512,0))),"")</f>
        <v/>
      </c>
      <c r="AC82" s="174" t="str">
        <f ca="1">IF(AA82&lt;&gt;"",_xlfn.NORM.INV(RAND(),AA82,Index!$K$2),"")</f>
        <v/>
      </c>
      <c r="AD82" s="174" t="str">
        <f ca="1">IF(AB82&lt;&gt;"",_xlfn.NORM.INV(RAND(),AB82,Index!$K$2),"")</f>
        <v/>
      </c>
      <c r="AE82" s="157" t="str">
        <f t="shared" si="11"/>
        <v>CAR</v>
      </c>
      <c r="AF82" s="158" t="str">
        <f t="shared" si="12"/>
        <v>DAL</v>
      </c>
      <c r="AG82" s="149">
        <f t="shared" si="13"/>
        <v>81</v>
      </c>
    </row>
    <row r="83" spans="1:33" x14ac:dyDescent="0.25">
      <c r="A83" s="9">
        <v>6</v>
      </c>
      <c r="B83" s="9" t="s">
        <v>661</v>
      </c>
      <c r="C83" s="148">
        <v>45942</v>
      </c>
      <c r="D83" s="9" t="s">
        <v>662</v>
      </c>
      <c r="E83" s="9" t="s">
        <v>73</v>
      </c>
      <c r="F83" s="9"/>
      <c r="G83" s="9" t="s">
        <v>83</v>
      </c>
      <c r="H83" s="9" t="s">
        <v>658</v>
      </c>
      <c r="I83" s="9">
        <v>23</v>
      </c>
      <c r="J83" s="9">
        <v>9</v>
      </c>
      <c r="K83" s="9">
        <v>335</v>
      </c>
      <c r="L83" s="9">
        <v>0</v>
      </c>
      <c r="M83" s="9">
        <v>248</v>
      </c>
      <c r="N83" s="9">
        <v>0</v>
      </c>
      <c r="O83" s="149" t="str">
        <f>IF(I83&lt;&gt;"",IF(I83=J83,"TIE",INDEX(Index!$F$1:$F$32,MATCH(E83,Index!$E$1:$E$32,0))),INDEX(Index!$F$1:$F$32,MATCH(E83,Index!$E$1:$E$32,0)))</f>
        <v>PIT</v>
      </c>
      <c r="P83" s="150" t="str">
        <f>IF(I83&lt;&gt;"",IF(I83=J83,"TIE",INDEX(Index!$F$1:$F$32,MATCH(G83,Index!$E$1:$E$32,0))),INDEX(Index!$F$1:$F$32,MATCH(G83,Index!$E$1:$E$32,0)))</f>
        <v>CLE</v>
      </c>
      <c r="Q83" s="155" t="str">
        <f>IF(O83="TIE",INDEX(Index!$F$1:$F$32,MATCH(E83,Index!$E$1:$E$32,0)),"")</f>
        <v/>
      </c>
      <c r="R83" s="155" t="str">
        <f>IF(P83="TIE",INDEX(Index!$F$1:$F$32,MATCH(G83,Index!$E$1:$E$32,0)),"")</f>
        <v/>
      </c>
      <c r="S83" s="151" t="str">
        <f t="shared" si="7"/>
        <v>H</v>
      </c>
      <c r="T83" s="156" t="str">
        <f>INDEX(Index!$H$1:$H$32,MATCH($E83,Index!$E$1:$E$32,0))</f>
        <v>AN</v>
      </c>
      <c r="U83" s="156" t="str">
        <f>INDEX(Index!$H$1:$H$32,MATCH($G83,Index!$E$1:$E$32,0))</f>
        <v>AN</v>
      </c>
      <c r="V83" s="156" t="str">
        <f t="shared" si="8"/>
        <v>Div</v>
      </c>
      <c r="W83" s="152" t="str">
        <f t="shared" si="9"/>
        <v>Y</v>
      </c>
      <c r="X83" s="149" t="str">
        <f>INDEX(Index!$G$1:$G$32,MATCH(E83,Index!$E$1:$E$32,0))</f>
        <v>PIT</v>
      </c>
      <c r="Y83" s="150" t="str">
        <f>INDEX(Index!$G$1:$G$32,MATCH(G83,Index!$E$1:$E$32,0))</f>
        <v>CLE</v>
      </c>
      <c r="Z83" s="147" t="str">
        <f t="shared" si="10"/>
        <v/>
      </c>
      <c r="AA83" s="174" t="str" cm="1">
        <f t="array" ref="AA83">IFERROR(IF($W83="Y","",INDEX(EPA!$N$2:$N$512,MATCH(X83&amp;Index!$K$1,EPA!$A$2:$A$512&amp;EPA!$W$2:$W$512,0))),"")</f>
        <v/>
      </c>
      <c r="AB83" s="174" t="str" cm="1">
        <f t="array" ref="AB83">IFERROR(IF($W83="Y","",INDEX(EPA!$N$2:$N$512,MATCH(Y83&amp;Index!$K$1,EPA!$A$2:$A$512&amp;EPA!$W$2:$W$512,0))),"")</f>
        <v/>
      </c>
      <c r="AC83" s="174" t="str">
        <f ca="1">IF(AA83&lt;&gt;"",_xlfn.NORM.INV(RAND(),AA83,Index!$K$2),"")</f>
        <v/>
      </c>
      <c r="AD83" s="174" t="str">
        <f ca="1">IF(AB83&lt;&gt;"",_xlfn.NORM.INV(RAND(),AB83,Index!$K$2),"")</f>
        <v/>
      </c>
      <c r="AE83" s="157" t="str">
        <f t="shared" si="11"/>
        <v>PIT</v>
      </c>
      <c r="AF83" s="158" t="str">
        <f t="shared" si="12"/>
        <v>CLE</v>
      </c>
      <c r="AG83" s="149">
        <f t="shared" si="13"/>
        <v>82</v>
      </c>
    </row>
    <row r="84" spans="1:33" x14ac:dyDescent="0.25">
      <c r="A84" s="9">
        <v>6</v>
      </c>
      <c r="B84" s="9" t="s">
        <v>661</v>
      </c>
      <c r="C84" s="148">
        <v>45942</v>
      </c>
      <c r="D84" s="9" t="s">
        <v>662</v>
      </c>
      <c r="E84" s="9" t="s">
        <v>42</v>
      </c>
      <c r="F84" s="9"/>
      <c r="G84" s="9" t="s">
        <v>27</v>
      </c>
      <c r="H84" s="9" t="s">
        <v>658</v>
      </c>
      <c r="I84" s="9">
        <v>31</v>
      </c>
      <c r="J84" s="9">
        <v>27</v>
      </c>
      <c r="K84" s="9">
        <v>355</v>
      </c>
      <c r="L84" s="9">
        <v>1</v>
      </c>
      <c r="M84" s="9">
        <v>400</v>
      </c>
      <c r="N84" s="9">
        <v>1</v>
      </c>
      <c r="O84" s="149" t="str">
        <f>IF(I84&lt;&gt;"",IF(I84=J84,"TIE",INDEX(Index!$F$1:$F$32,MATCH(E84,Index!$E$1:$E$32,0))),INDEX(Index!$F$1:$F$32,MATCH(E84,Index!$E$1:$E$32,0)))</f>
        <v>IND</v>
      </c>
      <c r="P84" s="150" t="str">
        <f>IF(I84&lt;&gt;"",IF(I84=J84,"TIE",INDEX(Index!$F$1:$F$32,MATCH(G84,Index!$E$1:$E$32,0))),INDEX(Index!$F$1:$F$32,MATCH(G84,Index!$E$1:$E$32,0)))</f>
        <v>ARI</v>
      </c>
      <c r="Q84" s="155" t="str">
        <f>IF(O84="TIE",INDEX(Index!$F$1:$F$32,MATCH(E84,Index!$E$1:$E$32,0)),"")</f>
        <v/>
      </c>
      <c r="R84" s="155" t="str">
        <f>IF(P84="TIE",INDEX(Index!$F$1:$F$32,MATCH(G84,Index!$E$1:$E$32,0)),"")</f>
        <v/>
      </c>
      <c r="S84" s="151" t="str">
        <f t="shared" si="7"/>
        <v>H</v>
      </c>
      <c r="T84" s="156" t="str">
        <f>INDEX(Index!$H$1:$H$32,MATCH($E84,Index!$E$1:$E$32,0))</f>
        <v>AS</v>
      </c>
      <c r="U84" s="156" t="str">
        <f>INDEX(Index!$H$1:$H$32,MATCH($G84,Index!$E$1:$E$32,0))</f>
        <v>NW</v>
      </c>
      <c r="V84" s="156" t="str">
        <f t="shared" si="8"/>
        <v>Non</v>
      </c>
      <c r="W84" s="152" t="str">
        <f t="shared" si="9"/>
        <v>Y</v>
      </c>
      <c r="X84" s="149" t="str">
        <f>INDEX(Index!$G$1:$G$32,MATCH(E84,Index!$E$1:$E$32,0))</f>
        <v>IND</v>
      </c>
      <c r="Y84" s="150" t="str">
        <f>INDEX(Index!$G$1:$G$32,MATCH(G84,Index!$E$1:$E$32,0))</f>
        <v>ARI</v>
      </c>
      <c r="Z84" s="147" t="str">
        <f t="shared" si="10"/>
        <v/>
      </c>
      <c r="AA84" s="174" t="str" cm="1">
        <f t="array" ref="AA84">IFERROR(IF($W84="Y","",INDEX(EPA!$N$2:$N$512,MATCH(X84&amp;Index!$K$1,EPA!$A$2:$A$512&amp;EPA!$W$2:$W$512,0))),"")</f>
        <v/>
      </c>
      <c r="AB84" s="174" t="str" cm="1">
        <f t="array" ref="AB84">IFERROR(IF($W84="Y","",INDEX(EPA!$N$2:$N$512,MATCH(Y84&amp;Index!$K$1,EPA!$A$2:$A$512&amp;EPA!$W$2:$W$512,0))),"")</f>
        <v/>
      </c>
      <c r="AC84" s="174" t="str">
        <f ca="1">IF(AA84&lt;&gt;"",_xlfn.NORM.INV(RAND(),AA84,Index!$K$2),"")</f>
        <v/>
      </c>
      <c r="AD84" s="174" t="str">
        <f ca="1">IF(AB84&lt;&gt;"",_xlfn.NORM.INV(RAND(),AB84,Index!$K$2),"")</f>
        <v/>
      </c>
      <c r="AE84" s="157" t="str">
        <f t="shared" si="11"/>
        <v>IND</v>
      </c>
      <c r="AF84" s="158" t="str">
        <f t="shared" si="12"/>
        <v>ARI</v>
      </c>
      <c r="AG84" s="149">
        <f t="shared" si="13"/>
        <v>83</v>
      </c>
    </row>
    <row r="85" spans="1:33" x14ac:dyDescent="0.25">
      <c r="A85" s="9">
        <v>6</v>
      </c>
      <c r="B85" s="9" t="s">
        <v>661</v>
      </c>
      <c r="C85" s="148">
        <v>45942</v>
      </c>
      <c r="D85" s="9" t="s">
        <v>662</v>
      </c>
      <c r="E85" s="9" t="s">
        <v>8</v>
      </c>
      <c r="F85" s="9" t="s">
        <v>663</v>
      </c>
      <c r="G85" s="9" t="s">
        <v>36</v>
      </c>
      <c r="H85" s="9" t="s">
        <v>658</v>
      </c>
      <c r="I85" s="9">
        <v>20</v>
      </c>
      <c r="J85" s="9">
        <v>12</v>
      </c>
      <c r="K85" s="9">
        <v>346</v>
      </c>
      <c r="L85" s="9">
        <v>0</v>
      </c>
      <c r="M85" s="9">
        <v>273</v>
      </c>
      <c r="N85" s="9">
        <v>0</v>
      </c>
      <c r="O85" s="149" t="str">
        <f>IF(I85&lt;&gt;"",IF(I85=J85,"TIE",INDEX(Index!$F$1:$F$32,MATCH(E85,Index!$E$1:$E$32,0))),INDEX(Index!$F$1:$F$32,MATCH(E85,Index!$E$1:$E$32,0)))</f>
        <v>SEA</v>
      </c>
      <c r="P85" s="150" t="str">
        <f>IF(I85&lt;&gt;"",IF(I85=J85,"TIE",INDEX(Index!$F$1:$F$32,MATCH(G85,Index!$E$1:$E$32,0))),INDEX(Index!$F$1:$F$32,MATCH(G85,Index!$E$1:$E$32,0)))</f>
        <v>JAX</v>
      </c>
      <c r="Q85" s="155" t="str">
        <f>IF(O85="TIE",INDEX(Index!$F$1:$F$32,MATCH(E85,Index!$E$1:$E$32,0)),"")</f>
        <v/>
      </c>
      <c r="R85" s="155" t="str">
        <f>IF(P85="TIE",INDEX(Index!$F$1:$F$32,MATCH(G85,Index!$E$1:$E$32,0)),"")</f>
        <v/>
      </c>
      <c r="S85" s="151" t="str">
        <f t="shared" si="7"/>
        <v>A</v>
      </c>
      <c r="T85" s="156" t="str">
        <f>INDEX(Index!$H$1:$H$32,MATCH($E85,Index!$E$1:$E$32,0))</f>
        <v>NW</v>
      </c>
      <c r="U85" s="156" t="str">
        <f>INDEX(Index!$H$1:$H$32,MATCH($G85,Index!$E$1:$E$32,0))</f>
        <v>AS</v>
      </c>
      <c r="V85" s="156" t="str">
        <f t="shared" si="8"/>
        <v>Non</v>
      </c>
      <c r="W85" s="152" t="str">
        <f t="shared" si="9"/>
        <v>Y</v>
      </c>
      <c r="X85" s="149" t="str">
        <f>INDEX(Index!$G$1:$G$32,MATCH(E85,Index!$E$1:$E$32,0))</f>
        <v>SEA</v>
      </c>
      <c r="Y85" s="150" t="str">
        <f>INDEX(Index!$G$1:$G$32,MATCH(G85,Index!$E$1:$E$32,0))</f>
        <v>JAX</v>
      </c>
      <c r="Z85" s="147" t="str">
        <f t="shared" si="10"/>
        <v/>
      </c>
      <c r="AA85" s="174" t="str" cm="1">
        <f t="array" ref="AA85">IFERROR(IF($W85="Y","",INDEX(EPA!$N$2:$N$512,MATCH(X85&amp;Index!$K$1,EPA!$A$2:$A$512&amp;EPA!$W$2:$W$512,0))),"")</f>
        <v/>
      </c>
      <c r="AB85" s="174" t="str" cm="1">
        <f t="array" ref="AB85">IFERROR(IF($W85="Y","",INDEX(EPA!$N$2:$N$512,MATCH(Y85&amp;Index!$K$1,EPA!$A$2:$A$512&amp;EPA!$W$2:$W$512,0))),"")</f>
        <v/>
      </c>
      <c r="AC85" s="174" t="str">
        <f ca="1">IF(AA85&lt;&gt;"",_xlfn.NORM.INV(RAND(),AA85,Index!$K$2),"")</f>
        <v/>
      </c>
      <c r="AD85" s="174" t="str">
        <f ca="1">IF(AB85&lt;&gt;"",_xlfn.NORM.INV(RAND(),AB85,Index!$K$2),"")</f>
        <v/>
      </c>
      <c r="AE85" s="157" t="str">
        <f t="shared" si="11"/>
        <v>SEA</v>
      </c>
      <c r="AF85" s="158" t="str">
        <f t="shared" si="12"/>
        <v>JAX</v>
      </c>
      <c r="AG85" s="149">
        <f t="shared" si="13"/>
        <v>84</v>
      </c>
    </row>
    <row r="86" spans="1:33" x14ac:dyDescent="0.25">
      <c r="A86" s="9">
        <v>6</v>
      </c>
      <c r="B86" s="9" t="s">
        <v>661</v>
      </c>
      <c r="C86" s="148">
        <v>45942</v>
      </c>
      <c r="D86" s="9" t="s">
        <v>662</v>
      </c>
      <c r="E86" s="9" t="s">
        <v>68</v>
      </c>
      <c r="F86" s="9" t="s">
        <v>663</v>
      </c>
      <c r="G86" s="9" t="s">
        <v>62</v>
      </c>
      <c r="H86" s="9" t="s">
        <v>658</v>
      </c>
      <c r="I86" s="9">
        <v>29</v>
      </c>
      <c r="J86" s="9">
        <v>27</v>
      </c>
      <c r="K86" s="9">
        <v>403</v>
      </c>
      <c r="L86" s="9">
        <v>1</v>
      </c>
      <c r="M86" s="9">
        <v>341</v>
      </c>
      <c r="N86" s="9">
        <v>3</v>
      </c>
      <c r="O86" s="149" t="str">
        <f>IF(I86&lt;&gt;"",IF(I86=J86,"TIE",INDEX(Index!$F$1:$F$32,MATCH(E86,Index!$E$1:$E$32,0))),INDEX(Index!$F$1:$F$32,MATCH(E86,Index!$E$1:$E$32,0)))</f>
        <v>LAC</v>
      </c>
      <c r="P86" s="150" t="str">
        <f>IF(I86&lt;&gt;"",IF(I86=J86,"TIE",INDEX(Index!$F$1:$F$32,MATCH(G86,Index!$E$1:$E$32,0))),INDEX(Index!$F$1:$F$32,MATCH(G86,Index!$E$1:$E$32,0)))</f>
        <v>MIA</v>
      </c>
      <c r="Q86" s="155" t="str">
        <f>IF(O86="TIE",INDEX(Index!$F$1:$F$32,MATCH(E86,Index!$E$1:$E$32,0)),"")</f>
        <v/>
      </c>
      <c r="R86" s="155" t="str">
        <f>IF(P86="TIE",INDEX(Index!$F$1:$F$32,MATCH(G86,Index!$E$1:$E$32,0)),"")</f>
        <v/>
      </c>
      <c r="S86" s="151" t="str">
        <f t="shared" si="7"/>
        <v>A</v>
      </c>
      <c r="T86" s="156" t="str">
        <f>INDEX(Index!$H$1:$H$32,MATCH($E86,Index!$E$1:$E$32,0))</f>
        <v>AW</v>
      </c>
      <c r="U86" s="156" t="str">
        <f>INDEX(Index!$H$1:$H$32,MATCH($G86,Index!$E$1:$E$32,0))</f>
        <v>AE</v>
      </c>
      <c r="V86" s="156" t="str">
        <f t="shared" si="8"/>
        <v>Con</v>
      </c>
      <c r="W86" s="152" t="str">
        <f t="shared" si="9"/>
        <v>Y</v>
      </c>
      <c r="X86" s="149" t="str">
        <f>INDEX(Index!$G$1:$G$32,MATCH(E86,Index!$E$1:$E$32,0))</f>
        <v>LAC</v>
      </c>
      <c r="Y86" s="150" t="str">
        <f>INDEX(Index!$G$1:$G$32,MATCH(G86,Index!$E$1:$E$32,0))</f>
        <v>MIA</v>
      </c>
      <c r="Z86" s="147" t="str">
        <f t="shared" si="10"/>
        <v/>
      </c>
      <c r="AA86" s="174" t="str" cm="1">
        <f t="array" ref="AA86">IFERROR(IF($W86="Y","",INDEX(EPA!$N$2:$N$512,MATCH(X86&amp;Index!$K$1,EPA!$A$2:$A$512&amp;EPA!$W$2:$W$512,0))),"")</f>
        <v/>
      </c>
      <c r="AB86" s="174" t="str" cm="1">
        <f t="array" ref="AB86">IFERROR(IF($W86="Y","",INDEX(EPA!$N$2:$N$512,MATCH(Y86&amp;Index!$K$1,EPA!$A$2:$A$512&amp;EPA!$W$2:$W$512,0))),"")</f>
        <v/>
      </c>
      <c r="AC86" s="174" t="str">
        <f ca="1">IF(AA86&lt;&gt;"",_xlfn.NORM.INV(RAND(),AA86,Index!$K$2),"")</f>
        <v/>
      </c>
      <c r="AD86" s="174" t="str">
        <f ca="1">IF(AB86&lt;&gt;"",_xlfn.NORM.INV(RAND(),AB86,Index!$K$2),"")</f>
        <v/>
      </c>
      <c r="AE86" s="157" t="str">
        <f t="shared" si="11"/>
        <v>LAC</v>
      </c>
      <c r="AF86" s="158" t="str">
        <f t="shared" si="12"/>
        <v>MIA</v>
      </c>
      <c r="AG86" s="149">
        <f t="shared" si="13"/>
        <v>85</v>
      </c>
    </row>
    <row r="87" spans="1:33" x14ac:dyDescent="0.25">
      <c r="A87" s="9">
        <v>6</v>
      </c>
      <c r="B87" s="9" t="s">
        <v>661</v>
      </c>
      <c r="C87" s="148">
        <v>45942</v>
      </c>
      <c r="D87" s="9" t="s">
        <v>662</v>
      </c>
      <c r="E87" s="9" t="s">
        <v>45</v>
      </c>
      <c r="F87" s="9" t="s">
        <v>663</v>
      </c>
      <c r="G87" s="9" t="s">
        <v>71</v>
      </c>
      <c r="H87" s="9" t="s">
        <v>658</v>
      </c>
      <c r="I87" s="9">
        <v>25</v>
      </c>
      <c r="J87" s="9">
        <v>19</v>
      </c>
      <c r="K87" s="9">
        <v>333</v>
      </c>
      <c r="L87" s="9">
        <v>0</v>
      </c>
      <c r="M87" s="9">
        <v>296</v>
      </c>
      <c r="N87" s="9">
        <v>1</v>
      </c>
      <c r="O87" s="149" t="str">
        <f>IF(I87&lt;&gt;"",IF(I87=J87,"TIE",INDEX(Index!$F$1:$F$32,MATCH(E87,Index!$E$1:$E$32,0))),INDEX(Index!$F$1:$F$32,MATCH(E87,Index!$E$1:$E$32,0)))</f>
        <v>NE</v>
      </c>
      <c r="P87" s="150" t="str">
        <f>IF(I87&lt;&gt;"",IF(I87=J87,"TIE",INDEX(Index!$F$1:$F$32,MATCH(G87,Index!$E$1:$E$32,0))),INDEX(Index!$F$1:$F$32,MATCH(G87,Index!$E$1:$E$32,0)))</f>
        <v>NO</v>
      </c>
      <c r="Q87" s="155" t="str">
        <f>IF(O87="TIE",INDEX(Index!$F$1:$F$32,MATCH(E87,Index!$E$1:$E$32,0)),"")</f>
        <v/>
      </c>
      <c r="R87" s="155" t="str">
        <f>IF(P87="TIE",INDEX(Index!$F$1:$F$32,MATCH(G87,Index!$E$1:$E$32,0)),"")</f>
        <v/>
      </c>
      <c r="S87" s="151" t="str">
        <f t="shared" si="7"/>
        <v>A</v>
      </c>
      <c r="T87" s="156" t="str">
        <f>INDEX(Index!$H$1:$H$32,MATCH($E87,Index!$E$1:$E$32,0))</f>
        <v>AE</v>
      </c>
      <c r="U87" s="156" t="str">
        <f>INDEX(Index!$H$1:$H$32,MATCH($G87,Index!$E$1:$E$32,0))</f>
        <v>NS</v>
      </c>
      <c r="V87" s="156" t="str">
        <f t="shared" si="8"/>
        <v>Non</v>
      </c>
      <c r="W87" s="152" t="str">
        <f t="shared" si="9"/>
        <v>Y</v>
      </c>
      <c r="X87" s="149" t="str">
        <f>INDEX(Index!$G$1:$G$32,MATCH(E87,Index!$E$1:$E$32,0))</f>
        <v>NE</v>
      </c>
      <c r="Y87" s="150" t="str">
        <f>INDEX(Index!$G$1:$G$32,MATCH(G87,Index!$E$1:$E$32,0))</f>
        <v>NO</v>
      </c>
      <c r="Z87" s="147" t="str">
        <f t="shared" si="10"/>
        <v/>
      </c>
      <c r="AA87" s="174" t="str" cm="1">
        <f t="array" ref="AA87">IFERROR(IF($W87="Y","",INDEX(EPA!$N$2:$N$512,MATCH(X87&amp;Index!$K$1,EPA!$A$2:$A$512&amp;EPA!$W$2:$W$512,0))),"")</f>
        <v/>
      </c>
      <c r="AB87" s="174" t="str" cm="1">
        <f t="array" ref="AB87">IFERROR(IF($W87="Y","",INDEX(EPA!$N$2:$N$512,MATCH(Y87&amp;Index!$K$1,EPA!$A$2:$A$512&amp;EPA!$W$2:$W$512,0))),"")</f>
        <v/>
      </c>
      <c r="AC87" s="174" t="str">
        <f ca="1">IF(AA87&lt;&gt;"",_xlfn.NORM.INV(RAND(),AA87,Index!$K$2),"")</f>
        <v/>
      </c>
      <c r="AD87" s="174" t="str">
        <f ca="1">IF(AB87&lt;&gt;"",_xlfn.NORM.INV(RAND(),AB87,Index!$K$2),"")</f>
        <v/>
      </c>
      <c r="AE87" s="157" t="str">
        <f t="shared" si="11"/>
        <v>NE</v>
      </c>
      <c r="AF87" s="158" t="str">
        <f t="shared" si="12"/>
        <v>NO</v>
      </c>
      <c r="AG87" s="149">
        <f t="shared" si="13"/>
        <v>86</v>
      </c>
    </row>
    <row r="88" spans="1:33" x14ac:dyDescent="0.25">
      <c r="A88" s="9">
        <v>6</v>
      </c>
      <c r="B88" s="9" t="s">
        <v>661</v>
      </c>
      <c r="C88" s="148">
        <v>45942</v>
      </c>
      <c r="D88" s="9" t="s">
        <v>662</v>
      </c>
      <c r="E88" s="9" t="s">
        <v>90</v>
      </c>
      <c r="F88" s="9" t="s">
        <v>663</v>
      </c>
      <c r="G88" s="9" t="s">
        <v>76</v>
      </c>
      <c r="H88" s="9" t="s">
        <v>658</v>
      </c>
      <c r="I88" s="9">
        <v>17</v>
      </c>
      <c r="J88" s="9">
        <v>3</v>
      </c>
      <c r="K88" s="9">
        <v>241</v>
      </c>
      <c r="L88" s="9">
        <v>1</v>
      </c>
      <c r="M88" s="9">
        <v>296</v>
      </c>
      <c r="N88" s="9">
        <v>3</v>
      </c>
      <c r="O88" s="149" t="str">
        <f>IF(I88&lt;&gt;"",IF(I88=J88,"TIE",INDEX(Index!$F$1:$F$32,MATCH(E88,Index!$E$1:$E$32,0))),INDEX(Index!$F$1:$F$32,MATCH(E88,Index!$E$1:$E$32,0)))</f>
        <v>LAR</v>
      </c>
      <c r="P88" s="150" t="str">
        <f>IF(I88&lt;&gt;"",IF(I88=J88,"TIE",INDEX(Index!$F$1:$F$32,MATCH(G88,Index!$E$1:$E$32,0))),INDEX(Index!$F$1:$F$32,MATCH(G88,Index!$E$1:$E$32,0)))</f>
        <v>BAL</v>
      </c>
      <c r="Q88" s="155" t="str">
        <f>IF(O88="TIE",INDEX(Index!$F$1:$F$32,MATCH(E88,Index!$E$1:$E$32,0)),"")</f>
        <v/>
      </c>
      <c r="R88" s="155" t="str">
        <f>IF(P88="TIE",INDEX(Index!$F$1:$F$32,MATCH(G88,Index!$E$1:$E$32,0)),"")</f>
        <v/>
      </c>
      <c r="S88" s="151" t="str">
        <f t="shared" si="7"/>
        <v>A</v>
      </c>
      <c r="T88" s="156" t="str">
        <f>INDEX(Index!$H$1:$H$32,MATCH($E88,Index!$E$1:$E$32,0))</f>
        <v>NW</v>
      </c>
      <c r="U88" s="156" t="str">
        <f>INDEX(Index!$H$1:$H$32,MATCH($G88,Index!$E$1:$E$32,0))</f>
        <v>AN</v>
      </c>
      <c r="V88" s="156" t="str">
        <f t="shared" si="8"/>
        <v>Non</v>
      </c>
      <c r="W88" s="152" t="str">
        <f t="shared" si="9"/>
        <v>Y</v>
      </c>
      <c r="X88" s="149" t="str">
        <f>INDEX(Index!$G$1:$G$32,MATCH(E88,Index!$E$1:$E$32,0))</f>
        <v>LAR</v>
      </c>
      <c r="Y88" s="150" t="str">
        <f>INDEX(Index!$G$1:$G$32,MATCH(G88,Index!$E$1:$E$32,0))</f>
        <v>BAL</v>
      </c>
      <c r="Z88" s="147" t="str">
        <f t="shared" si="10"/>
        <v/>
      </c>
      <c r="AA88" s="174" t="str" cm="1">
        <f t="array" ref="AA88">IFERROR(IF($W88="Y","",INDEX(EPA!$N$2:$N$512,MATCH(X88&amp;Index!$K$1,EPA!$A$2:$A$512&amp;EPA!$W$2:$W$512,0))),"")</f>
        <v/>
      </c>
      <c r="AB88" s="174" t="str" cm="1">
        <f t="array" ref="AB88">IFERROR(IF($W88="Y","",INDEX(EPA!$N$2:$N$512,MATCH(Y88&amp;Index!$K$1,EPA!$A$2:$A$512&amp;EPA!$W$2:$W$512,0))),"")</f>
        <v/>
      </c>
      <c r="AC88" s="174" t="str">
        <f ca="1">IF(AA88&lt;&gt;"",_xlfn.NORM.INV(RAND(),AA88,Index!$K$2),"")</f>
        <v/>
      </c>
      <c r="AD88" s="174" t="str">
        <f ca="1">IF(AB88&lt;&gt;"",_xlfn.NORM.INV(RAND(),AB88,Index!$K$2),"")</f>
        <v/>
      </c>
      <c r="AE88" s="157" t="str">
        <f t="shared" si="11"/>
        <v>LAR</v>
      </c>
      <c r="AF88" s="158" t="str">
        <f t="shared" si="12"/>
        <v>BAL</v>
      </c>
      <c r="AG88" s="149">
        <f t="shared" si="13"/>
        <v>87</v>
      </c>
    </row>
    <row r="89" spans="1:33" x14ac:dyDescent="0.25">
      <c r="A89" s="9">
        <v>6</v>
      </c>
      <c r="B89" s="9" t="s">
        <v>661</v>
      </c>
      <c r="C89" s="148">
        <v>45942</v>
      </c>
      <c r="D89" s="9" t="s">
        <v>664</v>
      </c>
      <c r="E89" s="9" t="s">
        <v>80</v>
      </c>
      <c r="F89" s="9"/>
      <c r="G89" s="9" t="s">
        <v>19</v>
      </c>
      <c r="H89" s="9" t="s">
        <v>658</v>
      </c>
      <c r="I89" s="9">
        <v>20</v>
      </c>
      <c r="J89" s="9">
        <v>10</v>
      </c>
      <c r="K89" s="9">
        <v>226</v>
      </c>
      <c r="L89" s="9">
        <v>1</v>
      </c>
      <c r="M89" s="9">
        <v>225</v>
      </c>
      <c r="N89" s="9">
        <v>3</v>
      </c>
      <c r="O89" s="149" t="str">
        <f>IF(I89&lt;&gt;"",IF(I89=J89,"TIE",INDEX(Index!$F$1:$F$32,MATCH(E89,Index!$E$1:$E$32,0))),INDEX(Index!$F$1:$F$32,MATCH(E89,Index!$E$1:$E$32,0)))</f>
        <v>LV</v>
      </c>
      <c r="P89" s="150" t="str">
        <f>IF(I89&lt;&gt;"",IF(I89=J89,"TIE",INDEX(Index!$F$1:$F$32,MATCH(G89,Index!$E$1:$E$32,0))),INDEX(Index!$F$1:$F$32,MATCH(G89,Index!$E$1:$E$32,0)))</f>
        <v>TEN</v>
      </c>
      <c r="Q89" s="155" t="str">
        <f>IF(O89="TIE",INDEX(Index!$F$1:$F$32,MATCH(E89,Index!$E$1:$E$32,0)),"")</f>
        <v/>
      </c>
      <c r="R89" s="155" t="str">
        <f>IF(P89="TIE",INDEX(Index!$F$1:$F$32,MATCH(G89,Index!$E$1:$E$32,0)),"")</f>
        <v/>
      </c>
      <c r="S89" s="151" t="str">
        <f t="shared" si="7"/>
        <v>H</v>
      </c>
      <c r="T89" s="156" t="str">
        <f>INDEX(Index!$H$1:$H$32,MATCH($E89,Index!$E$1:$E$32,0))</f>
        <v>AW</v>
      </c>
      <c r="U89" s="156" t="str">
        <f>INDEX(Index!$H$1:$H$32,MATCH($G89,Index!$E$1:$E$32,0))</f>
        <v>AS</v>
      </c>
      <c r="V89" s="156" t="str">
        <f t="shared" si="8"/>
        <v>Con</v>
      </c>
      <c r="W89" s="152" t="str">
        <f t="shared" si="9"/>
        <v>Y</v>
      </c>
      <c r="X89" s="149" t="str">
        <f>INDEX(Index!$G$1:$G$32,MATCH(E89,Index!$E$1:$E$32,0))</f>
        <v>OAK</v>
      </c>
      <c r="Y89" s="150" t="str">
        <f>INDEX(Index!$G$1:$G$32,MATCH(G89,Index!$E$1:$E$32,0))</f>
        <v>TEN</v>
      </c>
      <c r="Z89" s="147" t="str">
        <f t="shared" si="10"/>
        <v/>
      </c>
      <c r="AA89" s="174" t="str" cm="1">
        <f t="array" ref="AA89">IFERROR(IF($W89="Y","",INDEX(EPA!$N$2:$N$512,MATCH(X89&amp;Index!$K$1,EPA!$A$2:$A$512&amp;EPA!$W$2:$W$512,0))),"")</f>
        <v/>
      </c>
      <c r="AB89" s="174" t="str" cm="1">
        <f t="array" ref="AB89">IFERROR(IF($W89="Y","",INDEX(EPA!$N$2:$N$512,MATCH(Y89&amp;Index!$K$1,EPA!$A$2:$A$512&amp;EPA!$W$2:$W$512,0))),"")</f>
        <v/>
      </c>
      <c r="AC89" s="174" t="str">
        <f ca="1">IF(AA89&lt;&gt;"",_xlfn.NORM.INV(RAND(),AA89,Index!$K$2),"")</f>
        <v/>
      </c>
      <c r="AD89" s="174" t="str">
        <f ca="1">IF(AB89&lt;&gt;"",_xlfn.NORM.INV(RAND(),AB89,Index!$K$2),"")</f>
        <v/>
      </c>
      <c r="AE89" s="157" t="str">
        <f t="shared" si="11"/>
        <v>LV</v>
      </c>
      <c r="AF89" s="158" t="str">
        <f t="shared" si="12"/>
        <v>TEN</v>
      </c>
      <c r="AG89" s="149">
        <f t="shared" si="13"/>
        <v>88</v>
      </c>
    </row>
    <row r="90" spans="1:33" x14ac:dyDescent="0.25">
      <c r="A90" s="9">
        <v>6</v>
      </c>
      <c r="B90" s="9" t="s">
        <v>661</v>
      </c>
      <c r="C90" s="148">
        <v>45942</v>
      </c>
      <c r="D90" s="9" t="s">
        <v>665</v>
      </c>
      <c r="E90" s="9" t="s">
        <v>88</v>
      </c>
      <c r="F90" s="9"/>
      <c r="G90" s="9" t="s">
        <v>53</v>
      </c>
      <c r="H90" s="9" t="s">
        <v>658</v>
      </c>
      <c r="I90" s="9">
        <v>27</v>
      </c>
      <c r="J90" s="9">
        <v>18</v>
      </c>
      <c r="K90" s="9">
        <v>409</v>
      </c>
      <c r="L90" s="9">
        <v>1</v>
      </c>
      <c r="M90" s="9">
        <v>268</v>
      </c>
      <c r="N90" s="9">
        <v>0</v>
      </c>
      <c r="O90" s="149" t="str">
        <f>IF(I90&lt;&gt;"",IF(I90=J90,"TIE",INDEX(Index!$F$1:$F$32,MATCH(E90,Index!$E$1:$E$32,0))),INDEX(Index!$F$1:$F$32,MATCH(E90,Index!$E$1:$E$32,0)))</f>
        <v>GB</v>
      </c>
      <c r="P90" s="150" t="str">
        <f>IF(I90&lt;&gt;"",IF(I90=J90,"TIE",INDEX(Index!$F$1:$F$32,MATCH(G90,Index!$E$1:$E$32,0))),INDEX(Index!$F$1:$F$32,MATCH(G90,Index!$E$1:$E$32,0)))</f>
        <v>CIN</v>
      </c>
      <c r="Q90" s="155" t="str">
        <f>IF(O90="TIE",INDEX(Index!$F$1:$F$32,MATCH(E90,Index!$E$1:$E$32,0)),"")</f>
        <v/>
      </c>
      <c r="R90" s="155" t="str">
        <f>IF(P90="TIE",INDEX(Index!$F$1:$F$32,MATCH(G90,Index!$E$1:$E$32,0)),"")</f>
        <v/>
      </c>
      <c r="S90" s="151" t="str">
        <f t="shared" si="7"/>
        <v>H</v>
      </c>
      <c r="T90" s="156" t="str">
        <f>INDEX(Index!$H$1:$H$32,MATCH($E90,Index!$E$1:$E$32,0))</f>
        <v>NN</v>
      </c>
      <c r="U90" s="156" t="str">
        <f>INDEX(Index!$H$1:$H$32,MATCH($G90,Index!$E$1:$E$32,0))</f>
        <v>AN</v>
      </c>
      <c r="V90" s="156" t="str">
        <f t="shared" si="8"/>
        <v>Non</v>
      </c>
      <c r="W90" s="152" t="str">
        <f t="shared" si="9"/>
        <v>Y</v>
      </c>
      <c r="X90" s="149" t="str">
        <f>INDEX(Index!$G$1:$G$32,MATCH(E90,Index!$E$1:$E$32,0))</f>
        <v>GB</v>
      </c>
      <c r="Y90" s="150" t="str">
        <f>INDEX(Index!$G$1:$G$32,MATCH(G90,Index!$E$1:$E$32,0))</f>
        <v>CIN</v>
      </c>
      <c r="Z90" s="147" t="str">
        <f t="shared" si="10"/>
        <v/>
      </c>
      <c r="AA90" s="174" t="str" cm="1">
        <f t="array" ref="AA90">IFERROR(IF($W90="Y","",INDEX(EPA!$N$2:$N$512,MATCH(X90&amp;Index!$K$1,EPA!$A$2:$A$512&amp;EPA!$W$2:$W$512,0))),"")</f>
        <v/>
      </c>
      <c r="AB90" s="174" t="str" cm="1">
        <f t="array" ref="AB90">IFERROR(IF($W90="Y","",INDEX(EPA!$N$2:$N$512,MATCH(Y90&amp;Index!$K$1,EPA!$A$2:$A$512&amp;EPA!$W$2:$W$512,0))),"")</f>
        <v/>
      </c>
      <c r="AC90" s="174" t="str">
        <f ca="1">IF(AA90&lt;&gt;"",_xlfn.NORM.INV(RAND(),AA90,Index!$K$2),"")</f>
        <v/>
      </c>
      <c r="AD90" s="174" t="str">
        <f ca="1">IF(AB90&lt;&gt;"",_xlfn.NORM.INV(RAND(),AB90,Index!$K$2),"")</f>
        <v/>
      </c>
      <c r="AE90" s="157" t="str">
        <f t="shared" si="11"/>
        <v>GB</v>
      </c>
      <c r="AF90" s="158" t="str">
        <f t="shared" si="12"/>
        <v>CIN</v>
      </c>
      <c r="AG90" s="149">
        <f t="shared" si="13"/>
        <v>89</v>
      </c>
    </row>
    <row r="91" spans="1:33" x14ac:dyDescent="0.25">
      <c r="A91" s="9">
        <v>6</v>
      </c>
      <c r="B91" s="9" t="s">
        <v>661</v>
      </c>
      <c r="C91" s="148">
        <v>45942</v>
      </c>
      <c r="D91" s="9" t="s">
        <v>665</v>
      </c>
      <c r="E91" s="9" t="s">
        <v>0</v>
      </c>
      <c r="F91" s="9"/>
      <c r="G91" s="9" t="s">
        <v>30</v>
      </c>
      <c r="H91" s="9" t="s">
        <v>658</v>
      </c>
      <c r="I91" s="9">
        <v>30</v>
      </c>
      <c r="J91" s="9">
        <v>19</v>
      </c>
      <c r="K91" s="9">
        <v>352</v>
      </c>
      <c r="L91" s="9">
        <v>0</v>
      </c>
      <c r="M91" s="9">
        <v>363</v>
      </c>
      <c r="N91" s="9">
        <v>2</v>
      </c>
      <c r="O91" s="149" t="str">
        <f>IF(I91&lt;&gt;"",IF(I91=J91,"TIE",INDEX(Index!$F$1:$F$32,MATCH(E91,Index!$E$1:$E$32,0))),INDEX(Index!$F$1:$F$32,MATCH(E91,Index!$E$1:$E$32,0)))</f>
        <v>TB</v>
      </c>
      <c r="P91" s="150" t="str">
        <f>IF(I91&lt;&gt;"",IF(I91=J91,"TIE",INDEX(Index!$F$1:$F$32,MATCH(G91,Index!$E$1:$E$32,0))),INDEX(Index!$F$1:$F$32,MATCH(G91,Index!$E$1:$E$32,0)))</f>
        <v>SF</v>
      </c>
      <c r="Q91" s="155" t="str">
        <f>IF(O91="TIE",INDEX(Index!$F$1:$F$32,MATCH(E91,Index!$E$1:$E$32,0)),"")</f>
        <v/>
      </c>
      <c r="R91" s="155" t="str">
        <f>IF(P91="TIE",INDEX(Index!$F$1:$F$32,MATCH(G91,Index!$E$1:$E$32,0)),"")</f>
        <v/>
      </c>
      <c r="S91" s="151" t="str">
        <f t="shared" si="7"/>
        <v>H</v>
      </c>
      <c r="T91" s="156" t="str">
        <f>INDEX(Index!$H$1:$H$32,MATCH($E91,Index!$E$1:$E$32,0))</f>
        <v>NS</v>
      </c>
      <c r="U91" s="156" t="str">
        <f>INDEX(Index!$H$1:$H$32,MATCH($G91,Index!$E$1:$E$32,0))</f>
        <v>NW</v>
      </c>
      <c r="V91" s="156" t="str">
        <f t="shared" si="8"/>
        <v>Con</v>
      </c>
      <c r="W91" s="152" t="str">
        <f t="shared" si="9"/>
        <v>Y</v>
      </c>
      <c r="X91" s="149" t="str">
        <f>INDEX(Index!$G$1:$G$32,MATCH(E91,Index!$E$1:$E$32,0))</f>
        <v>TB</v>
      </c>
      <c r="Y91" s="150" t="str">
        <f>INDEX(Index!$G$1:$G$32,MATCH(G91,Index!$E$1:$E$32,0))</f>
        <v>SF</v>
      </c>
      <c r="Z91" s="147" t="str">
        <f t="shared" si="10"/>
        <v/>
      </c>
      <c r="AA91" s="174" t="str" cm="1">
        <f t="array" ref="AA91">IFERROR(IF($W91="Y","",INDEX(EPA!$N$2:$N$512,MATCH(X91&amp;Index!$K$1,EPA!$A$2:$A$512&amp;EPA!$W$2:$W$512,0))),"")</f>
        <v/>
      </c>
      <c r="AB91" s="174" t="str" cm="1">
        <f t="array" ref="AB91">IFERROR(IF($W91="Y","",INDEX(EPA!$N$2:$N$512,MATCH(Y91&amp;Index!$K$1,EPA!$A$2:$A$512&amp;EPA!$W$2:$W$512,0))),"")</f>
        <v/>
      </c>
      <c r="AC91" s="174" t="str">
        <f ca="1">IF(AA91&lt;&gt;"",_xlfn.NORM.INV(RAND(),AA91,Index!$K$2),"")</f>
        <v/>
      </c>
      <c r="AD91" s="174" t="str">
        <f ca="1">IF(AB91&lt;&gt;"",_xlfn.NORM.INV(RAND(),AB91,Index!$K$2),"")</f>
        <v/>
      </c>
      <c r="AE91" s="157" t="str">
        <f t="shared" si="11"/>
        <v>TB</v>
      </c>
      <c r="AF91" s="158" t="str">
        <f t="shared" si="12"/>
        <v>SF</v>
      </c>
      <c r="AG91" s="149">
        <f t="shared" si="13"/>
        <v>90</v>
      </c>
    </row>
    <row r="92" spans="1:33" x14ac:dyDescent="0.25">
      <c r="A92" s="9">
        <v>6</v>
      </c>
      <c r="B92" s="9" t="s">
        <v>661</v>
      </c>
      <c r="C92" s="148">
        <v>45942</v>
      </c>
      <c r="D92" s="9" t="s">
        <v>657</v>
      </c>
      <c r="E92" s="9" t="s">
        <v>16</v>
      </c>
      <c r="F92" s="9"/>
      <c r="G92" s="9" t="s">
        <v>86</v>
      </c>
      <c r="H92" s="9" t="s">
        <v>658</v>
      </c>
      <c r="I92" s="9">
        <v>30</v>
      </c>
      <c r="J92" s="9">
        <v>17</v>
      </c>
      <c r="K92" s="9">
        <v>355</v>
      </c>
      <c r="L92" s="9">
        <v>0</v>
      </c>
      <c r="M92" s="9">
        <v>297</v>
      </c>
      <c r="N92" s="9">
        <v>0</v>
      </c>
      <c r="O92" s="149" t="str">
        <f>IF(I92&lt;&gt;"",IF(I92=J92,"TIE",INDEX(Index!$F$1:$F$32,MATCH(E92,Index!$E$1:$E$32,0))),INDEX(Index!$F$1:$F$32,MATCH(E92,Index!$E$1:$E$32,0)))</f>
        <v>KC</v>
      </c>
      <c r="P92" s="150" t="str">
        <f>IF(I92&lt;&gt;"",IF(I92=J92,"TIE",INDEX(Index!$F$1:$F$32,MATCH(G92,Index!$E$1:$E$32,0))),INDEX(Index!$F$1:$F$32,MATCH(G92,Index!$E$1:$E$32,0)))</f>
        <v>DET</v>
      </c>
      <c r="Q92" s="155" t="str">
        <f>IF(O92="TIE",INDEX(Index!$F$1:$F$32,MATCH(E92,Index!$E$1:$E$32,0)),"")</f>
        <v/>
      </c>
      <c r="R92" s="155" t="str">
        <f>IF(P92="TIE",INDEX(Index!$F$1:$F$32,MATCH(G92,Index!$E$1:$E$32,0)),"")</f>
        <v/>
      </c>
      <c r="S92" s="151" t="str">
        <f t="shared" si="7"/>
        <v>H</v>
      </c>
      <c r="T92" s="156" t="str">
        <f>INDEX(Index!$H$1:$H$32,MATCH($E92,Index!$E$1:$E$32,0))</f>
        <v>AW</v>
      </c>
      <c r="U92" s="156" t="str">
        <f>INDEX(Index!$H$1:$H$32,MATCH($G92,Index!$E$1:$E$32,0))</f>
        <v>NN</v>
      </c>
      <c r="V92" s="156" t="str">
        <f t="shared" si="8"/>
        <v>Non</v>
      </c>
      <c r="W92" s="152" t="str">
        <f t="shared" si="9"/>
        <v>Y</v>
      </c>
      <c r="X92" s="149" t="str">
        <f>INDEX(Index!$G$1:$G$32,MATCH(E92,Index!$E$1:$E$32,0))</f>
        <v>KC</v>
      </c>
      <c r="Y92" s="150" t="str">
        <f>INDEX(Index!$G$1:$G$32,MATCH(G92,Index!$E$1:$E$32,0))</f>
        <v>DET</v>
      </c>
      <c r="Z92" s="147" t="str">
        <f t="shared" si="10"/>
        <v/>
      </c>
      <c r="AA92" s="174" t="str" cm="1">
        <f t="array" ref="AA92">IFERROR(IF($W92="Y","",INDEX(EPA!$N$2:$N$512,MATCH(X92&amp;Index!$K$1,EPA!$A$2:$A$512&amp;EPA!$W$2:$W$512,0))),"")</f>
        <v/>
      </c>
      <c r="AB92" s="174" t="str" cm="1">
        <f t="array" ref="AB92">IFERROR(IF($W92="Y","",INDEX(EPA!$N$2:$N$512,MATCH(Y92&amp;Index!$K$1,EPA!$A$2:$A$512&amp;EPA!$W$2:$W$512,0))),"")</f>
        <v/>
      </c>
      <c r="AC92" s="174" t="str">
        <f ca="1">IF(AA92&lt;&gt;"",_xlfn.NORM.INV(RAND(),AA92,Index!$K$2),"")</f>
        <v/>
      </c>
      <c r="AD92" s="174" t="str">
        <f ca="1">IF(AB92&lt;&gt;"",_xlfn.NORM.INV(RAND(),AB92,Index!$K$2),"")</f>
        <v/>
      </c>
      <c r="AE92" s="157" t="str">
        <f t="shared" si="11"/>
        <v>KC</v>
      </c>
      <c r="AF92" s="158" t="str">
        <f t="shared" si="12"/>
        <v>DET</v>
      </c>
      <c r="AG92" s="149">
        <f t="shared" si="13"/>
        <v>91</v>
      </c>
    </row>
    <row r="93" spans="1:33" x14ac:dyDescent="0.25">
      <c r="A93" s="9">
        <v>6</v>
      </c>
      <c r="B93" s="9" t="s">
        <v>666</v>
      </c>
      <c r="C93" s="148">
        <v>45943</v>
      </c>
      <c r="D93" s="9" t="s">
        <v>671</v>
      </c>
      <c r="E93" s="9" t="s">
        <v>78</v>
      </c>
      <c r="F93" s="9"/>
      <c r="G93" s="9" t="s">
        <v>40</v>
      </c>
      <c r="H93" s="9" t="s">
        <v>658</v>
      </c>
      <c r="I93" s="9">
        <v>24</v>
      </c>
      <c r="J93" s="9">
        <v>14</v>
      </c>
      <c r="K93" s="9">
        <v>443</v>
      </c>
      <c r="L93" s="9">
        <v>0</v>
      </c>
      <c r="M93" s="9">
        <v>291</v>
      </c>
      <c r="N93" s="9">
        <v>2</v>
      </c>
      <c r="O93" s="149" t="str">
        <f>IF(I93&lt;&gt;"",IF(I93=J93,"TIE",INDEX(Index!$F$1:$F$32,MATCH(E93,Index!$E$1:$E$32,0))),INDEX(Index!$F$1:$F$32,MATCH(E93,Index!$E$1:$E$32,0)))</f>
        <v>ATL</v>
      </c>
      <c r="P93" s="150" t="str">
        <f>IF(I93&lt;&gt;"",IF(I93=J93,"TIE",INDEX(Index!$F$1:$F$32,MATCH(G93,Index!$E$1:$E$32,0))),INDEX(Index!$F$1:$F$32,MATCH(G93,Index!$E$1:$E$32,0)))</f>
        <v>BUF</v>
      </c>
      <c r="Q93" s="155" t="str">
        <f>IF(O93="TIE",INDEX(Index!$F$1:$F$32,MATCH(E93,Index!$E$1:$E$32,0)),"")</f>
        <v/>
      </c>
      <c r="R93" s="155" t="str">
        <f>IF(P93="TIE",INDEX(Index!$F$1:$F$32,MATCH(G93,Index!$E$1:$E$32,0)),"")</f>
        <v/>
      </c>
      <c r="S93" s="151" t="str">
        <f t="shared" si="7"/>
        <v>H</v>
      </c>
      <c r="T93" s="156" t="str">
        <f>INDEX(Index!$H$1:$H$32,MATCH($E93,Index!$E$1:$E$32,0))</f>
        <v>NS</v>
      </c>
      <c r="U93" s="156" t="str">
        <f>INDEX(Index!$H$1:$H$32,MATCH($G93,Index!$E$1:$E$32,0))</f>
        <v>AE</v>
      </c>
      <c r="V93" s="156" t="str">
        <f t="shared" si="8"/>
        <v>Non</v>
      </c>
      <c r="W93" s="152" t="str">
        <f t="shared" si="9"/>
        <v>Y</v>
      </c>
      <c r="X93" s="149" t="str">
        <f>INDEX(Index!$G$1:$G$32,MATCH(E93,Index!$E$1:$E$32,0))</f>
        <v>ATL</v>
      </c>
      <c r="Y93" s="150" t="str">
        <f>INDEX(Index!$G$1:$G$32,MATCH(G93,Index!$E$1:$E$32,0))</f>
        <v>BUF</v>
      </c>
      <c r="Z93" s="147" t="str">
        <f t="shared" si="10"/>
        <v/>
      </c>
      <c r="AA93" s="174" t="str" cm="1">
        <f t="array" ref="AA93">IFERROR(IF($W93="Y","",INDEX(EPA!$N$2:$N$512,MATCH(X93&amp;Index!$K$1,EPA!$A$2:$A$512&amp;EPA!$W$2:$W$512,0))),"")</f>
        <v/>
      </c>
      <c r="AB93" s="174" t="str" cm="1">
        <f t="array" ref="AB93">IFERROR(IF($W93="Y","",INDEX(EPA!$N$2:$N$512,MATCH(Y93&amp;Index!$K$1,EPA!$A$2:$A$512&amp;EPA!$W$2:$W$512,0))),"")</f>
        <v/>
      </c>
      <c r="AC93" s="174" t="str">
        <f ca="1">IF(AA93&lt;&gt;"",_xlfn.NORM.INV(RAND(),AA93,Index!$K$2),"")</f>
        <v/>
      </c>
      <c r="AD93" s="174" t="str">
        <f ca="1">IF(AB93&lt;&gt;"",_xlfn.NORM.INV(RAND(),AB93,Index!$K$2),"")</f>
        <v/>
      </c>
      <c r="AE93" s="157" t="str">
        <f t="shared" si="11"/>
        <v>ATL</v>
      </c>
      <c r="AF93" s="158" t="str">
        <f t="shared" si="12"/>
        <v>BUF</v>
      </c>
      <c r="AG93" s="149">
        <f t="shared" si="13"/>
        <v>92</v>
      </c>
    </row>
    <row r="94" spans="1:33" x14ac:dyDescent="0.25">
      <c r="A94" s="9">
        <v>6</v>
      </c>
      <c r="B94" s="9" t="s">
        <v>666</v>
      </c>
      <c r="C94" s="148">
        <v>45943</v>
      </c>
      <c r="D94" s="9" t="s">
        <v>667</v>
      </c>
      <c r="E94" s="9" t="s">
        <v>65</v>
      </c>
      <c r="F94" s="9" t="s">
        <v>663</v>
      </c>
      <c r="G94" s="9" t="s">
        <v>4</v>
      </c>
      <c r="H94" s="9" t="s">
        <v>658</v>
      </c>
      <c r="I94" s="9">
        <v>25</v>
      </c>
      <c r="J94" s="9">
        <v>24</v>
      </c>
      <c r="K94" s="9">
        <v>386</v>
      </c>
      <c r="L94" s="9">
        <v>0</v>
      </c>
      <c r="M94" s="9">
        <v>329</v>
      </c>
      <c r="N94" s="9">
        <v>3</v>
      </c>
      <c r="O94" s="149" t="str">
        <f>IF(I94&lt;&gt;"",IF(I94=J94,"TIE",INDEX(Index!$F$1:$F$32,MATCH(E94,Index!$E$1:$E$32,0))),INDEX(Index!$F$1:$F$32,MATCH(E94,Index!$E$1:$E$32,0)))</f>
        <v>CHI</v>
      </c>
      <c r="P94" s="150" t="str">
        <f>IF(I94&lt;&gt;"",IF(I94=J94,"TIE",INDEX(Index!$F$1:$F$32,MATCH(G94,Index!$E$1:$E$32,0))),INDEX(Index!$F$1:$F$32,MATCH(G94,Index!$E$1:$E$32,0)))</f>
        <v>WAS</v>
      </c>
      <c r="Q94" s="155" t="str">
        <f>IF(O94="TIE",INDEX(Index!$F$1:$F$32,MATCH(E94,Index!$E$1:$E$32,0)),"")</f>
        <v/>
      </c>
      <c r="R94" s="155" t="str">
        <f>IF(P94="TIE",INDEX(Index!$F$1:$F$32,MATCH(G94,Index!$E$1:$E$32,0)),"")</f>
        <v/>
      </c>
      <c r="S94" s="151" t="str">
        <f t="shared" si="7"/>
        <v>A</v>
      </c>
      <c r="T94" s="156" t="str">
        <f>INDEX(Index!$H$1:$H$32,MATCH($E94,Index!$E$1:$E$32,0))</f>
        <v>NN</v>
      </c>
      <c r="U94" s="156" t="str">
        <f>INDEX(Index!$H$1:$H$32,MATCH($G94,Index!$E$1:$E$32,0))</f>
        <v>NE</v>
      </c>
      <c r="V94" s="156" t="str">
        <f t="shared" si="8"/>
        <v>Con</v>
      </c>
      <c r="W94" s="152" t="str">
        <f t="shared" si="9"/>
        <v>Y</v>
      </c>
      <c r="X94" s="149" t="str">
        <f>INDEX(Index!$G$1:$G$32,MATCH(E94,Index!$E$1:$E$32,0))</f>
        <v>CHI</v>
      </c>
      <c r="Y94" s="150" t="str">
        <f>INDEX(Index!$G$1:$G$32,MATCH(G94,Index!$E$1:$E$32,0))</f>
        <v>WAS</v>
      </c>
      <c r="Z94" s="147" t="str">
        <f t="shared" si="10"/>
        <v/>
      </c>
      <c r="AA94" s="174" t="str" cm="1">
        <f t="array" ref="AA94">IFERROR(IF($W94="Y","",INDEX(EPA!$N$2:$N$512,MATCH(X94&amp;Index!$K$1,EPA!$A$2:$A$512&amp;EPA!$W$2:$W$512,0))),"")</f>
        <v/>
      </c>
      <c r="AB94" s="174" t="str" cm="1">
        <f t="array" ref="AB94">IFERROR(IF($W94="Y","",INDEX(EPA!$N$2:$N$512,MATCH(Y94&amp;Index!$K$1,EPA!$A$2:$A$512&amp;EPA!$W$2:$W$512,0))),"")</f>
        <v/>
      </c>
      <c r="AC94" s="174" t="str">
        <f ca="1">IF(AA94&lt;&gt;"",_xlfn.NORM.INV(RAND(),AA94,Index!$K$2),"")</f>
        <v/>
      </c>
      <c r="AD94" s="174" t="str">
        <f ca="1">IF(AB94&lt;&gt;"",_xlfn.NORM.INV(RAND(),AB94,Index!$K$2),"")</f>
        <v/>
      </c>
      <c r="AE94" s="157" t="str">
        <f t="shared" si="11"/>
        <v>CHI</v>
      </c>
      <c r="AF94" s="158" t="str">
        <f t="shared" si="12"/>
        <v>WAS</v>
      </c>
      <c r="AG94" s="149">
        <f t="shared" si="13"/>
        <v>93</v>
      </c>
    </row>
    <row r="95" spans="1:33" x14ac:dyDescent="0.25">
      <c r="A95" s="9">
        <v>7</v>
      </c>
      <c r="B95" s="9" t="s">
        <v>656</v>
      </c>
      <c r="C95" s="148">
        <v>45946</v>
      </c>
      <c r="D95" s="9" t="s">
        <v>667</v>
      </c>
      <c r="E95" s="9" t="s">
        <v>53</v>
      </c>
      <c r="F95" s="9"/>
      <c r="G95" s="9" t="s">
        <v>73</v>
      </c>
      <c r="H95" s="9" t="s">
        <v>658</v>
      </c>
      <c r="I95" s="9">
        <v>33</v>
      </c>
      <c r="J95" s="9">
        <v>31</v>
      </c>
      <c r="K95" s="9">
        <v>470</v>
      </c>
      <c r="L95" s="9">
        <v>0</v>
      </c>
      <c r="M95" s="9">
        <v>396</v>
      </c>
      <c r="N95" s="9">
        <v>2</v>
      </c>
      <c r="O95" s="149" t="str">
        <f>IF(I95&lt;&gt;"",IF(I95=J95,"TIE",INDEX(Index!$F$1:$F$32,MATCH(E95,Index!$E$1:$E$32,0))),INDEX(Index!$F$1:$F$32,MATCH(E95,Index!$E$1:$E$32,0)))</f>
        <v>CIN</v>
      </c>
      <c r="P95" s="150" t="str">
        <f>IF(I95&lt;&gt;"",IF(I95=J95,"TIE",INDEX(Index!$F$1:$F$32,MATCH(G95,Index!$E$1:$E$32,0))),INDEX(Index!$F$1:$F$32,MATCH(G95,Index!$E$1:$E$32,0)))</f>
        <v>PIT</v>
      </c>
      <c r="Q95" s="155" t="str">
        <f>IF(O95="TIE",INDEX(Index!$F$1:$F$32,MATCH(E95,Index!$E$1:$E$32,0)),"")</f>
        <v/>
      </c>
      <c r="R95" s="155" t="str">
        <f>IF(P95="TIE",INDEX(Index!$F$1:$F$32,MATCH(G95,Index!$E$1:$E$32,0)),"")</f>
        <v/>
      </c>
      <c r="S95" s="151" t="str">
        <f t="shared" si="7"/>
        <v>H</v>
      </c>
      <c r="T95" s="156" t="str">
        <f>INDEX(Index!$H$1:$H$32,MATCH($E95,Index!$E$1:$E$32,0))</f>
        <v>AN</v>
      </c>
      <c r="U95" s="156" t="str">
        <f>INDEX(Index!$H$1:$H$32,MATCH($G95,Index!$E$1:$E$32,0))</f>
        <v>AN</v>
      </c>
      <c r="V95" s="156" t="str">
        <f t="shared" si="8"/>
        <v>Div</v>
      </c>
      <c r="W95" s="152" t="str">
        <f t="shared" si="9"/>
        <v>Y</v>
      </c>
      <c r="X95" s="149" t="str">
        <f>INDEX(Index!$G$1:$G$32,MATCH(E95,Index!$E$1:$E$32,0))</f>
        <v>CIN</v>
      </c>
      <c r="Y95" s="150" t="str">
        <f>INDEX(Index!$G$1:$G$32,MATCH(G95,Index!$E$1:$E$32,0))</f>
        <v>PIT</v>
      </c>
      <c r="Z95" s="147" t="str">
        <f t="shared" si="10"/>
        <v/>
      </c>
      <c r="AA95" s="174" t="str" cm="1">
        <f t="array" ref="AA95">IFERROR(IF($W95="Y","",INDEX(EPA!$N$2:$N$512,MATCH(X95&amp;Index!$K$1,EPA!$A$2:$A$512&amp;EPA!$W$2:$W$512,0))),"")</f>
        <v/>
      </c>
      <c r="AB95" s="174" t="str" cm="1">
        <f t="array" ref="AB95">IFERROR(IF($W95="Y","",INDEX(EPA!$N$2:$N$512,MATCH(Y95&amp;Index!$K$1,EPA!$A$2:$A$512&amp;EPA!$W$2:$W$512,0))),"")</f>
        <v/>
      </c>
      <c r="AC95" s="174" t="str">
        <f ca="1">IF(AA95&lt;&gt;"",_xlfn.NORM.INV(RAND(),AA95,Index!$K$2),"")</f>
        <v/>
      </c>
      <c r="AD95" s="174" t="str">
        <f ca="1">IF(AB95&lt;&gt;"",_xlfn.NORM.INV(RAND(),AB95,Index!$K$2),"")</f>
        <v/>
      </c>
      <c r="AE95" s="157" t="str">
        <f t="shared" si="11"/>
        <v>CIN</v>
      </c>
      <c r="AF95" s="158" t="str">
        <f t="shared" si="12"/>
        <v>PIT</v>
      </c>
      <c r="AG95" s="149">
        <f t="shared" si="13"/>
        <v>94</v>
      </c>
    </row>
    <row r="96" spans="1:33" x14ac:dyDescent="0.25">
      <c r="A96" s="9">
        <v>7</v>
      </c>
      <c r="B96" s="9" t="s">
        <v>661</v>
      </c>
      <c r="C96" s="148">
        <v>45949</v>
      </c>
      <c r="D96" s="9" t="s">
        <v>670</v>
      </c>
      <c r="E96" s="9" t="s">
        <v>90</v>
      </c>
      <c r="F96" s="9" t="s">
        <v>663</v>
      </c>
      <c r="G96" s="9" t="s">
        <v>36</v>
      </c>
      <c r="H96" s="9" t="s">
        <v>658</v>
      </c>
      <c r="I96" s="9">
        <v>35</v>
      </c>
      <c r="J96" s="9">
        <v>7</v>
      </c>
      <c r="K96" s="9">
        <v>271</v>
      </c>
      <c r="L96" s="9">
        <v>0</v>
      </c>
      <c r="M96" s="9">
        <v>358</v>
      </c>
      <c r="N96" s="9">
        <v>0</v>
      </c>
      <c r="O96" s="149" t="str">
        <f>IF(I96&lt;&gt;"",IF(I96=J96,"TIE",INDEX(Index!$F$1:$F$32,MATCH(E96,Index!$E$1:$E$32,0))),INDEX(Index!$F$1:$F$32,MATCH(E96,Index!$E$1:$E$32,0)))</f>
        <v>LAR</v>
      </c>
      <c r="P96" s="150" t="str">
        <f>IF(I96&lt;&gt;"",IF(I96=J96,"TIE",INDEX(Index!$F$1:$F$32,MATCH(G96,Index!$E$1:$E$32,0))),INDEX(Index!$F$1:$F$32,MATCH(G96,Index!$E$1:$E$32,0)))</f>
        <v>JAX</v>
      </c>
      <c r="Q96" s="155" t="str">
        <f>IF(O96="TIE",INDEX(Index!$F$1:$F$32,MATCH(E96,Index!$E$1:$E$32,0)),"")</f>
        <v/>
      </c>
      <c r="R96" s="155" t="str">
        <f>IF(P96="TIE",INDEX(Index!$F$1:$F$32,MATCH(G96,Index!$E$1:$E$32,0)),"")</f>
        <v/>
      </c>
      <c r="S96" s="151" t="str">
        <f t="shared" si="7"/>
        <v>A</v>
      </c>
      <c r="T96" s="156" t="str">
        <f>INDEX(Index!$H$1:$H$32,MATCH($E96,Index!$E$1:$E$32,0))</f>
        <v>NW</v>
      </c>
      <c r="U96" s="156" t="str">
        <f>INDEX(Index!$H$1:$H$32,MATCH($G96,Index!$E$1:$E$32,0))</f>
        <v>AS</v>
      </c>
      <c r="V96" s="156" t="str">
        <f t="shared" si="8"/>
        <v>Non</v>
      </c>
      <c r="W96" s="152" t="str">
        <f t="shared" si="9"/>
        <v>Y</v>
      </c>
      <c r="X96" s="149" t="str">
        <f>INDEX(Index!$G$1:$G$32,MATCH(E96,Index!$E$1:$E$32,0))</f>
        <v>LAR</v>
      </c>
      <c r="Y96" s="150" t="str">
        <f>INDEX(Index!$G$1:$G$32,MATCH(G96,Index!$E$1:$E$32,0))</f>
        <v>JAX</v>
      </c>
      <c r="Z96" s="147" t="str">
        <f t="shared" si="10"/>
        <v/>
      </c>
      <c r="AA96" s="174" t="str" cm="1">
        <f t="array" ref="AA96">IFERROR(IF($W96="Y","",INDEX(EPA!$N$2:$N$512,MATCH(X96&amp;Index!$K$1,EPA!$A$2:$A$512&amp;EPA!$W$2:$W$512,0))),"")</f>
        <v/>
      </c>
      <c r="AB96" s="174" t="str" cm="1">
        <f t="array" ref="AB96">IFERROR(IF($W96="Y","",INDEX(EPA!$N$2:$N$512,MATCH(Y96&amp;Index!$K$1,EPA!$A$2:$A$512&amp;EPA!$W$2:$W$512,0))),"")</f>
        <v/>
      </c>
      <c r="AC96" s="174" t="str">
        <f ca="1">IF(AA96&lt;&gt;"",_xlfn.NORM.INV(RAND(),AA96,Index!$K$2),"")</f>
        <v/>
      </c>
      <c r="AD96" s="174" t="str">
        <f ca="1">IF(AB96&lt;&gt;"",_xlfn.NORM.INV(RAND(),AB96,Index!$K$2),"")</f>
        <v/>
      </c>
      <c r="AE96" s="157" t="str">
        <f t="shared" si="11"/>
        <v>LAR</v>
      </c>
      <c r="AF96" s="158" t="str">
        <f t="shared" si="12"/>
        <v>JAX</v>
      </c>
      <c r="AG96" s="149">
        <f t="shared" si="13"/>
        <v>95</v>
      </c>
    </row>
    <row r="97" spans="1:33" x14ac:dyDescent="0.25">
      <c r="A97" s="9">
        <v>7</v>
      </c>
      <c r="B97" s="9" t="s">
        <v>661</v>
      </c>
      <c r="C97" s="148">
        <v>45949</v>
      </c>
      <c r="D97" s="9" t="s">
        <v>662</v>
      </c>
      <c r="E97" s="9" t="s">
        <v>65</v>
      </c>
      <c r="F97" s="9"/>
      <c r="G97" s="9" t="s">
        <v>71</v>
      </c>
      <c r="H97" s="9" t="s">
        <v>658</v>
      </c>
      <c r="I97" s="9">
        <v>26</v>
      </c>
      <c r="J97" s="9">
        <v>14</v>
      </c>
      <c r="K97" s="9">
        <v>386</v>
      </c>
      <c r="L97" s="9">
        <v>1</v>
      </c>
      <c r="M97" s="9">
        <v>253</v>
      </c>
      <c r="N97" s="9">
        <v>4</v>
      </c>
      <c r="O97" s="149" t="str">
        <f>IF(I97&lt;&gt;"",IF(I97=J97,"TIE",INDEX(Index!$F$1:$F$32,MATCH(E97,Index!$E$1:$E$32,0))),INDEX(Index!$F$1:$F$32,MATCH(E97,Index!$E$1:$E$32,0)))</f>
        <v>CHI</v>
      </c>
      <c r="P97" s="150" t="str">
        <f>IF(I97&lt;&gt;"",IF(I97=J97,"TIE",INDEX(Index!$F$1:$F$32,MATCH(G97,Index!$E$1:$E$32,0))),INDEX(Index!$F$1:$F$32,MATCH(G97,Index!$E$1:$E$32,0)))</f>
        <v>NO</v>
      </c>
      <c r="Q97" s="155" t="str">
        <f>IF(O97="TIE",INDEX(Index!$F$1:$F$32,MATCH(E97,Index!$E$1:$E$32,0)),"")</f>
        <v/>
      </c>
      <c r="R97" s="155" t="str">
        <f>IF(P97="TIE",INDEX(Index!$F$1:$F$32,MATCH(G97,Index!$E$1:$E$32,0)),"")</f>
        <v/>
      </c>
      <c r="S97" s="151" t="str">
        <f t="shared" si="7"/>
        <v>H</v>
      </c>
      <c r="T97" s="156" t="str">
        <f>INDEX(Index!$H$1:$H$32,MATCH($E97,Index!$E$1:$E$32,0))</f>
        <v>NN</v>
      </c>
      <c r="U97" s="156" t="str">
        <f>INDEX(Index!$H$1:$H$32,MATCH($G97,Index!$E$1:$E$32,0))</f>
        <v>NS</v>
      </c>
      <c r="V97" s="156" t="str">
        <f t="shared" si="8"/>
        <v>Con</v>
      </c>
      <c r="W97" s="152" t="str">
        <f t="shared" si="9"/>
        <v>Y</v>
      </c>
      <c r="X97" s="149" t="str">
        <f>INDEX(Index!$G$1:$G$32,MATCH(E97,Index!$E$1:$E$32,0))</f>
        <v>CHI</v>
      </c>
      <c r="Y97" s="150" t="str">
        <f>INDEX(Index!$G$1:$G$32,MATCH(G97,Index!$E$1:$E$32,0))</f>
        <v>NO</v>
      </c>
      <c r="Z97" s="147" t="str">
        <f t="shared" si="10"/>
        <v/>
      </c>
      <c r="AA97" s="174" t="str" cm="1">
        <f t="array" ref="AA97">IFERROR(IF($W97="Y","",INDEX(EPA!$N$2:$N$512,MATCH(X97&amp;Index!$K$1,EPA!$A$2:$A$512&amp;EPA!$W$2:$W$512,0))),"")</f>
        <v/>
      </c>
      <c r="AB97" s="174" t="str" cm="1">
        <f t="array" ref="AB97">IFERROR(IF($W97="Y","",INDEX(EPA!$N$2:$N$512,MATCH(Y97&amp;Index!$K$1,EPA!$A$2:$A$512&amp;EPA!$W$2:$W$512,0))),"")</f>
        <v/>
      </c>
      <c r="AC97" s="174" t="str">
        <f ca="1">IF(AA97&lt;&gt;"",_xlfn.NORM.INV(RAND(),AA97,Index!$K$2),"")</f>
        <v/>
      </c>
      <c r="AD97" s="174" t="str">
        <f ca="1">IF(AB97&lt;&gt;"",_xlfn.NORM.INV(RAND(),AB97,Index!$K$2),"")</f>
        <v/>
      </c>
      <c r="AE97" s="157" t="str">
        <f t="shared" si="11"/>
        <v>CHI</v>
      </c>
      <c r="AF97" s="158" t="str">
        <f t="shared" si="12"/>
        <v>NO</v>
      </c>
      <c r="AG97" s="149">
        <f t="shared" si="13"/>
        <v>96</v>
      </c>
    </row>
    <row r="98" spans="1:33" x14ac:dyDescent="0.25">
      <c r="A98" s="9">
        <v>7</v>
      </c>
      <c r="B98" s="9" t="s">
        <v>661</v>
      </c>
      <c r="C98" s="148">
        <v>45949</v>
      </c>
      <c r="D98" s="9" t="s">
        <v>662</v>
      </c>
      <c r="E98" s="9" t="s">
        <v>92</v>
      </c>
      <c r="F98" s="9" t="s">
        <v>663</v>
      </c>
      <c r="G98" s="9" t="s">
        <v>58</v>
      </c>
      <c r="H98" s="9" t="s">
        <v>658</v>
      </c>
      <c r="I98" s="9">
        <v>28</v>
      </c>
      <c r="J98" s="9">
        <v>22</v>
      </c>
      <c r="K98" s="9">
        <v>361</v>
      </c>
      <c r="L98" s="9">
        <v>0</v>
      </c>
      <c r="M98" s="9">
        <v>387</v>
      </c>
      <c r="N98" s="9">
        <v>2</v>
      </c>
      <c r="O98" s="149" t="str">
        <f>IF(I98&lt;&gt;"",IF(I98=J98,"TIE",INDEX(Index!$F$1:$F$32,MATCH(E98,Index!$E$1:$E$32,0))),INDEX(Index!$F$1:$F$32,MATCH(E98,Index!$E$1:$E$32,0)))</f>
        <v>PHI</v>
      </c>
      <c r="P98" s="150" t="str">
        <f>IF(I98&lt;&gt;"",IF(I98=J98,"TIE",INDEX(Index!$F$1:$F$32,MATCH(G98,Index!$E$1:$E$32,0))),INDEX(Index!$F$1:$F$32,MATCH(G98,Index!$E$1:$E$32,0)))</f>
        <v>MIN</v>
      </c>
      <c r="Q98" s="155" t="str">
        <f>IF(O98="TIE",INDEX(Index!$F$1:$F$32,MATCH(E98,Index!$E$1:$E$32,0)),"")</f>
        <v/>
      </c>
      <c r="R98" s="155" t="str">
        <f>IF(P98="TIE",INDEX(Index!$F$1:$F$32,MATCH(G98,Index!$E$1:$E$32,0)),"")</f>
        <v/>
      </c>
      <c r="S98" s="151" t="str">
        <f t="shared" si="7"/>
        <v>A</v>
      </c>
      <c r="T98" s="156" t="str">
        <f>INDEX(Index!$H$1:$H$32,MATCH($E98,Index!$E$1:$E$32,0))</f>
        <v>NE</v>
      </c>
      <c r="U98" s="156" t="str">
        <f>INDEX(Index!$H$1:$H$32,MATCH($G98,Index!$E$1:$E$32,0))</f>
        <v>NN</v>
      </c>
      <c r="V98" s="156" t="str">
        <f t="shared" si="8"/>
        <v>Con</v>
      </c>
      <c r="W98" s="152" t="str">
        <f t="shared" si="9"/>
        <v>Y</v>
      </c>
      <c r="X98" s="149" t="str">
        <f>INDEX(Index!$G$1:$G$32,MATCH(E98,Index!$E$1:$E$32,0))</f>
        <v>PHI</v>
      </c>
      <c r="Y98" s="150" t="str">
        <f>INDEX(Index!$G$1:$G$32,MATCH(G98,Index!$E$1:$E$32,0))</f>
        <v>MIN</v>
      </c>
      <c r="Z98" s="147" t="str">
        <f t="shared" si="10"/>
        <v/>
      </c>
      <c r="AA98" s="174" t="str" cm="1">
        <f t="array" ref="AA98">IFERROR(IF($W98="Y","",INDEX(EPA!$N$2:$N$512,MATCH(X98&amp;Index!$K$1,EPA!$A$2:$A$512&amp;EPA!$W$2:$W$512,0))),"")</f>
        <v/>
      </c>
      <c r="AB98" s="174" t="str" cm="1">
        <f t="array" ref="AB98">IFERROR(IF($W98="Y","",INDEX(EPA!$N$2:$N$512,MATCH(Y98&amp;Index!$K$1,EPA!$A$2:$A$512&amp;EPA!$W$2:$W$512,0))),"")</f>
        <v/>
      </c>
      <c r="AC98" s="174" t="str">
        <f ca="1">IF(AA98&lt;&gt;"",_xlfn.NORM.INV(RAND(),AA98,Index!$K$2),"")</f>
        <v/>
      </c>
      <c r="AD98" s="174" t="str">
        <f ca="1">IF(AB98&lt;&gt;"",_xlfn.NORM.INV(RAND(),AB98,Index!$K$2),"")</f>
        <v/>
      </c>
      <c r="AE98" s="157" t="str">
        <f t="shared" si="11"/>
        <v>PHI</v>
      </c>
      <c r="AF98" s="158" t="str">
        <f t="shared" si="12"/>
        <v>MIN</v>
      </c>
      <c r="AG98" s="149">
        <f t="shared" si="13"/>
        <v>97</v>
      </c>
    </row>
    <row r="99" spans="1:33" x14ac:dyDescent="0.25">
      <c r="A99" s="9">
        <v>7</v>
      </c>
      <c r="B99" s="9" t="s">
        <v>661</v>
      </c>
      <c r="C99" s="148">
        <v>45949</v>
      </c>
      <c r="D99" s="9" t="s">
        <v>662</v>
      </c>
      <c r="E99" s="9" t="s">
        <v>12</v>
      </c>
      <c r="F99" s="9" t="s">
        <v>663</v>
      </c>
      <c r="G99" s="9" t="s">
        <v>23</v>
      </c>
      <c r="H99" s="9" t="s">
        <v>658</v>
      </c>
      <c r="I99" s="9">
        <v>13</v>
      </c>
      <c r="J99" s="9">
        <v>6</v>
      </c>
      <c r="K99" s="9">
        <v>302</v>
      </c>
      <c r="L99" s="9">
        <v>0</v>
      </c>
      <c r="M99" s="9">
        <v>220</v>
      </c>
      <c r="N99" s="9">
        <v>2</v>
      </c>
      <c r="O99" s="149" t="str">
        <f>IF(I99&lt;&gt;"",IF(I99=J99,"TIE",INDEX(Index!$F$1:$F$32,MATCH(E99,Index!$E$1:$E$32,0))),INDEX(Index!$F$1:$F$32,MATCH(E99,Index!$E$1:$E$32,0)))</f>
        <v>CAR</v>
      </c>
      <c r="P99" s="150" t="str">
        <f>IF(I99&lt;&gt;"",IF(I99=J99,"TIE",INDEX(Index!$F$1:$F$32,MATCH(G99,Index!$E$1:$E$32,0))),INDEX(Index!$F$1:$F$32,MATCH(G99,Index!$E$1:$E$32,0)))</f>
        <v>NYJ</v>
      </c>
      <c r="Q99" s="155" t="str">
        <f>IF(O99="TIE",INDEX(Index!$F$1:$F$32,MATCH(E99,Index!$E$1:$E$32,0)),"")</f>
        <v/>
      </c>
      <c r="R99" s="155" t="str">
        <f>IF(P99="TIE",INDEX(Index!$F$1:$F$32,MATCH(G99,Index!$E$1:$E$32,0)),"")</f>
        <v/>
      </c>
      <c r="S99" s="151" t="str">
        <f t="shared" si="7"/>
        <v>A</v>
      </c>
      <c r="T99" s="156" t="str">
        <f>INDEX(Index!$H$1:$H$32,MATCH($E99,Index!$E$1:$E$32,0))</f>
        <v>NS</v>
      </c>
      <c r="U99" s="156" t="str">
        <f>INDEX(Index!$H$1:$H$32,MATCH($G99,Index!$E$1:$E$32,0))</f>
        <v>AE</v>
      </c>
      <c r="V99" s="156" t="str">
        <f t="shared" si="8"/>
        <v>Non</v>
      </c>
      <c r="W99" s="152" t="str">
        <f t="shared" si="9"/>
        <v>Y</v>
      </c>
      <c r="X99" s="149" t="str">
        <f>INDEX(Index!$G$1:$G$32,MATCH(E99,Index!$E$1:$E$32,0))</f>
        <v>CAR</v>
      </c>
      <c r="Y99" s="150" t="str">
        <f>INDEX(Index!$G$1:$G$32,MATCH(G99,Index!$E$1:$E$32,0))</f>
        <v>NYJ</v>
      </c>
      <c r="Z99" s="147" t="str">
        <f t="shared" si="10"/>
        <v/>
      </c>
      <c r="AA99" s="174" t="str" cm="1">
        <f t="array" ref="AA99">IFERROR(IF($W99="Y","",INDEX(EPA!$N$2:$N$512,MATCH(X99&amp;Index!$K$1,EPA!$A$2:$A$512&amp;EPA!$W$2:$W$512,0))),"")</f>
        <v/>
      </c>
      <c r="AB99" s="174" t="str" cm="1">
        <f t="array" ref="AB99">IFERROR(IF($W99="Y","",INDEX(EPA!$N$2:$N$512,MATCH(Y99&amp;Index!$K$1,EPA!$A$2:$A$512&amp;EPA!$W$2:$W$512,0))),"")</f>
        <v/>
      </c>
      <c r="AC99" s="174" t="str">
        <f ca="1">IF(AA99&lt;&gt;"",_xlfn.NORM.INV(RAND(),AA99,Index!$K$2),"")</f>
        <v/>
      </c>
      <c r="AD99" s="174" t="str">
        <f ca="1">IF(AB99&lt;&gt;"",_xlfn.NORM.INV(RAND(),AB99,Index!$K$2),"")</f>
        <v/>
      </c>
      <c r="AE99" s="157" t="str">
        <f t="shared" si="11"/>
        <v>CAR</v>
      </c>
      <c r="AF99" s="158" t="str">
        <f t="shared" si="12"/>
        <v>NYJ</v>
      </c>
      <c r="AG99" s="149">
        <f t="shared" si="13"/>
        <v>98</v>
      </c>
    </row>
    <row r="100" spans="1:33" x14ac:dyDescent="0.25">
      <c r="A100" s="9">
        <v>7</v>
      </c>
      <c r="B100" s="9" t="s">
        <v>661</v>
      </c>
      <c r="C100" s="148">
        <v>45949</v>
      </c>
      <c r="D100" s="9" t="s">
        <v>662</v>
      </c>
      <c r="E100" s="9" t="s">
        <v>83</v>
      </c>
      <c r="F100" s="9"/>
      <c r="G100" s="9" t="s">
        <v>62</v>
      </c>
      <c r="H100" s="9" t="s">
        <v>658</v>
      </c>
      <c r="I100" s="9">
        <v>31</v>
      </c>
      <c r="J100" s="9">
        <v>6</v>
      </c>
      <c r="K100" s="9">
        <v>206</v>
      </c>
      <c r="L100" s="9">
        <v>0</v>
      </c>
      <c r="M100" s="9">
        <v>219</v>
      </c>
      <c r="N100" s="9">
        <v>4</v>
      </c>
      <c r="O100" s="149" t="str">
        <f>IF(I100&lt;&gt;"",IF(I100=J100,"TIE",INDEX(Index!$F$1:$F$32,MATCH(E100,Index!$E$1:$E$32,0))),INDEX(Index!$F$1:$F$32,MATCH(E100,Index!$E$1:$E$32,0)))</f>
        <v>CLE</v>
      </c>
      <c r="P100" s="150" t="str">
        <f>IF(I100&lt;&gt;"",IF(I100=J100,"TIE",INDEX(Index!$F$1:$F$32,MATCH(G100,Index!$E$1:$E$32,0))),INDEX(Index!$F$1:$F$32,MATCH(G100,Index!$E$1:$E$32,0)))</f>
        <v>MIA</v>
      </c>
      <c r="Q100" s="155" t="str">
        <f>IF(O100="TIE",INDEX(Index!$F$1:$F$32,MATCH(E100,Index!$E$1:$E$32,0)),"")</f>
        <v/>
      </c>
      <c r="R100" s="155" t="str">
        <f>IF(P100="TIE",INDEX(Index!$F$1:$F$32,MATCH(G100,Index!$E$1:$E$32,0)),"")</f>
        <v/>
      </c>
      <c r="S100" s="151" t="str">
        <f t="shared" si="7"/>
        <v>H</v>
      </c>
      <c r="T100" s="156" t="str">
        <f>INDEX(Index!$H$1:$H$32,MATCH($E100,Index!$E$1:$E$32,0))</f>
        <v>AN</v>
      </c>
      <c r="U100" s="156" t="str">
        <f>INDEX(Index!$H$1:$H$32,MATCH($G100,Index!$E$1:$E$32,0))</f>
        <v>AE</v>
      </c>
      <c r="V100" s="156" t="str">
        <f t="shared" si="8"/>
        <v>Con</v>
      </c>
      <c r="W100" s="152" t="str">
        <f t="shared" si="9"/>
        <v>Y</v>
      </c>
      <c r="X100" s="149" t="str">
        <f>INDEX(Index!$G$1:$G$32,MATCH(E100,Index!$E$1:$E$32,0))</f>
        <v>CLE</v>
      </c>
      <c r="Y100" s="150" t="str">
        <f>INDEX(Index!$G$1:$G$32,MATCH(G100,Index!$E$1:$E$32,0))</f>
        <v>MIA</v>
      </c>
      <c r="Z100" s="147" t="str">
        <f t="shared" si="10"/>
        <v/>
      </c>
      <c r="AA100" s="174" t="str" cm="1">
        <f t="array" ref="AA100">IFERROR(IF($W100="Y","",INDEX(EPA!$N$2:$N$512,MATCH(X100&amp;Index!$K$1,EPA!$A$2:$A$512&amp;EPA!$W$2:$W$512,0))),"")</f>
        <v/>
      </c>
      <c r="AB100" s="174" t="str" cm="1">
        <f t="array" ref="AB100">IFERROR(IF($W100="Y","",INDEX(EPA!$N$2:$N$512,MATCH(Y100&amp;Index!$K$1,EPA!$A$2:$A$512&amp;EPA!$W$2:$W$512,0))),"")</f>
        <v/>
      </c>
      <c r="AC100" s="174" t="str">
        <f ca="1">IF(AA100&lt;&gt;"",_xlfn.NORM.INV(RAND(),AA100,Index!$K$2),"")</f>
        <v/>
      </c>
      <c r="AD100" s="174" t="str">
        <f ca="1">IF(AB100&lt;&gt;"",_xlfn.NORM.INV(RAND(),AB100,Index!$K$2),"")</f>
        <v/>
      </c>
      <c r="AE100" s="157" t="str">
        <f t="shared" si="11"/>
        <v>CLE</v>
      </c>
      <c r="AF100" s="158" t="str">
        <f t="shared" si="12"/>
        <v>MIA</v>
      </c>
      <c r="AG100" s="149">
        <f t="shared" si="13"/>
        <v>99</v>
      </c>
    </row>
    <row r="101" spans="1:33" x14ac:dyDescent="0.25">
      <c r="A101" s="9">
        <v>7</v>
      </c>
      <c r="B101" s="9" t="s">
        <v>661</v>
      </c>
      <c r="C101" s="148">
        <v>45949</v>
      </c>
      <c r="D101" s="9" t="s">
        <v>662</v>
      </c>
      <c r="E101" s="9" t="s">
        <v>16</v>
      </c>
      <c r="F101" s="9"/>
      <c r="G101" s="9" t="s">
        <v>80</v>
      </c>
      <c r="H101" s="9" t="s">
        <v>658</v>
      </c>
      <c r="I101" s="9">
        <v>31</v>
      </c>
      <c r="J101" s="9">
        <v>0</v>
      </c>
      <c r="K101" s="9">
        <v>434</v>
      </c>
      <c r="L101" s="9">
        <v>0</v>
      </c>
      <c r="M101" s="9">
        <v>95</v>
      </c>
      <c r="N101" s="9">
        <v>1</v>
      </c>
      <c r="O101" s="149" t="str">
        <f>IF(I101&lt;&gt;"",IF(I101=J101,"TIE",INDEX(Index!$F$1:$F$32,MATCH(E101,Index!$E$1:$E$32,0))),INDEX(Index!$F$1:$F$32,MATCH(E101,Index!$E$1:$E$32,0)))</f>
        <v>KC</v>
      </c>
      <c r="P101" s="150" t="str">
        <f>IF(I101&lt;&gt;"",IF(I101=J101,"TIE",INDEX(Index!$F$1:$F$32,MATCH(G101,Index!$E$1:$E$32,0))),INDEX(Index!$F$1:$F$32,MATCH(G101,Index!$E$1:$E$32,0)))</f>
        <v>LV</v>
      </c>
      <c r="Q101" s="155" t="str">
        <f>IF(O101="TIE",INDEX(Index!$F$1:$F$32,MATCH(E101,Index!$E$1:$E$32,0)),"")</f>
        <v/>
      </c>
      <c r="R101" s="155" t="str">
        <f>IF(P101="TIE",INDEX(Index!$F$1:$F$32,MATCH(G101,Index!$E$1:$E$32,0)),"")</f>
        <v/>
      </c>
      <c r="S101" s="151" t="str">
        <f t="shared" si="7"/>
        <v>H</v>
      </c>
      <c r="T101" s="156" t="str">
        <f>INDEX(Index!$H$1:$H$32,MATCH($E101,Index!$E$1:$E$32,0))</f>
        <v>AW</v>
      </c>
      <c r="U101" s="156" t="str">
        <f>INDEX(Index!$H$1:$H$32,MATCH($G101,Index!$E$1:$E$32,0))</f>
        <v>AW</v>
      </c>
      <c r="V101" s="156" t="str">
        <f t="shared" si="8"/>
        <v>Div</v>
      </c>
      <c r="W101" s="152" t="str">
        <f t="shared" si="9"/>
        <v>Y</v>
      </c>
      <c r="X101" s="149" t="str">
        <f>INDEX(Index!$G$1:$G$32,MATCH(E101,Index!$E$1:$E$32,0))</f>
        <v>KC</v>
      </c>
      <c r="Y101" s="150" t="str">
        <f>INDEX(Index!$G$1:$G$32,MATCH(G101,Index!$E$1:$E$32,0))</f>
        <v>OAK</v>
      </c>
      <c r="Z101" s="147" t="str">
        <f t="shared" si="10"/>
        <v/>
      </c>
      <c r="AA101" s="174" t="str" cm="1">
        <f t="array" ref="AA101">IFERROR(IF($W101="Y","",INDEX(EPA!$N$2:$N$512,MATCH(X101&amp;Index!$K$1,EPA!$A$2:$A$512&amp;EPA!$W$2:$W$512,0))),"")</f>
        <v/>
      </c>
      <c r="AB101" s="174" t="str" cm="1">
        <f t="array" ref="AB101">IFERROR(IF($W101="Y","",INDEX(EPA!$N$2:$N$512,MATCH(Y101&amp;Index!$K$1,EPA!$A$2:$A$512&amp;EPA!$W$2:$W$512,0))),"")</f>
        <v/>
      </c>
      <c r="AC101" s="174" t="str">
        <f ca="1">IF(AA101&lt;&gt;"",_xlfn.NORM.INV(RAND(),AA101,Index!$K$2),"")</f>
        <v/>
      </c>
      <c r="AD101" s="174" t="str">
        <f ca="1">IF(AB101&lt;&gt;"",_xlfn.NORM.INV(RAND(),AB101,Index!$K$2),"")</f>
        <v/>
      </c>
      <c r="AE101" s="157" t="str">
        <f t="shared" si="11"/>
        <v>KC</v>
      </c>
      <c r="AF101" s="158" t="str">
        <f t="shared" si="12"/>
        <v>LV</v>
      </c>
      <c r="AG101" s="149">
        <f t="shared" si="13"/>
        <v>100</v>
      </c>
    </row>
    <row r="102" spans="1:33" x14ac:dyDescent="0.25">
      <c r="A102" s="9">
        <v>7</v>
      </c>
      <c r="B102" s="9" t="s">
        <v>661</v>
      </c>
      <c r="C102" s="148">
        <v>45949</v>
      </c>
      <c r="D102" s="9" t="s">
        <v>662</v>
      </c>
      <c r="E102" s="9" t="s">
        <v>45</v>
      </c>
      <c r="F102" s="9" t="s">
        <v>663</v>
      </c>
      <c r="G102" s="9" t="s">
        <v>19</v>
      </c>
      <c r="H102" s="9" t="s">
        <v>658</v>
      </c>
      <c r="I102" s="9">
        <v>31</v>
      </c>
      <c r="J102" s="9">
        <v>13</v>
      </c>
      <c r="K102" s="9">
        <v>387</v>
      </c>
      <c r="L102" s="9">
        <v>0</v>
      </c>
      <c r="M102" s="9">
        <v>255</v>
      </c>
      <c r="N102" s="9">
        <v>2</v>
      </c>
      <c r="O102" s="149" t="str">
        <f>IF(I102&lt;&gt;"",IF(I102=J102,"TIE",INDEX(Index!$F$1:$F$32,MATCH(E102,Index!$E$1:$E$32,0))),INDEX(Index!$F$1:$F$32,MATCH(E102,Index!$E$1:$E$32,0)))</f>
        <v>NE</v>
      </c>
      <c r="P102" s="150" t="str">
        <f>IF(I102&lt;&gt;"",IF(I102=J102,"TIE",INDEX(Index!$F$1:$F$32,MATCH(G102,Index!$E$1:$E$32,0))),INDEX(Index!$F$1:$F$32,MATCH(G102,Index!$E$1:$E$32,0)))</f>
        <v>TEN</v>
      </c>
      <c r="Q102" s="155" t="str">
        <f>IF(O102="TIE",INDEX(Index!$F$1:$F$32,MATCH(E102,Index!$E$1:$E$32,0)),"")</f>
        <v/>
      </c>
      <c r="R102" s="155" t="str">
        <f>IF(P102="TIE",INDEX(Index!$F$1:$F$32,MATCH(G102,Index!$E$1:$E$32,0)),"")</f>
        <v/>
      </c>
      <c r="S102" s="151" t="str">
        <f t="shared" si="7"/>
        <v>A</v>
      </c>
      <c r="T102" s="156" t="str">
        <f>INDEX(Index!$H$1:$H$32,MATCH($E102,Index!$E$1:$E$32,0))</f>
        <v>AE</v>
      </c>
      <c r="U102" s="156" t="str">
        <f>INDEX(Index!$H$1:$H$32,MATCH($G102,Index!$E$1:$E$32,0))</f>
        <v>AS</v>
      </c>
      <c r="V102" s="156" t="str">
        <f t="shared" si="8"/>
        <v>Con</v>
      </c>
      <c r="W102" s="152" t="str">
        <f t="shared" si="9"/>
        <v>Y</v>
      </c>
      <c r="X102" s="149" t="str">
        <f>INDEX(Index!$G$1:$G$32,MATCH(E102,Index!$E$1:$E$32,0))</f>
        <v>NE</v>
      </c>
      <c r="Y102" s="150" t="str">
        <f>INDEX(Index!$G$1:$G$32,MATCH(G102,Index!$E$1:$E$32,0))</f>
        <v>TEN</v>
      </c>
      <c r="Z102" s="147" t="str">
        <f t="shared" si="10"/>
        <v/>
      </c>
      <c r="AA102" s="174" t="str" cm="1">
        <f t="array" ref="AA102">IFERROR(IF($W102="Y","",INDEX(EPA!$N$2:$N$512,MATCH(X102&amp;Index!$K$1,EPA!$A$2:$A$512&amp;EPA!$W$2:$W$512,0))),"")</f>
        <v/>
      </c>
      <c r="AB102" s="174" t="str" cm="1">
        <f t="array" ref="AB102">IFERROR(IF($W102="Y","",INDEX(EPA!$N$2:$N$512,MATCH(Y102&amp;Index!$K$1,EPA!$A$2:$A$512&amp;EPA!$W$2:$W$512,0))),"")</f>
        <v/>
      </c>
      <c r="AC102" s="174" t="str">
        <f ca="1">IF(AA102&lt;&gt;"",_xlfn.NORM.INV(RAND(),AA102,Index!$K$2),"")</f>
        <v/>
      </c>
      <c r="AD102" s="174" t="str">
        <f ca="1">IF(AB102&lt;&gt;"",_xlfn.NORM.INV(RAND(),AB102,Index!$K$2),"")</f>
        <v/>
      </c>
      <c r="AE102" s="157" t="str">
        <f t="shared" si="11"/>
        <v>NE</v>
      </c>
      <c r="AF102" s="158" t="str">
        <f t="shared" si="12"/>
        <v>TEN</v>
      </c>
      <c r="AG102" s="149">
        <f t="shared" si="13"/>
        <v>101</v>
      </c>
    </row>
    <row r="103" spans="1:33" x14ac:dyDescent="0.25">
      <c r="A103" s="9">
        <v>7</v>
      </c>
      <c r="B103" s="9" t="s">
        <v>661</v>
      </c>
      <c r="C103" s="148">
        <v>45949</v>
      </c>
      <c r="D103" s="9" t="s">
        <v>664</v>
      </c>
      <c r="E103" s="9" t="s">
        <v>42</v>
      </c>
      <c r="F103" s="9" t="s">
        <v>663</v>
      </c>
      <c r="G103" s="9" t="s">
        <v>68</v>
      </c>
      <c r="H103" s="9" t="s">
        <v>658</v>
      </c>
      <c r="I103" s="9">
        <v>38</v>
      </c>
      <c r="J103" s="9">
        <v>24</v>
      </c>
      <c r="K103" s="9">
        <v>401</v>
      </c>
      <c r="L103" s="9">
        <v>0</v>
      </c>
      <c r="M103" s="9">
        <v>445</v>
      </c>
      <c r="N103" s="9">
        <v>2</v>
      </c>
      <c r="O103" s="149" t="str">
        <f>IF(I103&lt;&gt;"",IF(I103=J103,"TIE",INDEX(Index!$F$1:$F$32,MATCH(E103,Index!$E$1:$E$32,0))),INDEX(Index!$F$1:$F$32,MATCH(E103,Index!$E$1:$E$32,0)))</f>
        <v>IND</v>
      </c>
      <c r="P103" s="150" t="str">
        <f>IF(I103&lt;&gt;"",IF(I103=J103,"TIE",INDEX(Index!$F$1:$F$32,MATCH(G103,Index!$E$1:$E$32,0))),INDEX(Index!$F$1:$F$32,MATCH(G103,Index!$E$1:$E$32,0)))</f>
        <v>LAC</v>
      </c>
      <c r="Q103" s="155" t="str">
        <f>IF(O103="TIE",INDEX(Index!$F$1:$F$32,MATCH(E103,Index!$E$1:$E$32,0)),"")</f>
        <v/>
      </c>
      <c r="R103" s="155" t="str">
        <f>IF(P103="TIE",INDEX(Index!$F$1:$F$32,MATCH(G103,Index!$E$1:$E$32,0)),"")</f>
        <v/>
      </c>
      <c r="S103" s="151" t="str">
        <f t="shared" si="7"/>
        <v>A</v>
      </c>
      <c r="T103" s="156" t="str">
        <f>INDEX(Index!$H$1:$H$32,MATCH($E103,Index!$E$1:$E$32,0))</f>
        <v>AS</v>
      </c>
      <c r="U103" s="156" t="str">
        <f>INDEX(Index!$H$1:$H$32,MATCH($G103,Index!$E$1:$E$32,0))</f>
        <v>AW</v>
      </c>
      <c r="V103" s="156" t="str">
        <f t="shared" si="8"/>
        <v>Con</v>
      </c>
      <c r="W103" s="152" t="str">
        <f t="shared" si="9"/>
        <v>Y</v>
      </c>
      <c r="X103" s="149" t="str">
        <f>INDEX(Index!$G$1:$G$32,MATCH(E103,Index!$E$1:$E$32,0))</f>
        <v>IND</v>
      </c>
      <c r="Y103" s="150" t="str">
        <f>INDEX(Index!$G$1:$G$32,MATCH(G103,Index!$E$1:$E$32,0))</f>
        <v>LAC</v>
      </c>
      <c r="Z103" s="147" t="str">
        <f t="shared" si="10"/>
        <v/>
      </c>
      <c r="AA103" s="174" t="str" cm="1">
        <f t="array" ref="AA103">IFERROR(IF($W103="Y","",INDEX(EPA!$N$2:$N$512,MATCH(X103&amp;Index!$K$1,EPA!$A$2:$A$512&amp;EPA!$W$2:$W$512,0))),"")</f>
        <v/>
      </c>
      <c r="AB103" s="174" t="str" cm="1">
        <f t="array" ref="AB103">IFERROR(IF($W103="Y","",INDEX(EPA!$N$2:$N$512,MATCH(Y103&amp;Index!$K$1,EPA!$A$2:$A$512&amp;EPA!$W$2:$W$512,0))),"")</f>
        <v/>
      </c>
      <c r="AC103" s="174" t="str">
        <f ca="1">IF(AA103&lt;&gt;"",_xlfn.NORM.INV(RAND(),AA103,Index!$K$2),"")</f>
        <v/>
      </c>
      <c r="AD103" s="174" t="str">
        <f ca="1">IF(AB103&lt;&gt;"",_xlfn.NORM.INV(RAND(),AB103,Index!$K$2),"")</f>
        <v/>
      </c>
      <c r="AE103" s="157" t="str">
        <f t="shared" si="11"/>
        <v>IND</v>
      </c>
      <c r="AF103" s="158" t="str">
        <f t="shared" si="12"/>
        <v>LAC</v>
      </c>
      <c r="AG103" s="149">
        <f t="shared" si="13"/>
        <v>102</v>
      </c>
    </row>
    <row r="104" spans="1:33" x14ac:dyDescent="0.25">
      <c r="A104" s="9">
        <v>7</v>
      </c>
      <c r="B104" s="9" t="s">
        <v>661</v>
      </c>
      <c r="C104" s="148">
        <v>45949</v>
      </c>
      <c r="D104" s="9" t="s">
        <v>664</v>
      </c>
      <c r="E104" s="9" t="s">
        <v>94</v>
      </c>
      <c r="F104" s="9"/>
      <c r="G104" s="9" t="s">
        <v>49</v>
      </c>
      <c r="H104" s="9" t="s">
        <v>658</v>
      </c>
      <c r="I104" s="9">
        <v>33</v>
      </c>
      <c r="J104" s="9">
        <v>32</v>
      </c>
      <c r="K104" s="9">
        <v>407</v>
      </c>
      <c r="L104" s="9">
        <v>0</v>
      </c>
      <c r="M104" s="9">
        <v>387</v>
      </c>
      <c r="N104" s="9">
        <v>1</v>
      </c>
      <c r="O104" s="149" t="str">
        <f>IF(I104&lt;&gt;"",IF(I104=J104,"TIE",INDEX(Index!$F$1:$F$32,MATCH(E104,Index!$E$1:$E$32,0))),INDEX(Index!$F$1:$F$32,MATCH(E104,Index!$E$1:$E$32,0)))</f>
        <v>DEN</v>
      </c>
      <c r="P104" s="150" t="str">
        <f>IF(I104&lt;&gt;"",IF(I104=J104,"TIE",INDEX(Index!$F$1:$F$32,MATCH(G104,Index!$E$1:$E$32,0))),INDEX(Index!$F$1:$F$32,MATCH(G104,Index!$E$1:$E$32,0)))</f>
        <v>NYG</v>
      </c>
      <c r="Q104" s="155" t="str">
        <f>IF(O104="TIE",INDEX(Index!$F$1:$F$32,MATCH(E104,Index!$E$1:$E$32,0)),"")</f>
        <v/>
      </c>
      <c r="R104" s="155" t="str">
        <f>IF(P104="TIE",INDEX(Index!$F$1:$F$32,MATCH(G104,Index!$E$1:$E$32,0)),"")</f>
        <v/>
      </c>
      <c r="S104" s="151" t="str">
        <f t="shared" si="7"/>
        <v>H</v>
      </c>
      <c r="T104" s="156" t="str">
        <f>INDEX(Index!$H$1:$H$32,MATCH($E104,Index!$E$1:$E$32,0))</f>
        <v>AW</v>
      </c>
      <c r="U104" s="156" t="str">
        <f>INDEX(Index!$H$1:$H$32,MATCH($G104,Index!$E$1:$E$32,0))</f>
        <v>NE</v>
      </c>
      <c r="V104" s="156" t="str">
        <f t="shared" si="8"/>
        <v>Non</v>
      </c>
      <c r="W104" s="152" t="str">
        <f t="shared" si="9"/>
        <v>Y</v>
      </c>
      <c r="X104" s="149" t="str">
        <f>INDEX(Index!$G$1:$G$32,MATCH(E104,Index!$E$1:$E$32,0))</f>
        <v>DEN</v>
      </c>
      <c r="Y104" s="150" t="str">
        <f>INDEX(Index!$G$1:$G$32,MATCH(G104,Index!$E$1:$E$32,0))</f>
        <v>NYG</v>
      </c>
      <c r="Z104" s="147" t="str">
        <f t="shared" si="10"/>
        <v/>
      </c>
      <c r="AA104" s="174" t="str" cm="1">
        <f t="array" ref="AA104">IFERROR(IF($W104="Y","",INDEX(EPA!$N$2:$N$512,MATCH(X104&amp;Index!$K$1,EPA!$A$2:$A$512&amp;EPA!$W$2:$W$512,0))),"")</f>
        <v/>
      </c>
      <c r="AB104" s="174" t="str" cm="1">
        <f t="array" ref="AB104">IFERROR(IF($W104="Y","",INDEX(EPA!$N$2:$N$512,MATCH(Y104&amp;Index!$K$1,EPA!$A$2:$A$512&amp;EPA!$W$2:$W$512,0))),"")</f>
        <v/>
      </c>
      <c r="AC104" s="174" t="str">
        <f ca="1">IF(AA104&lt;&gt;"",_xlfn.NORM.INV(RAND(),AA104,Index!$K$2),"")</f>
        <v/>
      </c>
      <c r="AD104" s="174" t="str">
        <f ca="1">IF(AB104&lt;&gt;"",_xlfn.NORM.INV(RAND(),AB104,Index!$K$2),"")</f>
        <v/>
      </c>
      <c r="AE104" s="157" t="str">
        <f t="shared" si="11"/>
        <v>DEN</v>
      </c>
      <c r="AF104" s="158" t="str">
        <f t="shared" si="12"/>
        <v>NYG</v>
      </c>
      <c r="AG104" s="149">
        <f t="shared" si="13"/>
        <v>103</v>
      </c>
    </row>
    <row r="105" spans="1:33" x14ac:dyDescent="0.25">
      <c r="A105" s="9">
        <v>7</v>
      </c>
      <c r="B105" s="9" t="s">
        <v>661</v>
      </c>
      <c r="C105" s="148">
        <v>45949</v>
      </c>
      <c r="D105" s="9" t="s">
        <v>665</v>
      </c>
      <c r="E105" s="9" t="s">
        <v>88</v>
      </c>
      <c r="F105" s="9" t="s">
        <v>663</v>
      </c>
      <c r="G105" s="9" t="s">
        <v>27</v>
      </c>
      <c r="H105" s="9" t="s">
        <v>658</v>
      </c>
      <c r="I105" s="9">
        <v>27</v>
      </c>
      <c r="J105" s="9">
        <v>23</v>
      </c>
      <c r="K105" s="9">
        <v>262</v>
      </c>
      <c r="L105" s="9">
        <v>0</v>
      </c>
      <c r="M105" s="9">
        <v>330</v>
      </c>
      <c r="N105" s="9">
        <v>1</v>
      </c>
      <c r="O105" s="149" t="str">
        <f>IF(I105&lt;&gt;"",IF(I105=J105,"TIE",INDEX(Index!$F$1:$F$32,MATCH(E105,Index!$E$1:$E$32,0))),INDEX(Index!$F$1:$F$32,MATCH(E105,Index!$E$1:$E$32,0)))</f>
        <v>GB</v>
      </c>
      <c r="P105" s="150" t="str">
        <f>IF(I105&lt;&gt;"",IF(I105=J105,"TIE",INDEX(Index!$F$1:$F$32,MATCH(G105,Index!$E$1:$E$32,0))),INDEX(Index!$F$1:$F$32,MATCH(G105,Index!$E$1:$E$32,0)))</f>
        <v>ARI</v>
      </c>
      <c r="Q105" s="155" t="str">
        <f>IF(O105="TIE",INDEX(Index!$F$1:$F$32,MATCH(E105,Index!$E$1:$E$32,0)),"")</f>
        <v/>
      </c>
      <c r="R105" s="155" t="str">
        <f>IF(P105="TIE",INDEX(Index!$F$1:$F$32,MATCH(G105,Index!$E$1:$E$32,0)),"")</f>
        <v/>
      </c>
      <c r="S105" s="151" t="str">
        <f t="shared" si="7"/>
        <v>A</v>
      </c>
      <c r="T105" s="156" t="str">
        <f>INDEX(Index!$H$1:$H$32,MATCH($E105,Index!$E$1:$E$32,0))</f>
        <v>NN</v>
      </c>
      <c r="U105" s="156" t="str">
        <f>INDEX(Index!$H$1:$H$32,MATCH($G105,Index!$E$1:$E$32,0))</f>
        <v>NW</v>
      </c>
      <c r="V105" s="156" t="str">
        <f t="shared" si="8"/>
        <v>Con</v>
      </c>
      <c r="W105" s="152" t="str">
        <f t="shared" si="9"/>
        <v>Y</v>
      </c>
      <c r="X105" s="149" t="str">
        <f>INDEX(Index!$G$1:$G$32,MATCH(E105,Index!$E$1:$E$32,0))</f>
        <v>GB</v>
      </c>
      <c r="Y105" s="150" t="str">
        <f>INDEX(Index!$G$1:$G$32,MATCH(G105,Index!$E$1:$E$32,0))</f>
        <v>ARI</v>
      </c>
      <c r="Z105" s="147" t="str">
        <f t="shared" si="10"/>
        <v/>
      </c>
      <c r="AA105" s="174" t="str" cm="1">
        <f t="array" ref="AA105">IFERROR(IF($W105="Y","",INDEX(EPA!$N$2:$N$512,MATCH(X105&amp;Index!$K$1,EPA!$A$2:$A$512&amp;EPA!$W$2:$W$512,0))),"")</f>
        <v/>
      </c>
      <c r="AB105" s="174" t="str" cm="1">
        <f t="array" ref="AB105">IFERROR(IF($W105="Y","",INDEX(EPA!$N$2:$N$512,MATCH(Y105&amp;Index!$K$1,EPA!$A$2:$A$512&amp;EPA!$W$2:$W$512,0))),"")</f>
        <v/>
      </c>
      <c r="AC105" s="174" t="str">
        <f ca="1">IF(AA105&lt;&gt;"",_xlfn.NORM.INV(RAND(),AA105,Index!$K$2),"")</f>
        <v/>
      </c>
      <c r="AD105" s="174" t="str">
        <f ca="1">IF(AB105&lt;&gt;"",_xlfn.NORM.INV(RAND(),AB105,Index!$K$2),"")</f>
        <v/>
      </c>
      <c r="AE105" s="157" t="str">
        <f t="shared" si="11"/>
        <v>GB</v>
      </c>
      <c r="AF105" s="158" t="str">
        <f t="shared" si="12"/>
        <v>ARI</v>
      </c>
      <c r="AG105" s="149">
        <f t="shared" si="13"/>
        <v>104</v>
      </c>
    </row>
    <row r="106" spans="1:33" x14ac:dyDescent="0.25">
      <c r="A106" s="9">
        <v>7</v>
      </c>
      <c r="B106" s="9" t="s">
        <v>661</v>
      </c>
      <c r="C106" s="148">
        <v>45949</v>
      </c>
      <c r="D106" s="9" t="s">
        <v>665</v>
      </c>
      <c r="E106" s="9" t="s">
        <v>56</v>
      </c>
      <c r="F106" s="9"/>
      <c r="G106" s="9" t="s">
        <v>4</v>
      </c>
      <c r="H106" s="9" t="s">
        <v>658</v>
      </c>
      <c r="I106" s="9">
        <v>44</v>
      </c>
      <c r="J106" s="9">
        <v>22</v>
      </c>
      <c r="K106" s="9">
        <v>409</v>
      </c>
      <c r="L106" s="9">
        <v>0</v>
      </c>
      <c r="M106" s="9">
        <v>341</v>
      </c>
      <c r="N106" s="9">
        <v>2</v>
      </c>
      <c r="O106" s="149" t="str">
        <f>IF(I106&lt;&gt;"",IF(I106=J106,"TIE",INDEX(Index!$F$1:$F$32,MATCH(E106,Index!$E$1:$E$32,0))),INDEX(Index!$F$1:$F$32,MATCH(E106,Index!$E$1:$E$32,0)))</f>
        <v>DAL</v>
      </c>
      <c r="P106" s="150" t="str">
        <f>IF(I106&lt;&gt;"",IF(I106=J106,"TIE",INDEX(Index!$F$1:$F$32,MATCH(G106,Index!$E$1:$E$32,0))),INDEX(Index!$F$1:$F$32,MATCH(G106,Index!$E$1:$E$32,0)))</f>
        <v>WAS</v>
      </c>
      <c r="Q106" s="155" t="str">
        <f>IF(O106="TIE",INDEX(Index!$F$1:$F$32,MATCH(E106,Index!$E$1:$E$32,0)),"")</f>
        <v/>
      </c>
      <c r="R106" s="155" t="str">
        <f>IF(P106="TIE",INDEX(Index!$F$1:$F$32,MATCH(G106,Index!$E$1:$E$32,0)),"")</f>
        <v/>
      </c>
      <c r="S106" s="151" t="str">
        <f t="shared" si="7"/>
        <v>H</v>
      </c>
      <c r="T106" s="156" t="str">
        <f>INDEX(Index!$H$1:$H$32,MATCH($E106,Index!$E$1:$E$32,0))</f>
        <v>NE</v>
      </c>
      <c r="U106" s="156" t="str">
        <f>INDEX(Index!$H$1:$H$32,MATCH($G106,Index!$E$1:$E$32,0))</f>
        <v>NE</v>
      </c>
      <c r="V106" s="156" t="str">
        <f t="shared" si="8"/>
        <v>Div</v>
      </c>
      <c r="W106" s="152" t="str">
        <f t="shared" si="9"/>
        <v>Y</v>
      </c>
      <c r="X106" s="149" t="str">
        <f>INDEX(Index!$G$1:$G$32,MATCH(E106,Index!$E$1:$E$32,0))</f>
        <v>DAL</v>
      </c>
      <c r="Y106" s="150" t="str">
        <f>INDEX(Index!$G$1:$G$32,MATCH(G106,Index!$E$1:$E$32,0))</f>
        <v>WAS</v>
      </c>
      <c r="Z106" s="147" t="str">
        <f t="shared" si="10"/>
        <v/>
      </c>
      <c r="AA106" s="174" t="str" cm="1">
        <f t="array" ref="AA106">IFERROR(IF($W106="Y","",INDEX(EPA!$N$2:$N$512,MATCH(X106&amp;Index!$K$1,EPA!$A$2:$A$512&amp;EPA!$W$2:$W$512,0))),"")</f>
        <v/>
      </c>
      <c r="AB106" s="174" t="str" cm="1">
        <f t="array" ref="AB106">IFERROR(IF($W106="Y","",INDEX(EPA!$N$2:$N$512,MATCH(Y106&amp;Index!$K$1,EPA!$A$2:$A$512&amp;EPA!$W$2:$W$512,0))),"")</f>
        <v/>
      </c>
      <c r="AC106" s="174" t="str">
        <f ca="1">IF(AA106&lt;&gt;"",_xlfn.NORM.INV(RAND(),AA106,Index!$K$2),"")</f>
        <v/>
      </c>
      <c r="AD106" s="174" t="str">
        <f ca="1">IF(AB106&lt;&gt;"",_xlfn.NORM.INV(RAND(),AB106,Index!$K$2),"")</f>
        <v/>
      </c>
      <c r="AE106" s="157" t="str">
        <f t="shared" si="11"/>
        <v>DAL</v>
      </c>
      <c r="AF106" s="158" t="str">
        <f t="shared" si="12"/>
        <v>WAS</v>
      </c>
      <c r="AG106" s="149">
        <f t="shared" si="13"/>
        <v>105</v>
      </c>
    </row>
    <row r="107" spans="1:33" x14ac:dyDescent="0.25">
      <c r="A107" s="9">
        <v>7</v>
      </c>
      <c r="B107" s="9" t="s">
        <v>661</v>
      </c>
      <c r="C107" s="148">
        <v>45949</v>
      </c>
      <c r="D107" s="9" t="s">
        <v>657</v>
      </c>
      <c r="E107" s="9" t="s">
        <v>30</v>
      </c>
      <c r="F107" s="9"/>
      <c r="G107" s="9" t="s">
        <v>78</v>
      </c>
      <c r="H107" s="9" t="s">
        <v>658</v>
      </c>
      <c r="I107" s="9">
        <v>20</v>
      </c>
      <c r="J107" s="9">
        <v>10</v>
      </c>
      <c r="K107" s="9">
        <v>324</v>
      </c>
      <c r="L107" s="9">
        <v>1</v>
      </c>
      <c r="M107" s="9">
        <v>292</v>
      </c>
      <c r="N107" s="9">
        <v>1</v>
      </c>
      <c r="O107" s="149" t="str">
        <f>IF(I107&lt;&gt;"",IF(I107=J107,"TIE",INDEX(Index!$F$1:$F$32,MATCH(E107,Index!$E$1:$E$32,0))),INDEX(Index!$F$1:$F$32,MATCH(E107,Index!$E$1:$E$32,0)))</f>
        <v>SF</v>
      </c>
      <c r="P107" s="150" t="str">
        <f>IF(I107&lt;&gt;"",IF(I107=J107,"TIE",INDEX(Index!$F$1:$F$32,MATCH(G107,Index!$E$1:$E$32,0))),INDEX(Index!$F$1:$F$32,MATCH(G107,Index!$E$1:$E$32,0)))</f>
        <v>ATL</v>
      </c>
      <c r="Q107" s="155" t="str">
        <f>IF(O107="TIE",INDEX(Index!$F$1:$F$32,MATCH(E107,Index!$E$1:$E$32,0)),"")</f>
        <v/>
      </c>
      <c r="R107" s="155" t="str">
        <f>IF(P107="TIE",INDEX(Index!$F$1:$F$32,MATCH(G107,Index!$E$1:$E$32,0)),"")</f>
        <v/>
      </c>
      <c r="S107" s="151" t="str">
        <f t="shared" si="7"/>
        <v>H</v>
      </c>
      <c r="T107" s="156" t="str">
        <f>INDEX(Index!$H$1:$H$32,MATCH($E107,Index!$E$1:$E$32,0))</f>
        <v>NW</v>
      </c>
      <c r="U107" s="156" t="str">
        <f>INDEX(Index!$H$1:$H$32,MATCH($G107,Index!$E$1:$E$32,0))</f>
        <v>NS</v>
      </c>
      <c r="V107" s="156" t="str">
        <f t="shared" si="8"/>
        <v>Con</v>
      </c>
      <c r="W107" s="152" t="str">
        <f t="shared" si="9"/>
        <v>Y</v>
      </c>
      <c r="X107" s="149" t="str">
        <f>INDEX(Index!$G$1:$G$32,MATCH(E107,Index!$E$1:$E$32,0))</f>
        <v>SF</v>
      </c>
      <c r="Y107" s="150" t="str">
        <f>INDEX(Index!$G$1:$G$32,MATCH(G107,Index!$E$1:$E$32,0))</f>
        <v>ATL</v>
      </c>
      <c r="Z107" s="147" t="str">
        <f t="shared" si="10"/>
        <v/>
      </c>
      <c r="AA107" s="174" t="str" cm="1">
        <f t="array" ref="AA107">IFERROR(IF($W107="Y","",INDEX(EPA!$N$2:$N$512,MATCH(X107&amp;Index!$K$1,EPA!$A$2:$A$512&amp;EPA!$W$2:$W$512,0))),"")</f>
        <v/>
      </c>
      <c r="AB107" s="174" t="str" cm="1">
        <f t="array" ref="AB107">IFERROR(IF($W107="Y","",INDEX(EPA!$N$2:$N$512,MATCH(Y107&amp;Index!$K$1,EPA!$A$2:$A$512&amp;EPA!$W$2:$W$512,0))),"")</f>
        <v/>
      </c>
      <c r="AC107" s="174" t="str">
        <f ca="1">IF(AA107&lt;&gt;"",_xlfn.NORM.INV(RAND(),AA107,Index!$K$2),"")</f>
        <v/>
      </c>
      <c r="AD107" s="174" t="str">
        <f ca="1">IF(AB107&lt;&gt;"",_xlfn.NORM.INV(RAND(),AB107,Index!$K$2),"")</f>
        <v/>
      </c>
      <c r="AE107" s="157" t="str">
        <f t="shared" si="11"/>
        <v>SF</v>
      </c>
      <c r="AF107" s="158" t="str">
        <f t="shared" si="12"/>
        <v>ATL</v>
      </c>
      <c r="AG107" s="149">
        <f t="shared" si="13"/>
        <v>106</v>
      </c>
    </row>
    <row r="108" spans="1:33" x14ac:dyDescent="0.25">
      <c r="A108" s="9">
        <v>7</v>
      </c>
      <c r="B108" s="9" t="s">
        <v>666</v>
      </c>
      <c r="C108" s="148">
        <v>45950</v>
      </c>
      <c r="D108" s="9" t="s">
        <v>668</v>
      </c>
      <c r="E108" s="9" t="s">
        <v>86</v>
      </c>
      <c r="F108" s="9"/>
      <c r="G108" s="9" t="s">
        <v>0</v>
      </c>
      <c r="H108" s="9" t="s">
        <v>658</v>
      </c>
      <c r="I108" s="9">
        <v>24</v>
      </c>
      <c r="J108" s="9">
        <v>9</v>
      </c>
      <c r="K108" s="9">
        <v>379</v>
      </c>
      <c r="L108" s="9">
        <v>2</v>
      </c>
      <c r="M108" s="9">
        <v>251</v>
      </c>
      <c r="N108" s="9">
        <v>2</v>
      </c>
      <c r="O108" s="149" t="str">
        <f>IF(I108&lt;&gt;"",IF(I108=J108,"TIE",INDEX(Index!$F$1:$F$32,MATCH(E108,Index!$E$1:$E$32,0))),INDEX(Index!$F$1:$F$32,MATCH(E108,Index!$E$1:$E$32,0)))</f>
        <v>DET</v>
      </c>
      <c r="P108" s="150" t="str">
        <f>IF(I108&lt;&gt;"",IF(I108=J108,"TIE",INDEX(Index!$F$1:$F$32,MATCH(G108,Index!$E$1:$E$32,0))),INDEX(Index!$F$1:$F$32,MATCH(G108,Index!$E$1:$E$32,0)))</f>
        <v>TB</v>
      </c>
      <c r="Q108" s="155" t="str">
        <f>IF(O108="TIE",INDEX(Index!$F$1:$F$32,MATCH(E108,Index!$E$1:$E$32,0)),"")</f>
        <v/>
      </c>
      <c r="R108" s="155" t="str">
        <f>IF(P108="TIE",INDEX(Index!$F$1:$F$32,MATCH(G108,Index!$E$1:$E$32,0)),"")</f>
        <v/>
      </c>
      <c r="S108" s="151" t="str">
        <f t="shared" si="7"/>
        <v>H</v>
      </c>
      <c r="T108" s="156" t="str">
        <f>INDEX(Index!$H$1:$H$32,MATCH($E108,Index!$E$1:$E$32,0))</f>
        <v>NN</v>
      </c>
      <c r="U108" s="156" t="str">
        <f>INDEX(Index!$H$1:$H$32,MATCH($G108,Index!$E$1:$E$32,0))</f>
        <v>NS</v>
      </c>
      <c r="V108" s="156" t="str">
        <f t="shared" si="8"/>
        <v>Con</v>
      </c>
      <c r="W108" s="152" t="str">
        <f t="shared" si="9"/>
        <v>Y</v>
      </c>
      <c r="X108" s="149" t="str">
        <f>INDEX(Index!$G$1:$G$32,MATCH(E108,Index!$E$1:$E$32,0))</f>
        <v>DET</v>
      </c>
      <c r="Y108" s="150" t="str">
        <f>INDEX(Index!$G$1:$G$32,MATCH(G108,Index!$E$1:$E$32,0))</f>
        <v>TB</v>
      </c>
      <c r="Z108" s="147" t="str">
        <f t="shared" si="10"/>
        <v/>
      </c>
      <c r="AA108" s="174" t="str" cm="1">
        <f t="array" ref="AA108">IFERROR(IF($W108="Y","",INDEX(EPA!$N$2:$N$512,MATCH(X108&amp;Index!$K$1,EPA!$A$2:$A$512&amp;EPA!$W$2:$W$512,0))),"")</f>
        <v/>
      </c>
      <c r="AB108" s="174" t="str" cm="1">
        <f t="array" ref="AB108">IFERROR(IF($W108="Y","",INDEX(EPA!$N$2:$N$512,MATCH(Y108&amp;Index!$K$1,EPA!$A$2:$A$512&amp;EPA!$W$2:$W$512,0))),"")</f>
        <v/>
      </c>
      <c r="AC108" s="174" t="str">
        <f ca="1">IF(AA108&lt;&gt;"",_xlfn.NORM.INV(RAND(),AA108,Index!$K$2),"")</f>
        <v/>
      </c>
      <c r="AD108" s="174" t="str">
        <f ca="1">IF(AB108&lt;&gt;"",_xlfn.NORM.INV(RAND(),AB108,Index!$K$2),"")</f>
        <v/>
      </c>
      <c r="AE108" s="157" t="str">
        <f t="shared" si="11"/>
        <v>DET</v>
      </c>
      <c r="AF108" s="158" t="str">
        <f t="shared" si="12"/>
        <v>TB</v>
      </c>
      <c r="AG108" s="149">
        <f t="shared" si="13"/>
        <v>107</v>
      </c>
    </row>
    <row r="109" spans="1:33" x14ac:dyDescent="0.25">
      <c r="A109" s="9">
        <v>7</v>
      </c>
      <c r="B109" s="9" t="s">
        <v>666</v>
      </c>
      <c r="C109" s="148">
        <v>45950</v>
      </c>
      <c r="D109" s="9" t="s">
        <v>669</v>
      </c>
      <c r="E109" s="9" t="s">
        <v>8</v>
      </c>
      <c r="F109" s="9"/>
      <c r="G109" s="9" t="s">
        <v>33</v>
      </c>
      <c r="H109" s="9" t="s">
        <v>658</v>
      </c>
      <c r="I109" s="9">
        <v>27</v>
      </c>
      <c r="J109" s="9">
        <v>19</v>
      </c>
      <c r="K109" s="9">
        <v>316</v>
      </c>
      <c r="L109" s="9">
        <v>4</v>
      </c>
      <c r="M109" s="9">
        <v>254</v>
      </c>
      <c r="N109" s="9">
        <v>1</v>
      </c>
      <c r="O109" s="149" t="str">
        <f>IF(I109&lt;&gt;"",IF(I109=J109,"TIE",INDEX(Index!$F$1:$F$32,MATCH(E109,Index!$E$1:$E$32,0))),INDEX(Index!$F$1:$F$32,MATCH(E109,Index!$E$1:$E$32,0)))</f>
        <v>SEA</v>
      </c>
      <c r="P109" s="150" t="str">
        <f>IF(I109&lt;&gt;"",IF(I109=J109,"TIE",INDEX(Index!$F$1:$F$32,MATCH(G109,Index!$E$1:$E$32,0))),INDEX(Index!$F$1:$F$32,MATCH(G109,Index!$E$1:$E$32,0)))</f>
        <v>HOU</v>
      </c>
      <c r="Q109" s="155" t="str">
        <f>IF(O109="TIE",INDEX(Index!$F$1:$F$32,MATCH(E109,Index!$E$1:$E$32,0)),"")</f>
        <v/>
      </c>
      <c r="R109" s="155" t="str">
        <f>IF(P109="TIE",INDEX(Index!$F$1:$F$32,MATCH(G109,Index!$E$1:$E$32,0)),"")</f>
        <v/>
      </c>
      <c r="S109" s="151" t="str">
        <f t="shared" si="7"/>
        <v>H</v>
      </c>
      <c r="T109" s="156" t="str">
        <f>INDEX(Index!$H$1:$H$32,MATCH($E109,Index!$E$1:$E$32,0))</f>
        <v>NW</v>
      </c>
      <c r="U109" s="156" t="str">
        <f>INDEX(Index!$H$1:$H$32,MATCH($G109,Index!$E$1:$E$32,0))</f>
        <v>AS</v>
      </c>
      <c r="V109" s="156" t="str">
        <f t="shared" si="8"/>
        <v>Non</v>
      </c>
      <c r="W109" s="152" t="str">
        <f t="shared" si="9"/>
        <v>Y</v>
      </c>
      <c r="X109" s="149" t="str">
        <f>INDEX(Index!$G$1:$G$32,MATCH(E109,Index!$E$1:$E$32,0))</f>
        <v>SEA</v>
      </c>
      <c r="Y109" s="150" t="str">
        <f>INDEX(Index!$G$1:$G$32,MATCH(G109,Index!$E$1:$E$32,0))</f>
        <v>HOU</v>
      </c>
      <c r="Z109" s="147" t="str">
        <f t="shared" si="10"/>
        <v/>
      </c>
      <c r="AA109" s="174" t="str" cm="1">
        <f t="array" ref="AA109">IFERROR(IF($W109="Y","",INDEX(EPA!$N$2:$N$512,MATCH(X109&amp;Index!$K$1,EPA!$A$2:$A$512&amp;EPA!$W$2:$W$512,0))),"")</f>
        <v/>
      </c>
      <c r="AB109" s="174" t="str" cm="1">
        <f t="array" ref="AB109">IFERROR(IF($W109="Y","",INDEX(EPA!$N$2:$N$512,MATCH(Y109&amp;Index!$K$1,EPA!$A$2:$A$512&amp;EPA!$W$2:$W$512,0))),"")</f>
        <v/>
      </c>
      <c r="AC109" s="174" t="str">
        <f ca="1">IF(AA109&lt;&gt;"",_xlfn.NORM.INV(RAND(),AA109,Index!$K$2),"")</f>
        <v/>
      </c>
      <c r="AD109" s="174" t="str">
        <f ca="1">IF(AB109&lt;&gt;"",_xlfn.NORM.INV(RAND(),AB109,Index!$K$2),"")</f>
        <v/>
      </c>
      <c r="AE109" s="157" t="str">
        <f t="shared" si="11"/>
        <v>SEA</v>
      </c>
      <c r="AF109" s="158" t="str">
        <f t="shared" si="12"/>
        <v>HOU</v>
      </c>
      <c r="AG109" s="149">
        <f t="shared" si="13"/>
        <v>108</v>
      </c>
    </row>
    <row r="110" spans="1:33" x14ac:dyDescent="0.25">
      <c r="A110" s="9">
        <v>8</v>
      </c>
      <c r="B110" s="9" t="s">
        <v>656</v>
      </c>
      <c r="C110" s="148">
        <v>45953</v>
      </c>
      <c r="D110" s="9" t="s">
        <v>667</v>
      </c>
      <c r="E110" s="9" t="s">
        <v>68</v>
      </c>
      <c r="F110" s="9"/>
      <c r="G110" s="9" t="s">
        <v>58</v>
      </c>
      <c r="H110" s="9" t="s">
        <v>658</v>
      </c>
      <c r="I110" s="9">
        <v>37</v>
      </c>
      <c r="J110" s="9">
        <v>10</v>
      </c>
      <c r="K110" s="9">
        <v>419</v>
      </c>
      <c r="L110" s="9">
        <v>1</v>
      </c>
      <c r="M110" s="9">
        <v>164</v>
      </c>
      <c r="N110" s="9">
        <v>1</v>
      </c>
      <c r="O110" s="149" t="str">
        <f>IF(I110&lt;&gt;"",IF(I110=J110,"TIE",INDEX(Index!$F$1:$F$32,MATCH(E110,Index!$E$1:$E$32,0))),INDEX(Index!$F$1:$F$32,MATCH(E110,Index!$E$1:$E$32,0)))</f>
        <v>LAC</v>
      </c>
      <c r="P110" s="150" t="str">
        <f>IF(I110&lt;&gt;"",IF(I110=J110,"TIE",INDEX(Index!$F$1:$F$32,MATCH(G110,Index!$E$1:$E$32,0))),INDEX(Index!$F$1:$F$32,MATCH(G110,Index!$E$1:$E$32,0)))</f>
        <v>MIN</v>
      </c>
      <c r="Q110" s="155" t="str">
        <f>IF(O110="TIE",INDEX(Index!$F$1:$F$32,MATCH(E110,Index!$E$1:$E$32,0)),"")</f>
        <v/>
      </c>
      <c r="R110" s="155" t="str">
        <f>IF(P110="TIE",INDEX(Index!$F$1:$F$32,MATCH(G110,Index!$E$1:$E$32,0)),"")</f>
        <v/>
      </c>
      <c r="S110" s="151" t="str">
        <f t="shared" si="7"/>
        <v>H</v>
      </c>
      <c r="T110" s="156" t="str">
        <f>INDEX(Index!$H$1:$H$32,MATCH($E110,Index!$E$1:$E$32,0))</f>
        <v>AW</v>
      </c>
      <c r="U110" s="156" t="str">
        <f>INDEX(Index!$H$1:$H$32,MATCH($G110,Index!$E$1:$E$32,0))</f>
        <v>NN</v>
      </c>
      <c r="V110" s="156" t="str">
        <f t="shared" si="8"/>
        <v>Non</v>
      </c>
      <c r="W110" s="152" t="str">
        <f t="shared" si="9"/>
        <v>Y</v>
      </c>
      <c r="X110" s="149" t="str">
        <f>INDEX(Index!$G$1:$G$32,MATCH(E110,Index!$E$1:$E$32,0))</f>
        <v>LAC</v>
      </c>
      <c r="Y110" s="150" t="str">
        <f>INDEX(Index!$G$1:$G$32,MATCH(G110,Index!$E$1:$E$32,0))</f>
        <v>MIN</v>
      </c>
      <c r="Z110" s="147" t="str">
        <f t="shared" si="10"/>
        <v/>
      </c>
      <c r="AA110" s="174" t="str" cm="1">
        <f t="array" ref="AA110">IFERROR(IF($W110="Y","",INDEX(EPA!$N$2:$N$512,MATCH(X110&amp;Index!$K$1,EPA!$A$2:$A$512&amp;EPA!$W$2:$W$512,0))),"")</f>
        <v/>
      </c>
      <c r="AB110" s="174" t="str" cm="1">
        <f t="array" ref="AB110">IFERROR(IF($W110="Y","",INDEX(EPA!$N$2:$N$512,MATCH(Y110&amp;Index!$K$1,EPA!$A$2:$A$512&amp;EPA!$W$2:$W$512,0))),"")</f>
        <v/>
      </c>
      <c r="AC110" s="174" t="str">
        <f ca="1">IF(AA110&lt;&gt;"",_xlfn.NORM.INV(RAND(),AA110,Index!$K$2),"")</f>
        <v/>
      </c>
      <c r="AD110" s="174" t="str">
        <f ca="1">IF(AB110&lt;&gt;"",_xlfn.NORM.INV(RAND(),AB110,Index!$K$2),"")</f>
        <v/>
      </c>
      <c r="AE110" s="157" t="str">
        <f t="shared" si="11"/>
        <v>LAC</v>
      </c>
      <c r="AF110" s="158" t="str">
        <f t="shared" si="12"/>
        <v>MIN</v>
      </c>
      <c r="AG110" s="149">
        <f t="shared" si="13"/>
        <v>109</v>
      </c>
    </row>
    <row r="111" spans="1:33" x14ac:dyDescent="0.25">
      <c r="A111" s="9">
        <v>8</v>
      </c>
      <c r="B111" s="9" t="s">
        <v>661</v>
      </c>
      <c r="C111" s="148">
        <v>45956</v>
      </c>
      <c r="D111" s="9" t="s">
        <v>662</v>
      </c>
      <c r="E111" s="9" t="s">
        <v>62</v>
      </c>
      <c r="F111" s="9" t="s">
        <v>663</v>
      </c>
      <c r="G111" s="9" t="s">
        <v>78</v>
      </c>
      <c r="H111" s="9" t="s">
        <v>658</v>
      </c>
      <c r="I111" s="9">
        <v>34</v>
      </c>
      <c r="J111" s="9">
        <v>10</v>
      </c>
      <c r="K111" s="9">
        <v>338</v>
      </c>
      <c r="L111" s="9">
        <v>0</v>
      </c>
      <c r="M111" s="9">
        <v>213</v>
      </c>
      <c r="N111" s="9">
        <v>1</v>
      </c>
      <c r="O111" s="149" t="str">
        <f>IF(I111&lt;&gt;"",IF(I111=J111,"TIE",INDEX(Index!$F$1:$F$32,MATCH(E111,Index!$E$1:$E$32,0))),INDEX(Index!$F$1:$F$32,MATCH(E111,Index!$E$1:$E$32,0)))</f>
        <v>MIA</v>
      </c>
      <c r="P111" s="150" t="str">
        <f>IF(I111&lt;&gt;"",IF(I111=J111,"TIE",INDEX(Index!$F$1:$F$32,MATCH(G111,Index!$E$1:$E$32,0))),INDEX(Index!$F$1:$F$32,MATCH(G111,Index!$E$1:$E$32,0)))</f>
        <v>ATL</v>
      </c>
      <c r="Q111" s="155" t="str">
        <f>IF(O111="TIE",INDEX(Index!$F$1:$F$32,MATCH(E111,Index!$E$1:$E$32,0)),"")</f>
        <v/>
      </c>
      <c r="R111" s="155" t="str">
        <f>IF(P111="TIE",INDEX(Index!$F$1:$F$32,MATCH(G111,Index!$E$1:$E$32,0)),"")</f>
        <v/>
      </c>
      <c r="S111" s="151" t="str">
        <f t="shared" si="7"/>
        <v>A</v>
      </c>
      <c r="T111" s="156" t="str">
        <f>INDEX(Index!$H$1:$H$32,MATCH($E111,Index!$E$1:$E$32,0))</f>
        <v>AE</v>
      </c>
      <c r="U111" s="156" t="str">
        <f>INDEX(Index!$H$1:$H$32,MATCH($G111,Index!$E$1:$E$32,0))</f>
        <v>NS</v>
      </c>
      <c r="V111" s="156" t="str">
        <f t="shared" si="8"/>
        <v>Non</v>
      </c>
      <c r="W111" s="152" t="str">
        <f t="shared" si="9"/>
        <v>Y</v>
      </c>
      <c r="X111" s="149" t="str">
        <f>INDEX(Index!$G$1:$G$32,MATCH(E111,Index!$E$1:$E$32,0))</f>
        <v>MIA</v>
      </c>
      <c r="Y111" s="150" t="str">
        <f>INDEX(Index!$G$1:$G$32,MATCH(G111,Index!$E$1:$E$32,0))</f>
        <v>ATL</v>
      </c>
      <c r="Z111" s="147" t="str">
        <f t="shared" si="10"/>
        <v/>
      </c>
      <c r="AA111" s="174" t="str" cm="1">
        <f t="array" ref="AA111">IFERROR(IF($W111="Y","",INDEX(EPA!$N$2:$N$512,MATCH(X111&amp;Index!$K$1,EPA!$A$2:$A$512&amp;EPA!$W$2:$W$512,0))),"")</f>
        <v/>
      </c>
      <c r="AB111" s="174" t="str" cm="1">
        <f t="array" ref="AB111">IFERROR(IF($W111="Y","",INDEX(EPA!$N$2:$N$512,MATCH(Y111&amp;Index!$K$1,EPA!$A$2:$A$512&amp;EPA!$W$2:$W$512,0))),"")</f>
        <v/>
      </c>
      <c r="AC111" s="174" t="str">
        <f ca="1">IF(AA111&lt;&gt;"",_xlfn.NORM.INV(RAND(),AA111,Index!$K$2),"")</f>
        <v/>
      </c>
      <c r="AD111" s="174" t="str">
        <f ca="1">IF(AB111&lt;&gt;"",_xlfn.NORM.INV(RAND(),AB111,Index!$K$2),"")</f>
        <v/>
      </c>
      <c r="AE111" s="157" t="str">
        <f t="shared" si="11"/>
        <v>MIA</v>
      </c>
      <c r="AF111" s="158" t="str">
        <f t="shared" si="12"/>
        <v>ATL</v>
      </c>
      <c r="AG111" s="149">
        <f t="shared" si="13"/>
        <v>110</v>
      </c>
    </row>
    <row r="112" spans="1:33" x14ac:dyDescent="0.25">
      <c r="A112" s="9">
        <v>8</v>
      </c>
      <c r="B112" s="9" t="s">
        <v>661</v>
      </c>
      <c r="C112" s="148">
        <v>45956</v>
      </c>
      <c r="D112" s="9" t="s">
        <v>662</v>
      </c>
      <c r="E112" s="9" t="s">
        <v>40</v>
      </c>
      <c r="F112" s="9" t="s">
        <v>663</v>
      </c>
      <c r="G112" s="9" t="s">
        <v>12</v>
      </c>
      <c r="H112" s="9" t="s">
        <v>658</v>
      </c>
      <c r="I112" s="9">
        <v>40</v>
      </c>
      <c r="J112" s="9">
        <v>9</v>
      </c>
      <c r="K112" s="9">
        <v>410</v>
      </c>
      <c r="L112" s="9">
        <v>0</v>
      </c>
      <c r="M112" s="9">
        <v>244</v>
      </c>
      <c r="N112" s="9">
        <v>3</v>
      </c>
      <c r="O112" s="149" t="str">
        <f>IF(I112&lt;&gt;"",IF(I112=J112,"TIE",INDEX(Index!$F$1:$F$32,MATCH(E112,Index!$E$1:$E$32,0))),INDEX(Index!$F$1:$F$32,MATCH(E112,Index!$E$1:$E$32,0)))</f>
        <v>BUF</v>
      </c>
      <c r="P112" s="150" t="str">
        <f>IF(I112&lt;&gt;"",IF(I112=J112,"TIE",INDEX(Index!$F$1:$F$32,MATCH(G112,Index!$E$1:$E$32,0))),INDEX(Index!$F$1:$F$32,MATCH(G112,Index!$E$1:$E$32,0)))</f>
        <v>CAR</v>
      </c>
      <c r="Q112" s="155" t="str">
        <f>IF(O112="TIE",INDEX(Index!$F$1:$F$32,MATCH(E112,Index!$E$1:$E$32,0)),"")</f>
        <v/>
      </c>
      <c r="R112" s="155" t="str">
        <f>IF(P112="TIE",INDEX(Index!$F$1:$F$32,MATCH(G112,Index!$E$1:$E$32,0)),"")</f>
        <v/>
      </c>
      <c r="S112" s="151" t="str">
        <f t="shared" si="7"/>
        <v>A</v>
      </c>
      <c r="T112" s="156" t="str">
        <f>INDEX(Index!$H$1:$H$32,MATCH($E112,Index!$E$1:$E$32,0))</f>
        <v>AE</v>
      </c>
      <c r="U112" s="156" t="str">
        <f>INDEX(Index!$H$1:$H$32,MATCH($G112,Index!$E$1:$E$32,0))</f>
        <v>NS</v>
      </c>
      <c r="V112" s="156" t="str">
        <f t="shared" si="8"/>
        <v>Non</v>
      </c>
      <c r="W112" s="152" t="str">
        <f t="shared" si="9"/>
        <v>Y</v>
      </c>
      <c r="X112" s="149" t="str">
        <f>INDEX(Index!$G$1:$G$32,MATCH(E112,Index!$E$1:$E$32,0))</f>
        <v>BUF</v>
      </c>
      <c r="Y112" s="150" t="str">
        <f>INDEX(Index!$G$1:$G$32,MATCH(G112,Index!$E$1:$E$32,0))</f>
        <v>CAR</v>
      </c>
      <c r="Z112" s="147" t="str">
        <f t="shared" si="10"/>
        <v/>
      </c>
      <c r="AA112" s="174" t="str" cm="1">
        <f t="array" ref="AA112">IFERROR(IF($W112="Y","",INDEX(EPA!$N$2:$N$512,MATCH(X112&amp;Index!$K$1,EPA!$A$2:$A$512&amp;EPA!$W$2:$W$512,0))),"")</f>
        <v/>
      </c>
      <c r="AB112" s="174" t="str" cm="1">
        <f t="array" ref="AB112">IFERROR(IF($W112="Y","",INDEX(EPA!$N$2:$N$512,MATCH(Y112&amp;Index!$K$1,EPA!$A$2:$A$512&amp;EPA!$W$2:$W$512,0))),"")</f>
        <v/>
      </c>
      <c r="AC112" s="174" t="str">
        <f ca="1">IF(AA112&lt;&gt;"",_xlfn.NORM.INV(RAND(),AA112,Index!$K$2),"")</f>
        <v/>
      </c>
      <c r="AD112" s="174" t="str">
        <f ca="1">IF(AB112&lt;&gt;"",_xlfn.NORM.INV(RAND(),AB112,Index!$K$2),"")</f>
        <v/>
      </c>
      <c r="AE112" s="157" t="str">
        <f t="shared" si="11"/>
        <v>BUF</v>
      </c>
      <c r="AF112" s="158" t="str">
        <f t="shared" si="12"/>
        <v>CAR</v>
      </c>
      <c r="AG112" s="149">
        <f t="shared" si="13"/>
        <v>111</v>
      </c>
    </row>
    <row r="113" spans="1:33" x14ac:dyDescent="0.25">
      <c r="A113" s="9">
        <v>8</v>
      </c>
      <c r="B113" s="9" t="s">
        <v>661</v>
      </c>
      <c r="C113" s="148">
        <v>45956</v>
      </c>
      <c r="D113" s="9" t="s">
        <v>662</v>
      </c>
      <c r="E113" s="9" t="s">
        <v>76</v>
      </c>
      <c r="F113" s="9"/>
      <c r="G113" s="9" t="s">
        <v>65</v>
      </c>
      <c r="H113" s="9" t="s">
        <v>658</v>
      </c>
      <c r="I113" s="9">
        <v>30</v>
      </c>
      <c r="J113" s="9">
        <v>16</v>
      </c>
      <c r="K113" s="9">
        <v>355</v>
      </c>
      <c r="L113" s="9">
        <v>0</v>
      </c>
      <c r="M113" s="9">
        <v>372</v>
      </c>
      <c r="N113" s="9">
        <v>1</v>
      </c>
      <c r="O113" s="149" t="str">
        <f>IF(I113&lt;&gt;"",IF(I113=J113,"TIE",INDEX(Index!$F$1:$F$32,MATCH(E113,Index!$E$1:$E$32,0))),INDEX(Index!$F$1:$F$32,MATCH(E113,Index!$E$1:$E$32,0)))</f>
        <v>BAL</v>
      </c>
      <c r="P113" s="150" t="str">
        <f>IF(I113&lt;&gt;"",IF(I113=J113,"TIE",INDEX(Index!$F$1:$F$32,MATCH(G113,Index!$E$1:$E$32,0))),INDEX(Index!$F$1:$F$32,MATCH(G113,Index!$E$1:$E$32,0)))</f>
        <v>CHI</v>
      </c>
      <c r="Q113" s="155" t="str">
        <f>IF(O113="TIE",INDEX(Index!$F$1:$F$32,MATCH(E113,Index!$E$1:$E$32,0)),"")</f>
        <v/>
      </c>
      <c r="R113" s="155" t="str">
        <f>IF(P113="TIE",INDEX(Index!$F$1:$F$32,MATCH(G113,Index!$E$1:$E$32,0)),"")</f>
        <v/>
      </c>
      <c r="S113" s="151" t="str">
        <f t="shared" si="7"/>
        <v>H</v>
      </c>
      <c r="T113" s="156" t="str">
        <f>INDEX(Index!$H$1:$H$32,MATCH($E113,Index!$E$1:$E$32,0))</f>
        <v>AN</v>
      </c>
      <c r="U113" s="156" t="str">
        <f>INDEX(Index!$H$1:$H$32,MATCH($G113,Index!$E$1:$E$32,0))</f>
        <v>NN</v>
      </c>
      <c r="V113" s="156" t="str">
        <f t="shared" si="8"/>
        <v>Non</v>
      </c>
      <c r="W113" s="152" t="str">
        <f t="shared" si="9"/>
        <v>Y</v>
      </c>
      <c r="X113" s="149" t="str">
        <f>INDEX(Index!$G$1:$G$32,MATCH(E113,Index!$E$1:$E$32,0))</f>
        <v>BAL</v>
      </c>
      <c r="Y113" s="150" t="str">
        <f>INDEX(Index!$G$1:$G$32,MATCH(G113,Index!$E$1:$E$32,0))</f>
        <v>CHI</v>
      </c>
      <c r="Z113" s="147" t="str">
        <f t="shared" si="10"/>
        <v/>
      </c>
      <c r="AA113" s="174" t="str" cm="1">
        <f t="array" ref="AA113">IFERROR(IF($W113="Y","",INDEX(EPA!$N$2:$N$512,MATCH(X113&amp;Index!$K$1,EPA!$A$2:$A$512&amp;EPA!$W$2:$W$512,0))),"")</f>
        <v/>
      </c>
      <c r="AB113" s="174" t="str" cm="1">
        <f t="array" ref="AB113">IFERROR(IF($W113="Y","",INDEX(EPA!$N$2:$N$512,MATCH(Y113&amp;Index!$K$1,EPA!$A$2:$A$512&amp;EPA!$W$2:$W$512,0))),"")</f>
        <v/>
      </c>
      <c r="AC113" s="174" t="str">
        <f ca="1">IF(AA113&lt;&gt;"",_xlfn.NORM.INV(RAND(),AA113,Index!$K$2),"")</f>
        <v/>
      </c>
      <c r="AD113" s="174" t="str">
        <f ca="1">IF(AB113&lt;&gt;"",_xlfn.NORM.INV(RAND(),AB113,Index!$K$2),"")</f>
        <v/>
      </c>
      <c r="AE113" s="157" t="str">
        <f t="shared" si="11"/>
        <v>BAL</v>
      </c>
      <c r="AF113" s="158" t="str">
        <f t="shared" si="12"/>
        <v>CHI</v>
      </c>
      <c r="AG113" s="149">
        <f t="shared" si="13"/>
        <v>112</v>
      </c>
    </row>
    <row r="114" spans="1:33" x14ac:dyDescent="0.25">
      <c r="A114" s="9">
        <v>8</v>
      </c>
      <c r="B114" s="9" t="s">
        <v>661</v>
      </c>
      <c r="C114" s="148">
        <v>45956</v>
      </c>
      <c r="D114" s="9" t="s">
        <v>662</v>
      </c>
      <c r="E114" s="9" t="s">
        <v>33</v>
      </c>
      <c r="F114" s="9"/>
      <c r="G114" s="9" t="s">
        <v>30</v>
      </c>
      <c r="H114" s="9" t="s">
        <v>658</v>
      </c>
      <c r="I114" s="9">
        <v>26</v>
      </c>
      <c r="J114" s="9">
        <v>15</v>
      </c>
      <c r="K114" s="9">
        <v>475</v>
      </c>
      <c r="L114" s="9">
        <v>1</v>
      </c>
      <c r="M114" s="9">
        <v>223</v>
      </c>
      <c r="N114" s="9">
        <v>1</v>
      </c>
      <c r="O114" s="149" t="str">
        <f>IF(I114&lt;&gt;"",IF(I114=J114,"TIE",INDEX(Index!$F$1:$F$32,MATCH(E114,Index!$E$1:$E$32,0))),INDEX(Index!$F$1:$F$32,MATCH(E114,Index!$E$1:$E$32,0)))</f>
        <v>HOU</v>
      </c>
      <c r="P114" s="150" t="str">
        <f>IF(I114&lt;&gt;"",IF(I114=J114,"TIE",INDEX(Index!$F$1:$F$32,MATCH(G114,Index!$E$1:$E$32,0))),INDEX(Index!$F$1:$F$32,MATCH(G114,Index!$E$1:$E$32,0)))</f>
        <v>SF</v>
      </c>
      <c r="Q114" s="155" t="str">
        <f>IF(O114="TIE",INDEX(Index!$F$1:$F$32,MATCH(E114,Index!$E$1:$E$32,0)),"")</f>
        <v/>
      </c>
      <c r="R114" s="155" t="str">
        <f>IF(P114="TIE",INDEX(Index!$F$1:$F$32,MATCH(G114,Index!$E$1:$E$32,0)),"")</f>
        <v/>
      </c>
      <c r="S114" s="151" t="str">
        <f t="shared" si="7"/>
        <v>H</v>
      </c>
      <c r="T114" s="156" t="str">
        <f>INDEX(Index!$H$1:$H$32,MATCH($E114,Index!$E$1:$E$32,0))</f>
        <v>AS</v>
      </c>
      <c r="U114" s="156" t="str">
        <f>INDEX(Index!$H$1:$H$32,MATCH($G114,Index!$E$1:$E$32,0))</f>
        <v>NW</v>
      </c>
      <c r="V114" s="156" t="str">
        <f t="shared" si="8"/>
        <v>Non</v>
      </c>
      <c r="W114" s="152" t="str">
        <f t="shared" si="9"/>
        <v>Y</v>
      </c>
      <c r="X114" s="149" t="str">
        <f>INDEX(Index!$G$1:$G$32,MATCH(E114,Index!$E$1:$E$32,0))</f>
        <v>HOU</v>
      </c>
      <c r="Y114" s="150" t="str">
        <f>INDEX(Index!$G$1:$G$32,MATCH(G114,Index!$E$1:$E$32,0))</f>
        <v>SF</v>
      </c>
      <c r="Z114" s="147" t="str">
        <f t="shared" si="10"/>
        <v/>
      </c>
      <c r="AA114" s="174" t="str" cm="1">
        <f t="array" ref="AA114">IFERROR(IF($W114="Y","",INDEX(EPA!$N$2:$N$512,MATCH(X114&amp;Index!$K$1,EPA!$A$2:$A$512&amp;EPA!$W$2:$W$512,0))),"")</f>
        <v/>
      </c>
      <c r="AB114" s="174" t="str" cm="1">
        <f t="array" ref="AB114">IFERROR(IF($W114="Y","",INDEX(EPA!$N$2:$N$512,MATCH(Y114&amp;Index!$K$1,EPA!$A$2:$A$512&amp;EPA!$W$2:$W$512,0))),"")</f>
        <v/>
      </c>
      <c r="AC114" s="174" t="str">
        <f ca="1">IF(AA114&lt;&gt;"",_xlfn.NORM.INV(RAND(),AA114,Index!$K$2),"")</f>
        <v/>
      </c>
      <c r="AD114" s="174" t="str">
        <f ca="1">IF(AB114&lt;&gt;"",_xlfn.NORM.INV(RAND(),AB114,Index!$K$2),"")</f>
        <v/>
      </c>
      <c r="AE114" s="157" t="str">
        <f t="shared" si="11"/>
        <v>HOU</v>
      </c>
      <c r="AF114" s="158" t="str">
        <f t="shared" si="12"/>
        <v>SF</v>
      </c>
      <c r="AG114" s="149">
        <f t="shared" si="13"/>
        <v>113</v>
      </c>
    </row>
    <row r="115" spans="1:33" x14ac:dyDescent="0.25">
      <c r="A115" s="9">
        <v>8</v>
      </c>
      <c r="B115" s="9" t="s">
        <v>661</v>
      </c>
      <c r="C115" s="148">
        <v>45956</v>
      </c>
      <c r="D115" s="9" t="s">
        <v>662</v>
      </c>
      <c r="E115" s="9" t="s">
        <v>23</v>
      </c>
      <c r="F115" s="9" t="s">
        <v>663</v>
      </c>
      <c r="G115" s="9" t="s">
        <v>53</v>
      </c>
      <c r="H115" s="9" t="s">
        <v>658</v>
      </c>
      <c r="I115" s="9">
        <v>39</v>
      </c>
      <c r="J115" s="9">
        <v>38</v>
      </c>
      <c r="K115" s="9">
        <v>502</v>
      </c>
      <c r="L115" s="9">
        <v>0</v>
      </c>
      <c r="M115" s="9">
        <v>398</v>
      </c>
      <c r="N115" s="9">
        <v>0</v>
      </c>
      <c r="O115" s="149" t="str">
        <f>IF(I115&lt;&gt;"",IF(I115=J115,"TIE",INDEX(Index!$F$1:$F$32,MATCH(E115,Index!$E$1:$E$32,0))),INDEX(Index!$F$1:$F$32,MATCH(E115,Index!$E$1:$E$32,0)))</f>
        <v>NYJ</v>
      </c>
      <c r="P115" s="150" t="str">
        <f>IF(I115&lt;&gt;"",IF(I115=J115,"TIE",INDEX(Index!$F$1:$F$32,MATCH(G115,Index!$E$1:$E$32,0))),INDEX(Index!$F$1:$F$32,MATCH(G115,Index!$E$1:$E$32,0)))</f>
        <v>CIN</v>
      </c>
      <c r="Q115" s="155" t="str">
        <f>IF(O115="TIE",INDEX(Index!$F$1:$F$32,MATCH(E115,Index!$E$1:$E$32,0)),"")</f>
        <v/>
      </c>
      <c r="R115" s="155" t="str">
        <f>IF(P115="TIE",INDEX(Index!$F$1:$F$32,MATCH(G115,Index!$E$1:$E$32,0)),"")</f>
        <v/>
      </c>
      <c r="S115" s="151" t="str">
        <f t="shared" si="7"/>
        <v>A</v>
      </c>
      <c r="T115" s="156" t="str">
        <f>INDEX(Index!$H$1:$H$32,MATCH($E115,Index!$E$1:$E$32,0))</f>
        <v>AE</v>
      </c>
      <c r="U115" s="156" t="str">
        <f>INDEX(Index!$H$1:$H$32,MATCH($G115,Index!$E$1:$E$32,0))</f>
        <v>AN</v>
      </c>
      <c r="V115" s="156" t="str">
        <f t="shared" si="8"/>
        <v>Con</v>
      </c>
      <c r="W115" s="152" t="str">
        <f t="shared" si="9"/>
        <v>Y</v>
      </c>
      <c r="X115" s="149" t="str">
        <f>INDEX(Index!$G$1:$G$32,MATCH(E115,Index!$E$1:$E$32,0))</f>
        <v>NYJ</v>
      </c>
      <c r="Y115" s="150" t="str">
        <f>INDEX(Index!$G$1:$G$32,MATCH(G115,Index!$E$1:$E$32,0))</f>
        <v>CIN</v>
      </c>
      <c r="Z115" s="147" t="str">
        <f t="shared" si="10"/>
        <v/>
      </c>
      <c r="AA115" s="174" t="str" cm="1">
        <f t="array" ref="AA115">IFERROR(IF($W115="Y","",INDEX(EPA!$N$2:$N$512,MATCH(X115&amp;Index!$K$1,EPA!$A$2:$A$512&amp;EPA!$W$2:$W$512,0))),"")</f>
        <v/>
      </c>
      <c r="AB115" s="174" t="str" cm="1">
        <f t="array" ref="AB115">IFERROR(IF($W115="Y","",INDEX(EPA!$N$2:$N$512,MATCH(Y115&amp;Index!$K$1,EPA!$A$2:$A$512&amp;EPA!$W$2:$W$512,0))),"")</f>
        <v/>
      </c>
      <c r="AC115" s="174" t="str">
        <f ca="1">IF(AA115&lt;&gt;"",_xlfn.NORM.INV(RAND(),AA115,Index!$K$2),"")</f>
        <v/>
      </c>
      <c r="AD115" s="174" t="str">
        <f ca="1">IF(AB115&lt;&gt;"",_xlfn.NORM.INV(RAND(),AB115,Index!$K$2),"")</f>
        <v/>
      </c>
      <c r="AE115" s="157" t="str">
        <f t="shared" si="11"/>
        <v>NYJ</v>
      </c>
      <c r="AF115" s="158" t="str">
        <f t="shared" si="12"/>
        <v>CIN</v>
      </c>
      <c r="AG115" s="149">
        <f t="shared" si="13"/>
        <v>114</v>
      </c>
    </row>
    <row r="116" spans="1:33" x14ac:dyDescent="0.25">
      <c r="A116" s="9">
        <v>8</v>
      </c>
      <c r="B116" s="9" t="s">
        <v>661</v>
      </c>
      <c r="C116" s="148">
        <v>45956</v>
      </c>
      <c r="D116" s="9" t="s">
        <v>662</v>
      </c>
      <c r="E116" s="9" t="s">
        <v>45</v>
      </c>
      <c r="F116" s="9"/>
      <c r="G116" s="9" t="s">
        <v>83</v>
      </c>
      <c r="H116" s="9" t="s">
        <v>658</v>
      </c>
      <c r="I116" s="9">
        <v>32</v>
      </c>
      <c r="J116" s="9">
        <v>13</v>
      </c>
      <c r="K116" s="9">
        <v>422</v>
      </c>
      <c r="L116" s="9">
        <v>2</v>
      </c>
      <c r="M116" s="9">
        <v>213</v>
      </c>
      <c r="N116" s="9">
        <v>2</v>
      </c>
      <c r="O116" s="149" t="str">
        <f>IF(I116&lt;&gt;"",IF(I116=J116,"TIE",INDEX(Index!$F$1:$F$32,MATCH(E116,Index!$E$1:$E$32,0))),INDEX(Index!$F$1:$F$32,MATCH(E116,Index!$E$1:$E$32,0)))</f>
        <v>NE</v>
      </c>
      <c r="P116" s="150" t="str">
        <f>IF(I116&lt;&gt;"",IF(I116=J116,"TIE",INDEX(Index!$F$1:$F$32,MATCH(G116,Index!$E$1:$E$32,0))),INDEX(Index!$F$1:$F$32,MATCH(G116,Index!$E$1:$E$32,0)))</f>
        <v>CLE</v>
      </c>
      <c r="Q116" s="155" t="str">
        <f>IF(O116="TIE",INDEX(Index!$F$1:$F$32,MATCH(E116,Index!$E$1:$E$32,0)),"")</f>
        <v/>
      </c>
      <c r="R116" s="155" t="str">
        <f>IF(P116="TIE",INDEX(Index!$F$1:$F$32,MATCH(G116,Index!$E$1:$E$32,0)),"")</f>
        <v/>
      </c>
      <c r="S116" s="151" t="str">
        <f t="shared" si="7"/>
        <v>H</v>
      </c>
      <c r="T116" s="156" t="str">
        <f>INDEX(Index!$H$1:$H$32,MATCH($E116,Index!$E$1:$E$32,0))</f>
        <v>AE</v>
      </c>
      <c r="U116" s="156" t="str">
        <f>INDEX(Index!$H$1:$H$32,MATCH($G116,Index!$E$1:$E$32,0))</f>
        <v>AN</v>
      </c>
      <c r="V116" s="156" t="str">
        <f t="shared" si="8"/>
        <v>Con</v>
      </c>
      <c r="W116" s="152" t="str">
        <f t="shared" si="9"/>
        <v>Y</v>
      </c>
      <c r="X116" s="149" t="str">
        <f>INDEX(Index!$G$1:$G$32,MATCH(E116,Index!$E$1:$E$32,0))</f>
        <v>NE</v>
      </c>
      <c r="Y116" s="150" t="str">
        <f>INDEX(Index!$G$1:$G$32,MATCH(G116,Index!$E$1:$E$32,0))</f>
        <v>CLE</v>
      </c>
      <c r="Z116" s="147" t="str">
        <f t="shared" si="10"/>
        <v/>
      </c>
      <c r="AA116" s="174" t="str" cm="1">
        <f t="array" ref="AA116">IFERROR(IF($W116="Y","",INDEX(EPA!$N$2:$N$512,MATCH(X116&amp;Index!$K$1,EPA!$A$2:$A$512&amp;EPA!$W$2:$W$512,0))),"")</f>
        <v/>
      </c>
      <c r="AB116" s="174" t="str" cm="1">
        <f t="array" ref="AB116">IFERROR(IF($W116="Y","",INDEX(EPA!$N$2:$N$512,MATCH(Y116&amp;Index!$K$1,EPA!$A$2:$A$512&amp;EPA!$W$2:$W$512,0))),"")</f>
        <v/>
      </c>
      <c r="AC116" s="174" t="str">
        <f ca="1">IF(AA116&lt;&gt;"",_xlfn.NORM.INV(RAND(),AA116,Index!$K$2),"")</f>
        <v/>
      </c>
      <c r="AD116" s="174" t="str">
        <f ca="1">IF(AB116&lt;&gt;"",_xlfn.NORM.INV(RAND(),AB116,Index!$K$2),"")</f>
        <v/>
      </c>
      <c r="AE116" s="157" t="str">
        <f t="shared" si="11"/>
        <v>NE</v>
      </c>
      <c r="AF116" s="158" t="str">
        <f t="shared" si="12"/>
        <v>CLE</v>
      </c>
      <c r="AG116" s="149">
        <f t="shared" si="13"/>
        <v>115</v>
      </c>
    </row>
    <row r="117" spans="1:33" x14ac:dyDescent="0.25">
      <c r="A117" s="9">
        <v>8</v>
      </c>
      <c r="B117" s="9" t="s">
        <v>661</v>
      </c>
      <c r="C117" s="148">
        <v>45956</v>
      </c>
      <c r="D117" s="9" t="s">
        <v>662</v>
      </c>
      <c r="E117" s="9" t="s">
        <v>92</v>
      </c>
      <c r="F117" s="9"/>
      <c r="G117" s="9" t="s">
        <v>49</v>
      </c>
      <c r="H117" s="9" t="s">
        <v>658</v>
      </c>
      <c r="I117" s="9">
        <v>38</v>
      </c>
      <c r="J117" s="9">
        <v>20</v>
      </c>
      <c r="K117" s="9">
        <v>427</v>
      </c>
      <c r="L117" s="9">
        <v>0</v>
      </c>
      <c r="M117" s="9">
        <v>246</v>
      </c>
      <c r="N117" s="9">
        <v>0</v>
      </c>
      <c r="O117" s="149" t="str">
        <f>IF(I117&lt;&gt;"",IF(I117=J117,"TIE",INDEX(Index!$F$1:$F$32,MATCH(E117,Index!$E$1:$E$32,0))),INDEX(Index!$F$1:$F$32,MATCH(E117,Index!$E$1:$E$32,0)))</f>
        <v>PHI</v>
      </c>
      <c r="P117" s="150" t="str">
        <f>IF(I117&lt;&gt;"",IF(I117=J117,"TIE",INDEX(Index!$F$1:$F$32,MATCH(G117,Index!$E$1:$E$32,0))),INDEX(Index!$F$1:$F$32,MATCH(G117,Index!$E$1:$E$32,0)))</f>
        <v>NYG</v>
      </c>
      <c r="Q117" s="155" t="str">
        <f>IF(O117="TIE",INDEX(Index!$F$1:$F$32,MATCH(E117,Index!$E$1:$E$32,0)),"")</f>
        <v/>
      </c>
      <c r="R117" s="155" t="str">
        <f>IF(P117="TIE",INDEX(Index!$F$1:$F$32,MATCH(G117,Index!$E$1:$E$32,0)),"")</f>
        <v/>
      </c>
      <c r="S117" s="151" t="str">
        <f t="shared" si="7"/>
        <v>H</v>
      </c>
      <c r="T117" s="156" t="str">
        <f>INDEX(Index!$H$1:$H$32,MATCH($E117,Index!$E$1:$E$32,0))</f>
        <v>NE</v>
      </c>
      <c r="U117" s="156" t="str">
        <f>INDEX(Index!$H$1:$H$32,MATCH($G117,Index!$E$1:$E$32,0))</f>
        <v>NE</v>
      </c>
      <c r="V117" s="156" t="str">
        <f t="shared" si="8"/>
        <v>Div</v>
      </c>
      <c r="W117" s="152" t="str">
        <f t="shared" si="9"/>
        <v>Y</v>
      </c>
      <c r="X117" s="149" t="str">
        <f>INDEX(Index!$G$1:$G$32,MATCH(E117,Index!$E$1:$E$32,0))</f>
        <v>PHI</v>
      </c>
      <c r="Y117" s="150" t="str">
        <f>INDEX(Index!$G$1:$G$32,MATCH(G117,Index!$E$1:$E$32,0))</f>
        <v>NYG</v>
      </c>
      <c r="Z117" s="147" t="str">
        <f t="shared" si="10"/>
        <v/>
      </c>
      <c r="AA117" s="174" t="str" cm="1">
        <f t="array" ref="AA117">IFERROR(IF($W117="Y","",INDEX(EPA!$N$2:$N$512,MATCH(X117&amp;Index!$K$1,EPA!$A$2:$A$512&amp;EPA!$W$2:$W$512,0))),"")</f>
        <v/>
      </c>
      <c r="AB117" s="174" t="str" cm="1">
        <f t="array" ref="AB117">IFERROR(IF($W117="Y","",INDEX(EPA!$N$2:$N$512,MATCH(Y117&amp;Index!$K$1,EPA!$A$2:$A$512&amp;EPA!$W$2:$W$512,0))),"")</f>
        <v/>
      </c>
      <c r="AC117" s="174" t="str">
        <f ca="1">IF(AA117&lt;&gt;"",_xlfn.NORM.INV(RAND(),AA117,Index!$K$2),"")</f>
        <v/>
      </c>
      <c r="AD117" s="174" t="str">
        <f ca="1">IF(AB117&lt;&gt;"",_xlfn.NORM.INV(RAND(),AB117,Index!$K$2),"")</f>
        <v/>
      </c>
      <c r="AE117" s="157" t="str">
        <f t="shared" si="11"/>
        <v>PHI</v>
      </c>
      <c r="AF117" s="158" t="str">
        <f t="shared" si="12"/>
        <v>NYG</v>
      </c>
      <c r="AG117" s="149">
        <f t="shared" si="13"/>
        <v>116</v>
      </c>
    </row>
    <row r="118" spans="1:33" x14ac:dyDescent="0.25">
      <c r="A118" s="9">
        <v>8</v>
      </c>
      <c r="B118" s="9" t="s">
        <v>661</v>
      </c>
      <c r="C118" s="148">
        <v>45956</v>
      </c>
      <c r="D118" s="9" t="s">
        <v>664</v>
      </c>
      <c r="E118" s="9" t="s">
        <v>0</v>
      </c>
      <c r="F118" s="9" t="s">
        <v>663</v>
      </c>
      <c r="G118" s="9" t="s">
        <v>71</v>
      </c>
      <c r="H118" s="9" t="s">
        <v>658</v>
      </c>
      <c r="I118" s="9">
        <v>23</v>
      </c>
      <c r="J118" s="9">
        <v>3</v>
      </c>
      <c r="K118" s="9">
        <v>212</v>
      </c>
      <c r="L118" s="9">
        <v>1</v>
      </c>
      <c r="M118" s="9">
        <v>275</v>
      </c>
      <c r="N118" s="9">
        <v>4</v>
      </c>
      <c r="O118" s="149" t="str">
        <f>IF(I118&lt;&gt;"",IF(I118=J118,"TIE",INDEX(Index!$F$1:$F$32,MATCH(E118,Index!$E$1:$E$32,0))),INDEX(Index!$F$1:$F$32,MATCH(E118,Index!$E$1:$E$32,0)))</f>
        <v>TB</v>
      </c>
      <c r="P118" s="150" t="str">
        <f>IF(I118&lt;&gt;"",IF(I118=J118,"TIE",INDEX(Index!$F$1:$F$32,MATCH(G118,Index!$E$1:$E$32,0))),INDEX(Index!$F$1:$F$32,MATCH(G118,Index!$E$1:$E$32,0)))</f>
        <v>NO</v>
      </c>
      <c r="Q118" s="155" t="str">
        <f>IF(O118="TIE",INDEX(Index!$F$1:$F$32,MATCH(E118,Index!$E$1:$E$32,0)),"")</f>
        <v/>
      </c>
      <c r="R118" s="155" t="str">
        <f>IF(P118="TIE",INDEX(Index!$F$1:$F$32,MATCH(G118,Index!$E$1:$E$32,0)),"")</f>
        <v/>
      </c>
      <c r="S118" s="151" t="str">
        <f t="shared" si="7"/>
        <v>A</v>
      </c>
      <c r="T118" s="156" t="str">
        <f>INDEX(Index!$H$1:$H$32,MATCH($E118,Index!$E$1:$E$32,0))</f>
        <v>NS</v>
      </c>
      <c r="U118" s="156" t="str">
        <f>INDEX(Index!$H$1:$H$32,MATCH($G118,Index!$E$1:$E$32,0))</f>
        <v>NS</v>
      </c>
      <c r="V118" s="156" t="str">
        <f t="shared" si="8"/>
        <v>Div</v>
      </c>
      <c r="W118" s="152" t="str">
        <f t="shared" si="9"/>
        <v>Y</v>
      </c>
      <c r="X118" s="149" t="str">
        <f>INDEX(Index!$G$1:$G$32,MATCH(E118,Index!$E$1:$E$32,0))</f>
        <v>TB</v>
      </c>
      <c r="Y118" s="150" t="str">
        <f>INDEX(Index!$G$1:$G$32,MATCH(G118,Index!$E$1:$E$32,0))</f>
        <v>NO</v>
      </c>
      <c r="Z118" s="147" t="str">
        <f t="shared" si="10"/>
        <v/>
      </c>
      <c r="AA118" s="174" t="str" cm="1">
        <f t="array" ref="AA118">IFERROR(IF($W118="Y","",INDEX(EPA!$N$2:$N$512,MATCH(X118&amp;Index!$K$1,EPA!$A$2:$A$512&amp;EPA!$W$2:$W$512,0))),"")</f>
        <v/>
      </c>
      <c r="AB118" s="174" t="str" cm="1">
        <f t="array" ref="AB118">IFERROR(IF($W118="Y","",INDEX(EPA!$N$2:$N$512,MATCH(Y118&amp;Index!$K$1,EPA!$A$2:$A$512&amp;EPA!$W$2:$W$512,0))),"")</f>
        <v/>
      </c>
      <c r="AC118" s="174" t="str">
        <f ca="1">IF(AA118&lt;&gt;"",_xlfn.NORM.INV(RAND(),AA118,Index!$K$2),"")</f>
        <v/>
      </c>
      <c r="AD118" s="174" t="str">
        <f ca="1">IF(AB118&lt;&gt;"",_xlfn.NORM.INV(RAND(),AB118,Index!$K$2),"")</f>
        <v/>
      </c>
      <c r="AE118" s="157" t="str">
        <f t="shared" si="11"/>
        <v>TB</v>
      </c>
      <c r="AF118" s="158" t="str">
        <f t="shared" si="12"/>
        <v>NO</v>
      </c>
      <c r="AG118" s="149">
        <f t="shared" si="13"/>
        <v>117</v>
      </c>
    </row>
    <row r="119" spans="1:33" x14ac:dyDescent="0.25">
      <c r="A119" s="9">
        <v>8</v>
      </c>
      <c r="B119" s="9" t="s">
        <v>661</v>
      </c>
      <c r="C119" s="148">
        <v>45956</v>
      </c>
      <c r="D119" s="9" t="s">
        <v>665</v>
      </c>
      <c r="E119" s="9" t="s">
        <v>42</v>
      </c>
      <c r="F119" s="9"/>
      <c r="G119" s="9" t="s">
        <v>19</v>
      </c>
      <c r="H119" s="9" t="s">
        <v>658</v>
      </c>
      <c r="I119" s="9">
        <v>38</v>
      </c>
      <c r="J119" s="9">
        <v>14</v>
      </c>
      <c r="K119" s="9">
        <v>420</v>
      </c>
      <c r="L119" s="9">
        <v>0</v>
      </c>
      <c r="M119" s="9">
        <v>341</v>
      </c>
      <c r="N119" s="9">
        <v>1</v>
      </c>
      <c r="O119" s="149" t="str">
        <f>IF(I119&lt;&gt;"",IF(I119=J119,"TIE",INDEX(Index!$F$1:$F$32,MATCH(E119,Index!$E$1:$E$32,0))),INDEX(Index!$F$1:$F$32,MATCH(E119,Index!$E$1:$E$32,0)))</f>
        <v>IND</v>
      </c>
      <c r="P119" s="150" t="str">
        <f>IF(I119&lt;&gt;"",IF(I119=J119,"TIE",INDEX(Index!$F$1:$F$32,MATCH(G119,Index!$E$1:$E$32,0))),INDEX(Index!$F$1:$F$32,MATCH(G119,Index!$E$1:$E$32,0)))</f>
        <v>TEN</v>
      </c>
      <c r="Q119" s="155" t="str">
        <f>IF(O119="TIE",INDEX(Index!$F$1:$F$32,MATCH(E119,Index!$E$1:$E$32,0)),"")</f>
        <v/>
      </c>
      <c r="R119" s="155" t="str">
        <f>IF(P119="TIE",INDEX(Index!$F$1:$F$32,MATCH(G119,Index!$E$1:$E$32,0)),"")</f>
        <v/>
      </c>
      <c r="S119" s="151" t="str">
        <f t="shared" si="7"/>
        <v>H</v>
      </c>
      <c r="T119" s="156" t="str">
        <f>INDEX(Index!$H$1:$H$32,MATCH($E119,Index!$E$1:$E$32,0))</f>
        <v>AS</v>
      </c>
      <c r="U119" s="156" t="str">
        <f>INDEX(Index!$H$1:$H$32,MATCH($G119,Index!$E$1:$E$32,0))</f>
        <v>AS</v>
      </c>
      <c r="V119" s="156" t="str">
        <f t="shared" si="8"/>
        <v>Div</v>
      </c>
      <c r="W119" s="152" t="str">
        <f t="shared" si="9"/>
        <v>Y</v>
      </c>
      <c r="X119" s="149" t="str">
        <f>INDEX(Index!$G$1:$G$32,MATCH(E119,Index!$E$1:$E$32,0))</f>
        <v>IND</v>
      </c>
      <c r="Y119" s="150" t="str">
        <f>INDEX(Index!$G$1:$G$32,MATCH(G119,Index!$E$1:$E$32,0))</f>
        <v>TEN</v>
      </c>
      <c r="Z119" s="147" t="str">
        <f t="shared" si="10"/>
        <v/>
      </c>
      <c r="AA119" s="174" t="str" cm="1">
        <f t="array" ref="AA119">IFERROR(IF($W119="Y","",INDEX(EPA!$N$2:$N$512,MATCH(X119&amp;Index!$K$1,EPA!$A$2:$A$512&amp;EPA!$W$2:$W$512,0))),"")</f>
        <v/>
      </c>
      <c r="AB119" s="174" t="str" cm="1">
        <f t="array" ref="AB119">IFERROR(IF($W119="Y","",INDEX(EPA!$N$2:$N$512,MATCH(Y119&amp;Index!$K$1,EPA!$A$2:$A$512&amp;EPA!$W$2:$W$512,0))),"")</f>
        <v/>
      </c>
      <c r="AC119" s="174" t="str">
        <f ca="1">IF(AA119&lt;&gt;"",_xlfn.NORM.INV(RAND(),AA119,Index!$K$2),"")</f>
        <v/>
      </c>
      <c r="AD119" s="174" t="str">
        <f ca="1">IF(AB119&lt;&gt;"",_xlfn.NORM.INV(RAND(),AB119,Index!$K$2),"")</f>
        <v/>
      </c>
      <c r="AE119" s="157" t="str">
        <f t="shared" si="11"/>
        <v>IND</v>
      </c>
      <c r="AF119" s="158" t="str">
        <f t="shared" si="12"/>
        <v>TEN</v>
      </c>
      <c r="AG119" s="149">
        <f t="shared" si="13"/>
        <v>118</v>
      </c>
    </row>
    <row r="120" spans="1:33" x14ac:dyDescent="0.25">
      <c r="A120" s="9">
        <v>8</v>
      </c>
      <c r="B120" s="9" t="s">
        <v>661</v>
      </c>
      <c r="C120" s="148">
        <v>45956</v>
      </c>
      <c r="D120" s="9" t="s">
        <v>665</v>
      </c>
      <c r="E120" s="9" t="s">
        <v>94</v>
      </c>
      <c r="F120" s="9"/>
      <c r="G120" s="9" t="s">
        <v>56</v>
      </c>
      <c r="H120" s="9" t="s">
        <v>658</v>
      </c>
      <c r="I120" s="9">
        <v>44</v>
      </c>
      <c r="J120" s="9">
        <v>24</v>
      </c>
      <c r="K120" s="9">
        <v>426</v>
      </c>
      <c r="L120" s="9">
        <v>1</v>
      </c>
      <c r="M120" s="9">
        <v>339</v>
      </c>
      <c r="N120" s="9">
        <v>2</v>
      </c>
      <c r="O120" s="149" t="str">
        <f>IF(I120&lt;&gt;"",IF(I120=J120,"TIE",INDEX(Index!$F$1:$F$32,MATCH(E120,Index!$E$1:$E$32,0))),INDEX(Index!$F$1:$F$32,MATCH(E120,Index!$E$1:$E$32,0)))</f>
        <v>DEN</v>
      </c>
      <c r="P120" s="150" t="str">
        <f>IF(I120&lt;&gt;"",IF(I120=J120,"TIE",INDEX(Index!$F$1:$F$32,MATCH(G120,Index!$E$1:$E$32,0))),INDEX(Index!$F$1:$F$32,MATCH(G120,Index!$E$1:$E$32,0)))</f>
        <v>DAL</v>
      </c>
      <c r="Q120" s="155" t="str">
        <f>IF(O120="TIE",INDEX(Index!$F$1:$F$32,MATCH(E120,Index!$E$1:$E$32,0)),"")</f>
        <v/>
      </c>
      <c r="R120" s="155" t="str">
        <f>IF(P120="TIE",INDEX(Index!$F$1:$F$32,MATCH(G120,Index!$E$1:$E$32,0)),"")</f>
        <v/>
      </c>
      <c r="S120" s="151" t="str">
        <f t="shared" si="7"/>
        <v>H</v>
      </c>
      <c r="T120" s="156" t="str">
        <f>INDEX(Index!$H$1:$H$32,MATCH($E120,Index!$E$1:$E$32,0))</f>
        <v>AW</v>
      </c>
      <c r="U120" s="156" t="str">
        <f>INDEX(Index!$H$1:$H$32,MATCH($G120,Index!$E$1:$E$32,0))</f>
        <v>NE</v>
      </c>
      <c r="V120" s="156" t="str">
        <f t="shared" si="8"/>
        <v>Non</v>
      </c>
      <c r="W120" s="152" t="str">
        <f t="shared" si="9"/>
        <v>Y</v>
      </c>
      <c r="X120" s="149" t="str">
        <f>INDEX(Index!$G$1:$G$32,MATCH(E120,Index!$E$1:$E$32,0))</f>
        <v>DEN</v>
      </c>
      <c r="Y120" s="150" t="str">
        <f>INDEX(Index!$G$1:$G$32,MATCH(G120,Index!$E$1:$E$32,0))</f>
        <v>DAL</v>
      </c>
      <c r="Z120" s="147" t="str">
        <f t="shared" si="10"/>
        <v/>
      </c>
      <c r="AA120" s="174" t="str" cm="1">
        <f t="array" ref="AA120">IFERROR(IF($W120="Y","",INDEX(EPA!$N$2:$N$512,MATCH(X120&amp;Index!$K$1,EPA!$A$2:$A$512&amp;EPA!$W$2:$W$512,0))),"")</f>
        <v/>
      </c>
      <c r="AB120" s="174" t="str" cm="1">
        <f t="array" ref="AB120">IFERROR(IF($W120="Y","",INDEX(EPA!$N$2:$N$512,MATCH(Y120&amp;Index!$K$1,EPA!$A$2:$A$512&amp;EPA!$W$2:$W$512,0))),"")</f>
        <v/>
      </c>
      <c r="AC120" s="174" t="str">
        <f ca="1">IF(AA120&lt;&gt;"",_xlfn.NORM.INV(RAND(),AA120,Index!$K$2),"")</f>
        <v/>
      </c>
      <c r="AD120" s="174" t="str">
        <f ca="1">IF(AB120&lt;&gt;"",_xlfn.NORM.INV(RAND(),AB120,Index!$K$2),"")</f>
        <v/>
      </c>
      <c r="AE120" s="157" t="str">
        <f t="shared" si="11"/>
        <v>DEN</v>
      </c>
      <c r="AF120" s="158" t="str">
        <f t="shared" si="12"/>
        <v>DAL</v>
      </c>
      <c r="AG120" s="149">
        <f t="shared" si="13"/>
        <v>119</v>
      </c>
    </row>
    <row r="121" spans="1:33" x14ac:dyDescent="0.25">
      <c r="A121" s="9">
        <v>8</v>
      </c>
      <c r="B121" s="9" t="s">
        <v>661</v>
      </c>
      <c r="C121" s="148">
        <v>45956</v>
      </c>
      <c r="D121" s="9" t="s">
        <v>657</v>
      </c>
      <c r="E121" s="9" t="s">
        <v>88</v>
      </c>
      <c r="F121" s="9" t="s">
        <v>663</v>
      </c>
      <c r="G121" s="9" t="s">
        <v>73</v>
      </c>
      <c r="H121" s="9" t="s">
        <v>658</v>
      </c>
      <c r="I121" s="9">
        <v>35</v>
      </c>
      <c r="J121" s="9">
        <v>25</v>
      </c>
      <c r="K121" s="9">
        <v>454</v>
      </c>
      <c r="L121" s="9">
        <v>0</v>
      </c>
      <c r="M121" s="9">
        <v>295</v>
      </c>
      <c r="N121" s="9">
        <v>1</v>
      </c>
      <c r="O121" s="149" t="str">
        <f>IF(I121&lt;&gt;"",IF(I121=J121,"TIE",INDEX(Index!$F$1:$F$32,MATCH(E121,Index!$E$1:$E$32,0))),INDEX(Index!$F$1:$F$32,MATCH(E121,Index!$E$1:$E$32,0)))</f>
        <v>GB</v>
      </c>
      <c r="P121" s="150" t="str">
        <f>IF(I121&lt;&gt;"",IF(I121=J121,"TIE",INDEX(Index!$F$1:$F$32,MATCH(G121,Index!$E$1:$E$32,0))),INDEX(Index!$F$1:$F$32,MATCH(G121,Index!$E$1:$E$32,0)))</f>
        <v>PIT</v>
      </c>
      <c r="Q121" s="155" t="str">
        <f>IF(O121="TIE",INDEX(Index!$F$1:$F$32,MATCH(E121,Index!$E$1:$E$32,0)),"")</f>
        <v/>
      </c>
      <c r="R121" s="155" t="str">
        <f>IF(P121="TIE",INDEX(Index!$F$1:$F$32,MATCH(G121,Index!$E$1:$E$32,0)),"")</f>
        <v/>
      </c>
      <c r="S121" s="151" t="str">
        <f t="shared" si="7"/>
        <v>A</v>
      </c>
      <c r="T121" s="156" t="str">
        <f>INDEX(Index!$H$1:$H$32,MATCH($E121,Index!$E$1:$E$32,0))</f>
        <v>NN</v>
      </c>
      <c r="U121" s="156" t="str">
        <f>INDEX(Index!$H$1:$H$32,MATCH($G121,Index!$E$1:$E$32,0))</f>
        <v>AN</v>
      </c>
      <c r="V121" s="156" t="str">
        <f t="shared" si="8"/>
        <v>Non</v>
      </c>
      <c r="W121" s="152" t="str">
        <f t="shared" si="9"/>
        <v>Y</v>
      </c>
      <c r="X121" s="149" t="str">
        <f>INDEX(Index!$G$1:$G$32,MATCH(E121,Index!$E$1:$E$32,0))</f>
        <v>GB</v>
      </c>
      <c r="Y121" s="150" t="str">
        <f>INDEX(Index!$G$1:$G$32,MATCH(G121,Index!$E$1:$E$32,0))</f>
        <v>PIT</v>
      </c>
      <c r="Z121" s="147" t="str">
        <f t="shared" si="10"/>
        <v/>
      </c>
      <c r="AA121" s="174" t="str" cm="1">
        <f t="array" ref="AA121">IFERROR(IF($W121="Y","",INDEX(EPA!$N$2:$N$512,MATCH(X121&amp;Index!$K$1,EPA!$A$2:$A$512&amp;EPA!$W$2:$W$512,0))),"")</f>
        <v/>
      </c>
      <c r="AB121" s="174" t="str" cm="1">
        <f t="array" ref="AB121">IFERROR(IF($W121="Y","",INDEX(EPA!$N$2:$N$512,MATCH(Y121&amp;Index!$K$1,EPA!$A$2:$A$512&amp;EPA!$W$2:$W$512,0))),"")</f>
        <v/>
      </c>
      <c r="AC121" s="174" t="str">
        <f ca="1">IF(AA121&lt;&gt;"",_xlfn.NORM.INV(RAND(),AA121,Index!$K$2),"")</f>
        <v/>
      </c>
      <c r="AD121" s="174" t="str">
        <f ca="1">IF(AB121&lt;&gt;"",_xlfn.NORM.INV(RAND(),AB121,Index!$K$2),"")</f>
        <v/>
      </c>
      <c r="AE121" s="157" t="str">
        <f t="shared" si="11"/>
        <v>GB</v>
      </c>
      <c r="AF121" s="158" t="str">
        <f t="shared" si="12"/>
        <v>PIT</v>
      </c>
      <c r="AG121" s="149">
        <f t="shared" si="13"/>
        <v>120</v>
      </c>
    </row>
    <row r="122" spans="1:33" x14ac:dyDescent="0.25">
      <c r="A122" s="9">
        <v>8</v>
      </c>
      <c r="B122" s="9" t="s">
        <v>666</v>
      </c>
      <c r="C122" s="148">
        <v>45957</v>
      </c>
      <c r="D122" s="9" t="s">
        <v>667</v>
      </c>
      <c r="E122" s="9" t="s">
        <v>16</v>
      </c>
      <c r="F122" s="9"/>
      <c r="G122" s="9" t="s">
        <v>4</v>
      </c>
      <c r="H122" s="9" t="s">
        <v>658</v>
      </c>
      <c r="I122" s="9">
        <v>28</v>
      </c>
      <c r="J122" s="9">
        <v>7</v>
      </c>
      <c r="K122" s="9">
        <v>432</v>
      </c>
      <c r="L122" s="9">
        <v>2</v>
      </c>
      <c r="M122" s="9">
        <v>260</v>
      </c>
      <c r="N122" s="9">
        <v>2</v>
      </c>
      <c r="O122" s="149" t="str">
        <f>IF(I122&lt;&gt;"",IF(I122=J122,"TIE",INDEX(Index!$F$1:$F$32,MATCH(E122,Index!$E$1:$E$32,0))),INDEX(Index!$F$1:$F$32,MATCH(E122,Index!$E$1:$E$32,0)))</f>
        <v>KC</v>
      </c>
      <c r="P122" s="150" t="str">
        <f>IF(I122&lt;&gt;"",IF(I122=J122,"TIE",INDEX(Index!$F$1:$F$32,MATCH(G122,Index!$E$1:$E$32,0))),INDEX(Index!$F$1:$F$32,MATCH(G122,Index!$E$1:$E$32,0)))</f>
        <v>WAS</v>
      </c>
      <c r="Q122" s="155" t="str">
        <f>IF(O122="TIE",INDEX(Index!$F$1:$F$32,MATCH(E122,Index!$E$1:$E$32,0)),"")</f>
        <v/>
      </c>
      <c r="R122" s="155" t="str">
        <f>IF(P122="TIE",INDEX(Index!$F$1:$F$32,MATCH(G122,Index!$E$1:$E$32,0)),"")</f>
        <v/>
      </c>
      <c r="S122" s="151" t="str">
        <f t="shared" si="7"/>
        <v>H</v>
      </c>
      <c r="T122" s="156" t="str">
        <f>INDEX(Index!$H$1:$H$32,MATCH($E122,Index!$E$1:$E$32,0))</f>
        <v>AW</v>
      </c>
      <c r="U122" s="156" t="str">
        <f>INDEX(Index!$H$1:$H$32,MATCH($G122,Index!$E$1:$E$32,0))</f>
        <v>NE</v>
      </c>
      <c r="V122" s="156" t="str">
        <f t="shared" si="8"/>
        <v>Non</v>
      </c>
      <c r="W122" s="152" t="str">
        <f t="shared" si="9"/>
        <v>Y</v>
      </c>
      <c r="X122" s="149" t="str">
        <f>INDEX(Index!$G$1:$G$32,MATCH(E122,Index!$E$1:$E$32,0))</f>
        <v>KC</v>
      </c>
      <c r="Y122" s="150" t="str">
        <f>INDEX(Index!$G$1:$G$32,MATCH(G122,Index!$E$1:$E$32,0))</f>
        <v>WAS</v>
      </c>
      <c r="Z122" s="147" t="str">
        <f t="shared" si="10"/>
        <v/>
      </c>
      <c r="AA122" s="174" t="str" cm="1">
        <f t="array" ref="AA122">IFERROR(IF($W122="Y","",INDEX(EPA!$N$2:$N$512,MATCH(X122&amp;Index!$K$1,EPA!$A$2:$A$512&amp;EPA!$W$2:$W$512,0))),"")</f>
        <v/>
      </c>
      <c r="AB122" s="174" t="str" cm="1">
        <f t="array" ref="AB122">IFERROR(IF($W122="Y","",INDEX(EPA!$N$2:$N$512,MATCH(Y122&amp;Index!$K$1,EPA!$A$2:$A$512&amp;EPA!$W$2:$W$512,0))),"")</f>
        <v/>
      </c>
      <c r="AC122" s="174" t="str">
        <f ca="1">IF(AA122&lt;&gt;"",_xlfn.NORM.INV(RAND(),AA122,Index!$K$2),"")</f>
        <v/>
      </c>
      <c r="AD122" s="174" t="str">
        <f ca="1">IF(AB122&lt;&gt;"",_xlfn.NORM.INV(RAND(),AB122,Index!$K$2),"")</f>
        <v/>
      </c>
      <c r="AE122" s="157" t="str">
        <f t="shared" si="11"/>
        <v>KC</v>
      </c>
      <c r="AF122" s="158" t="str">
        <f t="shared" si="12"/>
        <v>WAS</v>
      </c>
      <c r="AG122" s="149">
        <f t="shared" si="13"/>
        <v>121</v>
      </c>
    </row>
    <row r="123" spans="1:33" x14ac:dyDescent="0.25">
      <c r="A123" s="9">
        <v>9</v>
      </c>
      <c r="B123" s="9" t="s">
        <v>656</v>
      </c>
      <c r="C123" s="148">
        <v>45960</v>
      </c>
      <c r="D123" s="9" t="s">
        <v>667</v>
      </c>
      <c r="E123" s="9" t="s">
        <v>76</v>
      </c>
      <c r="F123" s="9" t="s">
        <v>663</v>
      </c>
      <c r="G123" s="9" t="s">
        <v>62</v>
      </c>
      <c r="H123" s="9" t="s">
        <v>658</v>
      </c>
      <c r="I123" s="9">
        <v>28</v>
      </c>
      <c r="J123" s="9">
        <v>6</v>
      </c>
      <c r="K123" s="9">
        <v>338</v>
      </c>
      <c r="L123" s="9">
        <v>0</v>
      </c>
      <c r="M123" s="9">
        <v>332</v>
      </c>
      <c r="N123" s="9">
        <v>3</v>
      </c>
      <c r="O123" s="149" t="str">
        <f>IF(I123&lt;&gt;"",IF(I123=J123,"TIE",INDEX(Index!$F$1:$F$32,MATCH(E123,Index!$E$1:$E$32,0))),INDEX(Index!$F$1:$F$32,MATCH(E123,Index!$E$1:$E$32,0)))</f>
        <v>BAL</v>
      </c>
      <c r="P123" s="150" t="str">
        <f>IF(I123&lt;&gt;"",IF(I123=J123,"TIE",INDEX(Index!$F$1:$F$32,MATCH(G123,Index!$E$1:$E$32,0))),INDEX(Index!$F$1:$F$32,MATCH(G123,Index!$E$1:$E$32,0)))</f>
        <v>MIA</v>
      </c>
      <c r="Q123" s="155" t="str">
        <f>IF(O123="TIE",INDEX(Index!$F$1:$F$32,MATCH(E123,Index!$E$1:$E$32,0)),"")</f>
        <v/>
      </c>
      <c r="R123" s="155" t="str">
        <f>IF(P123="TIE",INDEX(Index!$F$1:$F$32,MATCH(G123,Index!$E$1:$E$32,0)),"")</f>
        <v/>
      </c>
      <c r="S123" s="151" t="str">
        <f t="shared" si="7"/>
        <v>A</v>
      </c>
      <c r="T123" s="156" t="str">
        <f>INDEX(Index!$H$1:$H$32,MATCH($E123,Index!$E$1:$E$32,0))</f>
        <v>AN</v>
      </c>
      <c r="U123" s="156" t="str">
        <f>INDEX(Index!$H$1:$H$32,MATCH($G123,Index!$E$1:$E$32,0))</f>
        <v>AE</v>
      </c>
      <c r="V123" s="156" t="str">
        <f t="shared" si="8"/>
        <v>Con</v>
      </c>
      <c r="W123" s="152" t="str">
        <f t="shared" si="9"/>
        <v>Y</v>
      </c>
      <c r="X123" s="149" t="str">
        <f>INDEX(Index!$G$1:$G$32,MATCH(E123,Index!$E$1:$E$32,0))</f>
        <v>BAL</v>
      </c>
      <c r="Y123" s="150" t="str">
        <f>INDEX(Index!$G$1:$G$32,MATCH(G123,Index!$E$1:$E$32,0))</f>
        <v>MIA</v>
      </c>
      <c r="Z123" s="147" t="str">
        <f t="shared" si="10"/>
        <v/>
      </c>
      <c r="AA123" s="174" t="str" cm="1">
        <f t="array" ref="AA123">IFERROR(IF($W123="Y","",INDEX(EPA!$N$2:$N$512,MATCH(X123&amp;Index!$K$1,EPA!$A$2:$A$512&amp;EPA!$W$2:$W$512,0))),"")</f>
        <v/>
      </c>
      <c r="AB123" s="174" t="str" cm="1">
        <f t="array" ref="AB123">IFERROR(IF($W123="Y","",INDEX(EPA!$N$2:$N$512,MATCH(Y123&amp;Index!$K$1,EPA!$A$2:$A$512&amp;EPA!$W$2:$W$512,0))),"")</f>
        <v/>
      </c>
      <c r="AC123" s="174" t="str">
        <f ca="1">IF(AA123&lt;&gt;"",_xlfn.NORM.INV(RAND(),AA123,Index!$K$2),"")</f>
        <v/>
      </c>
      <c r="AD123" s="174" t="str">
        <f ca="1">IF(AB123&lt;&gt;"",_xlfn.NORM.INV(RAND(),AB123,Index!$K$2),"")</f>
        <v/>
      </c>
      <c r="AE123" s="157" t="str">
        <f t="shared" si="11"/>
        <v>BAL</v>
      </c>
      <c r="AF123" s="158" t="str">
        <f t="shared" si="12"/>
        <v>MIA</v>
      </c>
      <c r="AG123" s="149">
        <f t="shared" si="13"/>
        <v>122</v>
      </c>
    </row>
    <row r="124" spans="1:33" x14ac:dyDescent="0.25">
      <c r="A124" s="9">
        <v>9</v>
      </c>
      <c r="B124" s="9" t="s">
        <v>661</v>
      </c>
      <c r="C124" s="148">
        <v>45963</v>
      </c>
      <c r="D124" s="9" t="s">
        <v>662</v>
      </c>
      <c r="E124" s="9" t="s">
        <v>45</v>
      </c>
      <c r="F124" s="9"/>
      <c r="G124" s="9" t="s">
        <v>78</v>
      </c>
      <c r="H124" s="9" t="s">
        <v>658</v>
      </c>
      <c r="I124" s="9">
        <v>24</v>
      </c>
      <c r="J124" s="9">
        <v>23</v>
      </c>
      <c r="K124" s="9">
        <v>331</v>
      </c>
      <c r="L124" s="9">
        <v>2</v>
      </c>
      <c r="M124" s="9">
        <v>288</v>
      </c>
      <c r="N124" s="9">
        <v>0</v>
      </c>
      <c r="O124" s="149" t="str">
        <f>IF(I124&lt;&gt;"",IF(I124=J124,"TIE",INDEX(Index!$F$1:$F$32,MATCH(E124,Index!$E$1:$E$32,0))),INDEX(Index!$F$1:$F$32,MATCH(E124,Index!$E$1:$E$32,0)))</f>
        <v>NE</v>
      </c>
      <c r="P124" s="150" t="str">
        <f>IF(I124&lt;&gt;"",IF(I124=J124,"TIE",INDEX(Index!$F$1:$F$32,MATCH(G124,Index!$E$1:$E$32,0))),INDEX(Index!$F$1:$F$32,MATCH(G124,Index!$E$1:$E$32,0)))</f>
        <v>ATL</v>
      </c>
      <c r="Q124" s="155" t="str">
        <f>IF(O124="TIE",INDEX(Index!$F$1:$F$32,MATCH(E124,Index!$E$1:$E$32,0)),"")</f>
        <v/>
      </c>
      <c r="R124" s="155" t="str">
        <f>IF(P124="TIE",INDEX(Index!$F$1:$F$32,MATCH(G124,Index!$E$1:$E$32,0)),"")</f>
        <v/>
      </c>
      <c r="S124" s="151" t="str">
        <f t="shared" si="7"/>
        <v>H</v>
      </c>
      <c r="T124" s="156" t="str">
        <f>INDEX(Index!$H$1:$H$32,MATCH($E124,Index!$E$1:$E$32,0))</f>
        <v>AE</v>
      </c>
      <c r="U124" s="156" t="str">
        <f>INDEX(Index!$H$1:$H$32,MATCH($G124,Index!$E$1:$E$32,0))</f>
        <v>NS</v>
      </c>
      <c r="V124" s="156" t="str">
        <f t="shared" si="8"/>
        <v>Non</v>
      </c>
      <c r="W124" s="152" t="str">
        <f t="shared" si="9"/>
        <v>Y</v>
      </c>
      <c r="X124" s="149" t="str">
        <f>INDEX(Index!$G$1:$G$32,MATCH(E124,Index!$E$1:$E$32,0))</f>
        <v>NE</v>
      </c>
      <c r="Y124" s="150" t="str">
        <f>INDEX(Index!$G$1:$G$32,MATCH(G124,Index!$E$1:$E$32,0))</f>
        <v>ATL</v>
      </c>
      <c r="Z124" s="147" t="str">
        <f t="shared" si="10"/>
        <v/>
      </c>
      <c r="AA124" s="174" t="str" cm="1">
        <f t="array" ref="AA124">IFERROR(IF($W124="Y","",INDEX(EPA!$N$2:$N$512,MATCH(X124&amp;Index!$K$1,EPA!$A$2:$A$512&amp;EPA!$W$2:$W$512,0))),"")</f>
        <v/>
      </c>
      <c r="AB124" s="174" t="str" cm="1">
        <f t="array" ref="AB124">IFERROR(IF($W124="Y","",INDEX(EPA!$N$2:$N$512,MATCH(Y124&amp;Index!$K$1,EPA!$A$2:$A$512&amp;EPA!$W$2:$W$512,0))),"")</f>
        <v/>
      </c>
      <c r="AC124" s="174" t="str">
        <f ca="1">IF(AA124&lt;&gt;"",_xlfn.NORM.INV(RAND(),AA124,Index!$K$2),"")</f>
        <v/>
      </c>
      <c r="AD124" s="174" t="str">
        <f ca="1">IF(AB124&lt;&gt;"",_xlfn.NORM.INV(RAND(),AB124,Index!$K$2),"")</f>
        <v/>
      </c>
      <c r="AE124" s="157" t="str">
        <f t="shared" si="11"/>
        <v>NE</v>
      </c>
      <c r="AF124" s="158" t="str">
        <f t="shared" si="12"/>
        <v>ATL</v>
      </c>
      <c r="AG124" s="149">
        <f t="shared" si="13"/>
        <v>123</v>
      </c>
    </row>
    <row r="125" spans="1:33" x14ac:dyDescent="0.25">
      <c r="A125" s="9">
        <v>9</v>
      </c>
      <c r="B125" s="9" t="s">
        <v>661</v>
      </c>
      <c r="C125" s="148">
        <v>45963</v>
      </c>
      <c r="D125" s="9" t="s">
        <v>662</v>
      </c>
      <c r="E125" s="9" t="s">
        <v>65</v>
      </c>
      <c r="F125" s="9" t="s">
        <v>663</v>
      </c>
      <c r="G125" s="9" t="s">
        <v>53</v>
      </c>
      <c r="H125" s="9" t="s">
        <v>658</v>
      </c>
      <c r="I125" s="9">
        <v>47</v>
      </c>
      <c r="J125" s="9">
        <v>42</v>
      </c>
      <c r="K125" s="9">
        <v>576</v>
      </c>
      <c r="L125" s="9">
        <v>0</v>
      </c>
      <c r="M125" s="9">
        <v>495</v>
      </c>
      <c r="N125" s="9">
        <v>3</v>
      </c>
      <c r="O125" s="149" t="str">
        <f>IF(I125&lt;&gt;"",IF(I125=J125,"TIE",INDEX(Index!$F$1:$F$32,MATCH(E125,Index!$E$1:$E$32,0))),INDEX(Index!$F$1:$F$32,MATCH(E125,Index!$E$1:$E$32,0)))</f>
        <v>CHI</v>
      </c>
      <c r="P125" s="150" t="str">
        <f>IF(I125&lt;&gt;"",IF(I125=J125,"TIE",INDEX(Index!$F$1:$F$32,MATCH(G125,Index!$E$1:$E$32,0))),INDEX(Index!$F$1:$F$32,MATCH(G125,Index!$E$1:$E$32,0)))</f>
        <v>CIN</v>
      </c>
      <c r="Q125" s="155" t="str">
        <f>IF(O125="TIE",INDEX(Index!$F$1:$F$32,MATCH(E125,Index!$E$1:$E$32,0)),"")</f>
        <v/>
      </c>
      <c r="R125" s="155" t="str">
        <f>IF(P125="TIE",INDEX(Index!$F$1:$F$32,MATCH(G125,Index!$E$1:$E$32,0)),"")</f>
        <v/>
      </c>
      <c r="S125" s="151" t="str">
        <f t="shared" si="7"/>
        <v>A</v>
      </c>
      <c r="T125" s="156" t="str">
        <f>INDEX(Index!$H$1:$H$32,MATCH($E125,Index!$E$1:$E$32,0))</f>
        <v>NN</v>
      </c>
      <c r="U125" s="156" t="str">
        <f>INDEX(Index!$H$1:$H$32,MATCH($G125,Index!$E$1:$E$32,0))</f>
        <v>AN</v>
      </c>
      <c r="V125" s="156" t="str">
        <f t="shared" si="8"/>
        <v>Non</v>
      </c>
      <c r="W125" s="152" t="str">
        <f t="shared" si="9"/>
        <v>Y</v>
      </c>
      <c r="X125" s="149" t="str">
        <f>INDEX(Index!$G$1:$G$32,MATCH(E125,Index!$E$1:$E$32,0))</f>
        <v>CHI</v>
      </c>
      <c r="Y125" s="150" t="str">
        <f>INDEX(Index!$G$1:$G$32,MATCH(G125,Index!$E$1:$E$32,0))</f>
        <v>CIN</v>
      </c>
      <c r="Z125" s="147" t="str">
        <f t="shared" si="10"/>
        <v/>
      </c>
      <c r="AA125" s="174" t="str" cm="1">
        <f t="array" ref="AA125">IFERROR(IF($W125="Y","",INDEX(EPA!$N$2:$N$512,MATCH(X125&amp;Index!$K$1,EPA!$A$2:$A$512&amp;EPA!$W$2:$W$512,0))),"")</f>
        <v/>
      </c>
      <c r="AB125" s="174" t="str" cm="1">
        <f t="array" ref="AB125">IFERROR(IF($W125="Y","",INDEX(EPA!$N$2:$N$512,MATCH(Y125&amp;Index!$K$1,EPA!$A$2:$A$512&amp;EPA!$W$2:$W$512,0))),"")</f>
        <v/>
      </c>
      <c r="AC125" s="174" t="str">
        <f ca="1">IF(AA125&lt;&gt;"",_xlfn.NORM.INV(RAND(),AA125,Index!$K$2),"")</f>
        <v/>
      </c>
      <c r="AD125" s="174" t="str">
        <f ca="1">IF(AB125&lt;&gt;"",_xlfn.NORM.INV(RAND(),AB125,Index!$K$2),"")</f>
        <v/>
      </c>
      <c r="AE125" s="157" t="str">
        <f t="shared" si="11"/>
        <v>CHI</v>
      </c>
      <c r="AF125" s="158" t="str">
        <f t="shared" si="12"/>
        <v>CIN</v>
      </c>
      <c r="AG125" s="149">
        <f t="shared" si="13"/>
        <v>124</v>
      </c>
    </row>
    <row r="126" spans="1:33" x14ac:dyDescent="0.25">
      <c r="A126" s="9">
        <v>9</v>
      </c>
      <c r="B126" s="9" t="s">
        <v>661</v>
      </c>
      <c r="C126" s="148">
        <v>45963</v>
      </c>
      <c r="D126" s="9" t="s">
        <v>662</v>
      </c>
      <c r="E126" s="9" t="s">
        <v>58</v>
      </c>
      <c r="F126" s="9" t="s">
        <v>663</v>
      </c>
      <c r="G126" s="9" t="s">
        <v>86</v>
      </c>
      <c r="H126" s="9" t="s">
        <v>658</v>
      </c>
      <c r="I126" s="9">
        <v>27</v>
      </c>
      <c r="J126" s="9">
        <v>24</v>
      </c>
      <c r="K126" s="9">
        <v>258</v>
      </c>
      <c r="L126" s="9">
        <v>1</v>
      </c>
      <c r="M126" s="9">
        <v>305</v>
      </c>
      <c r="N126" s="9">
        <v>1</v>
      </c>
      <c r="O126" s="149" t="str">
        <f>IF(I126&lt;&gt;"",IF(I126=J126,"TIE",INDEX(Index!$F$1:$F$32,MATCH(E126,Index!$E$1:$E$32,0))),INDEX(Index!$F$1:$F$32,MATCH(E126,Index!$E$1:$E$32,0)))</f>
        <v>MIN</v>
      </c>
      <c r="P126" s="150" t="str">
        <f>IF(I126&lt;&gt;"",IF(I126=J126,"TIE",INDEX(Index!$F$1:$F$32,MATCH(G126,Index!$E$1:$E$32,0))),INDEX(Index!$F$1:$F$32,MATCH(G126,Index!$E$1:$E$32,0)))</f>
        <v>DET</v>
      </c>
      <c r="Q126" s="155" t="str">
        <f>IF(O126="TIE",INDEX(Index!$F$1:$F$32,MATCH(E126,Index!$E$1:$E$32,0)),"")</f>
        <v/>
      </c>
      <c r="R126" s="155" t="str">
        <f>IF(P126="TIE",INDEX(Index!$F$1:$F$32,MATCH(G126,Index!$E$1:$E$32,0)),"")</f>
        <v/>
      </c>
      <c r="S126" s="151" t="str">
        <f t="shared" si="7"/>
        <v>A</v>
      </c>
      <c r="T126" s="156" t="str">
        <f>INDEX(Index!$H$1:$H$32,MATCH($E126,Index!$E$1:$E$32,0))</f>
        <v>NN</v>
      </c>
      <c r="U126" s="156" t="str">
        <f>INDEX(Index!$H$1:$H$32,MATCH($G126,Index!$E$1:$E$32,0))</f>
        <v>NN</v>
      </c>
      <c r="V126" s="156" t="str">
        <f t="shared" si="8"/>
        <v>Div</v>
      </c>
      <c r="W126" s="152" t="str">
        <f t="shared" si="9"/>
        <v>Y</v>
      </c>
      <c r="X126" s="149" t="str">
        <f>INDEX(Index!$G$1:$G$32,MATCH(E126,Index!$E$1:$E$32,0))</f>
        <v>MIN</v>
      </c>
      <c r="Y126" s="150" t="str">
        <f>INDEX(Index!$G$1:$G$32,MATCH(G126,Index!$E$1:$E$32,0))</f>
        <v>DET</v>
      </c>
      <c r="Z126" s="147" t="str">
        <f t="shared" si="10"/>
        <v/>
      </c>
      <c r="AA126" s="174" t="str" cm="1">
        <f t="array" ref="AA126">IFERROR(IF($W126="Y","",INDEX(EPA!$N$2:$N$512,MATCH(X126&amp;Index!$K$1,EPA!$A$2:$A$512&amp;EPA!$W$2:$W$512,0))),"")</f>
        <v/>
      </c>
      <c r="AB126" s="174" t="str" cm="1">
        <f t="array" ref="AB126">IFERROR(IF($W126="Y","",INDEX(EPA!$N$2:$N$512,MATCH(Y126&amp;Index!$K$1,EPA!$A$2:$A$512&amp;EPA!$W$2:$W$512,0))),"")</f>
        <v/>
      </c>
      <c r="AC126" s="174" t="str">
        <f ca="1">IF(AA126&lt;&gt;"",_xlfn.NORM.INV(RAND(),AA126,Index!$K$2),"")</f>
        <v/>
      </c>
      <c r="AD126" s="174" t="str">
        <f ca="1">IF(AB126&lt;&gt;"",_xlfn.NORM.INV(RAND(),AB126,Index!$K$2),"")</f>
        <v/>
      </c>
      <c r="AE126" s="157" t="str">
        <f t="shared" si="11"/>
        <v>MIN</v>
      </c>
      <c r="AF126" s="158" t="str">
        <f t="shared" si="12"/>
        <v>DET</v>
      </c>
      <c r="AG126" s="149">
        <f t="shared" si="13"/>
        <v>125</v>
      </c>
    </row>
    <row r="127" spans="1:33" x14ac:dyDescent="0.25">
      <c r="A127" s="9">
        <v>9</v>
      </c>
      <c r="B127" s="9" t="s">
        <v>661</v>
      </c>
      <c r="C127" s="148">
        <v>45963</v>
      </c>
      <c r="D127" s="9" t="s">
        <v>662</v>
      </c>
      <c r="E127" s="9" t="s">
        <v>12</v>
      </c>
      <c r="F127" s="9" t="s">
        <v>663</v>
      </c>
      <c r="G127" s="9" t="s">
        <v>88</v>
      </c>
      <c r="H127" s="9" t="s">
        <v>658</v>
      </c>
      <c r="I127" s="9">
        <v>16</v>
      </c>
      <c r="J127" s="9">
        <v>13</v>
      </c>
      <c r="K127" s="9">
        <v>265</v>
      </c>
      <c r="L127" s="9">
        <v>1</v>
      </c>
      <c r="M127" s="9">
        <v>369</v>
      </c>
      <c r="N127" s="9">
        <v>2</v>
      </c>
      <c r="O127" s="149" t="str">
        <f>IF(I127&lt;&gt;"",IF(I127=J127,"TIE",INDEX(Index!$F$1:$F$32,MATCH(E127,Index!$E$1:$E$32,0))),INDEX(Index!$F$1:$F$32,MATCH(E127,Index!$E$1:$E$32,0)))</f>
        <v>CAR</v>
      </c>
      <c r="P127" s="150" t="str">
        <f>IF(I127&lt;&gt;"",IF(I127=J127,"TIE",INDEX(Index!$F$1:$F$32,MATCH(G127,Index!$E$1:$E$32,0))),INDEX(Index!$F$1:$F$32,MATCH(G127,Index!$E$1:$E$32,0)))</f>
        <v>GB</v>
      </c>
      <c r="Q127" s="155" t="str">
        <f>IF(O127="TIE",INDEX(Index!$F$1:$F$32,MATCH(E127,Index!$E$1:$E$32,0)),"")</f>
        <v/>
      </c>
      <c r="R127" s="155" t="str">
        <f>IF(P127="TIE",INDEX(Index!$F$1:$F$32,MATCH(G127,Index!$E$1:$E$32,0)),"")</f>
        <v/>
      </c>
      <c r="S127" s="151" t="str">
        <f t="shared" si="7"/>
        <v>A</v>
      </c>
      <c r="T127" s="156" t="str">
        <f>INDEX(Index!$H$1:$H$32,MATCH($E127,Index!$E$1:$E$32,0))</f>
        <v>NS</v>
      </c>
      <c r="U127" s="156" t="str">
        <f>INDEX(Index!$H$1:$H$32,MATCH($G127,Index!$E$1:$E$32,0))</f>
        <v>NN</v>
      </c>
      <c r="V127" s="156" t="str">
        <f t="shared" si="8"/>
        <v>Con</v>
      </c>
      <c r="W127" s="152" t="str">
        <f t="shared" si="9"/>
        <v>Y</v>
      </c>
      <c r="X127" s="149" t="str">
        <f>INDEX(Index!$G$1:$G$32,MATCH(E127,Index!$E$1:$E$32,0))</f>
        <v>CAR</v>
      </c>
      <c r="Y127" s="150" t="str">
        <f>INDEX(Index!$G$1:$G$32,MATCH(G127,Index!$E$1:$E$32,0))</f>
        <v>GB</v>
      </c>
      <c r="Z127" s="147" t="str">
        <f t="shared" si="10"/>
        <v/>
      </c>
      <c r="AA127" s="174" t="str" cm="1">
        <f t="array" ref="AA127">IFERROR(IF($W127="Y","",INDEX(EPA!$N$2:$N$512,MATCH(X127&amp;Index!$K$1,EPA!$A$2:$A$512&amp;EPA!$W$2:$W$512,0))),"")</f>
        <v/>
      </c>
      <c r="AB127" s="174" t="str" cm="1">
        <f t="array" ref="AB127">IFERROR(IF($W127="Y","",INDEX(EPA!$N$2:$N$512,MATCH(Y127&amp;Index!$K$1,EPA!$A$2:$A$512&amp;EPA!$W$2:$W$512,0))),"")</f>
        <v/>
      </c>
      <c r="AC127" s="174" t="str">
        <f ca="1">IF(AA127&lt;&gt;"",_xlfn.NORM.INV(RAND(),AA127,Index!$K$2),"")</f>
        <v/>
      </c>
      <c r="AD127" s="174" t="str">
        <f ca="1">IF(AB127&lt;&gt;"",_xlfn.NORM.INV(RAND(),AB127,Index!$K$2),"")</f>
        <v/>
      </c>
      <c r="AE127" s="157" t="str">
        <f t="shared" si="11"/>
        <v>CAR</v>
      </c>
      <c r="AF127" s="158" t="str">
        <f t="shared" si="12"/>
        <v>GB</v>
      </c>
      <c r="AG127" s="149">
        <f t="shared" si="13"/>
        <v>126</v>
      </c>
    </row>
    <row r="128" spans="1:33" x14ac:dyDescent="0.25">
      <c r="A128" s="9">
        <v>9</v>
      </c>
      <c r="B128" s="9" t="s">
        <v>661</v>
      </c>
      <c r="C128" s="148">
        <v>45963</v>
      </c>
      <c r="D128" s="9" t="s">
        <v>662</v>
      </c>
      <c r="E128" s="9" t="s">
        <v>73</v>
      </c>
      <c r="F128" s="9"/>
      <c r="G128" s="9" t="s">
        <v>42</v>
      </c>
      <c r="H128" s="9" t="s">
        <v>658</v>
      </c>
      <c r="I128" s="9">
        <v>27</v>
      </c>
      <c r="J128" s="9">
        <v>20</v>
      </c>
      <c r="K128" s="9">
        <v>225</v>
      </c>
      <c r="L128" s="9">
        <v>1</v>
      </c>
      <c r="M128" s="9">
        <v>368</v>
      </c>
      <c r="N128" s="9">
        <v>6</v>
      </c>
      <c r="O128" s="149" t="str">
        <f>IF(I128&lt;&gt;"",IF(I128=J128,"TIE",INDEX(Index!$F$1:$F$32,MATCH(E128,Index!$E$1:$E$32,0))),INDEX(Index!$F$1:$F$32,MATCH(E128,Index!$E$1:$E$32,0)))</f>
        <v>PIT</v>
      </c>
      <c r="P128" s="150" t="str">
        <f>IF(I128&lt;&gt;"",IF(I128=J128,"TIE",INDEX(Index!$F$1:$F$32,MATCH(G128,Index!$E$1:$E$32,0))),INDEX(Index!$F$1:$F$32,MATCH(G128,Index!$E$1:$E$32,0)))</f>
        <v>IND</v>
      </c>
      <c r="Q128" s="155" t="str">
        <f>IF(O128="TIE",INDEX(Index!$F$1:$F$32,MATCH(E128,Index!$E$1:$E$32,0)),"")</f>
        <v/>
      </c>
      <c r="R128" s="155" t="str">
        <f>IF(P128="TIE",INDEX(Index!$F$1:$F$32,MATCH(G128,Index!$E$1:$E$32,0)),"")</f>
        <v/>
      </c>
      <c r="S128" s="151" t="str">
        <f t="shared" si="7"/>
        <v>H</v>
      </c>
      <c r="T128" s="156" t="str">
        <f>INDEX(Index!$H$1:$H$32,MATCH($E128,Index!$E$1:$E$32,0))</f>
        <v>AN</v>
      </c>
      <c r="U128" s="156" t="str">
        <f>INDEX(Index!$H$1:$H$32,MATCH($G128,Index!$E$1:$E$32,0))</f>
        <v>AS</v>
      </c>
      <c r="V128" s="156" t="str">
        <f t="shared" si="8"/>
        <v>Con</v>
      </c>
      <c r="W128" s="152" t="str">
        <f t="shared" si="9"/>
        <v>Y</v>
      </c>
      <c r="X128" s="149" t="str">
        <f>INDEX(Index!$G$1:$G$32,MATCH(E128,Index!$E$1:$E$32,0))</f>
        <v>PIT</v>
      </c>
      <c r="Y128" s="150" t="str">
        <f>INDEX(Index!$G$1:$G$32,MATCH(G128,Index!$E$1:$E$32,0))</f>
        <v>IND</v>
      </c>
      <c r="Z128" s="147" t="str">
        <f t="shared" si="10"/>
        <v/>
      </c>
      <c r="AA128" s="174" t="str" cm="1">
        <f t="array" ref="AA128">IFERROR(IF($W128="Y","",INDEX(EPA!$N$2:$N$512,MATCH(X128&amp;Index!$K$1,EPA!$A$2:$A$512&amp;EPA!$W$2:$W$512,0))),"")</f>
        <v/>
      </c>
      <c r="AB128" s="174" t="str" cm="1">
        <f t="array" ref="AB128">IFERROR(IF($W128="Y","",INDEX(EPA!$N$2:$N$512,MATCH(Y128&amp;Index!$K$1,EPA!$A$2:$A$512&amp;EPA!$W$2:$W$512,0))),"")</f>
        <v/>
      </c>
      <c r="AC128" s="174" t="str">
        <f ca="1">IF(AA128&lt;&gt;"",_xlfn.NORM.INV(RAND(),AA128,Index!$K$2),"")</f>
        <v/>
      </c>
      <c r="AD128" s="174" t="str">
        <f ca="1">IF(AB128&lt;&gt;"",_xlfn.NORM.INV(RAND(),AB128,Index!$K$2),"")</f>
        <v/>
      </c>
      <c r="AE128" s="157" t="str">
        <f t="shared" si="11"/>
        <v>PIT</v>
      </c>
      <c r="AF128" s="158" t="str">
        <f t="shared" si="12"/>
        <v>IND</v>
      </c>
      <c r="AG128" s="149">
        <f t="shared" si="13"/>
        <v>127</v>
      </c>
    </row>
    <row r="129" spans="1:33" x14ac:dyDescent="0.25">
      <c r="A129" s="9">
        <v>9</v>
      </c>
      <c r="B129" s="9" t="s">
        <v>661</v>
      </c>
      <c r="C129" s="148">
        <v>45963</v>
      </c>
      <c r="D129" s="9" t="s">
        <v>662</v>
      </c>
      <c r="E129" s="9" t="s">
        <v>94</v>
      </c>
      <c r="F129" s="9" t="s">
        <v>663</v>
      </c>
      <c r="G129" s="9" t="s">
        <v>33</v>
      </c>
      <c r="H129" s="9" t="s">
        <v>658</v>
      </c>
      <c r="I129" s="9">
        <v>18</v>
      </c>
      <c r="J129" s="9">
        <v>15</v>
      </c>
      <c r="K129" s="9">
        <v>271</v>
      </c>
      <c r="L129" s="9">
        <v>2</v>
      </c>
      <c r="M129" s="9">
        <v>268</v>
      </c>
      <c r="N129" s="9">
        <v>0</v>
      </c>
      <c r="O129" s="149" t="str">
        <f>IF(I129&lt;&gt;"",IF(I129=J129,"TIE",INDEX(Index!$F$1:$F$32,MATCH(E129,Index!$E$1:$E$32,0))),INDEX(Index!$F$1:$F$32,MATCH(E129,Index!$E$1:$E$32,0)))</f>
        <v>DEN</v>
      </c>
      <c r="P129" s="150" t="str">
        <f>IF(I129&lt;&gt;"",IF(I129=J129,"TIE",INDEX(Index!$F$1:$F$32,MATCH(G129,Index!$E$1:$E$32,0))),INDEX(Index!$F$1:$F$32,MATCH(G129,Index!$E$1:$E$32,0)))</f>
        <v>HOU</v>
      </c>
      <c r="Q129" s="155" t="str">
        <f>IF(O129="TIE",INDEX(Index!$F$1:$F$32,MATCH(E129,Index!$E$1:$E$32,0)),"")</f>
        <v/>
      </c>
      <c r="R129" s="155" t="str">
        <f>IF(P129="TIE",INDEX(Index!$F$1:$F$32,MATCH(G129,Index!$E$1:$E$32,0)),"")</f>
        <v/>
      </c>
      <c r="S129" s="151" t="str">
        <f t="shared" si="7"/>
        <v>A</v>
      </c>
      <c r="T129" s="156" t="str">
        <f>INDEX(Index!$H$1:$H$32,MATCH($E129,Index!$E$1:$E$32,0))</f>
        <v>AW</v>
      </c>
      <c r="U129" s="156" t="str">
        <f>INDEX(Index!$H$1:$H$32,MATCH($G129,Index!$E$1:$E$32,0))</f>
        <v>AS</v>
      </c>
      <c r="V129" s="156" t="str">
        <f t="shared" si="8"/>
        <v>Con</v>
      </c>
      <c r="W129" s="152" t="str">
        <f t="shared" si="9"/>
        <v>Y</v>
      </c>
      <c r="X129" s="149" t="str">
        <f>INDEX(Index!$G$1:$G$32,MATCH(E129,Index!$E$1:$E$32,0))</f>
        <v>DEN</v>
      </c>
      <c r="Y129" s="150" t="str">
        <f>INDEX(Index!$G$1:$G$32,MATCH(G129,Index!$E$1:$E$32,0))</f>
        <v>HOU</v>
      </c>
      <c r="Z129" s="147" t="str">
        <f t="shared" si="10"/>
        <v/>
      </c>
      <c r="AA129" s="174" t="str" cm="1">
        <f t="array" ref="AA129">IFERROR(IF($W129="Y","",INDEX(EPA!$N$2:$N$512,MATCH(X129&amp;Index!$K$1,EPA!$A$2:$A$512&amp;EPA!$W$2:$W$512,0))),"")</f>
        <v/>
      </c>
      <c r="AB129" s="174" t="str" cm="1">
        <f t="array" ref="AB129">IFERROR(IF($W129="Y","",INDEX(EPA!$N$2:$N$512,MATCH(Y129&amp;Index!$K$1,EPA!$A$2:$A$512&amp;EPA!$W$2:$W$512,0))),"")</f>
        <v/>
      </c>
      <c r="AC129" s="174" t="str">
        <f ca="1">IF(AA129&lt;&gt;"",_xlfn.NORM.INV(RAND(),AA129,Index!$K$2),"")</f>
        <v/>
      </c>
      <c r="AD129" s="174" t="str">
        <f ca="1">IF(AB129&lt;&gt;"",_xlfn.NORM.INV(RAND(),AB129,Index!$K$2),"")</f>
        <v/>
      </c>
      <c r="AE129" s="157" t="str">
        <f t="shared" si="11"/>
        <v>DEN</v>
      </c>
      <c r="AF129" s="158" t="str">
        <f t="shared" si="12"/>
        <v>HOU</v>
      </c>
      <c r="AG129" s="149">
        <f t="shared" si="13"/>
        <v>128</v>
      </c>
    </row>
    <row r="130" spans="1:33" x14ac:dyDescent="0.25">
      <c r="A130" s="9">
        <v>9</v>
      </c>
      <c r="B130" s="9" t="s">
        <v>661</v>
      </c>
      <c r="C130" s="148">
        <v>45963</v>
      </c>
      <c r="D130" s="9" t="s">
        <v>662</v>
      </c>
      <c r="E130" s="9" t="s">
        <v>30</v>
      </c>
      <c r="F130" s="9" t="s">
        <v>663</v>
      </c>
      <c r="G130" s="9" t="s">
        <v>49</v>
      </c>
      <c r="H130" s="9" t="s">
        <v>658</v>
      </c>
      <c r="I130" s="9">
        <v>34</v>
      </c>
      <c r="J130" s="9">
        <v>24</v>
      </c>
      <c r="K130" s="9">
        <v>380</v>
      </c>
      <c r="L130" s="9">
        <v>1</v>
      </c>
      <c r="M130" s="9">
        <v>296</v>
      </c>
      <c r="N130" s="9">
        <v>0</v>
      </c>
      <c r="O130" s="149" t="str">
        <f>IF(I130&lt;&gt;"",IF(I130=J130,"TIE",INDEX(Index!$F$1:$F$32,MATCH(E130,Index!$E$1:$E$32,0))),INDEX(Index!$F$1:$F$32,MATCH(E130,Index!$E$1:$E$32,0)))</f>
        <v>SF</v>
      </c>
      <c r="P130" s="150" t="str">
        <f>IF(I130&lt;&gt;"",IF(I130=J130,"TIE",INDEX(Index!$F$1:$F$32,MATCH(G130,Index!$E$1:$E$32,0))),INDEX(Index!$F$1:$F$32,MATCH(G130,Index!$E$1:$E$32,0)))</f>
        <v>NYG</v>
      </c>
      <c r="Q130" s="155" t="str">
        <f>IF(O130="TIE",INDEX(Index!$F$1:$F$32,MATCH(E130,Index!$E$1:$E$32,0)),"")</f>
        <v/>
      </c>
      <c r="R130" s="155" t="str">
        <f>IF(P130="TIE",INDEX(Index!$F$1:$F$32,MATCH(G130,Index!$E$1:$E$32,0)),"")</f>
        <v/>
      </c>
      <c r="S130" s="151" t="str">
        <f t="shared" ref="S130:S193" si="14">IF(F130="@","A","H")</f>
        <v>A</v>
      </c>
      <c r="T130" s="156" t="str">
        <f>INDEX(Index!$H$1:$H$32,MATCH($E130,Index!$E$1:$E$32,0))</f>
        <v>NW</v>
      </c>
      <c r="U130" s="156" t="str">
        <f>INDEX(Index!$H$1:$H$32,MATCH($G130,Index!$E$1:$E$32,0))</f>
        <v>NE</v>
      </c>
      <c r="V130" s="156" t="str">
        <f t="shared" ref="V130:V193" si="15">IF(T130=U130,"Div",IF(LEFT(T130,1)=LEFT(U130,1),"Con","Non"))</f>
        <v>Con</v>
      </c>
      <c r="W130" s="152" t="str">
        <f t="shared" ref="W130:W193" si="16">IF(I130&lt;&gt;"","Y","N")</f>
        <v>Y</v>
      </c>
      <c r="X130" s="149" t="str">
        <f>INDEX(Index!$G$1:$G$32,MATCH(E130,Index!$E$1:$E$32,0))</f>
        <v>SF</v>
      </c>
      <c r="Y130" s="150" t="str">
        <f>INDEX(Index!$G$1:$G$32,MATCH(G130,Index!$E$1:$E$32,0))</f>
        <v>NYG</v>
      </c>
      <c r="Z130" s="147" t="str">
        <f t="shared" ref="Z130:Z193" si="17">IF(W130="Y","","Simulate")</f>
        <v/>
      </c>
      <c r="AA130" s="174" t="str" cm="1">
        <f t="array" ref="AA130">IFERROR(IF($W130="Y","",INDEX(EPA!$N$2:$N$512,MATCH(X130&amp;Index!$K$1,EPA!$A$2:$A$512&amp;EPA!$W$2:$W$512,0))),"")</f>
        <v/>
      </c>
      <c r="AB130" s="174" t="str" cm="1">
        <f t="array" ref="AB130">IFERROR(IF($W130="Y","",INDEX(EPA!$N$2:$N$512,MATCH(Y130&amp;Index!$K$1,EPA!$A$2:$A$512&amp;EPA!$W$2:$W$512,0))),"")</f>
        <v/>
      </c>
      <c r="AC130" s="174" t="str">
        <f ca="1">IF(AA130&lt;&gt;"",_xlfn.NORM.INV(RAND(),AA130,Index!$K$2),"")</f>
        <v/>
      </c>
      <c r="AD130" s="174" t="str">
        <f ca="1">IF(AB130&lt;&gt;"",_xlfn.NORM.INV(RAND(),AB130,Index!$K$2),"")</f>
        <v/>
      </c>
      <c r="AE130" s="157" t="str">
        <f t="shared" ref="AE130:AE193" si="18">IF(W130="Y",O130,IF(AC130&gt;AD130,O130,P130))</f>
        <v>SF</v>
      </c>
      <c r="AF130" s="158" t="str">
        <f t="shared" ref="AF130:AF193" si="19">IF(W130="Y",P130,IF(AC130&gt;AD130,P130,O130))</f>
        <v>NYG</v>
      </c>
      <c r="AG130" s="149">
        <f t="shared" si="13"/>
        <v>129</v>
      </c>
    </row>
    <row r="131" spans="1:33" x14ac:dyDescent="0.25">
      <c r="A131" s="9">
        <v>9</v>
      </c>
      <c r="B131" s="9" t="s">
        <v>661</v>
      </c>
      <c r="C131" s="148">
        <v>45963</v>
      </c>
      <c r="D131" s="9" t="s">
        <v>662</v>
      </c>
      <c r="E131" s="9" t="s">
        <v>68</v>
      </c>
      <c r="F131" s="9" t="s">
        <v>663</v>
      </c>
      <c r="G131" s="9" t="s">
        <v>19</v>
      </c>
      <c r="H131" s="9" t="s">
        <v>658</v>
      </c>
      <c r="I131" s="9">
        <v>27</v>
      </c>
      <c r="J131" s="9">
        <v>20</v>
      </c>
      <c r="K131" s="9">
        <v>343</v>
      </c>
      <c r="L131" s="9">
        <v>1</v>
      </c>
      <c r="M131" s="9">
        <v>206</v>
      </c>
      <c r="N131" s="9">
        <v>0</v>
      </c>
      <c r="O131" s="149" t="str">
        <f>IF(I131&lt;&gt;"",IF(I131=J131,"TIE",INDEX(Index!$F$1:$F$32,MATCH(E131,Index!$E$1:$E$32,0))),INDEX(Index!$F$1:$F$32,MATCH(E131,Index!$E$1:$E$32,0)))</f>
        <v>LAC</v>
      </c>
      <c r="P131" s="150" t="str">
        <f>IF(I131&lt;&gt;"",IF(I131=J131,"TIE",INDEX(Index!$F$1:$F$32,MATCH(G131,Index!$E$1:$E$32,0))),INDEX(Index!$F$1:$F$32,MATCH(G131,Index!$E$1:$E$32,0)))</f>
        <v>TEN</v>
      </c>
      <c r="Q131" s="155" t="str">
        <f>IF(O131="TIE",INDEX(Index!$F$1:$F$32,MATCH(E131,Index!$E$1:$E$32,0)),"")</f>
        <v/>
      </c>
      <c r="R131" s="155" t="str">
        <f>IF(P131="TIE",INDEX(Index!$F$1:$F$32,MATCH(G131,Index!$E$1:$E$32,0)),"")</f>
        <v/>
      </c>
      <c r="S131" s="151" t="str">
        <f t="shared" si="14"/>
        <v>A</v>
      </c>
      <c r="T131" s="156" t="str">
        <f>INDEX(Index!$H$1:$H$32,MATCH($E131,Index!$E$1:$E$32,0))</f>
        <v>AW</v>
      </c>
      <c r="U131" s="156" t="str">
        <f>INDEX(Index!$H$1:$H$32,MATCH($G131,Index!$E$1:$E$32,0))</f>
        <v>AS</v>
      </c>
      <c r="V131" s="156" t="str">
        <f t="shared" si="15"/>
        <v>Con</v>
      </c>
      <c r="W131" s="152" t="str">
        <f t="shared" si="16"/>
        <v>Y</v>
      </c>
      <c r="X131" s="149" t="str">
        <f>INDEX(Index!$G$1:$G$32,MATCH(E131,Index!$E$1:$E$32,0))</f>
        <v>LAC</v>
      </c>
      <c r="Y131" s="150" t="str">
        <f>INDEX(Index!$G$1:$G$32,MATCH(G131,Index!$E$1:$E$32,0))</f>
        <v>TEN</v>
      </c>
      <c r="Z131" s="147" t="str">
        <f t="shared" si="17"/>
        <v/>
      </c>
      <c r="AA131" s="174" t="str" cm="1">
        <f t="array" ref="AA131">IFERROR(IF($W131="Y","",INDEX(EPA!$N$2:$N$512,MATCH(X131&amp;Index!$K$1,EPA!$A$2:$A$512&amp;EPA!$W$2:$W$512,0))),"")</f>
        <v/>
      </c>
      <c r="AB131" s="174" t="str" cm="1">
        <f t="array" ref="AB131">IFERROR(IF($W131="Y","",INDEX(EPA!$N$2:$N$512,MATCH(Y131&amp;Index!$K$1,EPA!$A$2:$A$512&amp;EPA!$W$2:$W$512,0))),"")</f>
        <v/>
      </c>
      <c r="AC131" s="174" t="str">
        <f ca="1">IF(AA131&lt;&gt;"",_xlfn.NORM.INV(RAND(),AA131,Index!$K$2),"")</f>
        <v/>
      </c>
      <c r="AD131" s="174" t="str">
        <f ca="1">IF(AB131&lt;&gt;"",_xlfn.NORM.INV(RAND(),AB131,Index!$K$2),"")</f>
        <v/>
      </c>
      <c r="AE131" s="157" t="str">
        <f t="shared" si="18"/>
        <v>LAC</v>
      </c>
      <c r="AF131" s="158" t="str">
        <f t="shared" si="19"/>
        <v>TEN</v>
      </c>
      <c r="AG131" s="149">
        <f t="shared" ref="AG131:AG194" si="20">ROW(A131)-1</f>
        <v>130</v>
      </c>
    </row>
    <row r="132" spans="1:33" x14ac:dyDescent="0.25">
      <c r="A132" s="9">
        <v>9</v>
      </c>
      <c r="B132" s="9" t="s">
        <v>661</v>
      </c>
      <c r="C132" s="148">
        <v>45963</v>
      </c>
      <c r="D132" s="9" t="s">
        <v>664</v>
      </c>
      <c r="E132" s="9" t="s">
        <v>36</v>
      </c>
      <c r="F132" s="9" t="s">
        <v>663</v>
      </c>
      <c r="G132" s="9" t="s">
        <v>80</v>
      </c>
      <c r="H132" s="9" t="s">
        <v>658</v>
      </c>
      <c r="I132" s="9">
        <v>30</v>
      </c>
      <c r="J132" s="9">
        <v>29</v>
      </c>
      <c r="K132" s="9">
        <v>367</v>
      </c>
      <c r="L132" s="9">
        <v>1</v>
      </c>
      <c r="M132" s="9">
        <v>331</v>
      </c>
      <c r="N132" s="9">
        <v>1</v>
      </c>
      <c r="O132" s="149" t="str">
        <f>IF(I132&lt;&gt;"",IF(I132=J132,"TIE",INDEX(Index!$F$1:$F$32,MATCH(E132,Index!$E$1:$E$32,0))),INDEX(Index!$F$1:$F$32,MATCH(E132,Index!$E$1:$E$32,0)))</f>
        <v>JAX</v>
      </c>
      <c r="P132" s="150" t="str">
        <f>IF(I132&lt;&gt;"",IF(I132=J132,"TIE",INDEX(Index!$F$1:$F$32,MATCH(G132,Index!$E$1:$E$32,0))),INDEX(Index!$F$1:$F$32,MATCH(G132,Index!$E$1:$E$32,0)))</f>
        <v>LV</v>
      </c>
      <c r="Q132" s="155" t="str">
        <f>IF(O132="TIE",INDEX(Index!$F$1:$F$32,MATCH(E132,Index!$E$1:$E$32,0)),"")</f>
        <v/>
      </c>
      <c r="R132" s="155" t="str">
        <f>IF(P132="TIE",INDEX(Index!$F$1:$F$32,MATCH(G132,Index!$E$1:$E$32,0)),"")</f>
        <v/>
      </c>
      <c r="S132" s="151" t="str">
        <f t="shared" si="14"/>
        <v>A</v>
      </c>
      <c r="T132" s="156" t="str">
        <f>INDEX(Index!$H$1:$H$32,MATCH($E132,Index!$E$1:$E$32,0))</f>
        <v>AS</v>
      </c>
      <c r="U132" s="156" t="str">
        <f>INDEX(Index!$H$1:$H$32,MATCH($G132,Index!$E$1:$E$32,0))</f>
        <v>AW</v>
      </c>
      <c r="V132" s="156" t="str">
        <f t="shared" si="15"/>
        <v>Con</v>
      </c>
      <c r="W132" s="152" t="str">
        <f t="shared" si="16"/>
        <v>Y</v>
      </c>
      <c r="X132" s="149" t="str">
        <f>INDEX(Index!$G$1:$G$32,MATCH(E132,Index!$E$1:$E$32,0))</f>
        <v>JAX</v>
      </c>
      <c r="Y132" s="150" t="str">
        <f>INDEX(Index!$G$1:$G$32,MATCH(G132,Index!$E$1:$E$32,0))</f>
        <v>OAK</v>
      </c>
      <c r="Z132" s="147" t="str">
        <f t="shared" si="17"/>
        <v/>
      </c>
      <c r="AA132" s="174" t="str" cm="1">
        <f t="array" ref="AA132">IFERROR(IF($W132="Y","",INDEX(EPA!$N$2:$N$512,MATCH(X132&amp;Index!$K$1,EPA!$A$2:$A$512&amp;EPA!$W$2:$W$512,0))),"")</f>
        <v/>
      </c>
      <c r="AB132" s="174" t="str" cm="1">
        <f t="array" ref="AB132">IFERROR(IF($W132="Y","",INDEX(EPA!$N$2:$N$512,MATCH(Y132&amp;Index!$K$1,EPA!$A$2:$A$512&amp;EPA!$W$2:$W$512,0))),"")</f>
        <v/>
      </c>
      <c r="AC132" s="174" t="str">
        <f ca="1">IF(AA132&lt;&gt;"",_xlfn.NORM.INV(RAND(),AA132,Index!$K$2),"")</f>
        <v/>
      </c>
      <c r="AD132" s="174" t="str">
        <f ca="1">IF(AB132&lt;&gt;"",_xlfn.NORM.INV(RAND(),AB132,Index!$K$2),"")</f>
        <v/>
      </c>
      <c r="AE132" s="157" t="str">
        <f t="shared" si="18"/>
        <v>JAX</v>
      </c>
      <c r="AF132" s="158" t="str">
        <f t="shared" si="19"/>
        <v>LV</v>
      </c>
      <c r="AG132" s="149">
        <f t="shared" si="20"/>
        <v>131</v>
      </c>
    </row>
    <row r="133" spans="1:33" x14ac:dyDescent="0.25">
      <c r="A133" s="9">
        <v>9</v>
      </c>
      <c r="B133" s="9" t="s">
        <v>661</v>
      </c>
      <c r="C133" s="148">
        <v>45963</v>
      </c>
      <c r="D133" s="9" t="s">
        <v>664</v>
      </c>
      <c r="E133" s="9" t="s">
        <v>90</v>
      </c>
      <c r="F133" s="9"/>
      <c r="G133" s="9" t="s">
        <v>71</v>
      </c>
      <c r="H133" s="9" t="s">
        <v>658</v>
      </c>
      <c r="I133" s="9">
        <v>34</v>
      </c>
      <c r="J133" s="9">
        <v>10</v>
      </c>
      <c r="K133" s="9">
        <v>438</v>
      </c>
      <c r="L133" s="9">
        <v>0</v>
      </c>
      <c r="M133" s="9">
        <v>224</v>
      </c>
      <c r="N133" s="9">
        <v>2</v>
      </c>
      <c r="O133" s="149" t="str">
        <f>IF(I133&lt;&gt;"",IF(I133=J133,"TIE",INDEX(Index!$F$1:$F$32,MATCH(E133,Index!$E$1:$E$32,0))),INDEX(Index!$F$1:$F$32,MATCH(E133,Index!$E$1:$E$32,0)))</f>
        <v>LAR</v>
      </c>
      <c r="P133" s="150" t="str">
        <f>IF(I133&lt;&gt;"",IF(I133=J133,"TIE",INDEX(Index!$F$1:$F$32,MATCH(G133,Index!$E$1:$E$32,0))),INDEX(Index!$F$1:$F$32,MATCH(G133,Index!$E$1:$E$32,0)))</f>
        <v>NO</v>
      </c>
      <c r="Q133" s="155" t="str">
        <f>IF(O133="TIE",INDEX(Index!$F$1:$F$32,MATCH(E133,Index!$E$1:$E$32,0)),"")</f>
        <v/>
      </c>
      <c r="R133" s="155" t="str">
        <f>IF(P133="TIE",INDEX(Index!$F$1:$F$32,MATCH(G133,Index!$E$1:$E$32,0)),"")</f>
        <v/>
      </c>
      <c r="S133" s="151" t="str">
        <f t="shared" si="14"/>
        <v>H</v>
      </c>
      <c r="T133" s="156" t="str">
        <f>INDEX(Index!$H$1:$H$32,MATCH($E133,Index!$E$1:$E$32,0))</f>
        <v>NW</v>
      </c>
      <c r="U133" s="156" t="str">
        <f>INDEX(Index!$H$1:$H$32,MATCH($G133,Index!$E$1:$E$32,0))</f>
        <v>NS</v>
      </c>
      <c r="V133" s="156" t="str">
        <f t="shared" si="15"/>
        <v>Con</v>
      </c>
      <c r="W133" s="152" t="str">
        <f t="shared" si="16"/>
        <v>Y</v>
      </c>
      <c r="X133" s="149" t="str">
        <f>INDEX(Index!$G$1:$G$32,MATCH(E133,Index!$E$1:$E$32,0))</f>
        <v>LAR</v>
      </c>
      <c r="Y133" s="150" t="str">
        <f>INDEX(Index!$G$1:$G$32,MATCH(G133,Index!$E$1:$E$32,0))</f>
        <v>NO</v>
      </c>
      <c r="Z133" s="147" t="str">
        <f t="shared" si="17"/>
        <v/>
      </c>
      <c r="AA133" s="174" t="str" cm="1">
        <f t="array" ref="AA133">IFERROR(IF($W133="Y","",INDEX(EPA!$N$2:$N$512,MATCH(X133&amp;Index!$K$1,EPA!$A$2:$A$512&amp;EPA!$W$2:$W$512,0))),"")</f>
        <v/>
      </c>
      <c r="AB133" s="174" t="str" cm="1">
        <f t="array" ref="AB133">IFERROR(IF($W133="Y","",INDEX(EPA!$N$2:$N$512,MATCH(Y133&amp;Index!$K$1,EPA!$A$2:$A$512&amp;EPA!$W$2:$W$512,0))),"")</f>
        <v/>
      </c>
      <c r="AC133" s="174" t="str">
        <f ca="1">IF(AA133&lt;&gt;"",_xlfn.NORM.INV(RAND(),AA133,Index!$K$2),"")</f>
        <v/>
      </c>
      <c r="AD133" s="174" t="str">
        <f ca="1">IF(AB133&lt;&gt;"",_xlfn.NORM.INV(RAND(),AB133,Index!$K$2),"")</f>
        <v/>
      </c>
      <c r="AE133" s="157" t="str">
        <f t="shared" si="18"/>
        <v>LAR</v>
      </c>
      <c r="AF133" s="158" t="str">
        <f t="shared" si="19"/>
        <v>NO</v>
      </c>
      <c r="AG133" s="149">
        <f t="shared" si="20"/>
        <v>132</v>
      </c>
    </row>
    <row r="134" spans="1:33" x14ac:dyDescent="0.25">
      <c r="A134" s="9">
        <v>9</v>
      </c>
      <c r="B134" s="9" t="s">
        <v>661</v>
      </c>
      <c r="C134" s="148">
        <v>45963</v>
      </c>
      <c r="D134" s="9" t="s">
        <v>665</v>
      </c>
      <c r="E134" s="9" t="s">
        <v>40</v>
      </c>
      <c r="F134" s="9"/>
      <c r="G134" s="9" t="s">
        <v>16</v>
      </c>
      <c r="H134" s="9" t="s">
        <v>658</v>
      </c>
      <c r="I134" s="9">
        <v>28</v>
      </c>
      <c r="J134" s="9">
        <v>21</v>
      </c>
      <c r="K134" s="9">
        <v>404</v>
      </c>
      <c r="L134" s="9">
        <v>0</v>
      </c>
      <c r="M134" s="9">
        <v>305</v>
      </c>
      <c r="N134" s="9">
        <v>1</v>
      </c>
      <c r="O134" s="149" t="str">
        <f>IF(I134&lt;&gt;"",IF(I134=J134,"TIE",INDEX(Index!$F$1:$F$32,MATCH(E134,Index!$E$1:$E$32,0))),INDEX(Index!$F$1:$F$32,MATCH(E134,Index!$E$1:$E$32,0)))</f>
        <v>BUF</v>
      </c>
      <c r="P134" s="150" t="str">
        <f>IF(I134&lt;&gt;"",IF(I134=J134,"TIE",INDEX(Index!$F$1:$F$32,MATCH(G134,Index!$E$1:$E$32,0))),INDEX(Index!$F$1:$F$32,MATCH(G134,Index!$E$1:$E$32,0)))</f>
        <v>KC</v>
      </c>
      <c r="Q134" s="155" t="str">
        <f>IF(O134="TIE",INDEX(Index!$F$1:$F$32,MATCH(E134,Index!$E$1:$E$32,0)),"")</f>
        <v/>
      </c>
      <c r="R134" s="155" t="str">
        <f>IF(P134="TIE",INDEX(Index!$F$1:$F$32,MATCH(G134,Index!$E$1:$E$32,0)),"")</f>
        <v/>
      </c>
      <c r="S134" s="151" t="str">
        <f t="shared" si="14"/>
        <v>H</v>
      </c>
      <c r="T134" s="156" t="str">
        <f>INDEX(Index!$H$1:$H$32,MATCH($E134,Index!$E$1:$E$32,0))</f>
        <v>AE</v>
      </c>
      <c r="U134" s="156" t="str">
        <f>INDEX(Index!$H$1:$H$32,MATCH($G134,Index!$E$1:$E$32,0))</f>
        <v>AW</v>
      </c>
      <c r="V134" s="156" t="str">
        <f t="shared" si="15"/>
        <v>Con</v>
      </c>
      <c r="W134" s="152" t="str">
        <f t="shared" si="16"/>
        <v>Y</v>
      </c>
      <c r="X134" s="149" t="str">
        <f>INDEX(Index!$G$1:$G$32,MATCH(E134,Index!$E$1:$E$32,0))</f>
        <v>BUF</v>
      </c>
      <c r="Y134" s="150" t="str">
        <f>INDEX(Index!$G$1:$G$32,MATCH(G134,Index!$E$1:$E$32,0))</f>
        <v>KC</v>
      </c>
      <c r="Z134" s="147" t="str">
        <f t="shared" si="17"/>
        <v/>
      </c>
      <c r="AA134" s="174" t="str" cm="1">
        <f t="array" ref="AA134">IFERROR(IF($W134="Y","",INDEX(EPA!$N$2:$N$512,MATCH(X134&amp;Index!$K$1,EPA!$A$2:$A$512&amp;EPA!$W$2:$W$512,0))),"")</f>
        <v/>
      </c>
      <c r="AB134" s="174" t="str" cm="1">
        <f t="array" ref="AB134">IFERROR(IF($W134="Y","",INDEX(EPA!$N$2:$N$512,MATCH(Y134&amp;Index!$K$1,EPA!$A$2:$A$512&amp;EPA!$W$2:$W$512,0))),"")</f>
        <v/>
      </c>
      <c r="AC134" s="174" t="str">
        <f ca="1">IF(AA134&lt;&gt;"",_xlfn.NORM.INV(RAND(),AA134,Index!$K$2),"")</f>
        <v/>
      </c>
      <c r="AD134" s="174" t="str">
        <f ca="1">IF(AB134&lt;&gt;"",_xlfn.NORM.INV(RAND(),AB134,Index!$K$2),"")</f>
        <v/>
      </c>
      <c r="AE134" s="157" t="str">
        <f t="shared" si="18"/>
        <v>BUF</v>
      </c>
      <c r="AF134" s="158" t="str">
        <f t="shared" si="19"/>
        <v>KC</v>
      </c>
      <c r="AG134" s="149">
        <f t="shared" si="20"/>
        <v>133</v>
      </c>
    </row>
    <row r="135" spans="1:33" x14ac:dyDescent="0.25">
      <c r="A135" s="9">
        <v>9</v>
      </c>
      <c r="B135" s="9" t="s">
        <v>661</v>
      </c>
      <c r="C135" s="148">
        <v>45963</v>
      </c>
      <c r="D135" s="9" t="s">
        <v>657</v>
      </c>
      <c r="E135" s="9" t="s">
        <v>8</v>
      </c>
      <c r="F135" s="9" t="s">
        <v>663</v>
      </c>
      <c r="G135" s="9" t="s">
        <v>4</v>
      </c>
      <c r="H135" s="9" t="s">
        <v>658</v>
      </c>
      <c r="I135" s="9">
        <v>38</v>
      </c>
      <c r="J135" s="9">
        <v>14</v>
      </c>
      <c r="K135" s="9">
        <v>418</v>
      </c>
      <c r="L135" s="9">
        <v>1</v>
      </c>
      <c r="M135" s="9">
        <v>290</v>
      </c>
      <c r="N135" s="9">
        <v>2</v>
      </c>
      <c r="O135" s="149" t="str">
        <f>IF(I135&lt;&gt;"",IF(I135=J135,"TIE",INDEX(Index!$F$1:$F$32,MATCH(E135,Index!$E$1:$E$32,0))),INDEX(Index!$F$1:$F$32,MATCH(E135,Index!$E$1:$E$32,0)))</f>
        <v>SEA</v>
      </c>
      <c r="P135" s="150" t="str">
        <f>IF(I135&lt;&gt;"",IF(I135=J135,"TIE",INDEX(Index!$F$1:$F$32,MATCH(G135,Index!$E$1:$E$32,0))),INDEX(Index!$F$1:$F$32,MATCH(G135,Index!$E$1:$E$32,0)))</f>
        <v>WAS</v>
      </c>
      <c r="Q135" s="155" t="str">
        <f>IF(O135="TIE",INDEX(Index!$F$1:$F$32,MATCH(E135,Index!$E$1:$E$32,0)),"")</f>
        <v/>
      </c>
      <c r="R135" s="155" t="str">
        <f>IF(P135="TIE",INDEX(Index!$F$1:$F$32,MATCH(G135,Index!$E$1:$E$32,0)),"")</f>
        <v/>
      </c>
      <c r="S135" s="151" t="str">
        <f t="shared" si="14"/>
        <v>A</v>
      </c>
      <c r="T135" s="156" t="str">
        <f>INDEX(Index!$H$1:$H$32,MATCH($E135,Index!$E$1:$E$32,0))</f>
        <v>NW</v>
      </c>
      <c r="U135" s="156" t="str">
        <f>INDEX(Index!$H$1:$H$32,MATCH($G135,Index!$E$1:$E$32,0))</f>
        <v>NE</v>
      </c>
      <c r="V135" s="156" t="str">
        <f t="shared" si="15"/>
        <v>Con</v>
      </c>
      <c r="W135" s="152" t="str">
        <f t="shared" si="16"/>
        <v>Y</v>
      </c>
      <c r="X135" s="149" t="str">
        <f>INDEX(Index!$G$1:$G$32,MATCH(E135,Index!$E$1:$E$32,0))</f>
        <v>SEA</v>
      </c>
      <c r="Y135" s="150" t="str">
        <f>INDEX(Index!$G$1:$G$32,MATCH(G135,Index!$E$1:$E$32,0))</f>
        <v>WAS</v>
      </c>
      <c r="Z135" s="147" t="str">
        <f t="shared" si="17"/>
        <v/>
      </c>
      <c r="AA135" s="174" t="str" cm="1">
        <f t="array" ref="AA135">IFERROR(IF($W135="Y","",INDEX(EPA!$N$2:$N$512,MATCH(X135&amp;Index!$K$1,EPA!$A$2:$A$512&amp;EPA!$W$2:$W$512,0))),"")</f>
        <v/>
      </c>
      <c r="AB135" s="174" t="str" cm="1">
        <f t="array" ref="AB135">IFERROR(IF($W135="Y","",INDEX(EPA!$N$2:$N$512,MATCH(Y135&amp;Index!$K$1,EPA!$A$2:$A$512&amp;EPA!$W$2:$W$512,0))),"")</f>
        <v/>
      </c>
      <c r="AC135" s="174" t="str">
        <f ca="1">IF(AA135&lt;&gt;"",_xlfn.NORM.INV(RAND(),AA135,Index!$K$2),"")</f>
        <v/>
      </c>
      <c r="AD135" s="174" t="str">
        <f ca="1">IF(AB135&lt;&gt;"",_xlfn.NORM.INV(RAND(),AB135,Index!$K$2),"")</f>
        <v/>
      </c>
      <c r="AE135" s="157" t="str">
        <f t="shared" si="18"/>
        <v>SEA</v>
      </c>
      <c r="AF135" s="158" t="str">
        <f t="shared" si="19"/>
        <v>WAS</v>
      </c>
      <c r="AG135" s="149">
        <f t="shared" si="20"/>
        <v>134</v>
      </c>
    </row>
    <row r="136" spans="1:33" x14ac:dyDescent="0.25">
      <c r="A136" s="9">
        <v>9</v>
      </c>
      <c r="B136" s="9" t="s">
        <v>666</v>
      </c>
      <c r="C136" s="148">
        <v>45964</v>
      </c>
      <c r="D136" s="9" t="s">
        <v>667</v>
      </c>
      <c r="E136" s="9" t="s">
        <v>27</v>
      </c>
      <c r="F136" s="9" t="s">
        <v>663</v>
      </c>
      <c r="G136" s="9" t="s">
        <v>56</v>
      </c>
      <c r="H136" s="9" t="s">
        <v>658</v>
      </c>
      <c r="I136" s="9">
        <v>27</v>
      </c>
      <c r="J136" s="9">
        <v>17</v>
      </c>
      <c r="K136" s="9">
        <v>340</v>
      </c>
      <c r="L136" s="9">
        <v>0</v>
      </c>
      <c r="M136" s="9">
        <v>333</v>
      </c>
      <c r="N136" s="9">
        <v>3</v>
      </c>
      <c r="O136" s="149" t="str">
        <f>IF(I136&lt;&gt;"",IF(I136=J136,"TIE",INDEX(Index!$F$1:$F$32,MATCH(E136,Index!$E$1:$E$32,0))),INDEX(Index!$F$1:$F$32,MATCH(E136,Index!$E$1:$E$32,0)))</f>
        <v>ARI</v>
      </c>
      <c r="P136" s="150" t="str">
        <f>IF(I136&lt;&gt;"",IF(I136=J136,"TIE",INDEX(Index!$F$1:$F$32,MATCH(G136,Index!$E$1:$E$32,0))),INDEX(Index!$F$1:$F$32,MATCH(G136,Index!$E$1:$E$32,0)))</f>
        <v>DAL</v>
      </c>
      <c r="Q136" s="155" t="str">
        <f>IF(O136="TIE",INDEX(Index!$F$1:$F$32,MATCH(E136,Index!$E$1:$E$32,0)),"")</f>
        <v/>
      </c>
      <c r="R136" s="155" t="str">
        <f>IF(P136="TIE",INDEX(Index!$F$1:$F$32,MATCH(G136,Index!$E$1:$E$32,0)),"")</f>
        <v/>
      </c>
      <c r="S136" s="151" t="str">
        <f t="shared" si="14"/>
        <v>A</v>
      </c>
      <c r="T136" s="156" t="str">
        <f>INDEX(Index!$H$1:$H$32,MATCH($E136,Index!$E$1:$E$32,0))</f>
        <v>NW</v>
      </c>
      <c r="U136" s="156" t="str">
        <f>INDEX(Index!$H$1:$H$32,MATCH($G136,Index!$E$1:$E$32,0))</f>
        <v>NE</v>
      </c>
      <c r="V136" s="156" t="str">
        <f t="shared" si="15"/>
        <v>Con</v>
      </c>
      <c r="W136" s="152" t="str">
        <f t="shared" si="16"/>
        <v>Y</v>
      </c>
      <c r="X136" s="149" t="str">
        <f>INDEX(Index!$G$1:$G$32,MATCH(E136,Index!$E$1:$E$32,0))</f>
        <v>ARI</v>
      </c>
      <c r="Y136" s="150" t="str">
        <f>INDEX(Index!$G$1:$G$32,MATCH(G136,Index!$E$1:$E$32,0))</f>
        <v>DAL</v>
      </c>
      <c r="Z136" s="147" t="str">
        <f t="shared" si="17"/>
        <v/>
      </c>
      <c r="AA136" s="174" t="str" cm="1">
        <f t="array" ref="AA136">IFERROR(IF($W136="Y","",INDEX(EPA!$N$2:$N$512,MATCH(X136&amp;Index!$K$1,EPA!$A$2:$A$512&amp;EPA!$W$2:$W$512,0))),"")</f>
        <v/>
      </c>
      <c r="AB136" s="174" t="str" cm="1">
        <f t="array" ref="AB136">IFERROR(IF($W136="Y","",INDEX(EPA!$N$2:$N$512,MATCH(Y136&amp;Index!$K$1,EPA!$A$2:$A$512&amp;EPA!$W$2:$W$512,0))),"")</f>
        <v/>
      </c>
      <c r="AC136" s="174" t="str">
        <f ca="1">IF(AA136&lt;&gt;"",_xlfn.NORM.INV(RAND(),AA136,Index!$K$2),"")</f>
        <v/>
      </c>
      <c r="AD136" s="174" t="str">
        <f ca="1">IF(AB136&lt;&gt;"",_xlfn.NORM.INV(RAND(),AB136,Index!$K$2),"")</f>
        <v/>
      </c>
      <c r="AE136" s="157" t="str">
        <f t="shared" si="18"/>
        <v>ARI</v>
      </c>
      <c r="AF136" s="158" t="str">
        <f t="shared" si="19"/>
        <v>DAL</v>
      </c>
      <c r="AG136" s="149">
        <f t="shared" si="20"/>
        <v>135</v>
      </c>
    </row>
    <row r="137" spans="1:33" x14ac:dyDescent="0.25">
      <c r="A137" s="9">
        <v>10</v>
      </c>
      <c r="B137" s="9" t="s">
        <v>656</v>
      </c>
      <c r="C137" s="148">
        <v>45967</v>
      </c>
      <c r="D137" s="9" t="s">
        <v>667</v>
      </c>
      <c r="E137" s="9" t="s">
        <v>94</v>
      </c>
      <c r="F137" s="9"/>
      <c r="G137" s="9" t="s">
        <v>80</v>
      </c>
      <c r="H137" s="9" t="s">
        <v>658</v>
      </c>
      <c r="I137" s="9">
        <v>10</v>
      </c>
      <c r="J137" s="9">
        <v>7</v>
      </c>
      <c r="K137" s="9">
        <v>220</v>
      </c>
      <c r="L137" s="9">
        <v>2</v>
      </c>
      <c r="M137" s="9">
        <v>188</v>
      </c>
      <c r="N137" s="9">
        <v>1</v>
      </c>
      <c r="O137" s="149" t="str">
        <f>IF(I137&lt;&gt;"",IF(I137=J137,"TIE",INDEX(Index!$F$1:$F$32,MATCH(E137,Index!$E$1:$E$32,0))),INDEX(Index!$F$1:$F$32,MATCH(E137,Index!$E$1:$E$32,0)))</f>
        <v>DEN</v>
      </c>
      <c r="P137" s="150" t="str">
        <f>IF(I137&lt;&gt;"",IF(I137=J137,"TIE",INDEX(Index!$F$1:$F$32,MATCH(G137,Index!$E$1:$E$32,0))),INDEX(Index!$F$1:$F$32,MATCH(G137,Index!$E$1:$E$32,0)))</f>
        <v>LV</v>
      </c>
      <c r="Q137" s="155" t="str">
        <f>IF(O137="TIE",INDEX(Index!$F$1:$F$32,MATCH(E137,Index!$E$1:$E$32,0)),"")</f>
        <v/>
      </c>
      <c r="R137" s="155" t="str">
        <f>IF(P137="TIE",INDEX(Index!$F$1:$F$32,MATCH(G137,Index!$E$1:$E$32,0)),"")</f>
        <v/>
      </c>
      <c r="S137" s="151" t="str">
        <f t="shared" si="14"/>
        <v>H</v>
      </c>
      <c r="T137" s="156" t="str">
        <f>INDEX(Index!$H$1:$H$32,MATCH($E137,Index!$E$1:$E$32,0))</f>
        <v>AW</v>
      </c>
      <c r="U137" s="156" t="str">
        <f>INDEX(Index!$H$1:$H$32,MATCH($G137,Index!$E$1:$E$32,0))</f>
        <v>AW</v>
      </c>
      <c r="V137" s="156" t="str">
        <f t="shared" si="15"/>
        <v>Div</v>
      </c>
      <c r="W137" s="152" t="str">
        <f t="shared" si="16"/>
        <v>Y</v>
      </c>
      <c r="X137" s="149" t="str">
        <f>INDEX(Index!$G$1:$G$32,MATCH(E137,Index!$E$1:$E$32,0))</f>
        <v>DEN</v>
      </c>
      <c r="Y137" s="150" t="str">
        <f>INDEX(Index!$G$1:$G$32,MATCH(G137,Index!$E$1:$E$32,0))</f>
        <v>OAK</v>
      </c>
      <c r="Z137" s="147" t="str">
        <f t="shared" si="17"/>
        <v/>
      </c>
      <c r="AA137" s="174" t="str" cm="1">
        <f t="array" ref="AA137">IFERROR(IF($W137="Y","",INDEX(EPA!$N$2:$N$512,MATCH(X137&amp;Index!$K$1,EPA!$A$2:$A$512&amp;EPA!$W$2:$W$512,0))),"")</f>
        <v/>
      </c>
      <c r="AB137" s="174" t="str" cm="1">
        <f t="array" ref="AB137">IFERROR(IF($W137="Y","",INDEX(EPA!$N$2:$N$512,MATCH(Y137&amp;Index!$K$1,EPA!$A$2:$A$512&amp;EPA!$W$2:$W$512,0))),"")</f>
        <v/>
      </c>
      <c r="AC137" s="174" t="str">
        <f ca="1">IF(AA137&lt;&gt;"",_xlfn.NORM.INV(RAND(),AA137,Index!$K$2),"")</f>
        <v/>
      </c>
      <c r="AD137" s="174" t="str">
        <f ca="1">IF(AB137&lt;&gt;"",_xlfn.NORM.INV(RAND(),AB137,Index!$K$2),"")</f>
        <v/>
      </c>
      <c r="AE137" s="157" t="str">
        <f t="shared" si="18"/>
        <v>DEN</v>
      </c>
      <c r="AF137" s="158" t="str">
        <f t="shared" si="19"/>
        <v>LV</v>
      </c>
      <c r="AG137" s="149">
        <f t="shared" si="20"/>
        <v>136</v>
      </c>
    </row>
    <row r="138" spans="1:33" x14ac:dyDescent="0.25">
      <c r="A138" s="9">
        <v>10</v>
      </c>
      <c r="B138" s="9" t="s">
        <v>661</v>
      </c>
      <c r="C138" s="148">
        <v>45970</v>
      </c>
      <c r="D138" s="9" t="s">
        <v>670</v>
      </c>
      <c r="E138" s="9" t="s">
        <v>42</v>
      </c>
      <c r="F138" s="9"/>
      <c r="G138" s="9" t="s">
        <v>78</v>
      </c>
      <c r="H138" s="9" t="s">
        <v>658</v>
      </c>
      <c r="I138" s="9">
        <v>31</v>
      </c>
      <c r="J138" s="9">
        <v>25</v>
      </c>
      <c r="K138" s="9">
        <v>519</v>
      </c>
      <c r="L138" s="9">
        <v>2</v>
      </c>
      <c r="M138" s="9">
        <v>290</v>
      </c>
      <c r="N138" s="9">
        <v>1</v>
      </c>
      <c r="O138" s="149" t="str">
        <f>IF(I138&lt;&gt;"",IF(I138=J138,"TIE",INDEX(Index!$F$1:$F$32,MATCH(E138,Index!$E$1:$E$32,0))),INDEX(Index!$F$1:$F$32,MATCH(E138,Index!$E$1:$E$32,0)))</f>
        <v>IND</v>
      </c>
      <c r="P138" s="150" t="str">
        <f>IF(I138&lt;&gt;"",IF(I138=J138,"TIE",INDEX(Index!$F$1:$F$32,MATCH(G138,Index!$E$1:$E$32,0))),INDEX(Index!$F$1:$F$32,MATCH(G138,Index!$E$1:$E$32,0)))</f>
        <v>ATL</v>
      </c>
      <c r="Q138" s="155" t="str">
        <f>IF(O138="TIE",INDEX(Index!$F$1:$F$32,MATCH(E138,Index!$E$1:$E$32,0)),"")</f>
        <v/>
      </c>
      <c r="R138" s="155" t="str">
        <f>IF(P138="TIE",INDEX(Index!$F$1:$F$32,MATCH(G138,Index!$E$1:$E$32,0)),"")</f>
        <v/>
      </c>
      <c r="S138" s="151" t="str">
        <f t="shared" si="14"/>
        <v>H</v>
      </c>
      <c r="T138" s="156" t="str">
        <f>INDEX(Index!$H$1:$H$32,MATCH($E138,Index!$E$1:$E$32,0))</f>
        <v>AS</v>
      </c>
      <c r="U138" s="156" t="str">
        <f>INDEX(Index!$H$1:$H$32,MATCH($G138,Index!$E$1:$E$32,0))</f>
        <v>NS</v>
      </c>
      <c r="V138" s="156" t="str">
        <f t="shared" si="15"/>
        <v>Non</v>
      </c>
      <c r="W138" s="152" t="str">
        <f t="shared" si="16"/>
        <v>Y</v>
      </c>
      <c r="X138" s="149" t="str">
        <f>INDEX(Index!$G$1:$G$32,MATCH(E138,Index!$E$1:$E$32,0))</f>
        <v>IND</v>
      </c>
      <c r="Y138" s="150" t="str">
        <f>INDEX(Index!$G$1:$G$32,MATCH(G138,Index!$E$1:$E$32,0))</f>
        <v>ATL</v>
      </c>
      <c r="Z138" s="147" t="str">
        <f t="shared" si="17"/>
        <v/>
      </c>
      <c r="AA138" s="174" t="str" cm="1">
        <f t="array" ref="AA138">IFERROR(IF($W138="Y","",INDEX(EPA!$N$2:$N$512,MATCH(X138&amp;Index!$K$1,EPA!$A$2:$A$512&amp;EPA!$W$2:$W$512,0))),"")</f>
        <v/>
      </c>
      <c r="AB138" s="174" t="str" cm="1">
        <f t="array" ref="AB138">IFERROR(IF($W138="Y","",INDEX(EPA!$N$2:$N$512,MATCH(Y138&amp;Index!$K$1,EPA!$A$2:$A$512&amp;EPA!$W$2:$W$512,0))),"")</f>
        <v/>
      </c>
      <c r="AC138" s="174" t="str">
        <f ca="1">IF(AA138&lt;&gt;"",_xlfn.NORM.INV(RAND(),AA138,Index!$K$2),"")</f>
        <v/>
      </c>
      <c r="AD138" s="174" t="str">
        <f ca="1">IF(AB138&lt;&gt;"",_xlfn.NORM.INV(RAND(),AB138,Index!$K$2),"")</f>
        <v/>
      </c>
      <c r="AE138" s="157" t="str">
        <f t="shared" si="18"/>
        <v>IND</v>
      </c>
      <c r="AF138" s="158" t="str">
        <f t="shared" si="19"/>
        <v>ATL</v>
      </c>
      <c r="AG138" s="149">
        <f t="shared" si="20"/>
        <v>137</v>
      </c>
    </row>
    <row r="139" spans="1:33" x14ac:dyDescent="0.25">
      <c r="A139" s="9">
        <v>10</v>
      </c>
      <c r="B139" s="9" t="s">
        <v>661</v>
      </c>
      <c r="C139" s="148">
        <v>45970</v>
      </c>
      <c r="D139" s="9" t="s">
        <v>662</v>
      </c>
      <c r="E139" s="9" t="s">
        <v>62</v>
      </c>
      <c r="F139" s="9"/>
      <c r="G139" s="9" t="s">
        <v>40</v>
      </c>
      <c r="H139" s="9" t="s">
        <v>658</v>
      </c>
      <c r="I139" s="9">
        <v>30</v>
      </c>
      <c r="J139" s="9">
        <v>13</v>
      </c>
      <c r="K139" s="9">
        <v>370</v>
      </c>
      <c r="L139" s="9">
        <v>2</v>
      </c>
      <c r="M139" s="9">
        <v>376</v>
      </c>
      <c r="N139" s="9">
        <v>3</v>
      </c>
      <c r="O139" s="149" t="str">
        <f>IF(I139&lt;&gt;"",IF(I139=J139,"TIE",INDEX(Index!$F$1:$F$32,MATCH(E139,Index!$E$1:$E$32,0))),INDEX(Index!$F$1:$F$32,MATCH(E139,Index!$E$1:$E$32,0)))</f>
        <v>MIA</v>
      </c>
      <c r="P139" s="150" t="str">
        <f>IF(I139&lt;&gt;"",IF(I139=J139,"TIE",INDEX(Index!$F$1:$F$32,MATCH(G139,Index!$E$1:$E$32,0))),INDEX(Index!$F$1:$F$32,MATCH(G139,Index!$E$1:$E$32,0)))</f>
        <v>BUF</v>
      </c>
      <c r="Q139" s="155" t="str">
        <f>IF(O139="TIE",INDEX(Index!$F$1:$F$32,MATCH(E139,Index!$E$1:$E$32,0)),"")</f>
        <v/>
      </c>
      <c r="R139" s="155" t="str">
        <f>IF(P139="TIE",INDEX(Index!$F$1:$F$32,MATCH(G139,Index!$E$1:$E$32,0)),"")</f>
        <v/>
      </c>
      <c r="S139" s="151" t="str">
        <f t="shared" si="14"/>
        <v>H</v>
      </c>
      <c r="T139" s="156" t="str">
        <f>INDEX(Index!$H$1:$H$32,MATCH($E139,Index!$E$1:$E$32,0))</f>
        <v>AE</v>
      </c>
      <c r="U139" s="156" t="str">
        <f>INDEX(Index!$H$1:$H$32,MATCH($G139,Index!$E$1:$E$32,0))</f>
        <v>AE</v>
      </c>
      <c r="V139" s="156" t="str">
        <f t="shared" si="15"/>
        <v>Div</v>
      </c>
      <c r="W139" s="152" t="str">
        <f t="shared" si="16"/>
        <v>Y</v>
      </c>
      <c r="X139" s="149" t="str">
        <f>INDEX(Index!$G$1:$G$32,MATCH(E139,Index!$E$1:$E$32,0))</f>
        <v>MIA</v>
      </c>
      <c r="Y139" s="150" t="str">
        <f>INDEX(Index!$G$1:$G$32,MATCH(G139,Index!$E$1:$E$32,0))</f>
        <v>BUF</v>
      </c>
      <c r="Z139" s="147" t="str">
        <f t="shared" si="17"/>
        <v/>
      </c>
      <c r="AA139" s="174" t="str" cm="1">
        <f t="array" ref="AA139">IFERROR(IF($W139="Y","",INDEX(EPA!$N$2:$N$512,MATCH(X139&amp;Index!$K$1,EPA!$A$2:$A$512&amp;EPA!$W$2:$W$512,0))),"")</f>
        <v/>
      </c>
      <c r="AB139" s="174" t="str" cm="1">
        <f t="array" ref="AB139">IFERROR(IF($W139="Y","",INDEX(EPA!$N$2:$N$512,MATCH(Y139&amp;Index!$K$1,EPA!$A$2:$A$512&amp;EPA!$W$2:$W$512,0))),"")</f>
        <v/>
      </c>
      <c r="AC139" s="174" t="str">
        <f ca="1">IF(AA139&lt;&gt;"",_xlfn.NORM.INV(RAND(),AA139,Index!$K$2),"")</f>
        <v/>
      </c>
      <c r="AD139" s="174" t="str">
        <f ca="1">IF(AB139&lt;&gt;"",_xlfn.NORM.INV(RAND(),AB139,Index!$K$2),"")</f>
        <v/>
      </c>
      <c r="AE139" s="157" t="str">
        <f t="shared" si="18"/>
        <v>MIA</v>
      </c>
      <c r="AF139" s="158" t="str">
        <f t="shared" si="19"/>
        <v>BUF</v>
      </c>
      <c r="AG139" s="149">
        <f t="shared" si="20"/>
        <v>138</v>
      </c>
    </row>
    <row r="140" spans="1:33" x14ac:dyDescent="0.25">
      <c r="A140" s="9">
        <v>10</v>
      </c>
      <c r="B140" s="9" t="s">
        <v>661</v>
      </c>
      <c r="C140" s="148">
        <v>45970</v>
      </c>
      <c r="D140" s="9" t="s">
        <v>662</v>
      </c>
      <c r="E140" s="9" t="s">
        <v>65</v>
      </c>
      <c r="F140" s="9"/>
      <c r="G140" s="9" t="s">
        <v>49</v>
      </c>
      <c r="H140" s="9" t="s">
        <v>658</v>
      </c>
      <c r="I140" s="9">
        <v>24</v>
      </c>
      <c r="J140" s="9">
        <v>20</v>
      </c>
      <c r="K140" s="9">
        <v>391</v>
      </c>
      <c r="L140" s="9">
        <v>0</v>
      </c>
      <c r="M140" s="9">
        <v>431</v>
      </c>
      <c r="N140" s="9">
        <v>1</v>
      </c>
      <c r="O140" s="149" t="str">
        <f>IF(I140&lt;&gt;"",IF(I140=J140,"TIE",INDEX(Index!$F$1:$F$32,MATCH(E140,Index!$E$1:$E$32,0))),INDEX(Index!$F$1:$F$32,MATCH(E140,Index!$E$1:$E$32,0)))</f>
        <v>CHI</v>
      </c>
      <c r="P140" s="150" t="str">
        <f>IF(I140&lt;&gt;"",IF(I140=J140,"TIE",INDEX(Index!$F$1:$F$32,MATCH(G140,Index!$E$1:$E$32,0))),INDEX(Index!$F$1:$F$32,MATCH(G140,Index!$E$1:$E$32,0)))</f>
        <v>NYG</v>
      </c>
      <c r="Q140" s="155" t="str">
        <f>IF(O140="TIE",INDEX(Index!$F$1:$F$32,MATCH(E140,Index!$E$1:$E$32,0)),"")</f>
        <v/>
      </c>
      <c r="R140" s="155" t="str">
        <f>IF(P140="TIE",INDEX(Index!$F$1:$F$32,MATCH(G140,Index!$E$1:$E$32,0)),"")</f>
        <v/>
      </c>
      <c r="S140" s="151" t="str">
        <f t="shared" si="14"/>
        <v>H</v>
      </c>
      <c r="T140" s="156" t="str">
        <f>INDEX(Index!$H$1:$H$32,MATCH($E140,Index!$E$1:$E$32,0))</f>
        <v>NN</v>
      </c>
      <c r="U140" s="156" t="str">
        <f>INDEX(Index!$H$1:$H$32,MATCH($G140,Index!$E$1:$E$32,0))</f>
        <v>NE</v>
      </c>
      <c r="V140" s="156" t="str">
        <f t="shared" si="15"/>
        <v>Con</v>
      </c>
      <c r="W140" s="152" t="str">
        <f t="shared" si="16"/>
        <v>Y</v>
      </c>
      <c r="X140" s="149" t="str">
        <f>INDEX(Index!$G$1:$G$32,MATCH(E140,Index!$E$1:$E$32,0))</f>
        <v>CHI</v>
      </c>
      <c r="Y140" s="150" t="str">
        <f>INDEX(Index!$G$1:$G$32,MATCH(G140,Index!$E$1:$E$32,0))</f>
        <v>NYG</v>
      </c>
      <c r="Z140" s="147" t="str">
        <f t="shared" si="17"/>
        <v/>
      </c>
      <c r="AA140" s="174" t="str" cm="1">
        <f t="array" ref="AA140">IFERROR(IF($W140="Y","",INDEX(EPA!$N$2:$N$512,MATCH(X140&amp;Index!$K$1,EPA!$A$2:$A$512&amp;EPA!$W$2:$W$512,0))),"")</f>
        <v/>
      </c>
      <c r="AB140" s="174" t="str" cm="1">
        <f t="array" ref="AB140">IFERROR(IF($W140="Y","",INDEX(EPA!$N$2:$N$512,MATCH(Y140&amp;Index!$K$1,EPA!$A$2:$A$512&amp;EPA!$W$2:$W$512,0))),"")</f>
        <v/>
      </c>
      <c r="AC140" s="174" t="str">
        <f ca="1">IF(AA140&lt;&gt;"",_xlfn.NORM.INV(RAND(),AA140,Index!$K$2),"")</f>
        <v/>
      </c>
      <c r="AD140" s="174" t="str">
        <f ca="1">IF(AB140&lt;&gt;"",_xlfn.NORM.INV(RAND(),AB140,Index!$K$2),"")</f>
        <v/>
      </c>
      <c r="AE140" s="157" t="str">
        <f t="shared" si="18"/>
        <v>CHI</v>
      </c>
      <c r="AF140" s="158" t="str">
        <f t="shared" si="19"/>
        <v>NYG</v>
      </c>
      <c r="AG140" s="149">
        <f t="shared" si="20"/>
        <v>139</v>
      </c>
    </row>
    <row r="141" spans="1:33" x14ac:dyDescent="0.25">
      <c r="A141" s="9">
        <v>10</v>
      </c>
      <c r="B141" s="9" t="s">
        <v>661</v>
      </c>
      <c r="C141" s="148">
        <v>45970</v>
      </c>
      <c r="D141" s="9" t="s">
        <v>662</v>
      </c>
      <c r="E141" s="9" t="s">
        <v>23</v>
      </c>
      <c r="F141" s="9"/>
      <c r="G141" s="9" t="s">
        <v>83</v>
      </c>
      <c r="H141" s="9" t="s">
        <v>658</v>
      </c>
      <c r="I141" s="9">
        <v>27</v>
      </c>
      <c r="J141" s="9">
        <v>20</v>
      </c>
      <c r="K141" s="9">
        <v>169</v>
      </c>
      <c r="L141" s="9">
        <v>1</v>
      </c>
      <c r="M141" s="9">
        <v>278</v>
      </c>
      <c r="N141" s="9">
        <v>0</v>
      </c>
      <c r="O141" s="149" t="str">
        <f>IF(I141&lt;&gt;"",IF(I141=J141,"TIE",INDEX(Index!$F$1:$F$32,MATCH(E141,Index!$E$1:$E$32,0))),INDEX(Index!$F$1:$F$32,MATCH(E141,Index!$E$1:$E$32,0)))</f>
        <v>NYJ</v>
      </c>
      <c r="P141" s="150" t="str">
        <f>IF(I141&lt;&gt;"",IF(I141=J141,"TIE",INDEX(Index!$F$1:$F$32,MATCH(G141,Index!$E$1:$E$32,0))),INDEX(Index!$F$1:$F$32,MATCH(G141,Index!$E$1:$E$32,0)))</f>
        <v>CLE</v>
      </c>
      <c r="Q141" s="155" t="str">
        <f>IF(O141="TIE",INDEX(Index!$F$1:$F$32,MATCH(E141,Index!$E$1:$E$32,0)),"")</f>
        <v/>
      </c>
      <c r="R141" s="155" t="str">
        <f>IF(P141="TIE",INDEX(Index!$F$1:$F$32,MATCH(G141,Index!$E$1:$E$32,0)),"")</f>
        <v/>
      </c>
      <c r="S141" s="151" t="str">
        <f t="shared" si="14"/>
        <v>H</v>
      </c>
      <c r="T141" s="156" t="str">
        <f>INDEX(Index!$H$1:$H$32,MATCH($E141,Index!$E$1:$E$32,0))</f>
        <v>AE</v>
      </c>
      <c r="U141" s="156" t="str">
        <f>INDEX(Index!$H$1:$H$32,MATCH($G141,Index!$E$1:$E$32,0))</f>
        <v>AN</v>
      </c>
      <c r="V141" s="156" t="str">
        <f t="shared" si="15"/>
        <v>Con</v>
      </c>
      <c r="W141" s="152" t="str">
        <f t="shared" si="16"/>
        <v>Y</v>
      </c>
      <c r="X141" s="149" t="str">
        <f>INDEX(Index!$G$1:$G$32,MATCH(E141,Index!$E$1:$E$32,0))</f>
        <v>NYJ</v>
      </c>
      <c r="Y141" s="150" t="str">
        <f>INDEX(Index!$G$1:$G$32,MATCH(G141,Index!$E$1:$E$32,0))</f>
        <v>CLE</v>
      </c>
      <c r="Z141" s="147" t="str">
        <f t="shared" si="17"/>
        <v/>
      </c>
      <c r="AA141" s="174" t="str" cm="1">
        <f t="array" ref="AA141">IFERROR(IF($W141="Y","",INDEX(EPA!$N$2:$N$512,MATCH(X141&amp;Index!$K$1,EPA!$A$2:$A$512&amp;EPA!$W$2:$W$512,0))),"")</f>
        <v/>
      </c>
      <c r="AB141" s="174" t="str" cm="1">
        <f t="array" ref="AB141">IFERROR(IF($W141="Y","",INDEX(EPA!$N$2:$N$512,MATCH(Y141&amp;Index!$K$1,EPA!$A$2:$A$512&amp;EPA!$W$2:$W$512,0))),"")</f>
        <v/>
      </c>
      <c r="AC141" s="174" t="str">
        <f ca="1">IF(AA141&lt;&gt;"",_xlfn.NORM.INV(RAND(),AA141,Index!$K$2),"")</f>
        <v/>
      </c>
      <c r="AD141" s="174" t="str">
        <f ca="1">IF(AB141&lt;&gt;"",_xlfn.NORM.INV(RAND(),AB141,Index!$K$2),"")</f>
        <v/>
      </c>
      <c r="AE141" s="157" t="str">
        <f t="shared" si="18"/>
        <v>NYJ</v>
      </c>
      <c r="AF141" s="158" t="str">
        <f t="shared" si="19"/>
        <v>CLE</v>
      </c>
      <c r="AG141" s="149">
        <f t="shared" si="20"/>
        <v>140</v>
      </c>
    </row>
    <row r="142" spans="1:33" x14ac:dyDescent="0.25">
      <c r="A142" s="9">
        <v>10</v>
      </c>
      <c r="B142" s="9" t="s">
        <v>661</v>
      </c>
      <c r="C142" s="148">
        <v>45970</v>
      </c>
      <c r="D142" s="9" t="s">
        <v>662</v>
      </c>
      <c r="E142" s="9" t="s">
        <v>33</v>
      </c>
      <c r="F142" s="9"/>
      <c r="G142" s="9" t="s">
        <v>36</v>
      </c>
      <c r="H142" s="9" t="s">
        <v>658</v>
      </c>
      <c r="I142" s="9">
        <v>36</v>
      </c>
      <c r="J142" s="9">
        <v>29</v>
      </c>
      <c r="K142" s="9">
        <v>412</v>
      </c>
      <c r="L142" s="9">
        <v>2</v>
      </c>
      <c r="M142" s="9">
        <v>213</v>
      </c>
      <c r="N142" s="9">
        <v>2</v>
      </c>
      <c r="O142" s="149" t="str">
        <f>IF(I142&lt;&gt;"",IF(I142=J142,"TIE",INDEX(Index!$F$1:$F$32,MATCH(E142,Index!$E$1:$E$32,0))),INDEX(Index!$F$1:$F$32,MATCH(E142,Index!$E$1:$E$32,0)))</f>
        <v>HOU</v>
      </c>
      <c r="P142" s="150" t="str">
        <f>IF(I142&lt;&gt;"",IF(I142=J142,"TIE",INDEX(Index!$F$1:$F$32,MATCH(G142,Index!$E$1:$E$32,0))),INDEX(Index!$F$1:$F$32,MATCH(G142,Index!$E$1:$E$32,0)))</f>
        <v>JAX</v>
      </c>
      <c r="Q142" s="155" t="str">
        <f>IF(O142="TIE",INDEX(Index!$F$1:$F$32,MATCH(E142,Index!$E$1:$E$32,0)),"")</f>
        <v/>
      </c>
      <c r="R142" s="155" t="str">
        <f>IF(P142="TIE",INDEX(Index!$F$1:$F$32,MATCH(G142,Index!$E$1:$E$32,0)),"")</f>
        <v/>
      </c>
      <c r="S142" s="151" t="str">
        <f t="shared" si="14"/>
        <v>H</v>
      </c>
      <c r="T142" s="156" t="str">
        <f>INDEX(Index!$H$1:$H$32,MATCH($E142,Index!$E$1:$E$32,0))</f>
        <v>AS</v>
      </c>
      <c r="U142" s="156" t="str">
        <f>INDEX(Index!$H$1:$H$32,MATCH($G142,Index!$E$1:$E$32,0))</f>
        <v>AS</v>
      </c>
      <c r="V142" s="156" t="str">
        <f t="shared" si="15"/>
        <v>Div</v>
      </c>
      <c r="W142" s="152" t="str">
        <f t="shared" si="16"/>
        <v>Y</v>
      </c>
      <c r="X142" s="149" t="str">
        <f>INDEX(Index!$G$1:$G$32,MATCH(E142,Index!$E$1:$E$32,0))</f>
        <v>HOU</v>
      </c>
      <c r="Y142" s="150" t="str">
        <f>INDEX(Index!$G$1:$G$32,MATCH(G142,Index!$E$1:$E$32,0))</f>
        <v>JAX</v>
      </c>
      <c r="Z142" s="147" t="str">
        <f t="shared" si="17"/>
        <v/>
      </c>
      <c r="AA142" s="174" t="str" cm="1">
        <f t="array" ref="AA142">IFERROR(IF($W142="Y","",INDEX(EPA!$N$2:$N$512,MATCH(X142&amp;Index!$K$1,EPA!$A$2:$A$512&amp;EPA!$W$2:$W$512,0))),"")</f>
        <v/>
      </c>
      <c r="AB142" s="174" t="str" cm="1">
        <f t="array" ref="AB142">IFERROR(IF($W142="Y","",INDEX(EPA!$N$2:$N$512,MATCH(Y142&amp;Index!$K$1,EPA!$A$2:$A$512&amp;EPA!$W$2:$W$512,0))),"")</f>
        <v/>
      </c>
      <c r="AC142" s="174" t="str">
        <f ca="1">IF(AA142&lt;&gt;"",_xlfn.NORM.INV(RAND(),AA142,Index!$K$2),"")</f>
        <v/>
      </c>
      <c r="AD142" s="174" t="str">
        <f ca="1">IF(AB142&lt;&gt;"",_xlfn.NORM.INV(RAND(),AB142,Index!$K$2),"")</f>
        <v/>
      </c>
      <c r="AE142" s="157" t="str">
        <f t="shared" si="18"/>
        <v>HOU</v>
      </c>
      <c r="AF142" s="158" t="str">
        <f t="shared" si="19"/>
        <v>JAX</v>
      </c>
      <c r="AG142" s="149">
        <f t="shared" si="20"/>
        <v>141</v>
      </c>
    </row>
    <row r="143" spans="1:33" x14ac:dyDescent="0.25">
      <c r="A143" s="9">
        <v>10</v>
      </c>
      <c r="B143" s="9" t="s">
        <v>661</v>
      </c>
      <c r="C143" s="148">
        <v>45970</v>
      </c>
      <c r="D143" s="9" t="s">
        <v>662</v>
      </c>
      <c r="E143" s="9" t="s">
        <v>76</v>
      </c>
      <c r="F143" s="9" t="s">
        <v>663</v>
      </c>
      <c r="G143" s="9" t="s">
        <v>58</v>
      </c>
      <c r="H143" s="9" t="s">
        <v>658</v>
      </c>
      <c r="I143" s="9">
        <v>27</v>
      </c>
      <c r="J143" s="9">
        <v>19</v>
      </c>
      <c r="K143" s="9">
        <v>321</v>
      </c>
      <c r="L143" s="9">
        <v>0</v>
      </c>
      <c r="M143" s="9">
        <v>365</v>
      </c>
      <c r="N143" s="9">
        <v>3</v>
      </c>
      <c r="O143" s="149" t="str">
        <f>IF(I143&lt;&gt;"",IF(I143=J143,"TIE",INDEX(Index!$F$1:$F$32,MATCH(E143,Index!$E$1:$E$32,0))),INDEX(Index!$F$1:$F$32,MATCH(E143,Index!$E$1:$E$32,0)))</f>
        <v>BAL</v>
      </c>
      <c r="P143" s="150" t="str">
        <f>IF(I143&lt;&gt;"",IF(I143=J143,"TIE",INDEX(Index!$F$1:$F$32,MATCH(G143,Index!$E$1:$E$32,0))),INDEX(Index!$F$1:$F$32,MATCH(G143,Index!$E$1:$E$32,0)))</f>
        <v>MIN</v>
      </c>
      <c r="Q143" s="155" t="str">
        <f>IF(O143="TIE",INDEX(Index!$F$1:$F$32,MATCH(E143,Index!$E$1:$E$32,0)),"")</f>
        <v/>
      </c>
      <c r="R143" s="155" t="str">
        <f>IF(P143="TIE",INDEX(Index!$F$1:$F$32,MATCH(G143,Index!$E$1:$E$32,0)),"")</f>
        <v/>
      </c>
      <c r="S143" s="151" t="str">
        <f t="shared" si="14"/>
        <v>A</v>
      </c>
      <c r="T143" s="156" t="str">
        <f>INDEX(Index!$H$1:$H$32,MATCH($E143,Index!$E$1:$E$32,0))</f>
        <v>AN</v>
      </c>
      <c r="U143" s="156" t="str">
        <f>INDEX(Index!$H$1:$H$32,MATCH($G143,Index!$E$1:$E$32,0))</f>
        <v>NN</v>
      </c>
      <c r="V143" s="156" t="str">
        <f t="shared" si="15"/>
        <v>Non</v>
      </c>
      <c r="W143" s="152" t="str">
        <f t="shared" si="16"/>
        <v>Y</v>
      </c>
      <c r="X143" s="149" t="str">
        <f>INDEX(Index!$G$1:$G$32,MATCH(E143,Index!$E$1:$E$32,0))</f>
        <v>BAL</v>
      </c>
      <c r="Y143" s="150" t="str">
        <f>INDEX(Index!$G$1:$G$32,MATCH(G143,Index!$E$1:$E$32,0))</f>
        <v>MIN</v>
      </c>
      <c r="Z143" s="147" t="str">
        <f t="shared" si="17"/>
        <v/>
      </c>
      <c r="AA143" s="174" t="str" cm="1">
        <f t="array" ref="AA143">IFERROR(IF($W143="Y","",INDEX(EPA!$N$2:$N$512,MATCH(X143&amp;Index!$K$1,EPA!$A$2:$A$512&amp;EPA!$W$2:$W$512,0))),"")</f>
        <v/>
      </c>
      <c r="AB143" s="174" t="str" cm="1">
        <f t="array" ref="AB143">IFERROR(IF($W143="Y","",INDEX(EPA!$N$2:$N$512,MATCH(Y143&amp;Index!$K$1,EPA!$A$2:$A$512&amp;EPA!$W$2:$W$512,0))),"")</f>
        <v/>
      </c>
      <c r="AC143" s="174" t="str">
        <f ca="1">IF(AA143&lt;&gt;"",_xlfn.NORM.INV(RAND(),AA143,Index!$K$2),"")</f>
        <v/>
      </c>
      <c r="AD143" s="174" t="str">
        <f ca="1">IF(AB143&lt;&gt;"",_xlfn.NORM.INV(RAND(),AB143,Index!$K$2),"")</f>
        <v/>
      </c>
      <c r="AE143" s="157" t="str">
        <f t="shared" si="18"/>
        <v>BAL</v>
      </c>
      <c r="AF143" s="158" t="str">
        <f t="shared" si="19"/>
        <v>MIN</v>
      </c>
      <c r="AG143" s="149">
        <f t="shared" si="20"/>
        <v>142</v>
      </c>
    </row>
    <row r="144" spans="1:33" x14ac:dyDescent="0.25">
      <c r="A144" s="9">
        <v>10</v>
      </c>
      <c r="B144" s="9" t="s">
        <v>661</v>
      </c>
      <c r="C144" s="148">
        <v>45970</v>
      </c>
      <c r="D144" s="9" t="s">
        <v>662</v>
      </c>
      <c r="E144" s="9" t="s">
        <v>71</v>
      </c>
      <c r="F144" s="9" t="s">
        <v>663</v>
      </c>
      <c r="G144" s="9" t="s">
        <v>12</v>
      </c>
      <c r="H144" s="9" t="s">
        <v>658</v>
      </c>
      <c r="I144" s="9">
        <v>17</v>
      </c>
      <c r="J144" s="9">
        <v>7</v>
      </c>
      <c r="K144" s="9">
        <v>388</v>
      </c>
      <c r="L144" s="9">
        <v>1</v>
      </c>
      <c r="M144" s="9">
        <v>175</v>
      </c>
      <c r="N144" s="9">
        <v>2</v>
      </c>
      <c r="O144" s="149" t="str">
        <f>IF(I144&lt;&gt;"",IF(I144=J144,"TIE",INDEX(Index!$F$1:$F$32,MATCH(E144,Index!$E$1:$E$32,0))),INDEX(Index!$F$1:$F$32,MATCH(E144,Index!$E$1:$E$32,0)))</f>
        <v>NO</v>
      </c>
      <c r="P144" s="150" t="str">
        <f>IF(I144&lt;&gt;"",IF(I144=J144,"TIE",INDEX(Index!$F$1:$F$32,MATCH(G144,Index!$E$1:$E$32,0))),INDEX(Index!$F$1:$F$32,MATCH(G144,Index!$E$1:$E$32,0)))</f>
        <v>CAR</v>
      </c>
      <c r="Q144" s="155" t="str">
        <f>IF(O144="TIE",INDEX(Index!$F$1:$F$32,MATCH(E144,Index!$E$1:$E$32,0)),"")</f>
        <v/>
      </c>
      <c r="R144" s="155" t="str">
        <f>IF(P144="TIE",INDEX(Index!$F$1:$F$32,MATCH(G144,Index!$E$1:$E$32,0)),"")</f>
        <v/>
      </c>
      <c r="S144" s="151" t="str">
        <f t="shared" si="14"/>
        <v>A</v>
      </c>
      <c r="T144" s="156" t="str">
        <f>INDEX(Index!$H$1:$H$32,MATCH($E144,Index!$E$1:$E$32,0))</f>
        <v>NS</v>
      </c>
      <c r="U144" s="156" t="str">
        <f>INDEX(Index!$H$1:$H$32,MATCH($G144,Index!$E$1:$E$32,0))</f>
        <v>NS</v>
      </c>
      <c r="V144" s="156" t="str">
        <f t="shared" si="15"/>
        <v>Div</v>
      </c>
      <c r="W144" s="152" t="str">
        <f t="shared" si="16"/>
        <v>Y</v>
      </c>
      <c r="X144" s="149" t="str">
        <f>INDEX(Index!$G$1:$G$32,MATCH(E144,Index!$E$1:$E$32,0))</f>
        <v>NO</v>
      </c>
      <c r="Y144" s="150" t="str">
        <f>INDEX(Index!$G$1:$G$32,MATCH(G144,Index!$E$1:$E$32,0))</f>
        <v>CAR</v>
      </c>
      <c r="Z144" s="147" t="str">
        <f t="shared" si="17"/>
        <v/>
      </c>
      <c r="AA144" s="174" t="str" cm="1">
        <f t="array" ref="AA144">IFERROR(IF($W144="Y","",INDEX(EPA!$N$2:$N$512,MATCH(X144&amp;Index!$K$1,EPA!$A$2:$A$512&amp;EPA!$W$2:$W$512,0))),"")</f>
        <v/>
      </c>
      <c r="AB144" s="174" t="str" cm="1">
        <f t="array" ref="AB144">IFERROR(IF($W144="Y","",INDEX(EPA!$N$2:$N$512,MATCH(Y144&amp;Index!$K$1,EPA!$A$2:$A$512&amp;EPA!$W$2:$W$512,0))),"")</f>
        <v/>
      </c>
      <c r="AC144" s="174" t="str">
        <f ca="1">IF(AA144&lt;&gt;"",_xlfn.NORM.INV(RAND(),AA144,Index!$K$2),"")</f>
        <v/>
      </c>
      <c r="AD144" s="174" t="str">
        <f ca="1">IF(AB144&lt;&gt;"",_xlfn.NORM.INV(RAND(),AB144,Index!$K$2),"")</f>
        <v/>
      </c>
      <c r="AE144" s="157" t="str">
        <f t="shared" si="18"/>
        <v>NO</v>
      </c>
      <c r="AF144" s="158" t="str">
        <f t="shared" si="19"/>
        <v>CAR</v>
      </c>
      <c r="AG144" s="149">
        <f t="shared" si="20"/>
        <v>143</v>
      </c>
    </row>
    <row r="145" spans="1:33" x14ac:dyDescent="0.25">
      <c r="A145" s="9">
        <v>10</v>
      </c>
      <c r="B145" s="9" t="s">
        <v>661</v>
      </c>
      <c r="C145" s="148">
        <v>45970</v>
      </c>
      <c r="D145" s="9" t="s">
        <v>662</v>
      </c>
      <c r="E145" s="9" t="s">
        <v>45</v>
      </c>
      <c r="F145" s="9" t="s">
        <v>663</v>
      </c>
      <c r="G145" s="9" t="s">
        <v>0</v>
      </c>
      <c r="H145" s="9" t="s">
        <v>658</v>
      </c>
      <c r="I145" s="9">
        <v>28</v>
      </c>
      <c r="J145" s="9">
        <v>23</v>
      </c>
      <c r="K145" s="9">
        <v>435</v>
      </c>
      <c r="L145" s="9">
        <v>1</v>
      </c>
      <c r="M145" s="9">
        <v>371</v>
      </c>
      <c r="N145" s="9">
        <v>0</v>
      </c>
      <c r="O145" s="149" t="str">
        <f>IF(I145&lt;&gt;"",IF(I145=J145,"TIE",INDEX(Index!$F$1:$F$32,MATCH(E145,Index!$E$1:$E$32,0))),INDEX(Index!$F$1:$F$32,MATCH(E145,Index!$E$1:$E$32,0)))</f>
        <v>NE</v>
      </c>
      <c r="P145" s="150" t="str">
        <f>IF(I145&lt;&gt;"",IF(I145=J145,"TIE",INDEX(Index!$F$1:$F$32,MATCH(G145,Index!$E$1:$E$32,0))),INDEX(Index!$F$1:$F$32,MATCH(G145,Index!$E$1:$E$32,0)))</f>
        <v>TB</v>
      </c>
      <c r="Q145" s="155" t="str">
        <f>IF(O145="TIE",INDEX(Index!$F$1:$F$32,MATCH(E145,Index!$E$1:$E$32,0)),"")</f>
        <v/>
      </c>
      <c r="R145" s="155" t="str">
        <f>IF(P145="TIE",INDEX(Index!$F$1:$F$32,MATCH(G145,Index!$E$1:$E$32,0)),"")</f>
        <v/>
      </c>
      <c r="S145" s="151" t="str">
        <f t="shared" si="14"/>
        <v>A</v>
      </c>
      <c r="T145" s="156" t="str">
        <f>INDEX(Index!$H$1:$H$32,MATCH($E145,Index!$E$1:$E$32,0))</f>
        <v>AE</v>
      </c>
      <c r="U145" s="156" t="str">
        <f>INDEX(Index!$H$1:$H$32,MATCH($G145,Index!$E$1:$E$32,0))</f>
        <v>NS</v>
      </c>
      <c r="V145" s="156" t="str">
        <f t="shared" si="15"/>
        <v>Non</v>
      </c>
      <c r="W145" s="152" t="str">
        <f t="shared" si="16"/>
        <v>Y</v>
      </c>
      <c r="X145" s="149" t="str">
        <f>INDEX(Index!$G$1:$G$32,MATCH(E145,Index!$E$1:$E$32,0))</f>
        <v>NE</v>
      </c>
      <c r="Y145" s="150" t="str">
        <f>INDEX(Index!$G$1:$G$32,MATCH(G145,Index!$E$1:$E$32,0))</f>
        <v>TB</v>
      </c>
      <c r="Z145" s="147" t="str">
        <f t="shared" si="17"/>
        <v/>
      </c>
      <c r="AA145" s="174" t="str" cm="1">
        <f t="array" ref="AA145">IFERROR(IF($W145="Y","",INDEX(EPA!$N$2:$N$512,MATCH(X145&amp;Index!$K$1,EPA!$A$2:$A$512&amp;EPA!$W$2:$W$512,0))),"")</f>
        <v/>
      </c>
      <c r="AB145" s="174" t="str" cm="1">
        <f t="array" ref="AB145">IFERROR(IF($W145="Y","",INDEX(EPA!$N$2:$N$512,MATCH(Y145&amp;Index!$K$1,EPA!$A$2:$A$512&amp;EPA!$W$2:$W$512,0))),"")</f>
        <v/>
      </c>
      <c r="AC145" s="174" t="str">
        <f ca="1">IF(AA145&lt;&gt;"",_xlfn.NORM.INV(RAND(),AA145,Index!$K$2),"")</f>
        <v/>
      </c>
      <c r="AD145" s="174" t="str">
        <f ca="1">IF(AB145&lt;&gt;"",_xlfn.NORM.INV(RAND(),AB145,Index!$K$2),"")</f>
        <v/>
      </c>
      <c r="AE145" s="157" t="str">
        <f t="shared" si="18"/>
        <v>NE</v>
      </c>
      <c r="AF145" s="158" t="str">
        <f t="shared" si="19"/>
        <v>TB</v>
      </c>
      <c r="AG145" s="149">
        <f t="shared" si="20"/>
        <v>144</v>
      </c>
    </row>
    <row r="146" spans="1:33" x14ac:dyDescent="0.25">
      <c r="A146" s="9">
        <v>10</v>
      </c>
      <c r="B146" s="9" t="s">
        <v>661</v>
      </c>
      <c r="C146" s="148">
        <v>45970</v>
      </c>
      <c r="D146" s="9" t="s">
        <v>664</v>
      </c>
      <c r="E146" s="9" t="s">
        <v>8</v>
      </c>
      <c r="F146" s="9"/>
      <c r="G146" s="9" t="s">
        <v>27</v>
      </c>
      <c r="H146" s="9" t="s">
        <v>658</v>
      </c>
      <c r="I146" s="9">
        <v>44</v>
      </c>
      <c r="J146" s="9">
        <v>22</v>
      </c>
      <c r="K146" s="9">
        <v>372</v>
      </c>
      <c r="L146" s="9">
        <v>3</v>
      </c>
      <c r="M146" s="9">
        <v>335</v>
      </c>
      <c r="N146" s="9">
        <v>2</v>
      </c>
      <c r="O146" s="149" t="str">
        <f>IF(I146&lt;&gt;"",IF(I146=J146,"TIE",INDEX(Index!$F$1:$F$32,MATCH(E146,Index!$E$1:$E$32,0))),INDEX(Index!$F$1:$F$32,MATCH(E146,Index!$E$1:$E$32,0)))</f>
        <v>SEA</v>
      </c>
      <c r="P146" s="150" t="str">
        <f>IF(I146&lt;&gt;"",IF(I146=J146,"TIE",INDEX(Index!$F$1:$F$32,MATCH(G146,Index!$E$1:$E$32,0))),INDEX(Index!$F$1:$F$32,MATCH(G146,Index!$E$1:$E$32,0)))</f>
        <v>ARI</v>
      </c>
      <c r="Q146" s="155" t="str">
        <f>IF(O146="TIE",INDEX(Index!$F$1:$F$32,MATCH(E146,Index!$E$1:$E$32,0)),"")</f>
        <v/>
      </c>
      <c r="R146" s="155" t="str">
        <f>IF(P146="TIE",INDEX(Index!$F$1:$F$32,MATCH(G146,Index!$E$1:$E$32,0)),"")</f>
        <v/>
      </c>
      <c r="S146" s="151" t="str">
        <f t="shared" si="14"/>
        <v>H</v>
      </c>
      <c r="T146" s="156" t="str">
        <f>INDEX(Index!$H$1:$H$32,MATCH($E146,Index!$E$1:$E$32,0))</f>
        <v>NW</v>
      </c>
      <c r="U146" s="156" t="str">
        <f>INDEX(Index!$H$1:$H$32,MATCH($G146,Index!$E$1:$E$32,0))</f>
        <v>NW</v>
      </c>
      <c r="V146" s="156" t="str">
        <f t="shared" si="15"/>
        <v>Div</v>
      </c>
      <c r="W146" s="152" t="str">
        <f t="shared" si="16"/>
        <v>Y</v>
      </c>
      <c r="X146" s="149" t="str">
        <f>INDEX(Index!$G$1:$G$32,MATCH(E146,Index!$E$1:$E$32,0))</f>
        <v>SEA</v>
      </c>
      <c r="Y146" s="150" t="str">
        <f>INDEX(Index!$G$1:$G$32,MATCH(G146,Index!$E$1:$E$32,0))</f>
        <v>ARI</v>
      </c>
      <c r="Z146" s="147" t="str">
        <f t="shared" si="17"/>
        <v/>
      </c>
      <c r="AA146" s="174" t="str" cm="1">
        <f t="array" ref="AA146">IFERROR(IF($W146="Y","",INDEX(EPA!$N$2:$N$512,MATCH(X146&amp;Index!$K$1,EPA!$A$2:$A$512&amp;EPA!$W$2:$W$512,0))),"")</f>
        <v/>
      </c>
      <c r="AB146" s="174" t="str" cm="1">
        <f t="array" ref="AB146">IFERROR(IF($W146="Y","",INDEX(EPA!$N$2:$N$512,MATCH(Y146&amp;Index!$K$1,EPA!$A$2:$A$512&amp;EPA!$W$2:$W$512,0))),"")</f>
        <v/>
      </c>
      <c r="AC146" s="174" t="str">
        <f ca="1">IF(AA146&lt;&gt;"",_xlfn.NORM.INV(RAND(),AA146,Index!$K$2),"")</f>
        <v/>
      </c>
      <c r="AD146" s="174" t="str">
        <f ca="1">IF(AB146&lt;&gt;"",_xlfn.NORM.INV(RAND(),AB146,Index!$K$2),"")</f>
        <v/>
      </c>
      <c r="AE146" s="157" t="str">
        <f t="shared" si="18"/>
        <v>SEA</v>
      </c>
      <c r="AF146" s="158" t="str">
        <f t="shared" si="19"/>
        <v>ARI</v>
      </c>
      <c r="AG146" s="149">
        <f t="shared" si="20"/>
        <v>145</v>
      </c>
    </row>
    <row r="147" spans="1:33" x14ac:dyDescent="0.25">
      <c r="A147" s="9">
        <v>10</v>
      </c>
      <c r="B147" s="9" t="s">
        <v>661</v>
      </c>
      <c r="C147" s="148">
        <v>45970</v>
      </c>
      <c r="D147" s="9" t="s">
        <v>665</v>
      </c>
      <c r="E147" s="9" t="s">
        <v>86</v>
      </c>
      <c r="F147" s="9" t="s">
        <v>663</v>
      </c>
      <c r="G147" s="9" t="s">
        <v>4</v>
      </c>
      <c r="H147" s="9" t="s">
        <v>658</v>
      </c>
      <c r="I147" s="9">
        <v>44</v>
      </c>
      <c r="J147" s="9">
        <v>22</v>
      </c>
      <c r="K147" s="9">
        <v>546</v>
      </c>
      <c r="L147" s="9">
        <v>0</v>
      </c>
      <c r="M147" s="9">
        <v>288</v>
      </c>
      <c r="N147" s="9">
        <v>0</v>
      </c>
      <c r="O147" s="149" t="str">
        <f>IF(I147&lt;&gt;"",IF(I147=J147,"TIE",INDEX(Index!$F$1:$F$32,MATCH(E147,Index!$E$1:$E$32,0))),INDEX(Index!$F$1:$F$32,MATCH(E147,Index!$E$1:$E$32,0)))</f>
        <v>DET</v>
      </c>
      <c r="P147" s="150" t="str">
        <f>IF(I147&lt;&gt;"",IF(I147=J147,"TIE",INDEX(Index!$F$1:$F$32,MATCH(G147,Index!$E$1:$E$32,0))),INDEX(Index!$F$1:$F$32,MATCH(G147,Index!$E$1:$E$32,0)))</f>
        <v>WAS</v>
      </c>
      <c r="Q147" s="155" t="str">
        <f>IF(O147="TIE",INDEX(Index!$F$1:$F$32,MATCH(E147,Index!$E$1:$E$32,0)),"")</f>
        <v/>
      </c>
      <c r="R147" s="155" t="str">
        <f>IF(P147="TIE",INDEX(Index!$F$1:$F$32,MATCH(G147,Index!$E$1:$E$32,0)),"")</f>
        <v/>
      </c>
      <c r="S147" s="151" t="str">
        <f t="shared" si="14"/>
        <v>A</v>
      </c>
      <c r="T147" s="156" t="str">
        <f>INDEX(Index!$H$1:$H$32,MATCH($E147,Index!$E$1:$E$32,0))</f>
        <v>NN</v>
      </c>
      <c r="U147" s="156" t="str">
        <f>INDEX(Index!$H$1:$H$32,MATCH($G147,Index!$E$1:$E$32,0))</f>
        <v>NE</v>
      </c>
      <c r="V147" s="156" t="str">
        <f t="shared" si="15"/>
        <v>Con</v>
      </c>
      <c r="W147" s="152" t="str">
        <f t="shared" si="16"/>
        <v>Y</v>
      </c>
      <c r="X147" s="149" t="str">
        <f>INDEX(Index!$G$1:$G$32,MATCH(E147,Index!$E$1:$E$32,0))</f>
        <v>DET</v>
      </c>
      <c r="Y147" s="150" t="str">
        <f>INDEX(Index!$G$1:$G$32,MATCH(G147,Index!$E$1:$E$32,0))</f>
        <v>WAS</v>
      </c>
      <c r="Z147" s="147" t="str">
        <f t="shared" si="17"/>
        <v/>
      </c>
      <c r="AA147" s="174" t="str" cm="1">
        <f t="array" ref="AA147">IFERROR(IF($W147="Y","",INDEX(EPA!$N$2:$N$512,MATCH(X147&amp;Index!$K$1,EPA!$A$2:$A$512&amp;EPA!$W$2:$W$512,0))),"")</f>
        <v/>
      </c>
      <c r="AB147" s="174" t="str" cm="1">
        <f t="array" ref="AB147">IFERROR(IF($W147="Y","",INDEX(EPA!$N$2:$N$512,MATCH(Y147&amp;Index!$K$1,EPA!$A$2:$A$512&amp;EPA!$W$2:$W$512,0))),"")</f>
        <v/>
      </c>
      <c r="AC147" s="174" t="str">
        <f ca="1">IF(AA147&lt;&gt;"",_xlfn.NORM.INV(RAND(),AA147,Index!$K$2),"")</f>
        <v/>
      </c>
      <c r="AD147" s="174" t="str">
        <f ca="1">IF(AB147&lt;&gt;"",_xlfn.NORM.INV(RAND(),AB147,Index!$K$2),"")</f>
        <v/>
      </c>
      <c r="AE147" s="157" t="str">
        <f t="shared" si="18"/>
        <v>DET</v>
      </c>
      <c r="AF147" s="158" t="str">
        <f t="shared" si="19"/>
        <v>WAS</v>
      </c>
      <c r="AG147" s="149">
        <f t="shared" si="20"/>
        <v>146</v>
      </c>
    </row>
    <row r="148" spans="1:33" x14ac:dyDescent="0.25">
      <c r="A148" s="9">
        <v>10</v>
      </c>
      <c r="B148" s="9" t="s">
        <v>661</v>
      </c>
      <c r="C148" s="148">
        <v>45970</v>
      </c>
      <c r="D148" s="9" t="s">
        <v>665</v>
      </c>
      <c r="E148" s="9" t="s">
        <v>90</v>
      </c>
      <c r="F148" s="9" t="s">
        <v>663</v>
      </c>
      <c r="G148" s="9" t="s">
        <v>30</v>
      </c>
      <c r="H148" s="9" t="s">
        <v>658</v>
      </c>
      <c r="I148" s="9">
        <v>42</v>
      </c>
      <c r="J148" s="9">
        <v>26</v>
      </c>
      <c r="K148" s="9">
        <v>401</v>
      </c>
      <c r="L148" s="9">
        <v>0</v>
      </c>
      <c r="M148" s="9">
        <v>393</v>
      </c>
      <c r="N148" s="9">
        <v>2</v>
      </c>
      <c r="O148" s="149" t="str">
        <f>IF(I148&lt;&gt;"",IF(I148=J148,"TIE",INDEX(Index!$F$1:$F$32,MATCH(E148,Index!$E$1:$E$32,0))),INDEX(Index!$F$1:$F$32,MATCH(E148,Index!$E$1:$E$32,0)))</f>
        <v>LAR</v>
      </c>
      <c r="P148" s="150" t="str">
        <f>IF(I148&lt;&gt;"",IF(I148=J148,"TIE",INDEX(Index!$F$1:$F$32,MATCH(G148,Index!$E$1:$E$32,0))),INDEX(Index!$F$1:$F$32,MATCH(G148,Index!$E$1:$E$32,0)))</f>
        <v>SF</v>
      </c>
      <c r="Q148" s="155" t="str">
        <f>IF(O148="TIE",INDEX(Index!$F$1:$F$32,MATCH(E148,Index!$E$1:$E$32,0)),"")</f>
        <v/>
      </c>
      <c r="R148" s="155" t="str">
        <f>IF(P148="TIE",INDEX(Index!$F$1:$F$32,MATCH(G148,Index!$E$1:$E$32,0)),"")</f>
        <v/>
      </c>
      <c r="S148" s="151" t="str">
        <f t="shared" si="14"/>
        <v>A</v>
      </c>
      <c r="T148" s="156" t="str">
        <f>INDEX(Index!$H$1:$H$32,MATCH($E148,Index!$E$1:$E$32,0))</f>
        <v>NW</v>
      </c>
      <c r="U148" s="156" t="str">
        <f>INDEX(Index!$H$1:$H$32,MATCH($G148,Index!$E$1:$E$32,0))</f>
        <v>NW</v>
      </c>
      <c r="V148" s="156" t="str">
        <f t="shared" si="15"/>
        <v>Div</v>
      </c>
      <c r="W148" s="152" t="str">
        <f t="shared" si="16"/>
        <v>Y</v>
      </c>
      <c r="X148" s="149" t="str">
        <f>INDEX(Index!$G$1:$G$32,MATCH(E148,Index!$E$1:$E$32,0))</f>
        <v>LAR</v>
      </c>
      <c r="Y148" s="150" t="str">
        <f>INDEX(Index!$G$1:$G$32,MATCH(G148,Index!$E$1:$E$32,0))</f>
        <v>SF</v>
      </c>
      <c r="Z148" s="147" t="str">
        <f t="shared" si="17"/>
        <v/>
      </c>
      <c r="AA148" s="174" t="str" cm="1">
        <f t="array" ref="AA148">IFERROR(IF($W148="Y","",INDEX(EPA!$N$2:$N$512,MATCH(X148&amp;Index!$K$1,EPA!$A$2:$A$512&amp;EPA!$W$2:$W$512,0))),"")</f>
        <v/>
      </c>
      <c r="AB148" s="174" t="str" cm="1">
        <f t="array" ref="AB148">IFERROR(IF($W148="Y","",INDEX(EPA!$N$2:$N$512,MATCH(Y148&amp;Index!$K$1,EPA!$A$2:$A$512&amp;EPA!$W$2:$W$512,0))),"")</f>
        <v/>
      </c>
      <c r="AC148" s="174" t="str">
        <f ca="1">IF(AA148&lt;&gt;"",_xlfn.NORM.INV(RAND(),AA148,Index!$K$2),"")</f>
        <v/>
      </c>
      <c r="AD148" s="174" t="str">
        <f ca="1">IF(AB148&lt;&gt;"",_xlfn.NORM.INV(RAND(),AB148,Index!$K$2),"")</f>
        <v/>
      </c>
      <c r="AE148" s="157" t="str">
        <f t="shared" si="18"/>
        <v>LAR</v>
      </c>
      <c r="AF148" s="158" t="str">
        <f t="shared" si="19"/>
        <v>SF</v>
      </c>
      <c r="AG148" s="149">
        <f t="shared" si="20"/>
        <v>147</v>
      </c>
    </row>
    <row r="149" spans="1:33" x14ac:dyDescent="0.25">
      <c r="A149" s="9">
        <v>10</v>
      </c>
      <c r="B149" s="9" t="s">
        <v>661</v>
      </c>
      <c r="C149" s="148">
        <v>45970</v>
      </c>
      <c r="D149" s="9" t="s">
        <v>657</v>
      </c>
      <c r="E149" s="9" t="s">
        <v>68</v>
      </c>
      <c r="F149" s="9"/>
      <c r="G149" s="9" t="s">
        <v>73</v>
      </c>
      <c r="H149" s="9" t="s">
        <v>658</v>
      </c>
      <c r="I149" s="9">
        <v>25</v>
      </c>
      <c r="J149" s="9">
        <v>10</v>
      </c>
      <c r="K149" s="9">
        <v>314</v>
      </c>
      <c r="L149" s="9">
        <v>0</v>
      </c>
      <c r="M149" s="9">
        <v>221</v>
      </c>
      <c r="N149" s="9">
        <v>3</v>
      </c>
      <c r="O149" s="149" t="str">
        <f>IF(I149&lt;&gt;"",IF(I149=J149,"TIE",INDEX(Index!$F$1:$F$32,MATCH(E149,Index!$E$1:$E$32,0))),INDEX(Index!$F$1:$F$32,MATCH(E149,Index!$E$1:$E$32,0)))</f>
        <v>LAC</v>
      </c>
      <c r="P149" s="150" t="str">
        <f>IF(I149&lt;&gt;"",IF(I149=J149,"TIE",INDEX(Index!$F$1:$F$32,MATCH(G149,Index!$E$1:$E$32,0))),INDEX(Index!$F$1:$F$32,MATCH(G149,Index!$E$1:$E$32,0)))</f>
        <v>PIT</v>
      </c>
      <c r="Q149" s="155" t="str">
        <f>IF(O149="TIE",INDEX(Index!$F$1:$F$32,MATCH(E149,Index!$E$1:$E$32,0)),"")</f>
        <v/>
      </c>
      <c r="R149" s="155" t="str">
        <f>IF(P149="TIE",INDEX(Index!$F$1:$F$32,MATCH(G149,Index!$E$1:$E$32,0)),"")</f>
        <v/>
      </c>
      <c r="S149" s="151" t="str">
        <f t="shared" si="14"/>
        <v>H</v>
      </c>
      <c r="T149" s="156" t="str">
        <f>INDEX(Index!$H$1:$H$32,MATCH($E149,Index!$E$1:$E$32,0))</f>
        <v>AW</v>
      </c>
      <c r="U149" s="156" t="str">
        <f>INDEX(Index!$H$1:$H$32,MATCH($G149,Index!$E$1:$E$32,0))</f>
        <v>AN</v>
      </c>
      <c r="V149" s="156" t="str">
        <f t="shared" si="15"/>
        <v>Con</v>
      </c>
      <c r="W149" s="152" t="str">
        <f t="shared" si="16"/>
        <v>Y</v>
      </c>
      <c r="X149" s="149" t="str">
        <f>INDEX(Index!$G$1:$G$32,MATCH(E149,Index!$E$1:$E$32,0))</f>
        <v>LAC</v>
      </c>
      <c r="Y149" s="150" t="str">
        <f>INDEX(Index!$G$1:$G$32,MATCH(G149,Index!$E$1:$E$32,0))</f>
        <v>PIT</v>
      </c>
      <c r="Z149" s="147" t="str">
        <f t="shared" si="17"/>
        <v/>
      </c>
      <c r="AA149" s="174" t="str" cm="1">
        <f t="array" ref="AA149">IFERROR(IF($W149="Y","",INDEX(EPA!$N$2:$N$512,MATCH(X149&amp;Index!$K$1,EPA!$A$2:$A$512&amp;EPA!$W$2:$W$512,0))),"")</f>
        <v/>
      </c>
      <c r="AB149" s="174" t="str" cm="1">
        <f t="array" ref="AB149">IFERROR(IF($W149="Y","",INDEX(EPA!$N$2:$N$512,MATCH(Y149&amp;Index!$K$1,EPA!$A$2:$A$512&amp;EPA!$W$2:$W$512,0))),"")</f>
        <v/>
      </c>
      <c r="AC149" s="174" t="str">
        <f ca="1">IF(AA149&lt;&gt;"",_xlfn.NORM.INV(RAND(),AA149,Index!$K$2),"")</f>
        <v/>
      </c>
      <c r="AD149" s="174" t="str">
        <f ca="1">IF(AB149&lt;&gt;"",_xlfn.NORM.INV(RAND(),AB149,Index!$K$2),"")</f>
        <v/>
      </c>
      <c r="AE149" s="157" t="str">
        <f t="shared" si="18"/>
        <v>LAC</v>
      </c>
      <c r="AF149" s="158" t="str">
        <f t="shared" si="19"/>
        <v>PIT</v>
      </c>
      <c r="AG149" s="149">
        <f t="shared" si="20"/>
        <v>148</v>
      </c>
    </row>
    <row r="150" spans="1:33" x14ac:dyDescent="0.25">
      <c r="A150" s="9">
        <v>10</v>
      </c>
      <c r="B150" s="9" t="s">
        <v>666</v>
      </c>
      <c r="C150" s="148">
        <v>45971</v>
      </c>
      <c r="D150" s="9" t="s">
        <v>667</v>
      </c>
      <c r="E150" s="9" t="s">
        <v>92</v>
      </c>
      <c r="F150" s="9" t="s">
        <v>663</v>
      </c>
      <c r="G150" s="9" t="s">
        <v>88</v>
      </c>
      <c r="H150" s="9" t="s">
        <v>658</v>
      </c>
      <c r="I150" s="9">
        <v>10</v>
      </c>
      <c r="J150" s="9">
        <v>7</v>
      </c>
      <c r="K150" s="9">
        <v>294</v>
      </c>
      <c r="L150" s="9">
        <v>1</v>
      </c>
      <c r="M150" s="9">
        <v>261</v>
      </c>
      <c r="N150" s="9">
        <v>2</v>
      </c>
      <c r="O150" s="149" t="str">
        <f>IF(I150&lt;&gt;"",IF(I150=J150,"TIE",INDEX(Index!$F$1:$F$32,MATCH(E150,Index!$E$1:$E$32,0))),INDEX(Index!$F$1:$F$32,MATCH(E150,Index!$E$1:$E$32,0)))</f>
        <v>PHI</v>
      </c>
      <c r="P150" s="150" t="str">
        <f>IF(I150&lt;&gt;"",IF(I150=J150,"TIE",INDEX(Index!$F$1:$F$32,MATCH(G150,Index!$E$1:$E$32,0))),INDEX(Index!$F$1:$F$32,MATCH(G150,Index!$E$1:$E$32,0)))</f>
        <v>GB</v>
      </c>
      <c r="Q150" s="155" t="str">
        <f>IF(O150="TIE",INDEX(Index!$F$1:$F$32,MATCH(E150,Index!$E$1:$E$32,0)),"")</f>
        <v/>
      </c>
      <c r="R150" s="155" t="str">
        <f>IF(P150="TIE",INDEX(Index!$F$1:$F$32,MATCH(G150,Index!$E$1:$E$32,0)),"")</f>
        <v/>
      </c>
      <c r="S150" s="151" t="str">
        <f t="shared" si="14"/>
        <v>A</v>
      </c>
      <c r="T150" s="156" t="str">
        <f>INDEX(Index!$H$1:$H$32,MATCH($E150,Index!$E$1:$E$32,0))</f>
        <v>NE</v>
      </c>
      <c r="U150" s="156" t="str">
        <f>INDEX(Index!$H$1:$H$32,MATCH($G150,Index!$E$1:$E$32,0))</f>
        <v>NN</v>
      </c>
      <c r="V150" s="156" t="str">
        <f t="shared" si="15"/>
        <v>Con</v>
      </c>
      <c r="W150" s="152" t="str">
        <f t="shared" si="16"/>
        <v>Y</v>
      </c>
      <c r="X150" s="149" t="str">
        <f>INDEX(Index!$G$1:$G$32,MATCH(E150,Index!$E$1:$E$32,0))</f>
        <v>PHI</v>
      </c>
      <c r="Y150" s="150" t="str">
        <f>INDEX(Index!$G$1:$G$32,MATCH(G150,Index!$E$1:$E$32,0))</f>
        <v>GB</v>
      </c>
      <c r="Z150" s="147" t="str">
        <f t="shared" si="17"/>
        <v/>
      </c>
      <c r="AA150" s="174" t="str" cm="1">
        <f t="array" ref="AA150">IFERROR(IF($W150="Y","",INDEX(EPA!$N$2:$N$512,MATCH(X150&amp;Index!$K$1,EPA!$A$2:$A$512&amp;EPA!$W$2:$W$512,0))),"")</f>
        <v/>
      </c>
      <c r="AB150" s="174" t="str" cm="1">
        <f t="array" ref="AB150">IFERROR(IF($W150="Y","",INDEX(EPA!$N$2:$N$512,MATCH(Y150&amp;Index!$K$1,EPA!$A$2:$A$512&amp;EPA!$W$2:$W$512,0))),"")</f>
        <v/>
      </c>
      <c r="AC150" s="174" t="str">
        <f ca="1">IF(AA150&lt;&gt;"",_xlfn.NORM.INV(RAND(),AA150,Index!$K$2),"")</f>
        <v/>
      </c>
      <c r="AD150" s="174" t="str">
        <f ca="1">IF(AB150&lt;&gt;"",_xlfn.NORM.INV(RAND(),AB150,Index!$K$2),"")</f>
        <v/>
      </c>
      <c r="AE150" s="157" t="str">
        <f t="shared" si="18"/>
        <v>PHI</v>
      </c>
      <c r="AF150" s="158" t="str">
        <f t="shared" si="19"/>
        <v>GB</v>
      </c>
      <c r="AG150" s="149">
        <f t="shared" si="20"/>
        <v>149</v>
      </c>
    </row>
    <row r="151" spans="1:33" x14ac:dyDescent="0.25">
      <c r="A151" s="9">
        <v>11</v>
      </c>
      <c r="B151" s="9" t="s">
        <v>656</v>
      </c>
      <c r="C151" s="148">
        <v>45974</v>
      </c>
      <c r="D151" s="9" t="s">
        <v>667</v>
      </c>
      <c r="E151" s="9" t="s">
        <v>45</v>
      </c>
      <c r="F151" s="9"/>
      <c r="G151" s="9" t="s">
        <v>23</v>
      </c>
      <c r="H151" s="9" t="s">
        <v>658</v>
      </c>
      <c r="I151" s="9">
        <v>27</v>
      </c>
      <c r="J151" s="9">
        <v>14</v>
      </c>
      <c r="K151" s="9">
        <v>336</v>
      </c>
      <c r="L151" s="9">
        <v>0</v>
      </c>
      <c r="M151" s="9">
        <v>245</v>
      </c>
      <c r="N151" s="9">
        <v>1</v>
      </c>
      <c r="O151" s="149" t="str">
        <f>IF(I151&lt;&gt;"",IF(I151=J151,"TIE",INDEX(Index!$F$1:$F$32,MATCH(E151,Index!$E$1:$E$32,0))),INDEX(Index!$F$1:$F$32,MATCH(E151,Index!$E$1:$E$32,0)))</f>
        <v>NE</v>
      </c>
      <c r="P151" s="150" t="str">
        <f>IF(I151&lt;&gt;"",IF(I151=J151,"TIE",INDEX(Index!$F$1:$F$32,MATCH(G151,Index!$E$1:$E$32,0))),INDEX(Index!$F$1:$F$32,MATCH(G151,Index!$E$1:$E$32,0)))</f>
        <v>NYJ</v>
      </c>
      <c r="Q151" s="155" t="str">
        <f>IF(O151="TIE",INDEX(Index!$F$1:$F$32,MATCH(E151,Index!$E$1:$E$32,0)),"")</f>
        <v/>
      </c>
      <c r="R151" s="155" t="str">
        <f>IF(P151="TIE",INDEX(Index!$F$1:$F$32,MATCH(G151,Index!$E$1:$E$32,0)),"")</f>
        <v/>
      </c>
      <c r="S151" s="151" t="str">
        <f t="shared" si="14"/>
        <v>H</v>
      </c>
      <c r="T151" s="156" t="str">
        <f>INDEX(Index!$H$1:$H$32,MATCH($E151,Index!$E$1:$E$32,0))</f>
        <v>AE</v>
      </c>
      <c r="U151" s="156" t="str">
        <f>INDEX(Index!$H$1:$H$32,MATCH($G151,Index!$E$1:$E$32,0))</f>
        <v>AE</v>
      </c>
      <c r="V151" s="156" t="str">
        <f t="shared" si="15"/>
        <v>Div</v>
      </c>
      <c r="W151" s="152" t="str">
        <f t="shared" si="16"/>
        <v>Y</v>
      </c>
      <c r="X151" s="149" t="str">
        <f>INDEX(Index!$G$1:$G$32,MATCH(E151,Index!$E$1:$E$32,0))</f>
        <v>NE</v>
      </c>
      <c r="Y151" s="150" t="str">
        <f>INDEX(Index!$G$1:$G$32,MATCH(G151,Index!$E$1:$E$32,0))</f>
        <v>NYJ</v>
      </c>
      <c r="Z151" s="147" t="str">
        <f t="shared" si="17"/>
        <v/>
      </c>
      <c r="AA151" s="174" t="str" cm="1">
        <f t="array" ref="AA151">IFERROR(IF($W151="Y","",INDEX(EPA!$N$2:$N$512,MATCH(X151&amp;Index!$K$1,EPA!$A$2:$A$512&amp;EPA!$W$2:$W$512,0))),"")</f>
        <v/>
      </c>
      <c r="AB151" s="174" t="str" cm="1">
        <f t="array" ref="AB151">IFERROR(IF($W151="Y","",INDEX(EPA!$N$2:$N$512,MATCH(Y151&amp;Index!$K$1,EPA!$A$2:$A$512&amp;EPA!$W$2:$W$512,0))),"")</f>
        <v/>
      </c>
      <c r="AC151" s="174" t="str">
        <f ca="1">IF(AA151&lt;&gt;"",_xlfn.NORM.INV(RAND(),AA151,Index!$K$2),"")</f>
        <v/>
      </c>
      <c r="AD151" s="174" t="str">
        <f ca="1">IF(AB151&lt;&gt;"",_xlfn.NORM.INV(RAND(),AB151,Index!$K$2),"")</f>
        <v/>
      </c>
      <c r="AE151" s="157" t="str">
        <f t="shared" si="18"/>
        <v>NE</v>
      </c>
      <c r="AF151" s="158" t="str">
        <f t="shared" si="19"/>
        <v>NYJ</v>
      </c>
      <c r="AG151" s="149">
        <f t="shared" si="20"/>
        <v>150</v>
      </c>
    </row>
    <row r="152" spans="1:33" x14ac:dyDescent="0.25">
      <c r="A152" s="9">
        <v>11</v>
      </c>
      <c r="B152" s="9" t="s">
        <v>661</v>
      </c>
      <c r="C152" s="148">
        <v>45977</v>
      </c>
      <c r="D152" s="9" t="s">
        <v>670</v>
      </c>
      <c r="E152" s="9" t="s">
        <v>62</v>
      </c>
      <c r="F152" s="9"/>
      <c r="G152" s="9" t="s">
        <v>4</v>
      </c>
      <c r="H152" s="9" t="s">
        <v>658</v>
      </c>
      <c r="I152" s="9">
        <v>16</v>
      </c>
      <c r="J152" s="9">
        <v>13</v>
      </c>
      <c r="K152" s="9">
        <v>311</v>
      </c>
      <c r="L152" s="9">
        <v>0</v>
      </c>
      <c r="M152" s="9">
        <v>379</v>
      </c>
      <c r="N152" s="9">
        <v>2</v>
      </c>
      <c r="O152" s="149" t="str">
        <f>IF(I152&lt;&gt;"",IF(I152=J152,"TIE",INDEX(Index!$F$1:$F$32,MATCH(E152,Index!$E$1:$E$32,0))),INDEX(Index!$F$1:$F$32,MATCH(E152,Index!$E$1:$E$32,0)))</f>
        <v>MIA</v>
      </c>
      <c r="P152" s="150" t="str">
        <f>IF(I152&lt;&gt;"",IF(I152=J152,"TIE",INDEX(Index!$F$1:$F$32,MATCH(G152,Index!$E$1:$E$32,0))),INDEX(Index!$F$1:$F$32,MATCH(G152,Index!$E$1:$E$32,0)))</f>
        <v>WAS</v>
      </c>
      <c r="Q152" s="155" t="str">
        <f>IF(O152="TIE",INDEX(Index!$F$1:$F$32,MATCH(E152,Index!$E$1:$E$32,0)),"")</f>
        <v/>
      </c>
      <c r="R152" s="155" t="str">
        <f>IF(P152="TIE",INDEX(Index!$F$1:$F$32,MATCH(G152,Index!$E$1:$E$32,0)),"")</f>
        <v/>
      </c>
      <c r="S152" s="151" t="str">
        <f t="shared" si="14"/>
        <v>H</v>
      </c>
      <c r="T152" s="156" t="str">
        <f>INDEX(Index!$H$1:$H$32,MATCH($E152,Index!$E$1:$E$32,0))</f>
        <v>AE</v>
      </c>
      <c r="U152" s="156" t="str">
        <f>INDEX(Index!$H$1:$H$32,MATCH($G152,Index!$E$1:$E$32,0))</f>
        <v>NE</v>
      </c>
      <c r="V152" s="156" t="str">
        <f t="shared" si="15"/>
        <v>Non</v>
      </c>
      <c r="W152" s="152" t="str">
        <f t="shared" si="16"/>
        <v>Y</v>
      </c>
      <c r="X152" s="149" t="str">
        <f>INDEX(Index!$G$1:$G$32,MATCH(E152,Index!$E$1:$E$32,0))</f>
        <v>MIA</v>
      </c>
      <c r="Y152" s="150" t="str">
        <f>INDEX(Index!$G$1:$G$32,MATCH(G152,Index!$E$1:$E$32,0))</f>
        <v>WAS</v>
      </c>
      <c r="Z152" s="147" t="str">
        <f t="shared" si="17"/>
        <v/>
      </c>
      <c r="AA152" s="174" t="str" cm="1">
        <f t="array" ref="AA152">IFERROR(IF($W152="Y","",INDEX(EPA!$N$2:$N$512,MATCH(X152&amp;Index!$K$1,EPA!$A$2:$A$512&amp;EPA!$W$2:$W$512,0))),"")</f>
        <v/>
      </c>
      <c r="AB152" s="174" t="str" cm="1">
        <f t="array" ref="AB152">IFERROR(IF($W152="Y","",INDEX(EPA!$N$2:$N$512,MATCH(Y152&amp;Index!$K$1,EPA!$A$2:$A$512&amp;EPA!$W$2:$W$512,0))),"")</f>
        <v/>
      </c>
      <c r="AC152" s="174" t="str">
        <f ca="1">IF(AA152&lt;&gt;"",_xlfn.NORM.INV(RAND(),AA152,Index!$K$2),"")</f>
        <v/>
      </c>
      <c r="AD152" s="174" t="str">
        <f ca="1">IF(AB152&lt;&gt;"",_xlfn.NORM.INV(RAND(),AB152,Index!$K$2),"")</f>
        <v/>
      </c>
      <c r="AE152" s="157" t="str">
        <f t="shared" si="18"/>
        <v>MIA</v>
      </c>
      <c r="AF152" s="158" t="str">
        <f t="shared" si="19"/>
        <v>WAS</v>
      </c>
      <c r="AG152" s="149">
        <f t="shared" si="20"/>
        <v>151</v>
      </c>
    </row>
    <row r="153" spans="1:33" x14ac:dyDescent="0.25">
      <c r="A153" s="9">
        <v>11</v>
      </c>
      <c r="B153" s="9" t="s">
        <v>661</v>
      </c>
      <c r="C153" s="148">
        <v>45977</v>
      </c>
      <c r="D153" s="9" t="s">
        <v>662</v>
      </c>
      <c r="E153" s="9" t="s">
        <v>12</v>
      </c>
      <c r="F153" s="9" t="s">
        <v>663</v>
      </c>
      <c r="G153" s="9" t="s">
        <v>78</v>
      </c>
      <c r="H153" s="9" t="s">
        <v>658</v>
      </c>
      <c r="I153" s="9">
        <v>30</v>
      </c>
      <c r="J153" s="9">
        <v>27</v>
      </c>
      <c r="K153" s="9">
        <v>486</v>
      </c>
      <c r="L153" s="9">
        <v>0</v>
      </c>
      <c r="M153" s="9">
        <v>348</v>
      </c>
      <c r="N153" s="9">
        <v>1</v>
      </c>
      <c r="O153" s="149" t="str">
        <f>IF(I153&lt;&gt;"",IF(I153=J153,"TIE",INDEX(Index!$F$1:$F$32,MATCH(E153,Index!$E$1:$E$32,0))),INDEX(Index!$F$1:$F$32,MATCH(E153,Index!$E$1:$E$32,0)))</f>
        <v>CAR</v>
      </c>
      <c r="P153" s="150" t="str">
        <f>IF(I153&lt;&gt;"",IF(I153=J153,"TIE",INDEX(Index!$F$1:$F$32,MATCH(G153,Index!$E$1:$E$32,0))),INDEX(Index!$F$1:$F$32,MATCH(G153,Index!$E$1:$E$32,0)))</f>
        <v>ATL</v>
      </c>
      <c r="Q153" s="155" t="str">
        <f>IF(O153="TIE",INDEX(Index!$F$1:$F$32,MATCH(E153,Index!$E$1:$E$32,0)),"")</f>
        <v/>
      </c>
      <c r="R153" s="155" t="str">
        <f>IF(P153="TIE",INDEX(Index!$F$1:$F$32,MATCH(G153,Index!$E$1:$E$32,0)),"")</f>
        <v/>
      </c>
      <c r="S153" s="151" t="str">
        <f t="shared" si="14"/>
        <v>A</v>
      </c>
      <c r="T153" s="156" t="str">
        <f>INDEX(Index!$H$1:$H$32,MATCH($E153,Index!$E$1:$E$32,0))</f>
        <v>NS</v>
      </c>
      <c r="U153" s="156" t="str">
        <f>INDEX(Index!$H$1:$H$32,MATCH($G153,Index!$E$1:$E$32,0))</f>
        <v>NS</v>
      </c>
      <c r="V153" s="156" t="str">
        <f t="shared" si="15"/>
        <v>Div</v>
      </c>
      <c r="W153" s="152" t="str">
        <f t="shared" si="16"/>
        <v>Y</v>
      </c>
      <c r="X153" s="149" t="str">
        <f>INDEX(Index!$G$1:$G$32,MATCH(E153,Index!$E$1:$E$32,0))</f>
        <v>CAR</v>
      </c>
      <c r="Y153" s="150" t="str">
        <f>INDEX(Index!$G$1:$G$32,MATCH(G153,Index!$E$1:$E$32,0))</f>
        <v>ATL</v>
      </c>
      <c r="Z153" s="147" t="str">
        <f t="shared" si="17"/>
        <v/>
      </c>
      <c r="AA153" s="174" t="str" cm="1">
        <f t="array" ref="AA153">IFERROR(IF($W153="Y","",INDEX(EPA!$N$2:$N$512,MATCH(X153&amp;Index!$K$1,EPA!$A$2:$A$512&amp;EPA!$W$2:$W$512,0))),"")</f>
        <v/>
      </c>
      <c r="AB153" s="174" t="str" cm="1">
        <f t="array" ref="AB153">IFERROR(IF($W153="Y","",INDEX(EPA!$N$2:$N$512,MATCH(Y153&amp;Index!$K$1,EPA!$A$2:$A$512&amp;EPA!$W$2:$W$512,0))),"")</f>
        <v/>
      </c>
      <c r="AC153" s="174" t="str">
        <f ca="1">IF(AA153&lt;&gt;"",_xlfn.NORM.INV(RAND(),AA153,Index!$K$2),"")</f>
        <v/>
      </c>
      <c r="AD153" s="174" t="str">
        <f ca="1">IF(AB153&lt;&gt;"",_xlfn.NORM.INV(RAND(),AB153,Index!$K$2),"")</f>
        <v/>
      </c>
      <c r="AE153" s="157" t="str">
        <f t="shared" si="18"/>
        <v>CAR</v>
      </c>
      <c r="AF153" s="158" t="str">
        <f t="shared" si="19"/>
        <v>ATL</v>
      </c>
      <c r="AG153" s="149">
        <f t="shared" si="20"/>
        <v>152</v>
      </c>
    </row>
    <row r="154" spans="1:33" x14ac:dyDescent="0.25">
      <c r="A154" s="9">
        <v>11</v>
      </c>
      <c r="B154" s="9" t="s">
        <v>661</v>
      </c>
      <c r="C154" s="148">
        <v>45977</v>
      </c>
      <c r="D154" s="9" t="s">
        <v>662</v>
      </c>
      <c r="E154" s="9" t="s">
        <v>40</v>
      </c>
      <c r="F154" s="9"/>
      <c r="G154" s="9" t="s">
        <v>0</v>
      </c>
      <c r="H154" s="9" t="s">
        <v>658</v>
      </c>
      <c r="I154" s="9">
        <v>44</v>
      </c>
      <c r="J154" s="9">
        <v>32</v>
      </c>
      <c r="K154" s="9">
        <v>414</v>
      </c>
      <c r="L154" s="9">
        <v>3</v>
      </c>
      <c r="M154" s="9">
        <v>367</v>
      </c>
      <c r="N154" s="9">
        <v>2</v>
      </c>
      <c r="O154" s="149" t="str">
        <f>IF(I154&lt;&gt;"",IF(I154=J154,"TIE",INDEX(Index!$F$1:$F$32,MATCH(E154,Index!$E$1:$E$32,0))),INDEX(Index!$F$1:$F$32,MATCH(E154,Index!$E$1:$E$32,0)))</f>
        <v>BUF</v>
      </c>
      <c r="P154" s="150" t="str">
        <f>IF(I154&lt;&gt;"",IF(I154=J154,"TIE",INDEX(Index!$F$1:$F$32,MATCH(G154,Index!$E$1:$E$32,0))),INDEX(Index!$F$1:$F$32,MATCH(G154,Index!$E$1:$E$32,0)))</f>
        <v>TB</v>
      </c>
      <c r="Q154" s="155" t="str">
        <f>IF(O154="TIE",INDEX(Index!$F$1:$F$32,MATCH(E154,Index!$E$1:$E$32,0)),"")</f>
        <v/>
      </c>
      <c r="R154" s="155" t="str">
        <f>IF(P154="TIE",INDEX(Index!$F$1:$F$32,MATCH(G154,Index!$E$1:$E$32,0)),"")</f>
        <v/>
      </c>
      <c r="S154" s="151" t="str">
        <f t="shared" si="14"/>
        <v>H</v>
      </c>
      <c r="T154" s="156" t="str">
        <f>INDEX(Index!$H$1:$H$32,MATCH($E154,Index!$E$1:$E$32,0))</f>
        <v>AE</v>
      </c>
      <c r="U154" s="156" t="str">
        <f>INDEX(Index!$H$1:$H$32,MATCH($G154,Index!$E$1:$E$32,0))</f>
        <v>NS</v>
      </c>
      <c r="V154" s="156" t="str">
        <f t="shared" si="15"/>
        <v>Non</v>
      </c>
      <c r="W154" s="152" t="str">
        <f t="shared" si="16"/>
        <v>Y</v>
      </c>
      <c r="X154" s="149" t="str">
        <f>INDEX(Index!$G$1:$G$32,MATCH(E154,Index!$E$1:$E$32,0))</f>
        <v>BUF</v>
      </c>
      <c r="Y154" s="150" t="str">
        <f>INDEX(Index!$G$1:$G$32,MATCH(G154,Index!$E$1:$E$32,0))</f>
        <v>TB</v>
      </c>
      <c r="Z154" s="147" t="str">
        <f t="shared" si="17"/>
        <v/>
      </c>
      <c r="AA154" s="174" t="str" cm="1">
        <f t="array" ref="AA154">IFERROR(IF($W154="Y","",INDEX(EPA!$N$2:$N$512,MATCH(X154&amp;Index!$K$1,EPA!$A$2:$A$512&amp;EPA!$W$2:$W$512,0))),"")</f>
        <v/>
      </c>
      <c r="AB154" s="174" t="str" cm="1">
        <f t="array" ref="AB154">IFERROR(IF($W154="Y","",INDEX(EPA!$N$2:$N$512,MATCH(Y154&amp;Index!$K$1,EPA!$A$2:$A$512&amp;EPA!$W$2:$W$512,0))),"")</f>
        <v/>
      </c>
      <c r="AC154" s="174" t="str">
        <f ca="1">IF(AA154&lt;&gt;"",_xlfn.NORM.INV(RAND(),AA154,Index!$K$2),"")</f>
        <v/>
      </c>
      <c r="AD154" s="174" t="str">
        <f ca="1">IF(AB154&lt;&gt;"",_xlfn.NORM.INV(RAND(),AB154,Index!$K$2),"")</f>
        <v/>
      </c>
      <c r="AE154" s="157" t="str">
        <f t="shared" si="18"/>
        <v>BUF</v>
      </c>
      <c r="AF154" s="158" t="str">
        <f t="shared" si="19"/>
        <v>TB</v>
      </c>
      <c r="AG154" s="149">
        <f t="shared" si="20"/>
        <v>153</v>
      </c>
    </row>
    <row r="155" spans="1:33" x14ac:dyDescent="0.25">
      <c r="A155" s="9">
        <v>11</v>
      </c>
      <c r="B155" s="9" t="s">
        <v>661</v>
      </c>
      <c r="C155" s="148">
        <v>45977</v>
      </c>
      <c r="D155" s="9" t="s">
        <v>662</v>
      </c>
      <c r="E155" s="9" t="s">
        <v>65</v>
      </c>
      <c r="F155" s="9" t="s">
        <v>663</v>
      </c>
      <c r="G155" s="9" t="s">
        <v>58</v>
      </c>
      <c r="H155" s="9" t="s">
        <v>658</v>
      </c>
      <c r="I155" s="9">
        <v>19</v>
      </c>
      <c r="J155" s="9">
        <v>17</v>
      </c>
      <c r="K155" s="9">
        <v>320</v>
      </c>
      <c r="L155" s="9">
        <v>0</v>
      </c>
      <c r="M155" s="9">
        <v>265</v>
      </c>
      <c r="N155" s="9">
        <v>2</v>
      </c>
      <c r="O155" s="149" t="str">
        <f>IF(I155&lt;&gt;"",IF(I155=J155,"TIE",INDEX(Index!$F$1:$F$32,MATCH(E155,Index!$E$1:$E$32,0))),INDEX(Index!$F$1:$F$32,MATCH(E155,Index!$E$1:$E$32,0)))</f>
        <v>CHI</v>
      </c>
      <c r="P155" s="150" t="str">
        <f>IF(I155&lt;&gt;"",IF(I155=J155,"TIE",INDEX(Index!$F$1:$F$32,MATCH(G155,Index!$E$1:$E$32,0))),INDEX(Index!$F$1:$F$32,MATCH(G155,Index!$E$1:$E$32,0)))</f>
        <v>MIN</v>
      </c>
      <c r="Q155" s="155" t="str">
        <f>IF(O155="TIE",INDEX(Index!$F$1:$F$32,MATCH(E155,Index!$E$1:$E$32,0)),"")</f>
        <v/>
      </c>
      <c r="R155" s="155" t="str">
        <f>IF(P155="TIE",INDEX(Index!$F$1:$F$32,MATCH(G155,Index!$E$1:$E$32,0)),"")</f>
        <v/>
      </c>
      <c r="S155" s="151" t="str">
        <f t="shared" si="14"/>
        <v>A</v>
      </c>
      <c r="T155" s="156" t="str">
        <f>INDEX(Index!$H$1:$H$32,MATCH($E155,Index!$E$1:$E$32,0))</f>
        <v>NN</v>
      </c>
      <c r="U155" s="156" t="str">
        <f>INDEX(Index!$H$1:$H$32,MATCH($G155,Index!$E$1:$E$32,0))</f>
        <v>NN</v>
      </c>
      <c r="V155" s="156" t="str">
        <f t="shared" si="15"/>
        <v>Div</v>
      </c>
      <c r="W155" s="152" t="str">
        <f t="shared" si="16"/>
        <v>Y</v>
      </c>
      <c r="X155" s="149" t="str">
        <f>INDEX(Index!$G$1:$G$32,MATCH(E155,Index!$E$1:$E$32,0))</f>
        <v>CHI</v>
      </c>
      <c r="Y155" s="150" t="str">
        <f>INDEX(Index!$G$1:$G$32,MATCH(G155,Index!$E$1:$E$32,0))</f>
        <v>MIN</v>
      </c>
      <c r="Z155" s="147" t="str">
        <f t="shared" si="17"/>
        <v/>
      </c>
      <c r="AA155" s="174" t="str" cm="1">
        <f t="array" ref="AA155">IFERROR(IF($W155="Y","",INDEX(EPA!$N$2:$N$512,MATCH(X155&amp;Index!$K$1,EPA!$A$2:$A$512&amp;EPA!$W$2:$W$512,0))),"")</f>
        <v/>
      </c>
      <c r="AB155" s="174" t="str" cm="1">
        <f t="array" ref="AB155">IFERROR(IF($W155="Y","",INDEX(EPA!$N$2:$N$512,MATCH(Y155&amp;Index!$K$1,EPA!$A$2:$A$512&amp;EPA!$W$2:$W$512,0))),"")</f>
        <v/>
      </c>
      <c r="AC155" s="174" t="str">
        <f ca="1">IF(AA155&lt;&gt;"",_xlfn.NORM.INV(RAND(),AA155,Index!$K$2),"")</f>
        <v/>
      </c>
      <c r="AD155" s="174" t="str">
        <f ca="1">IF(AB155&lt;&gt;"",_xlfn.NORM.INV(RAND(),AB155,Index!$K$2),"")</f>
        <v/>
      </c>
      <c r="AE155" s="157" t="str">
        <f t="shared" si="18"/>
        <v>CHI</v>
      </c>
      <c r="AF155" s="158" t="str">
        <f t="shared" si="19"/>
        <v>MIN</v>
      </c>
      <c r="AG155" s="149">
        <f t="shared" si="20"/>
        <v>154</v>
      </c>
    </row>
    <row r="156" spans="1:33" x14ac:dyDescent="0.25">
      <c r="A156" s="9">
        <v>11</v>
      </c>
      <c r="B156" s="9" t="s">
        <v>661</v>
      </c>
      <c r="C156" s="148">
        <v>45977</v>
      </c>
      <c r="D156" s="9" t="s">
        <v>662</v>
      </c>
      <c r="E156" s="9" t="s">
        <v>73</v>
      </c>
      <c r="F156" s="9"/>
      <c r="G156" s="9" t="s">
        <v>53</v>
      </c>
      <c r="H156" s="9" t="s">
        <v>658</v>
      </c>
      <c r="I156" s="9">
        <v>34</v>
      </c>
      <c r="J156" s="9">
        <v>12</v>
      </c>
      <c r="K156" s="9">
        <v>343</v>
      </c>
      <c r="L156" s="9">
        <v>0</v>
      </c>
      <c r="M156" s="9">
        <v>297</v>
      </c>
      <c r="N156" s="9">
        <v>2</v>
      </c>
      <c r="O156" s="149" t="str">
        <f>IF(I156&lt;&gt;"",IF(I156=J156,"TIE",INDEX(Index!$F$1:$F$32,MATCH(E156,Index!$E$1:$E$32,0))),INDEX(Index!$F$1:$F$32,MATCH(E156,Index!$E$1:$E$32,0)))</f>
        <v>PIT</v>
      </c>
      <c r="P156" s="150" t="str">
        <f>IF(I156&lt;&gt;"",IF(I156=J156,"TIE",INDEX(Index!$F$1:$F$32,MATCH(G156,Index!$E$1:$E$32,0))),INDEX(Index!$F$1:$F$32,MATCH(G156,Index!$E$1:$E$32,0)))</f>
        <v>CIN</v>
      </c>
      <c r="Q156" s="155" t="str">
        <f>IF(O156="TIE",INDEX(Index!$F$1:$F$32,MATCH(E156,Index!$E$1:$E$32,0)),"")</f>
        <v/>
      </c>
      <c r="R156" s="155" t="str">
        <f>IF(P156="TIE",INDEX(Index!$F$1:$F$32,MATCH(G156,Index!$E$1:$E$32,0)),"")</f>
        <v/>
      </c>
      <c r="S156" s="151" t="str">
        <f t="shared" si="14"/>
        <v>H</v>
      </c>
      <c r="T156" s="156" t="str">
        <f>INDEX(Index!$H$1:$H$32,MATCH($E156,Index!$E$1:$E$32,0))</f>
        <v>AN</v>
      </c>
      <c r="U156" s="156" t="str">
        <f>INDEX(Index!$H$1:$H$32,MATCH($G156,Index!$E$1:$E$32,0))</f>
        <v>AN</v>
      </c>
      <c r="V156" s="156" t="str">
        <f t="shared" si="15"/>
        <v>Div</v>
      </c>
      <c r="W156" s="152" t="str">
        <f t="shared" si="16"/>
        <v>Y</v>
      </c>
      <c r="X156" s="149" t="str">
        <f>INDEX(Index!$G$1:$G$32,MATCH(E156,Index!$E$1:$E$32,0))</f>
        <v>PIT</v>
      </c>
      <c r="Y156" s="150" t="str">
        <f>INDEX(Index!$G$1:$G$32,MATCH(G156,Index!$E$1:$E$32,0))</f>
        <v>CIN</v>
      </c>
      <c r="Z156" s="147" t="str">
        <f t="shared" si="17"/>
        <v/>
      </c>
      <c r="AA156" s="174" t="str" cm="1">
        <f t="array" ref="AA156">IFERROR(IF($W156="Y","",INDEX(EPA!$N$2:$N$512,MATCH(X156&amp;Index!$K$1,EPA!$A$2:$A$512&amp;EPA!$W$2:$W$512,0))),"")</f>
        <v/>
      </c>
      <c r="AB156" s="174" t="str" cm="1">
        <f t="array" ref="AB156">IFERROR(IF($W156="Y","",INDEX(EPA!$N$2:$N$512,MATCH(Y156&amp;Index!$K$1,EPA!$A$2:$A$512&amp;EPA!$W$2:$W$512,0))),"")</f>
        <v/>
      </c>
      <c r="AC156" s="174" t="str">
        <f ca="1">IF(AA156&lt;&gt;"",_xlfn.NORM.INV(RAND(),AA156,Index!$K$2),"")</f>
        <v/>
      </c>
      <c r="AD156" s="174" t="str">
        <f ca="1">IF(AB156&lt;&gt;"",_xlfn.NORM.INV(RAND(),AB156,Index!$K$2),"")</f>
        <v/>
      </c>
      <c r="AE156" s="157" t="str">
        <f t="shared" si="18"/>
        <v>PIT</v>
      </c>
      <c r="AF156" s="158" t="str">
        <f t="shared" si="19"/>
        <v>CIN</v>
      </c>
      <c r="AG156" s="149">
        <f t="shared" si="20"/>
        <v>155</v>
      </c>
    </row>
    <row r="157" spans="1:33" x14ac:dyDescent="0.25">
      <c r="A157" s="9">
        <v>11</v>
      </c>
      <c r="B157" s="9" t="s">
        <v>661</v>
      </c>
      <c r="C157" s="148">
        <v>45977</v>
      </c>
      <c r="D157" s="9" t="s">
        <v>662</v>
      </c>
      <c r="E157" s="9" t="s">
        <v>88</v>
      </c>
      <c r="F157" s="9" t="s">
        <v>663</v>
      </c>
      <c r="G157" s="9" t="s">
        <v>49</v>
      </c>
      <c r="H157" s="9" t="s">
        <v>658</v>
      </c>
      <c r="I157" s="9">
        <v>27</v>
      </c>
      <c r="J157" s="9">
        <v>20</v>
      </c>
      <c r="K157" s="9">
        <v>296</v>
      </c>
      <c r="L157" s="9">
        <v>0</v>
      </c>
      <c r="M157" s="9">
        <v>336</v>
      </c>
      <c r="N157" s="9">
        <v>2</v>
      </c>
      <c r="O157" s="149" t="str">
        <f>IF(I157&lt;&gt;"",IF(I157=J157,"TIE",INDEX(Index!$F$1:$F$32,MATCH(E157,Index!$E$1:$E$32,0))),INDEX(Index!$F$1:$F$32,MATCH(E157,Index!$E$1:$E$32,0)))</f>
        <v>GB</v>
      </c>
      <c r="P157" s="150" t="str">
        <f>IF(I157&lt;&gt;"",IF(I157=J157,"TIE",INDEX(Index!$F$1:$F$32,MATCH(G157,Index!$E$1:$E$32,0))),INDEX(Index!$F$1:$F$32,MATCH(G157,Index!$E$1:$E$32,0)))</f>
        <v>NYG</v>
      </c>
      <c r="Q157" s="155" t="str">
        <f>IF(O157="TIE",INDEX(Index!$F$1:$F$32,MATCH(E157,Index!$E$1:$E$32,0)),"")</f>
        <v/>
      </c>
      <c r="R157" s="155" t="str">
        <f>IF(P157="TIE",INDEX(Index!$F$1:$F$32,MATCH(G157,Index!$E$1:$E$32,0)),"")</f>
        <v/>
      </c>
      <c r="S157" s="151" t="str">
        <f t="shared" si="14"/>
        <v>A</v>
      </c>
      <c r="T157" s="156" t="str">
        <f>INDEX(Index!$H$1:$H$32,MATCH($E157,Index!$E$1:$E$32,0))</f>
        <v>NN</v>
      </c>
      <c r="U157" s="156" t="str">
        <f>INDEX(Index!$H$1:$H$32,MATCH($G157,Index!$E$1:$E$32,0))</f>
        <v>NE</v>
      </c>
      <c r="V157" s="156" t="str">
        <f t="shared" si="15"/>
        <v>Con</v>
      </c>
      <c r="W157" s="152" t="str">
        <f t="shared" si="16"/>
        <v>Y</v>
      </c>
      <c r="X157" s="149" t="str">
        <f>INDEX(Index!$G$1:$G$32,MATCH(E157,Index!$E$1:$E$32,0))</f>
        <v>GB</v>
      </c>
      <c r="Y157" s="150" t="str">
        <f>INDEX(Index!$G$1:$G$32,MATCH(G157,Index!$E$1:$E$32,0))</f>
        <v>NYG</v>
      </c>
      <c r="Z157" s="147" t="str">
        <f t="shared" si="17"/>
        <v/>
      </c>
      <c r="AA157" s="174" t="str" cm="1">
        <f t="array" ref="AA157">IFERROR(IF($W157="Y","",INDEX(EPA!$N$2:$N$512,MATCH(X157&amp;Index!$K$1,EPA!$A$2:$A$512&amp;EPA!$W$2:$W$512,0))),"")</f>
        <v/>
      </c>
      <c r="AB157" s="174" t="str" cm="1">
        <f t="array" ref="AB157">IFERROR(IF($W157="Y","",INDEX(EPA!$N$2:$N$512,MATCH(Y157&amp;Index!$K$1,EPA!$A$2:$A$512&amp;EPA!$W$2:$W$512,0))),"")</f>
        <v/>
      </c>
      <c r="AC157" s="174" t="str">
        <f ca="1">IF(AA157&lt;&gt;"",_xlfn.NORM.INV(RAND(),AA157,Index!$K$2),"")</f>
        <v/>
      </c>
      <c r="AD157" s="174" t="str">
        <f ca="1">IF(AB157&lt;&gt;"",_xlfn.NORM.INV(RAND(),AB157,Index!$K$2),"")</f>
        <v/>
      </c>
      <c r="AE157" s="157" t="str">
        <f t="shared" si="18"/>
        <v>GB</v>
      </c>
      <c r="AF157" s="158" t="str">
        <f t="shared" si="19"/>
        <v>NYG</v>
      </c>
      <c r="AG157" s="149">
        <f t="shared" si="20"/>
        <v>156</v>
      </c>
    </row>
    <row r="158" spans="1:33" x14ac:dyDescent="0.25">
      <c r="A158" s="9">
        <v>11</v>
      </c>
      <c r="B158" s="9" t="s">
        <v>661</v>
      </c>
      <c r="C158" s="148">
        <v>45977</v>
      </c>
      <c r="D158" s="9" t="s">
        <v>662</v>
      </c>
      <c r="E158" s="9" t="s">
        <v>33</v>
      </c>
      <c r="F158" s="9" t="s">
        <v>663</v>
      </c>
      <c r="G158" s="9" t="s">
        <v>19</v>
      </c>
      <c r="H158" s="9" t="s">
        <v>658</v>
      </c>
      <c r="I158" s="9">
        <v>16</v>
      </c>
      <c r="J158" s="9">
        <v>13</v>
      </c>
      <c r="K158" s="9">
        <v>315</v>
      </c>
      <c r="L158" s="9">
        <v>0</v>
      </c>
      <c r="M158" s="9">
        <v>229</v>
      </c>
      <c r="N158" s="9">
        <v>1</v>
      </c>
      <c r="O158" s="149" t="str">
        <f>IF(I158&lt;&gt;"",IF(I158=J158,"TIE",INDEX(Index!$F$1:$F$32,MATCH(E158,Index!$E$1:$E$32,0))),INDEX(Index!$F$1:$F$32,MATCH(E158,Index!$E$1:$E$32,0)))</f>
        <v>HOU</v>
      </c>
      <c r="P158" s="150" t="str">
        <f>IF(I158&lt;&gt;"",IF(I158=J158,"TIE",INDEX(Index!$F$1:$F$32,MATCH(G158,Index!$E$1:$E$32,0))),INDEX(Index!$F$1:$F$32,MATCH(G158,Index!$E$1:$E$32,0)))</f>
        <v>TEN</v>
      </c>
      <c r="Q158" s="155" t="str">
        <f>IF(O158="TIE",INDEX(Index!$F$1:$F$32,MATCH(E158,Index!$E$1:$E$32,0)),"")</f>
        <v/>
      </c>
      <c r="R158" s="155" t="str">
        <f>IF(P158="TIE",INDEX(Index!$F$1:$F$32,MATCH(G158,Index!$E$1:$E$32,0)),"")</f>
        <v/>
      </c>
      <c r="S158" s="151" t="str">
        <f t="shared" si="14"/>
        <v>A</v>
      </c>
      <c r="T158" s="156" t="str">
        <f>INDEX(Index!$H$1:$H$32,MATCH($E158,Index!$E$1:$E$32,0))</f>
        <v>AS</v>
      </c>
      <c r="U158" s="156" t="str">
        <f>INDEX(Index!$H$1:$H$32,MATCH($G158,Index!$E$1:$E$32,0))</f>
        <v>AS</v>
      </c>
      <c r="V158" s="156" t="str">
        <f t="shared" si="15"/>
        <v>Div</v>
      </c>
      <c r="W158" s="152" t="str">
        <f t="shared" si="16"/>
        <v>Y</v>
      </c>
      <c r="X158" s="149" t="str">
        <f>INDEX(Index!$G$1:$G$32,MATCH(E158,Index!$E$1:$E$32,0))</f>
        <v>HOU</v>
      </c>
      <c r="Y158" s="150" t="str">
        <f>INDEX(Index!$G$1:$G$32,MATCH(G158,Index!$E$1:$E$32,0))</f>
        <v>TEN</v>
      </c>
      <c r="Z158" s="147" t="str">
        <f t="shared" si="17"/>
        <v/>
      </c>
      <c r="AA158" s="174" t="str" cm="1">
        <f t="array" ref="AA158">IFERROR(IF($W158="Y","",INDEX(EPA!$N$2:$N$512,MATCH(X158&amp;Index!$K$1,EPA!$A$2:$A$512&amp;EPA!$W$2:$W$512,0))),"")</f>
        <v/>
      </c>
      <c r="AB158" s="174" t="str" cm="1">
        <f t="array" ref="AB158">IFERROR(IF($W158="Y","",INDEX(EPA!$N$2:$N$512,MATCH(Y158&amp;Index!$K$1,EPA!$A$2:$A$512&amp;EPA!$W$2:$W$512,0))),"")</f>
        <v/>
      </c>
      <c r="AC158" s="174" t="str">
        <f ca="1">IF(AA158&lt;&gt;"",_xlfn.NORM.INV(RAND(),AA158,Index!$K$2),"")</f>
        <v/>
      </c>
      <c r="AD158" s="174" t="str">
        <f ca="1">IF(AB158&lt;&gt;"",_xlfn.NORM.INV(RAND(),AB158,Index!$K$2),"")</f>
        <v/>
      </c>
      <c r="AE158" s="157" t="str">
        <f t="shared" si="18"/>
        <v>HOU</v>
      </c>
      <c r="AF158" s="158" t="str">
        <f t="shared" si="19"/>
        <v>TEN</v>
      </c>
      <c r="AG158" s="149">
        <f t="shared" si="20"/>
        <v>157</v>
      </c>
    </row>
    <row r="159" spans="1:33" x14ac:dyDescent="0.25">
      <c r="A159" s="9">
        <v>11</v>
      </c>
      <c r="B159" s="9" t="s">
        <v>661</v>
      </c>
      <c r="C159" s="148">
        <v>45977</v>
      </c>
      <c r="D159" s="9" t="s">
        <v>662</v>
      </c>
      <c r="E159" s="9" t="s">
        <v>36</v>
      </c>
      <c r="F159" s="9"/>
      <c r="G159" s="9" t="s">
        <v>68</v>
      </c>
      <c r="H159" s="9" t="s">
        <v>658</v>
      </c>
      <c r="I159" s="9">
        <v>35</v>
      </c>
      <c r="J159" s="9">
        <v>6</v>
      </c>
      <c r="K159" s="9">
        <v>345</v>
      </c>
      <c r="L159" s="9">
        <v>1</v>
      </c>
      <c r="M159" s="9">
        <v>135</v>
      </c>
      <c r="N159" s="9">
        <v>1</v>
      </c>
      <c r="O159" s="149" t="str">
        <f>IF(I159&lt;&gt;"",IF(I159=J159,"TIE",INDEX(Index!$F$1:$F$32,MATCH(E159,Index!$E$1:$E$32,0))),INDEX(Index!$F$1:$F$32,MATCH(E159,Index!$E$1:$E$32,0)))</f>
        <v>JAX</v>
      </c>
      <c r="P159" s="150" t="str">
        <f>IF(I159&lt;&gt;"",IF(I159=J159,"TIE",INDEX(Index!$F$1:$F$32,MATCH(G159,Index!$E$1:$E$32,0))),INDEX(Index!$F$1:$F$32,MATCH(G159,Index!$E$1:$E$32,0)))</f>
        <v>LAC</v>
      </c>
      <c r="Q159" s="155" t="str">
        <f>IF(O159="TIE",INDEX(Index!$F$1:$F$32,MATCH(E159,Index!$E$1:$E$32,0)),"")</f>
        <v/>
      </c>
      <c r="R159" s="155" t="str">
        <f>IF(P159="TIE",INDEX(Index!$F$1:$F$32,MATCH(G159,Index!$E$1:$E$32,0)),"")</f>
        <v/>
      </c>
      <c r="S159" s="151" t="str">
        <f t="shared" si="14"/>
        <v>H</v>
      </c>
      <c r="T159" s="156" t="str">
        <f>INDEX(Index!$H$1:$H$32,MATCH($E159,Index!$E$1:$E$32,0))</f>
        <v>AS</v>
      </c>
      <c r="U159" s="156" t="str">
        <f>INDEX(Index!$H$1:$H$32,MATCH($G159,Index!$E$1:$E$32,0))</f>
        <v>AW</v>
      </c>
      <c r="V159" s="156" t="str">
        <f t="shared" si="15"/>
        <v>Con</v>
      </c>
      <c r="W159" s="152" t="str">
        <f t="shared" si="16"/>
        <v>Y</v>
      </c>
      <c r="X159" s="149" t="str">
        <f>INDEX(Index!$G$1:$G$32,MATCH(E159,Index!$E$1:$E$32,0))</f>
        <v>JAX</v>
      </c>
      <c r="Y159" s="150" t="str">
        <f>INDEX(Index!$G$1:$G$32,MATCH(G159,Index!$E$1:$E$32,0))</f>
        <v>LAC</v>
      </c>
      <c r="Z159" s="147" t="str">
        <f t="shared" si="17"/>
        <v/>
      </c>
      <c r="AA159" s="174" t="str" cm="1">
        <f t="array" ref="AA159">IFERROR(IF($W159="Y","",INDEX(EPA!$N$2:$N$512,MATCH(X159&amp;Index!$K$1,EPA!$A$2:$A$512&amp;EPA!$W$2:$W$512,0))),"")</f>
        <v/>
      </c>
      <c r="AB159" s="174" t="str" cm="1">
        <f t="array" ref="AB159">IFERROR(IF($W159="Y","",INDEX(EPA!$N$2:$N$512,MATCH(Y159&amp;Index!$K$1,EPA!$A$2:$A$512&amp;EPA!$W$2:$W$512,0))),"")</f>
        <v/>
      </c>
      <c r="AC159" s="174" t="str">
        <f ca="1">IF(AA159&lt;&gt;"",_xlfn.NORM.INV(RAND(),AA159,Index!$K$2),"")</f>
        <v/>
      </c>
      <c r="AD159" s="174" t="str">
        <f ca="1">IF(AB159&lt;&gt;"",_xlfn.NORM.INV(RAND(),AB159,Index!$K$2),"")</f>
        <v/>
      </c>
      <c r="AE159" s="157" t="str">
        <f t="shared" si="18"/>
        <v>JAX</v>
      </c>
      <c r="AF159" s="158" t="str">
        <f t="shared" si="19"/>
        <v>LAC</v>
      </c>
      <c r="AG159" s="149">
        <f t="shared" si="20"/>
        <v>158</v>
      </c>
    </row>
    <row r="160" spans="1:33" x14ac:dyDescent="0.25">
      <c r="A160" s="9">
        <v>11</v>
      </c>
      <c r="B160" s="9" t="s">
        <v>661</v>
      </c>
      <c r="C160" s="148">
        <v>45977</v>
      </c>
      <c r="D160" s="9" t="s">
        <v>664</v>
      </c>
      <c r="E160" s="9" t="s">
        <v>30</v>
      </c>
      <c r="F160" s="9" t="s">
        <v>663</v>
      </c>
      <c r="G160" s="9" t="s">
        <v>27</v>
      </c>
      <c r="H160" s="9" t="s">
        <v>658</v>
      </c>
      <c r="I160" s="9">
        <v>41</v>
      </c>
      <c r="J160" s="9">
        <v>22</v>
      </c>
      <c r="K160" s="9">
        <v>281</v>
      </c>
      <c r="L160" s="9">
        <v>0</v>
      </c>
      <c r="M160" s="9">
        <v>488</v>
      </c>
      <c r="N160" s="9">
        <v>3</v>
      </c>
      <c r="O160" s="149" t="str">
        <f>IF(I160&lt;&gt;"",IF(I160=J160,"TIE",INDEX(Index!$F$1:$F$32,MATCH(E160,Index!$E$1:$E$32,0))),INDEX(Index!$F$1:$F$32,MATCH(E160,Index!$E$1:$E$32,0)))</f>
        <v>SF</v>
      </c>
      <c r="P160" s="150" t="str">
        <f>IF(I160&lt;&gt;"",IF(I160=J160,"TIE",INDEX(Index!$F$1:$F$32,MATCH(G160,Index!$E$1:$E$32,0))),INDEX(Index!$F$1:$F$32,MATCH(G160,Index!$E$1:$E$32,0)))</f>
        <v>ARI</v>
      </c>
      <c r="Q160" s="155" t="str">
        <f>IF(O160="TIE",INDEX(Index!$F$1:$F$32,MATCH(E160,Index!$E$1:$E$32,0)),"")</f>
        <v/>
      </c>
      <c r="R160" s="155" t="str">
        <f>IF(P160="TIE",INDEX(Index!$F$1:$F$32,MATCH(G160,Index!$E$1:$E$32,0)),"")</f>
        <v/>
      </c>
      <c r="S160" s="151" t="str">
        <f t="shared" si="14"/>
        <v>A</v>
      </c>
      <c r="T160" s="156" t="str">
        <f>INDEX(Index!$H$1:$H$32,MATCH($E160,Index!$E$1:$E$32,0))</f>
        <v>NW</v>
      </c>
      <c r="U160" s="156" t="str">
        <f>INDEX(Index!$H$1:$H$32,MATCH($G160,Index!$E$1:$E$32,0))</f>
        <v>NW</v>
      </c>
      <c r="V160" s="156" t="str">
        <f t="shared" si="15"/>
        <v>Div</v>
      </c>
      <c r="W160" s="152" t="str">
        <f t="shared" si="16"/>
        <v>Y</v>
      </c>
      <c r="X160" s="149" t="str">
        <f>INDEX(Index!$G$1:$G$32,MATCH(E160,Index!$E$1:$E$32,0))</f>
        <v>SF</v>
      </c>
      <c r="Y160" s="150" t="str">
        <f>INDEX(Index!$G$1:$G$32,MATCH(G160,Index!$E$1:$E$32,0))</f>
        <v>ARI</v>
      </c>
      <c r="Z160" s="147" t="str">
        <f t="shared" si="17"/>
        <v/>
      </c>
      <c r="AA160" s="174" t="str" cm="1">
        <f t="array" ref="AA160">IFERROR(IF($W160="Y","",INDEX(EPA!$N$2:$N$512,MATCH(X160&amp;Index!$K$1,EPA!$A$2:$A$512&amp;EPA!$W$2:$W$512,0))),"")</f>
        <v/>
      </c>
      <c r="AB160" s="174" t="str" cm="1">
        <f t="array" ref="AB160">IFERROR(IF($W160="Y","",INDEX(EPA!$N$2:$N$512,MATCH(Y160&amp;Index!$K$1,EPA!$A$2:$A$512&amp;EPA!$W$2:$W$512,0))),"")</f>
        <v/>
      </c>
      <c r="AC160" s="174" t="str">
        <f ca="1">IF(AA160&lt;&gt;"",_xlfn.NORM.INV(RAND(),AA160,Index!$K$2),"")</f>
        <v/>
      </c>
      <c r="AD160" s="174" t="str">
        <f ca="1">IF(AB160&lt;&gt;"",_xlfn.NORM.INV(RAND(),AB160,Index!$K$2),"")</f>
        <v/>
      </c>
      <c r="AE160" s="157" t="str">
        <f t="shared" si="18"/>
        <v>SF</v>
      </c>
      <c r="AF160" s="158" t="str">
        <f t="shared" si="19"/>
        <v>ARI</v>
      </c>
      <c r="AG160" s="149">
        <f t="shared" si="20"/>
        <v>159</v>
      </c>
    </row>
    <row r="161" spans="1:33" x14ac:dyDescent="0.25">
      <c r="A161" s="9">
        <v>11</v>
      </c>
      <c r="B161" s="9" t="s">
        <v>661</v>
      </c>
      <c r="C161" s="148">
        <v>45977</v>
      </c>
      <c r="D161" s="9" t="s">
        <v>664</v>
      </c>
      <c r="E161" s="9" t="s">
        <v>90</v>
      </c>
      <c r="F161" s="9"/>
      <c r="G161" s="9" t="s">
        <v>8</v>
      </c>
      <c r="H161" s="9" t="s">
        <v>658</v>
      </c>
      <c r="I161" s="9">
        <v>21</v>
      </c>
      <c r="J161" s="9">
        <v>19</v>
      </c>
      <c r="K161" s="9">
        <v>249</v>
      </c>
      <c r="L161" s="9">
        <v>1</v>
      </c>
      <c r="M161" s="9">
        <v>414</v>
      </c>
      <c r="N161" s="9">
        <v>4</v>
      </c>
      <c r="O161" s="149" t="str">
        <f>IF(I161&lt;&gt;"",IF(I161=J161,"TIE",INDEX(Index!$F$1:$F$32,MATCH(E161,Index!$E$1:$E$32,0))),INDEX(Index!$F$1:$F$32,MATCH(E161,Index!$E$1:$E$32,0)))</f>
        <v>LAR</v>
      </c>
      <c r="P161" s="150" t="str">
        <f>IF(I161&lt;&gt;"",IF(I161=J161,"TIE",INDEX(Index!$F$1:$F$32,MATCH(G161,Index!$E$1:$E$32,0))),INDEX(Index!$F$1:$F$32,MATCH(G161,Index!$E$1:$E$32,0)))</f>
        <v>SEA</v>
      </c>
      <c r="Q161" s="155" t="str">
        <f>IF(O161="TIE",INDEX(Index!$F$1:$F$32,MATCH(E161,Index!$E$1:$E$32,0)),"")</f>
        <v/>
      </c>
      <c r="R161" s="155" t="str">
        <f>IF(P161="TIE",INDEX(Index!$F$1:$F$32,MATCH(G161,Index!$E$1:$E$32,0)),"")</f>
        <v/>
      </c>
      <c r="S161" s="151" t="str">
        <f t="shared" si="14"/>
        <v>H</v>
      </c>
      <c r="T161" s="156" t="str">
        <f>INDEX(Index!$H$1:$H$32,MATCH($E161,Index!$E$1:$E$32,0))</f>
        <v>NW</v>
      </c>
      <c r="U161" s="156" t="str">
        <f>INDEX(Index!$H$1:$H$32,MATCH($G161,Index!$E$1:$E$32,0))</f>
        <v>NW</v>
      </c>
      <c r="V161" s="156" t="str">
        <f t="shared" si="15"/>
        <v>Div</v>
      </c>
      <c r="W161" s="152" t="str">
        <f t="shared" si="16"/>
        <v>Y</v>
      </c>
      <c r="X161" s="149" t="str">
        <f>INDEX(Index!$G$1:$G$32,MATCH(E161,Index!$E$1:$E$32,0))</f>
        <v>LAR</v>
      </c>
      <c r="Y161" s="150" t="str">
        <f>INDEX(Index!$G$1:$G$32,MATCH(G161,Index!$E$1:$E$32,0))</f>
        <v>SEA</v>
      </c>
      <c r="Z161" s="147" t="str">
        <f t="shared" si="17"/>
        <v/>
      </c>
      <c r="AA161" s="174" t="str" cm="1">
        <f t="array" ref="AA161">IFERROR(IF($W161="Y","",INDEX(EPA!$N$2:$N$512,MATCH(X161&amp;Index!$K$1,EPA!$A$2:$A$512&amp;EPA!$W$2:$W$512,0))),"")</f>
        <v/>
      </c>
      <c r="AB161" s="174" t="str" cm="1">
        <f t="array" ref="AB161">IFERROR(IF($W161="Y","",INDEX(EPA!$N$2:$N$512,MATCH(Y161&amp;Index!$K$1,EPA!$A$2:$A$512&amp;EPA!$W$2:$W$512,0))),"")</f>
        <v/>
      </c>
      <c r="AC161" s="174" t="str">
        <f ca="1">IF(AA161&lt;&gt;"",_xlfn.NORM.INV(RAND(),AA161,Index!$K$2),"")</f>
        <v/>
      </c>
      <c r="AD161" s="174" t="str">
        <f ca="1">IF(AB161&lt;&gt;"",_xlfn.NORM.INV(RAND(),AB161,Index!$K$2),"")</f>
        <v/>
      </c>
      <c r="AE161" s="157" t="str">
        <f t="shared" si="18"/>
        <v>LAR</v>
      </c>
      <c r="AF161" s="158" t="str">
        <f t="shared" si="19"/>
        <v>SEA</v>
      </c>
      <c r="AG161" s="149">
        <f t="shared" si="20"/>
        <v>160</v>
      </c>
    </row>
    <row r="162" spans="1:33" x14ac:dyDescent="0.25">
      <c r="A162" s="9">
        <v>11</v>
      </c>
      <c r="B162" s="9" t="s">
        <v>661</v>
      </c>
      <c r="C162" s="148">
        <v>45977</v>
      </c>
      <c r="D162" s="9" t="s">
        <v>665</v>
      </c>
      <c r="E162" s="9" t="s">
        <v>76</v>
      </c>
      <c r="F162" s="9" t="s">
        <v>663</v>
      </c>
      <c r="G162" s="9" t="s">
        <v>83</v>
      </c>
      <c r="H162" s="9" t="s">
        <v>658</v>
      </c>
      <c r="I162" s="9">
        <v>23</v>
      </c>
      <c r="J162" s="9">
        <v>16</v>
      </c>
      <c r="K162" s="9">
        <v>351</v>
      </c>
      <c r="L162" s="9">
        <v>3</v>
      </c>
      <c r="M162" s="9">
        <v>187</v>
      </c>
      <c r="N162" s="9">
        <v>1</v>
      </c>
      <c r="O162" s="149" t="str">
        <f>IF(I162&lt;&gt;"",IF(I162=J162,"TIE",INDEX(Index!$F$1:$F$32,MATCH(E162,Index!$E$1:$E$32,0))),INDEX(Index!$F$1:$F$32,MATCH(E162,Index!$E$1:$E$32,0)))</f>
        <v>BAL</v>
      </c>
      <c r="P162" s="150" t="str">
        <f>IF(I162&lt;&gt;"",IF(I162=J162,"TIE",INDEX(Index!$F$1:$F$32,MATCH(G162,Index!$E$1:$E$32,0))),INDEX(Index!$F$1:$F$32,MATCH(G162,Index!$E$1:$E$32,0)))</f>
        <v>CLE</v>
      </c>
      <c r="Q162" s="155" t="str">
        <f>IF(O162="TIE",INDEX(Index!$F$1:$F$32,MATCH(E162,Index!$E$1:$E$32,0)),"")</f>
        <v/>
      </c>
      <c r="R162" s="155" t="str">
        <f>IF(P162="TIE",INDEX(Index!$F$1:$F$32,MATCH(G162,Index!$E$1:$E$32,0)),"")</f>
        <v/>
      </c>
      <c r="S162" s="151" t="str">
        <f t="shared" si="14"/>
        <v>A</v>
      </c>
      <c r="T162" s="156" t="str">
        <f>INDEX(Index!$H$1:$H$32,MATCH($E162,Index!$E$1:$E$32,0))</f>
        <v>AN</v>
      </c>
      <c r="U162" s="156" t="str">
        <f>INDEX(Index!$H$1:$H$32,MATCH($G162,Index!$E$1:$E$32,0))</f>
        <v>AN</v>
      </c>
      <c r="V162" s="156" t="str">
        <f t="shared" si="15"/>
        <v>Div</v>
      </c>
      <c r="W162" s="152" t="str">
        <f t="shared" si="16"/>
        <v>Y</v>
      </c>
      <c r="X162" s="149" t="str">
        <f>INDEX(Index!$G$1:$G$32,MATCH(E162,Index!$E$1:$E$32,0))</f>
        <v>BAL</v>
      </c>
      <c r="Y162" s="150" t="str">
        <f>INDEX(Index!$G$1:$G$32,MATCH(G162,Index!$E$1:$E$32,0))</f>
        <v>CLE</v>
      </c>
      <c r="Z162" s="147" t="str">
        <f t="shared" si="17"/>
        <v/>
      </c>
      <c r="AA162" s="174" t="str" cm="1">
        <f t="array" ref="AA162">IFERROR(IF($W162="Y","",INDEX(EPA!$N$2:$N$512,MATCH(X162&amp;Index!$K$1,EPA!$A$2:$A$512&amp;EPA!$W$2:$W$512,0))),"")</f>
        <v/>
      </c>
      <c r="AB162" s="174" t="str" cm="1">
        <f t="array" ref="AB162">IFERROR(IF($W162="Y","",INDEX(EPA!$N$2:$N$512,MATCH(Y162&amp;Index!$K$1,EPA!$A$2:$A$512&amp;EPA!$W$2:$W$512,0))),"")</f>
        <v/>
      </c>
      <c r="AC162" s="174" t="str">
        <f ca="1">IF(AA162&lt;&gt;"",_xlfn.NORM.INV(RAND(),AA162,Index!$K$2),"")</f>
        <v/>
      </c>
      <c r="AD162" s="174" t="str">
        <f ca="1">IF(AB162&lt;&gt;"",_xlfn.NORM.INV(RAND(),AB162,Index!$K$2),"")</f>
        <v/>
      </c>
      <c r="AE162" s="157" t="str">
        <f t="shared" si="18"/>
        <v>BAL</v>
      </c>
      <c r="AF162" s="158" t="str">
        <f t="shared" si="19"/>
        <v>CLE</v>
      </c>
      <c r="AG162" s="149">
        <f t="shared" si="20"/>
        <v>161</v>
      </c>
    </row>
    <row r="163" spans="1:33" x14ac:dyDescent="0.25">
      <c r="A163" s="9">
        <v>11</v>
      </c>
      <c r="B163" s="9" t="s">
        <v>661</v>
      </c>
      <c r="C163" s="148">
        <v>45977</v>
      </c>
      <c r="D163" s="9" t="s">
        <v>665</v>
      </c>
      <c r="E163" s="9" t="s">
        <v>94</v>
      </c>
      <c r="F163" s="9"/>
      <c r="G163" s="9" t="s">
        <v>16</v>
      </c>
      <c r="H163" s="9" t="s">
        <v>658</v>
      </c>
      <c r="I163" s="9">
        <v>22</v>
      </c>
      <c r="J163" s="9">
        <v>19</v>
      </c>
      <c r="K163" s="9">
        <v>342</v>
      </c>
      <c r="L163" s="9">
        <v>0</v>
      </c>
      <c r="M163" s="9">
        <v>311</v>
      </c>
      <c r="N163" s="9">
        <v>1</v>
      </c>
      <c r="O163" s="149" t="str">
        <f>IF(I163&lt;&gt;"",IF(I163=J163,"TIE",INDEX(Index!$F$1:$F$32,MATCH(E163,Index!$E$1:$E$32,0))),INDEX(Index!$F$1:$F$32,MATCH(E163,Index!$E$1:$E$32,0)))</f>
        <v>DEN</v>
      </c>
      <c r="P163" s="150" t="str">
        <f>IF(I163&lt;&gt;"",IF(I163=J163,"TIE",INDEX(Index!$F$1:$F$32,MATCH(G163,Index!$E$1:$E$32,0))),INDEX(Index!$F$1:$F$32,MATCH(G163,Index!$E$1:$E$32,0)))</f>
        <v>KC</v>
      </c>
      <c r="Q163" s="155" t="str">
        <f>IF(O163="TIE",INDEX(Index!$F$1:$F$32,MATCH(E163,Index!$E$1:$E$32,0)),"")</f>
        <v/>
      </c>
      <c r="R163" s="155" t="str">
        <f>IF(P163="TIE",INDEX(Index!$F$1:$F$32,MATCH(G163,Index!$E$1:$E$32,0)),"")</f>
        <v/>
      </c>
      <c r="S163" s="151" t="str">
        <f t="shared" si="14"/>
        <v>H</v>
      </c>
      <c r="T163" s="156" t="str">
        <f>INDEX(Index!$H$1:$H$32,MATCH($E163,Index!$E$1:$E$32,0))</f>
        <v>AW</v>
      </c>
      <c r="U163" s="156" t="str">
        <f>INDEX(Index!$H$1:$H$32,MATCH($G163,Index!$E$1:$E$32,0))</f>
        <v>AW</v>
      </c>
      <c r="V163" s="156" t="str">
        <f t="shared" si="15"/>
        <v>Div</v>
      </c>
      <c r="W163" s="152" t="str">
        <f t="shared" si="16"/>
        <v>Y</v>
      </c>
      <c r="X163" s="149" t="str">
        <f>INDEX(Index!$G$1:$G$32,MATCH(E163,Index!$E$1:$E$32,0))</f>
        <v>DEN</v>
      </c>
      <c r="Y163" s="150" t="str">
        <f>INDEX(Index!$G$1:$G$32,MATCH(G163,Index!$E$1:$E$32,0))</f>
        <v>KC</v>
      </c>
      <c r="Z163" s="147" t="str">
        <f t="shared" si="17"/>
        <v/>
      </c>
      <c r="AA163" s="174" t="str" cm="1">
        <f t="array" ref="AA163">IFERROR(IF($W163="Y","",INDEX(EPA!$N$2:$N$512,MATCH(X163&amp;Index!$K$1,EPA!$A$2:$A$512&amp;EPA!$W$2:$W$512,0))),"")</f>
        <v/>
      </c>
      <c r="AB163" s="174" t="str" cm="1">
        <f t="array" ref="AB163">IFERROR(IF($W163="Y","",INDEX(EPA!$N$2:$N$512,MATCH(Y163&amp;Index!$K$1,EPA!$A$2:$A$512&amp;EPA!$W$2:$W$512,0))),"")</f>
        <v/>
      </c>
      <c r="AC163" s="174" t="str">
        <f ca="1">IF(AA163&lt;&gt;"",_xlfn.NORM.INV(RAND(),AA163,Index!$K$2),"")</f>
        <v/>
      </c>
      <c r="AD163" s="174" t="str">
        <f ca="1">IF(AB163&lt;&gt;"",_xlfn.NORM.INV(RAND(),AB163,Index!$K$2),"")</f>
        <v/>
      </c>
      <c r="AE163" s="157" t="str">
        <f t="shared" si="18"/>
        <v>DEN</v>
      </c>
      <c r="AF163" s="158" t="str">
        <f t="shared" si="19"/>
        <v>KC</v>
      </c>
      <c r="AG163" s="149">
        <f t="shared" si="20"/>
        <v>162</v>
      </c>
    </row>
    <row r="164" spans="1:33" x14ac:dyDescent="0.25">
      <c r="A164" s="9">
        <v>11</v>
      </c>
      <c r="B164" s="9" t="s">
        <v>661</v>
      </c>
      <c r="C164" s="148">
        <v>45977</v>
      </c>
      <c r="D164" s="9" t="s">
        <v>657</v>
      </c>
      <c r="E164" s="9" t="s">
        <v>92</v>
      </c>
      <c r="F164" s="9"/>
      <c r="G164" s="9" t="s">
        <v>86</v>
      </c>
      <c r="H164" s="9" t="s">
        <v>658</v>
      </c>
      <c r="I164" s="9">
        <v>16</v>
      </c>
      <c r="J164" s="9">
        <v>9</v>
      </c>
      <c r="K164" s="9">
        <v>272</v>
      </c>
      <c r="L164" s="9">
        <v>0</v>
      </c>
      <c r="M164" s="9">
        <v>317</v>
      </c>
      <c r="N164" s="9">
        <v>1</v>
      </c>
      <c r="O164" s="149" t="str">
        <f>IF(I164&lt;&gt;"",IF(I164=J164,"TIE",INDEX(Index!$F$1:$F$32,MATCH(E164,Index!$E$1:$E$32,0))),INDEX(Index!$F$1:$F$32,MATCH(E164,Index!$E$1:$E$32,0)))</f>
        <v>PHI</v>
      </c>
      <c r="P164" s="150" t="str">
        <f>IF(I164&lt;&gt;"",IF(I164=J164,"TIE",INDEX(Index!$F$1:$F$32,MATCH(G164,Index!$E$1:$E$32,0))),INDEX(Index!$F$1:$F$32,MATCH(G164,Index!$E$1:$E$32,0)))</f>
        <v>DET</v>
      </c>
      <c r="Q164" s="155" t="str">
        <f>IF(O164="TIE",INDEX(Index!$F$1:$F$32,MATCH(E164,Index!$E$1:$E$32,0)),"")</f>
        <v/>
      </c>
      <c r="R164" s="155" t="str">
        <f>IF(P164="TIE",INDEX(Index!$F$1:$F$32,MATCH(G164,Index!$E$1:$E$32,0)),"")</f>
        <v/>
      </c>
      <c r="S164" s="151" t="str">
        <f t="shared" si="14"/>
        <v>H</v>
      </c>
      <c r="T164" s="156" t="str">
        <f>INDEX(Index!$H$1:$H$32,MATCH($E164,Index!$E$1:$E$32,0))</f>
        <v>NE</v>
      </c>
      <c r="U164" s="156" t="str">
        <f>INDEX(Index!$H$1:$H$32,MATCH($G164,Index!$E$1:$E$32,0))</f>
        <v>NN</v>
      </c>
      <c r="V164" s="156" t="str">
        <f t="shared" si="15"/>
        <v>Con</v>
      </c>
      <c r="W164" s="152" t="str">
        <f t="shared" si="16"/>
        <v>Y</v>
      </c>
      <c r="X164" s="149" t="str">
        <f>INDEX(Index!$G$1:$G$32,MATCH(E164,Index!$E$1:$E$32,0))</f>
        <v>PHI</v>
      </c>
      <c r="Y164" s="150" t="str">
        <f>INDEX(Index!$G$1:$G$32,MATCH(G164,Index!$E$1:$E$32,0))</f>
        <v>DET</v>
      </c>
      <c r="Z164" s="147" t="str">
        <f t="shared" si="17"/>
        <v/>
      </c>
      <c r="AA164" s="174" t="str" cm="1">
        <f t="array" ref="AA164">IFERROR(IF($W164="Y","",INDEX(EPA!$N$2:$N$512,MATCH(X164&amp;Index!$K$1,EPA!$A$2:$A$512&amp;EPA!$W$2:$W$512,0))),"")</f>
        <v/>
      </c>
      <c r="AB164" s="174" t="str" cm="1">
        <f t="array" ref="AB164">IFERROR(IF($W164="Y","",INDEX(EPA!$N$2:$N$512,MATCH(Y164&amp;Index!$K$1,EPA!$A$2:$A$512&amp;EPA!$W$2:$W$512,0))),"")</f>
        <v/>
      </c>
      <c r="AC164" s="174" t="str">
        <f ca="1">IF(AA164&lt;&gt;"",_xlfn.NORM.INV(RAND(),AA164,Index!$K$2),"")</f>
        <v/>
      </c>
      <c r="AD164" s="174" t="str">
        <f ca="1">IF(AB164&lt;&gt;"",_xlfn.NORM.INV(RAND(),AB164,Index!$K$2),"")</f>
        <v/>
      </c>
      <c r="AE164" s="157" t="str">
        <f t="shared" si="18"/>
        <v>PHI</v>
      </c>
      <c r="AF164" s="158" t="str">
        <f t="shared" si="19"/>
        <v>DET</v>
      </c>
      <c r="AG164" s="149">
        <f t="shared" si="20"/>
        <v>163</v>
      </c>
    </row>
    <row r="165" spans="1:33" x14ac:dyDescent="0.25">
      <c r="A165" s="9">
        <v>11</v>
      </c>
      <c r="B165" s="9" t="s">
        <v>666</v>
      </c>
      <c r="C165" s="148">
        <v>45978</v>
      </c>
      <c r="D165" s="9" t="s">
        <v>667</v>
      </c>
      <c r="E165" s="9" t="s">
        <v>56</v>
      </c>
      <c r="F165" s="9" t="s">
        <v>663</v>
      </c>
      <c r="G165" s="9" t="s">
        <v>80</v>
      </c>
      <c r="H165" s="9" t="s">
        <v>658</v>
      </c>
      <c r="I165" s="9">
        <v>33</v>
      </c>
      <c r="J165" s="9">
        <v>16</v>
      </c>
      <c r="K165" s="9">
        <v>381</v>
      </c>
      <c r="L165" s="9">
        <v>1</v>
      </c>
      <c r="M165" s="9">
        <v>236</v>
      </c>
      <c r="N165" s="9">
        <v>1</v>
      </c>
      <c r="O165" s="149" t="str">
        <f>IF(I165&lt;&gt;"",IF(I165=J165,"TIE",INDEX(Index!$F$1:$F$32,MATCH(E165,Index!$E$1:$E$32,0))),INDEX(Index!$F$1:$F$32,MATCH(E165,Index!$E$1:$E$32,0)))</f>
        <v>DAL</v>
      </c>
      <c r="P165" s="150" t="str">
        <f>IF(I165&lt;&gt;"",IF(I165=J165,"TIE",INDEX(Index!$F$1:$F$32,MATCH(G165,Index!$E$1:$E$32,0))),INDEX(Index!$F$1:$F$32,MATCH(G165,Index!$E$1:$E$32,0)))</f>
        <v>LV</v>
      </c>
      <c r="Q165" s="155" t="str">
        <f>IF(O165="TIE",INDEX(Index!$F$1:$F$32,MATCH(E165,Index!$E$1:$E$32,0)),"")</f>
        <v/>
      </c>
      <c r="R165" s="155" t="str">
        <f>IF(P165="TIE",INDEX(Index!$F$1:$F$32,MATCH(G165,Index!$E$1:$E$32,0)),"")</f>
        <v/>
      </c>
      <c r="S165" s="151" t="str">
        <f t="shared" si="14"/>
        <v>A</v>
      </c>
      <c r="T165" s="156" t="str">
        <f>INDEX(Index!$H$1:$H$32,MATCH($E165,Index!$E$1:$E$32,0))</f>
        <v>NE</v>
      </c>
      <c r="U165" s="156" t="str">
        <f>INDEX(Index!$H$1:$H$32,MATCH($G165,Index!$E$1:$E$32,0))</f>
        <v>AW</v>
      </c>
      <c r="V165" s="156" t="str">
        <f t="shared" si="15"/>
        <v>Non</v>
      </c>
      <c r="W165" s="152" t="str">
        <f t="shared" si="16"/>
        <v>Y</v>
      </c>
      <c r="X165" s="149" t="str">
        <f>INDEX(Index!$G$1:$G$32,MATCH(E165,Index!$E$1:$E$32,0))</f>
        <v>DAL</v>
      </c>
      <c r="Y165" s="150" t="str">
        <f>INDEX(Index!$G$1:$G$32,MATCH(G165,Index!$E$1:$E$32,0))</f>
        <v>OAK</v>
      </c>
      <c r="Z165" s="147" t="str">
        <f t="shared" si="17"/>
        <v/>
      </c>
      <c r="AA165" s="174" t="str" cm="1">
        <f t="array" ref="AA165">IFERROR(IF($W165="Y","",INDEX(EPA!$N$2:$N$512,MATCH(X165&amp;Index!$K$1,EPA!$A$2:$A$512&amp;EPA!$W$2:$W$512,0))),"")</f>
        <v/>
      </c>
      <c r="AB165" s="174" t="str" cm="1">
        <f t="array" ref="AB165">IFERROR(IF($W165="Y","",INDEX(EPA!$N$2:$N$512,MATCH(Y165&amp;Index!$K$1,EPA!$A$2:$A$512&amp;EPA!$W$2:$W$512,0))),"")</f>
        <v/>
      </c>
      <c r="AC165" s="174" t="str">
        <f ca="1">IF(AA165&lt;&gt;"",_xlfn.NORM.INV(RAND(),AA165,Index!$K$2),"")</f>
        <v/>
      </c>
      <c r="AD165" s="174" t="str">
        <f ca="1">IF(AB165&lt;&gt;"",_xlfn.NORM.INV(RAND(),AB165,Index!$K$2),"")</f>
        <v/>
      </c>
      <c r="AE165" s="157" t="str">
        <f t="shared" si="18"/>
        <v>DAL</v>
      </c>
      <c r="AF165" s="158" t="str">
        <f t="shared" si="19"/>
        <v>LV</v>
      </c>
      <c r="AG165" s="149">
        <f t="shared" si="20"/>
        <v>164</v>
      </c>
    </row>
    <row r="166" spans="1:33" x14ac:dyDescent="0.25">
      <c r="A166" s="9">
        <v>12</v>
      </c>
      <c r="B166" s="9" t="s">
        <v>656</v>
      </c>
      <c r="C166" s="148">
        <v>45981</v>
      </c>
      <c r="D166" s="9" t="s">
        <v>667</v>
      </c>
      <c r="E166" s="9" t="s">
        <v>33</v>
      </c>
      <c r="F166" s="9"/>
      <c r="G166" s="9" t="s">
        <v>40</v>
      </c>
      <c r="H166" s="9" t="s">
        <v>658</v>
      </c>
      <c r="I166" s="9">
        <v>23</v>
      </c>
      <c r="J166" s="9">
        <v>19</v>
      </c>
      <c r="K166" s="9">
        <v>261</v>
      </c>
      <c r="L166" s="9">
        <v>0</v>
      </c>
      <c r="M166" s="9">
        <v>326</v>
      </c>
      <c r="N166" s="9">
        <v>3</v>
      </c>
      <c r="O166" s="149" t="str">
        <f>IF(I166&lt;&gt;"",IF(I166=J166,"TIE",INDEX(Index!$F$1:$F$32,MATCH(E166,Index!$E$1:$E$32,0))),INDEX(Index!$F$1:$F$32,MATCH(E166,Index!$E$1:$E$32,0)))</f>
        <v>HOU</v>
      </c>
      <c r="P166" s="150" t="str">
        <f>IF(I166&lt;&gt;"",IF(I166=J166,"TIE",INDEX(Index!$F$1:$F$32,MATCH(G166,Index!$E$1:$E$32,0))),INDEX(Index!$F$1:$F$32,MATCH(G166,Index!$E$1:$E$32,0)))</f>
        <v>BUF</v>
      </c>
      <c r="Q166" s="155" t="str">
        <f>IF(O166="TIE",INDEX(Index!$F$1:$F$32,MATCH(E166,Index!$E$1:$E$32,0)),"")</f>
        <v/>
      </c>
      <c r="R166" s="155" t="str">
        <f>IF(P166="TIE",INDEX(Index!$F$1:$F$32,MATCH(G166,Index!$E$1:$E$32,0)),"")</f>
        <v/>
      </c>
      <c r="S166" s="151" t="str">
        <f t="shared" si="14"/>
        <v>H</v>
      </c>
      <c r="T166" s="156" t="str">
        <f>INDEX(Index!$H$1:$H$32,MATCH($E166,Index!$E$1:$E$32,0))</f>
        <v>AS</v>
      </c>
      <c r="U166" s="156" t="str">
        <f>INDEX(Index!$H$1:$H$32,MATCH($G166,Index!$E$1:$E$32,0))</f>
        <v>AE</v>
      </c>
      <c r="V166" s="156" t="str">
        <f t="shared" si="15"/>
        <v>Con</v>
      </c>
      <c r="W166" s="152" t="str">
        <f t="shared" si="16"/>
        <v>Y</v>
      </c>
      <c r="X166" s="149" t="str">
        <f>INDEX(Index!$G$1:$G$32,MATCH(E166,Index!$E$1:$E$32,0))</f>
        <v>HOU</v>
      </c>
      <c r="Y166" s="150" t="str">
        <f>INDEX(Index!$G$1:$G$32,MATCH(G166,Index!$E$1:$E$32,0))</f>
        <v>BUF</v>
      </c>
      <c r="Z166" s="147" t="str">
        <f t="shared" si="17"/>
        <v/>
      </c>
      <c r="AA166" s="174" t="str" cm="1">
        <f t="array" ref="AA166">IFERROR(IF($W166="Y","",INDEX(EPA!$N$2:$N$512,MATCH(X166&amp;Index!$K$1,EPA!$A$2:$A$512&amp;EPA!$W$2:$W$512,0))),"")</f>
        <v/>
      </c>
      <c r="AB166" s="174" t="str" cm="1">
        <f t="array" ref="AB166">IFERROR(IF($W166="Y","",INDEX(EPA!$N$2:$N$512,MATCH(Y166&amp;Index!$K$1,EPA!$A$2:$A$512&amp;EPA!$W$2:$W$512,0))),"")</f>
        <v/>
      </c>
      <c r="AC166" s="174" t="str">
        <f ca="1">IF(AA166&lt;&gt;"",_xlfn.NORM.INV(RAND(),AA166,Index!$K$2),"")</f>
        <v/>
      </c>
      <c r="AD166" s="174" t="str">
        <f ca="1">IF(AB166&lt;&gt;"",_xlfn.NORM.INV(RAND(),AB166,Index!$K$2),"")</f>
        <v/>
      </c>
      <c r="AE166" s="157" t="str">
        <f t="shared" si="18"/>
        <v>HOU</v>
      </c>
      <c r="AF166" s="158" t="str">
        <f t="shared" si="19"/>
        <v>BUF</v>
      </c>
      <c r="AG166" s="149">
        <f t="shared" si="20"/>
        <v>165</v>
      </c>
    </row>
    <row r="167" spans="1:33" x14ac:dyDescent="0.25">
      <c r="A167" s="9">
        <v>12</v>
      </c>
      <c r="B167" s="9" t="s">
        <v>661</v>
      </c>
      <c r="C167" s="148">
        <v>45984</v>
      </c>
      <c r="D167" s="9" t="s">
        <v>662</v>
      </c>
      <c r="E167" s="9" t="s">
        <v>65</v>
      </c>
      <c r="F167" s="9"/>
      <c r="G167" s="9" t="s">
        <v>73</v>
      </c>
      <c r="H167" s="9" t="s">
        <v>658</v>
      </c>
      <c r="I167" s="9">
        <v>31</v>
      </c>
      <c r="J167" s="9">
        <v>28</v>
      </c>
      <c r="K167" s="9">
        <v>328</v>
      </c>
      <c r="L167" s="9">
        <v>2</v>
      </c>
      <c r="M167" s="9">
        <v>345</v>
      </c>
      <c r="N167" s="9">
        <v>2</v>
      </c>
      <c r="O167" s="149" t="str">
        <f>IF(I167&lt;&gt;"",IF(I167=J167,"TIE",INDEX(Index!$F$1:$F$32,MATCH(E167,Index!$E$1:$E$32,0))),INDEX(Index!$F$1:$F$32,MATCH(E167,Index!$E$1:$E$32,0)))</f>
        <v>CHI</v>
      </c>
      <c r="P167" s="150" t="str">
        <f>IF(I167&lt;&gt;"",IF(I167=J167,"TIE",INDEX(Index!$F$1:$F$32,MATCH(G167,Index!$E$1:$E$32,0))),INDEX(Index!$F$1:$F$32,MATCH(G167,Index!$E$1:$E$32,0)))</f>
        <v>PIT</v>
      </c>
      <c r="Q167" s="155" t="str">
        <f>IF(O167="TIE",INDEX(Index!$F$1:$F$32,MATCH(E167,Index!$E$1:$E$32,0)),"")</f>
        <v/>
      </c>
      <c r="R167" s="155" t="str">
        <f>IF(P167="TIE",INDEX(Index!$F$1:$F$32,MATCH(G167,Index!$E$1:$E$32,0)),"")</f>
        <v/>
      </c>
      <c r="S167" s="151" t="str">
        <f t="shared" si="14"/>
        <v>H</v>
      </c>
      <c r="T167" s="156" t="str">
        <f>INDEX(Index!$H$1:$H$32,MATCH($E167,Index!$E$1:$E$32,0))</f>
        <v>NN</v>
      </c>
      <c r="U167" s="156" t="str">
        <f>INDEX(Index!$H$1:$H$32,MATCH($G167,Index!$E$1:$E$32,0))</f>
        <v>AN</v>
      </c>
      <c r="V167" s="156" t="str">
        <f t="shared" si="15"/>
        <v>Non</v>
      </c>
      <c r="W167" s="152" t="str">
        <f t="shared" si="16"/>
        <v>Y</v>
      </c>
      <c r="X167" s="149" t="str">
        <f>INDEX(Index!$G$1:$G$32,MATCH(E167,Index!$E$1:$E$32,0))</f>
        <v>CHI</v>
      </c>
      <c r="Y167" s="150" t="str">
        <f>INDEX(Index!$G$1:$G$32,MATCH(G167,Index!$E$1:$E$32,0))</f>
        <v>PIT</v>
      </c>
      <c r="Z167" s="147" t="str">
        <f t="shared" si="17"/>
        <v/>
      </c>
      <c r="AA167" s="174" t="str" cm="1">
        <f t="array" ref="AA167">IFERROR(IF($W167="Y","",INDEX(EPA!$N$2:$N$512,MATCH(X167&amp;Index!$K$1,EPA!$A$2:$A$512&amp;EPA!$W$2:$W$512,0))),"")</f>
        <v/>
      </c>
      <c r="AB167" s="174" t="str" cm="1">
        <f t="array" ref="AB167">IFERROR(IF($W167="Y","",INDEX(EPA!$N$2:$N$512,MATCH(Y167&amp;Index!$K$1,EPA!$A$2:$A$512&amp;EPA!$W$2:$W$512,0))),"")</f>
        <v/>
      </c>
      <c r="AC167" s="174" t="str">
        <f ca="1">IF(AA167&lt;&gt;"",_xlfn.NORM.INV(RAND(),AA167,Index!$K$2),"")</f>
        <v/>
      </c>
      <c r="AD167" s="174" t="str">
        <f ca="1">IF(AB167&lt;&gt;"",_xlfn.NORM.INV(RAND(),AB167,Index!$K$2),"")</f>
        <v/>
      </c>
      <c r="AE167" s="157" t="str">
        <f t="shared" si="18"/>
        <v>CHI</v>
      </c>
      <c r="AF167" s="158" t="str">
        <f t="shared" si="19"/>
        <v>PIT</v>
      </c>
      <c r="AG167" s="149">
        <f t="shared" si="20"/>
        <v>166</v>
      </c>
    </row>
    <row r="168" spans="1:33" x14ac:dyDescent="0.25">
      <c r="A168" s="9">
        <v>12</v>
      </c>
      <c r="B168" s="9" t="s">
        <v>661</v>
      </c>
      <c r="C168" s="148">
        <v>45984</v>
      </c>
      <c r="D168" s="9" t="s">
        <v>662</v>
      </c>
      <c r="E168" s="9" t="s">
        <v>45</v>
      </c>
      <c r="F168" s="9" t="s">
        <v>663</v>
      </c>
      <c r="G168" s="9" t="s">
        <v>53</v>
      </c>
      <c r="H168" s="9" t="s">
        <v>658</v>
      </c>
      <c r="I168" s="9">
        <v>26</v>
      </c>
      <c r="J168" s="9">
        <v>20</v>
      </c>
      <c r="K168" s="9">
        <v>392</v>
      </c>
      <c r="L168" s="9">
        <v>1</v>
      </c>
      <c r="M168" s="9">
        <v>307</v>
      </c>
      <c r="N168" s="9">
        <v>1</v>
      </c>
      <c r="O168" s="149" t="str">
        <f>IF(I168&lt;&gt;"",IF(I168=J168,"TIE",INDEX(Index!$F$1:$F$32,MATCH(E168,Index!$E$1:$E$32,0))),INDEX(Index!$F$1:$F$32,MATCH(E168,Index!$E$1:$E$32,0)))</f>
        <v>NE</v>
      </c>
      <c r="P168" s="150" t="str">
        <f>IF(I168&lt;&gt;"",IF(I168=J168,"TIE",INDEX(Index!$F$1:$F$32,MATCH(G168,Index!$E$1:$E$32,0))),INDEX(Index!$F$1:$F$32,MATCH(G168,Index!$E$1:$E$32,0)))</f>
        <v>CIN</v>
      </c>
      <c r="Q168" s="155" t="str">
        <f>IF(O168="TIE",INDEX(Index!$F$1:$F$32,MATCH(E168,Index!$E$1:$E$32,0)),"")</f>
        <v/>
      </c>
      <c r="R168" s="155" t="str">
        <f>IF(P168="TIE",INDEX(Index!$F$1:$F$32,MATCH(G168,Index!$E$1:$E$32,0)),"")</f>
        <v/>
      </c>
      <c r="S168" s="151" t="str">
        <f t="shared" si="14"/>
        <v>A</v>
      </c>
      <c r="T168" s="156" t="str">
        <f>INDEX(Index!$H$1:$H$32,MATCH($E168,Index!$E$1:$E$32,0))</f>
        <v>AE</v>
      </c>
      <c r="U168" s="156" t="str">
        <f>INDEX(Index!$H$1:$H$32,MATCH($G168,Index!$E$1:$E$32,0))</f>
        <v>AN</v>
      </c>
      <c r="V168" s="156" t="str">
        <f t="shared" si="15"/>
        <v>Con</v>
      </c>
      <c r="W168" s="152" t="str">
        <f t="shared" si="16"/>
        <v>Y</v>
      </c>
      <c r="X168" s="149" t="str">
        <f>INDEX(Index!$G$1:$G$32,MATCH(E168,Index!$E$1:$E$32,0))</f>
        <v>NE</v>
      </c>
      <c r="Y168" s="150" t="str">
        <f>INDEX(Index!$G$1:$G$32,MATCH(G168,Index!$E$1:$E$32,0))</f>
        <v>CIN</v>
      </c>
      <c r="Z168" s="147" t="str">
        <f t="shared" si="17"/>
        <v/>
      </c>
      <c r="AA168" s="174" t="str" cm="1">
        <f t="array" ref="AA168">IFERROR(IF($W168="Y","",INDEX(EPA!$N$2:$N$512,MATCH(X168&amp;Index!$K$1,EPA!$A$2:$A$512&amp;EPA!$W$2:$W$512,0))),"")</f>
        <v/>
      </c>
      <c r="AB168" s="174" t="str" cm="1">
        <f t="array" ref="AB168">IFERROR(IF($W168="Y","",INDEX(EPA!$N$2:$N$512,MATCH(Y168&amp;Index!$K$1,EPA!$A$2:$A$512&amp;EPA!$W$2:$W$512,0))),"")</f>
        <v/>
      </c>
      <c r="AC168" s="174" t="str">
        <f ca="1">IF(AA168&lt;&gt;"",_xlfn.NORM.INV(RAND(),AA168,Index!$K$2),"")</f>
        <v/>
      </c>
      <c r="AD168" s="174" t="str">
        <f ca="1">IF(AB168&lt;&gt;"",_xlfn.NORM.INV(RAND(),AB168,Index!$K$2),"")</f>
        <v/>
      </c>
      <c r="AE168" s="157" t="str">
        <f t="shared" si="18"/>
        <v>NE</v>
      </c>
      <c r="AF168" s="158" t="str">
        <f t="shared" si="19"/>
        <v>CIN</v>
      </c>
      <c r="AG168" s="149">
        <f t="shared" si="20"/>
        <v>167</v>
      </c>
    </row>
    <row r="169" spans="1:33" x14ac:dyDescent="0.25">
      <c r="A169" s="9">
        <v>12</v>
      </c>
      <c r="B169" s="9" t="s">
        <v>661</v>
      </c>
      <c r="C169" s="148">
        <v>45984</v>
      </c>
      <c r="D169" s="9" t="s">
        <v>662</v>
      </c>
      <c r="E169" s="9" t="s">
        <v>16</v>
      </c>
      <c r="F169" s="9"/>
      <c r="G169" s="9" t="s">
        <v>42</v>
      </c>
      <c r="H169" s="9" t="s">
        <v>658</v>
      </c>
      <c r="I169" s="9">
        <v>23</v>
      </c>
      <c r="J169" s="9">
        <v>20</v>
      </c>
      <c r="K169" s="9">
        <v>494</v>
      </c>
      <c r="L169" s="9">
        <v>2</v>
      </c>
      <c r="M169" s="9">
        <v>255</v>
      </c>
      <c r="N169" s="9">
        <v>0</v>
      </c>
      <c r="O169" s="149" t="str">
        <f>IF(I169&lt;&gt;"",IF(I169=J169,"TIE",INDEX(Index!$F$1:$F$32,MATCH(E169,Index!$E$1:$E$32,0))),INDEX(Index!$F$1:$F$32,MATCH(E169,Index!$E$1:$E$32,0)))</f>
        <v>KC</v>
      </c>
      <c r="P169" s="150" t="str">
        <f>IF(I169&lt;&gt;"",IF(I169=J169,"TIE",INDEX(Index!$F$1:$F$32,MATCH(G169,Index!$E$1:$E$32,0))),INDEX(Index!$F$1:$F$32,MATCH(G169,Index!$E$1:$E$32,0)))</f>
        <v>IND</v>
      </c>
      <c r="Q169" s="155" t="str">
        <f>IF(O169="TIE",INDEX(Index!$F$1:$F$32,MATCH(E169,Index!$E$1:$E$32,0)),"")</f>
        <v/>
      </c>
      <c r="R169" s="155" t="str">
        <f>IF(P169="TIE",INDEX(Index!$F$1:$F$32,MATCH(G169,Index!$E$1:$E$32,0)),"")</f>
        <v/>
      </c>
      <c r="S169" s="151" t="str">
        <f t="shared" si="14"/>
        <v>H</v>
      </c>
      <c r="T169" s="156" t="str">
        <f>INDEX(Index!$H$1:$H$32,MATCH($E169,Index!$E$1:$E$32,0))</f>
        <v>AW</v>
      </c>
      <c r="U169" s="156" t="str">
        <f>INDEX(Index!$H$1:$H$32,MATCH($G169,Index!$E$1:$E$32,0))</f>
        <v>AS</v>
      </c>
      <c r="V169" s="156" t="str">
        <f t="shared" si="15"/>
        <v>Con</v>
      </c>
      <c r="W169" s="152" t="str">
        <f t="shared" si="16"/>
        <v>Y</v>
      </c>
      <c r="X169" s="149" t="str">
        <f>INDEX(Index!$G$1:$G$32,MATCH(E169,Index!$E$1:$E$32,0))</f>
        <v>KC</v>
      </c>
      <c r="Y169" s="150" t="str">
        <f>INDEX(Index!$G$1:$G$32,MATCH(G169,Index!$E$1:$E$32,0))</f>
        <v>IND</v>
      </c>
      <c r="Z169" s="147" t="str">
        <f t="shared" si="17"/>
        <v/>
      </c>
      <c r="AA169" s="174" t="str" cm="1">
        <f t="array" ref="AA169">IFERROR(IF($W169="Y","",INDEX(EPA!$N$2:$N$512,MATCH(X169&amp;Index!$K$1,EPA!$A$2:$A$512&amp;EPA!$W$2:$W$512,0))),"")</f>
        <v/>
      </c>
      <c r="AB169" s="174" t="str" cm="1">
        <f t="array" ref="AB169">IFERROR(IF($W169="Y","",INDEX(EPA!$N$2:$N$512,MATCH(Y169&amp;Index!$K$1,EPA!$A$2:$A$512&amp;EPA!$W$2:$W$512,0))),"")</f>
        <v/>
      </c>
      <c r="AC169" s="174" t="str">
        <f ca="1">IF(AA169&lt;&gt;"",_xlfn.NORM.INV(RAND(),AA169,Index!$K$2),"")</f>
        <v/>
      </c>
      <c r="AD169" s="174" t="str">
        <f ca="1">IF(AB169&lt;&gt;"",_xlfn.NORM.INV(RAND(),AB169,Index!$K$2),"")</f>
        <v/>
      </c>
      <c r="AE169" s="157" t="str">
        <f t="shared" si="18"/>
        <v>KC</v>
      </c>
      <c r="AF169" s="158" t="str">
        <f t="shared" si="19"/>
        <v>IND</v>
      </c>
      <c r="AG169" s="149">
        <f t="shared" si="20"/>
        <v>168</v>
      </c>
    </row>
    <row r="170" spans="1:33" x14ac:dyDescent="0.25">
      <c r="A170" s="9">
        <v>12</v>
      </c>
      <c r="B170" s="9" t="s">
        <v>661</v>
      </c>
      <c r="C170" s="148">
        <v>45984</v>
      </c>
      <c r="D170" s="9" t="s">
        <v>662</v>
      </c>
      <c r="E170" s="9" t="s">
        <v>86</v>
      </c>
      <c r="F170" s="9"/>
      <c r="G170" s="9" t="s">
        <v>49</v>
      </c>
      <c r="H170" s="9" t="s">
        <v>658</v>
      </c>
      <c r="I170" s="9">
        <v>34</v>
      </c>
      <c r="J170" s="9">
        <v>27</v>
      </c>
      <c r="K170" s="9">
        <v>494</v>
      </c>
      <c r="L170" s="9">
        <v>1</v>
      </c>
      <c r="M170" s="9">
        <v>517</v>
      </c>
      <c r="N170" s="9">
        <v>1</v>
      </c>
      <c r="O170" s="149" t="str">
        <f>IF(I170&lt;&gt;"",IF(I170=J170,"TIE",INDEX(Index!$F$1:$F$32,MATCH(E170,Index!$E$1:$E$32,0))),INDEX(Index!$F$1:$F$32,MATCH(E170,Index!$E$1:$E$32,0)))</f>
        <v>DET</v>
      </c>
      <c r="P170" s="150" t="str">
        <f>IF(I170&lt;&gt;"",IF(I170=J170,"TIE",INDEX(Index!$F$1:$F$32,MATCH(G170,Index!$E$1:$E$32,0))),INDEX(Index!$F$1:$F$32,MATCH(G170,Index!$E$1:$E$32,0)))</f>
        <v>NYG</v>
      </c>
      <c r="Q170" s="155" t="str">
        <f>IF(O170="TIE",INDEX(Index!$F$1:$F$32,MATCH(E170,Index!$E$1:$E$32,0)),"")</f>
        <v/>
      </c>
      <c r="R170" s="155" t="str">
        <f>IF(P170="TIE",INDEX(Index!$F$1:$F$32,MATCH(G170,Index!$E$1:$E$32,0)),"")</f>
        <v/>
      </c>
      <c r="S170" s="151" t="str">
        <f t="shared" si="14"/>
        <v>H</v>
      </c>
      <c r="T170" s="156" t="str">
        <f>INDEX(Index!$H$1:$H$32,MATCH($E170,Index!$E$1:$E$32,0))</f>
        <v>NN</v>
      </c>
      <c r="U170" s="156" t="str">
        <f>INDEX(Index!$H$1:$H$32,MATCH($G170,Index!$E$1:$E$32,0))</f>
        <v>NE</v>
      </c>
      <c r="V170" s="156" t="str">
        <f t="shared" si="15"/>
        <v>Con</v>
      </c>
      <c r="W170" s="152" t="str">
        <f t="shared" si="16"/>
        <v>Y</v>
      </c>
      <c r="X170" s="149" t="str">
        <f>INDEX(Index!$G$1:$G$32,MATCH(E170,Index!$E$1:$E$32,0))</f>
        <v>DET</v>
      </c>
      <c r="Y170" s="150" t="str">
        <f>INDEX(Index!$G$1:$G$32,MATCH(G170,Index!$E$1:$E$32,0))</f>
        <v>NYG</v>
      </c>
      <c r="Z170" s="147" t="str">
        <f t="shared" si="17"/>
        <v/>
      </c>
      <c r="AA170" s="174" t="str" cm="1">
        <f t="array" ref="AA170">IFERROR(IF($W170="Y","",INDEX(EPA!$N$2:$N$512,MATCH(X170&amp;Index!$K$1,EPA!$A$2:$A$512&amp;EPA!$W$2:$W$512,0))),"")</f>
        <v/>
      </c>
      <c r="AB170" s="174" t="str" cm="1">
        <f t="array" ref="AB170">IFERROR(IF($W170="Y","",INDEX(EPA!$N$2:$N$512,MATCH(Y170&amp;Index!$K$1,EPA!$A$2:$A$512&amp;EPA!$W$2:$W$512,0))),"")</f>
        <v/>
      </c>
      <c r="AC170" s="174" t="str">
        <f ca="1">IF(AA170&lt;&gt;"",_xlfn.NORM.INV(RAND(),AA170,Index!$K$2),"")</f>
        <v/>
      </c>
      <c r="AD170" s="174" t="str">
        <f ca="1">IF(AB170&lt;&gt;"",_xlfn.NORM.INV(RAND(),AB170,Index!$K$2),"")</f>
        <v/>
      </c>
      <c r="AE170" s="157" t="str">
        <f t="shared" si="18"/>
        <v>DET</v>
      </c>
      <c r="AF170" s="158" t="str">
        <f t="shared" si="19"/>
        <v>NYG</v>
      </c>
      <c r="AG170" s="149">
        <f t="shared" si="20"/>
        <v>169</v>
      </c>
    </row>
    <row r="171" spans="1:33" x14ac:dyDescent="0.25">
      <c r="A171" s="9">
        <v>12</v>
      </c>
      <c r="B171" s="9" t="s">
        <v>661</v>
      </c>
      <c r="C171" s="148">
        <v>45984</v>
      </c>
      <c r="D171" s="9" t="s">
        <v>662</v>
      </c>
      <c r="E171" s="9" t="s">
        <v>88</v>
      </c>
      <c r="F171" s="9"/>
      <c r="G171" s="9" t="s">
        <v>58</v>
      </c>
      <c r="H171" s="9" t="s">
        <v>658</v>
      </c>
      <c r="I171" s="9">
        <v>23</v>
      </c>
      <c r="J171" s="9">
        <v>6</v>
      </c>
      <c r="K171" s="9">
        <v>288</v>
      </c>
      <c r="L171" s="9">
        <v>0</v>
      </c>
      <c r="M171" s="9">
        <v>145</v>
      </c>
      <c r="N171" s="9">
        <v>3</v>
      </c>
      <c r="O171" s="149" t="str">
        <f>IF(I171&lt;&gt;"",IF(I171=J171,"TIE",INDEX(Index!$F$1:$F$32,MATCH(E171,Index!$E$1:$E$32,0))),INDEX(Index!$F$1:$F$32,MATCH(E171,Index!$E$1:$E$32,0)))</f>
        <v>GB</v>
      </c>
      <c r="P171" s="150" t="str">
        <f>IF(I171&lt;&gt;"",IF(I171=J171,"TIE",INDEX(Index!$F$1:$F$32,MATCH(G171,Index!$E$1:$E$32,0))),INDEX(Index!$F$1:$F$32,MATCH(G171,Index!$E$1:$E$32,0)))</f>
        <v>MIN</v>
      </c>
      <c r="Q171" s="155" t="str">
        <f>IF(O171="TIE",INDEX(Index!$F$1:$F$32,MATCH(E171,Index!$E$1:$E$32,0)),"")</f>
        <v/>
      </c>
      <c r="R171" s="155" t="str">
        <f>IF(P171="TIE",INDEX(Index!$F$1:$F$32,MATCH(G171,Index!$E$1:$E$32,0)),"")</f>
        <v/>
      </c>
      <c r="S171" s="151" t="str">
        <f t="shared" si="14"/>
        <v>H</v>
      </c>
      <c r="T171" s="156" t="str">
        <f>INDEX(Index!$H$1:$H$32,MATCH($E171,Index!$E$1:$E$32,0))</f>
        <v>NN</v>
      </c>
      <c r="U171" s="156" t="str">
        <f>INDEX(Index!$H$1:$H$32,MATCH($G171,Index!$E$1:$E$32,0))</f>
        <v>NN</v>
      </c>
      <c r="V171" s="156" t="str">
        <f t="shared" si="15"/>
        <v>Div</v>
      </c>
      <c r="W171" s="152" t="str">
        <f t="shared" si="16"/>
        <v>Y</v>
      </c>
      <c r="X171" s="149" t="str">
        <f>INDEX(Index!$G$1:$G$32,MATCH(E171,Index!$E$1:$E$32,0))</f>
        <v>GB</v>
      </c>
      <c r="Y171" s="150" t="str">
        <f>INDEX(Index!$G$1:$G$32,MATCH(G171,Index!$E$1:$E$32,0))</f>
        <v>MIN</v>
      </c>
      <c r="Z171" s="147" t="str">
        <f t="shared" si="17"/>
        <v/>
      </c>
      <c r="AA171" s="174" t="str" cm="1">
        <f t="array" ref="AA171">IFERROR(IF($W171="Y","",INDEX(EPA!$N$2:$N$512,MATCH(X171&amp;Index!$K$1,EPA!$A$2:$A$512&amp;EPA!$W$2:$W$512,0))),"")</f>
        <v/>
      </c>
      <c r="AB171" s="174" t="str" cm="1">
        <f t="array" ref="AB171">IFERROR(IF($W171="Y","",INDEX(EPA!$N$2:$N$512,MATCH(Y171&amp;Index!$K$1,EPA!$A$2:$A$512&amp;EPA!$W$2:$W$512,0))),"")</f>
        <v/>
      </c>
      <c r="AC171" s="174" t="str">
        <f ca="1">IF(AA171&lt;&gt;"",_xlfn.NORM.INV(RAND(),AA171,Index!$K$2),"")</f>
        <v/>
      </c>
      <c r="AD171" s="174" t="str">
        <f ca="1">IF(AB171&lt;&gt;"",_xlfn.NORM.INV(RAND(),AB171,Index!$K$2),"")</f>
        <v/>
      </c>
      <c r="AE171" s="157" t="str">
        <f t="shared" si="18"/>
        <v>GB</v>
      </c>
      <c r="AF171" s="158" t="str">
        <f t="shared" si="19"/>
        <v>MIN</v>
      </c>
      <c r="AG171" s="149">
        <f t="shared" si="20"/>
        <v>170</v>
      </c>
    </row>
    <row r="172" spans="1:33" x14ac:dyDescent="0.25">
      <c r="A172" s="9">
        <v>12</v>
      </c>
      <c r="B172" s="9" t="s">
        <v>661</v>
      </c>
      <c r="C172" s="148">
        <v>45984</v>
      </c>
      <c r="D172" s="9" t="s">
        <v>662</v>
      </c>
      <c r="E172" s="9" t="s">
        <v>76</v>
      </c>
      <c r="F172" s="9"/>
      <c r="G172" s="9" t="s">
        <v>23</v>
      </c>
      <c r="H172" s="9" t="s">
        <v>658</v>
      </c>
      <c r="I172" s="9">
        <v>23</v>
      </c>
      <c r="J172" s="9">
        <v>10</v>
      </c>
      <c r="K172" s="9">
        <v>241</v>
      </c>
      <c r="L172" s="9">
        <v>0</v>
      </c>
      <c r="M172" s="9">
        <v>282</v>
      </c>
      <c r="N172" s="9">
        <v>2</v>
      </c>
      <c r="O172" s="149" t="str">
        <f>IF(I172&lt;&gt;"",IF(I172=J172,"TIE",INDEX(Index!$F$1:$F$32,MATCH(E172,Index!$E$1:$E$32,0))),INDEX(Index!$F$1:$F$32,MATCH(E172,Index!$E$1:$E$32,0)))</f>
        <v>BAL</v>
      </c>
      <c r="P172" s="150" t="str">
        <f>IF(I172&lt;&gt;"",IF(I172=J172,"TIE",INDEX(Index!$F$1:$F$32,MATCH(G172,Index!$E$1:$E$32,0))),INDEX(Index!$F$1:$F$32,MATCH(G172,Index!$E$1:$E$32,0)))</f>
        <v>NYJ</v>
      </c>
      <c r="Q172" s="155" t="str">
        <f>IF(O172="TIE",INDEX(Index!$F$1:$F$32,MATCH(E172,Index!$E$1:$E$32,0)),"")</f>
        <v/>
      </c>
      <c r="R172" s="155" t="str">
        <f>IF(P172="TIE",INDEX(Index!$F$1:$F$32,MATCH(G172,Index!$E$1:$E$32,0)),"")</f>
        <v/>
      </c>
      <c r="S172" s="151" t="str">
        <f t="shared" si="14"/>
        <v>H</v>
      </c>
      <c r="T172" s="156" t="str">
        <f>INDEX(Index!$H$1:$H$32,MATCH($E172,Index!$E$1:$E$32,0))</f>
        <v>AN</v>
      </c>
      <c r="U172" s="156" t="str">
        <f>INDEX(Index!$H$1:$H$32,MATCH($G172,Index!$E$1:$E$32,0))</f>
        <v>AE</v>
      </c>
      <c r="V172" s="156" t="str">
        <f t="shared" si="15"/>
        <v>Con</v>
      </c>
      <c r="W172" s="152" t="str">
        <f t="shared" si="16"/>
        <v>Y</v>
      </c>
      <c r="X172" s="149" t="str">
        <f>INDEX(Index!$G$1:$G$32,MATCH(E172,Index!$E$1:$E$32,0))</f>
        <v>BAL</v>
      </c>
      <c r="Y172" s="150" t="str">
        <f>INDEX(Index!$G$1:$G$32,MATCH(G172,Index!$E$1:$E$32,0))</f>
        <v>NYJ</v>
      </c>
      <c r="Z172" s="147" t="str">
        <f t="shared" si="17"/>
        <v/>
      </c>
      <c r="AA172" s="174" t="str" cm="1">
        <f t="array" ref="AA172">IFERROR(IF($W172="Y","",INDEX(EPA!$N$2:$N$512,MATCH(X172&amp;Index!$K$1,EPA!$A$2:$A$512&amp;EPA!$W$2:$W$512,0))),"")</f>
        <v/>
      </c>
      <c r="AB172" s="174" t="str" cm="1">
        <f t="array" ref="AB172">IFERROR(IF($W172="Y","",INDEX(EPA!$N$2:$N$512,MATCH(Y172&amp;Index!$K$1,EPA!$A$2:$A$512&amp;EPA!$W$2:$W$512,0))),"")</f>
        <v/>
      </c>
      <c r="AC172" s="174" t="str">
        <f ca="1">IF(AA172&lt;&gt;"",_xlfn.NORM.INV(RAND(),AA172,Index!$K$2),"")</f>
        <v/>
      </c>
      <c r="AD172" s="174" t="str">
        <f ca="1">IF(AB172&lt;&gt;"",_xlfn.NORM.INV(RAND(),AB172,Index!$K$2),"")</f>
        <v/>
      </c>
      <c r="AE172" s="157" t="str">
        <f t="shared" si="18"/>
        <v>BAL</v>
      </c>
      <c r="AF172" s="158" t="str">
        <f t="shared" si="19"/>
        <v>NYJ</v>
      </c>
      <c r="AG172" s="149">
        <f t="shared" si="20"/>
        <v>171</v>
      </c>
    </row>
    <row r="173" spans="1:33" x14ac:dyDescent="0.25">
      <c r="A173" s="9">
        <v>12</v>
      </c>
      <c r="B173" s="9" t="s">
        <v>661</v>
      </c>
      <c r="C173" s="148">
        <v>45984</v>
      </c>
      <c r="D173" s="9" t="s">
        <v>662</v>
      </c>
      <c r="E173" s="9" t="s">
        <v>8</v>
      </c>
      <c r="F173" s="9" t="s">
        <v>663</v>
      </c>
      <c r="G173" s="9" t="s">
        <v>19</v>
      </c>
      <c r="H173" s="9" t="s">
        <v>658</v>
      </c>
      <c r="I173" s="9">
        <v>30</v>
      </c>
      <c r="J173" s="9">
        <v>24</v>
      </c>
      <c r="K173" s="9">
        <v>353</v>
      </c>
      <c r="L173" s="9">
        <v>0</v>
      </c>
      <c r="M173" s="9">
        <v>296</v>
      </c>
      <c r="N173" s="9">
        <v>0</v>
      </c>
      <c r="O173" s="149" t="str">
        <f>IF(I173&lt;&gt;"",IF(I173=J173,"TIE",INDEX(Index!$F$1:$F$32,MATCH(E173,Index!$E$1:$E$32,0))),INDEX(Index!$F$1:$F$32,MATCH(E173,Index!$E$1:$E$32,0)))</f>
        <v>SEA</v>
      </c>
      <c r="P173" s="150" t="str">
        <f>IF(I173&lt;&gt;"",IF(I173=J173,"TIE",INDEX(Index!$F$1:$F$32,MATCH(G173,Index!$E$1:$E$32,0))),INDEX(Index!$F$1:$F$32,MATCH(G173,Index!$E$1:$E$32,0)))</f>
        <v>TEN</v>
      </c>
      <c r="Q173" s="155" t="str">
        <f>IF(O173="TIE",INDEX(Index!$F$1:$F$32,MATCH(E173,Index!$E$1:$E$32,0)),"")</f>
        <v/>
      </c>
      <c r="R173" s="155" t="str">
        <f>IF(P173="TIE",INDEX(Index!$F$1:$F$32,MATCH(G173,Index!$E$1:$E$32,0)),"")</f>
        <v/>
      </c>
      <c r="S173" s="151" t="str">
        <f t="shared" si="14"/>
        <v>A</v>
      </c>
      <c r="T173" s="156" t="str">
        <f>INDEX(Index!$H$1:$H$32,MATCH($E173,Index!$E$1:$E$32,0))</f>
        <v>NW</v>
      </c>
      <c r="U173" s="156" t="str">
        <f>INDEX(Index!$H$1:$H$32,MATCH($G173,Index!$E$1:$E$32,0))</f>
        <v>AS</v>
      </c>
      <c r="V173" s="156" t="str">
        <f t="shared" si="15"/>
        <v>Non</v>
      </c>
      <c r="W173" s="152" t="str">
        <f t="shared" si="16"/>
        <v>Y</v>
      </c>
      <c r="X173" s="149" t="str">
        <f>INDEX(Index!$G$1:$G$32,MATCH(E173,Index!$E$1:$E$32,0))</f>
        <v>SEA</v>
      </c>
      <c r="Y173" s="150" t="str">
        <f>INDEX(Index!$G$1:$G$32,MATCH(G173,Index!$E$1:$E$32,0))</f>
        <v>TEN</v>
      </c>
      <c r="Z173" s="147" t="str">
        <f t="shared" si="17"/>
        <v/>
      </c>
      <c r="AA173" s="174" t="str" cm="1">
        <f t="array" ref="AA173">IFERROR(IF($W173="Y","",INDEX(EPA!$N$2:$N$512,MATCH(X173&amp;Index!$K$1,EPA!$A$2:$A$512&amp;EPA!$W$2:$W$512,0))),"")</f>
        <v/>
      </c>
      <c r="AB173" s="174" t="str" cm="1">
        <f t="array" ref="AB173">IFERROR(IF($W173="Y","",INDEX(EPA!$N$2:$N$512,MATCH(Y173&amp;Index!$K$1,EPA!$A$2:$A$512&amp;EPA!$W$2:$W$512,0))),"")</f>
        <v/>
      </c>
      <c r="AC173" s="174" t="str">
        <f ca="1">IF(AA173&lt;&gt;"",_xlfn.NORM.INV(RAND(),AA173,Index!$K$2),"")</f>
        <v/>
      </c>
      <c r="AD173" s="174" t="str">
        <f ca="1">IF(AB173&lt;&gt;"",_xlfn.NORM.INV(RAND(),AB173,Index!$K$2),"")</f>
        <v/>
      </c>
      <c r="AE173" s="157" t="str">
        <f t="shared" si="18"/>
        <v>SEA</v>
      </c>
      <c r="AF173" s="158" t="str">
        <f t="shared" si="19"/>
        <v>TEN</v>
      </c>
      <c r="AG173" s="149">
        <f t="shared" si="20"/>
        <v>172</v>
      </c>
    </row>
    <row r="174" spans="1:33" x14ac:dyDescent="0.25">
      <c r="A174" s="9">
        <v>12</v>
      </c>
      <c r="B174" s="9" t="s">
        <v>661</v>
      </c>
      <c r="C174" s="148">
        <v>45984</v>
      </c>
      <c r="D174" s="9" t="s">
        <v>664</v>
      </c>
      <c r="E174" s="9" t="s">
        <v>83</v>
      </c>
      <c r="F174" s="9" t="s">
        <v>663</v>
      </c>
      <c r="G174" s="9" t="s">
        <v>80</v>
      </c>
      <c r="H174" s="9" t="s">
        <v>658</v>
      </c>
      <c r="I174" s="9">
        <v>24</v>
      </c>
      <c r="J174" s="9">
        <v>10</v>
      </c>
      <c r="K174" s="9">
        <v>270</v>
      </c>
      <c r="L174" s="9">
        <v>2</v>
      </c>
      <c r="M174" s="9">
        <v>268</v>
      </c>
      <c r="N174" s="9">
        <v>1</v>
      </c>
      <c r="O174" s="149" t="str">
        <f>IF(I174&lt;&gt;"",IF(I174=J174,"TIE",INDEX(Index!$F$1:$F$32,MATCH(E174,Index!$E$1:$E$32,0))),INDEX(Index!$F$1:$F$32,MATCH(E174,Index!$E$1:$E$32,0)))</f>
        <v>CLE</v>
      </c>
      <c r="P174" s="150" t="str">
        <f>IF(I174&lt;&gt;"",IF(I174=J174,"TIE",INDEX(Index!$F$1:$F$32,MATCH(G174,Index!$E$1:$E$32,0))),INDEX(Index!$F$1:$F$32,MATCH(G174,Index!$E$1:$E$32,0)))</f>
        <v>LV</v>
      </c>
      <c r="Q174" s="155" t="str">
        <f>IF(O174="TIE",INDEX(Index!$F$1:$F$32,MATCH(E174,Index!$E$1:$E$32,0)),"")</f>
        <v/>
      </c>
      <c r="R174" s="155" t="str">
        <f>IF(P174="TIE",INDEX(Index!$F$1:$F$32,MATCH(G174,Index!$E$1:$E$32,0)),"")</f>
        <v/>
      </c>
      <c r="S174" s="151" t="str">
        <f t="shared" si="14"/>
        <v>A</v>
      </c>
      <c r="T174" s="156" t="str">
        <f>INDEX(Index!$H$1:$H$32,MATCH($E174,Index!$E$1:$E$32,0))</f>
        <v>AN</v>
      </c>
      <c r="U174" s="156" t="str">
        <f>INDEX(Index!$H$1:$H$32,MATCH($G174,Index!$E$1:$E$32,0))</f>
        <v>AW</v>
      </c>
      <c r="V174" s="156" t="str">
        <f t="shared" si="15"/>
        <v>Con</v>
      </c>
      <c r="W174" s="152" t="str">
        <f t="shared" si="16"/>
        <v>Y</v>
      </c>
      <c r="X174" s="149" t="str">
        <f>INDEX(Index!$G$1:$G$32,MATCH(E174,Index!$E$1:$E$32,0))</f>
        <v>CLE</v>
      </c>
      <c r="Y174" s="150" t="str">
        <f>INDEX(Index!$G$1:$G$32,MATCH(G174,Index!$E$1:$E$32,0))</f>
        <v>OAK</v>
      </c>
      <c r="Z174" s="147" t="str">
        <f t="shared" si="17"/>
        <v/>
      </c>
      <c r="AA174" s="174" t="str" cm="1">
        <f t="array" ref="AA174">IFERROR(IF($W174="Y","",INDEX(EPA!$N$2:$N$512,MATCH(X174&amp;Index!$K$1,EPA!$A$2:$A$512&amp;EPA!$W$2:$W$512,0))),"")</f>
        <v/>
      </c>
      <c r="AB174" s="174" t="str" cm="1">
        <f t="array" ref="AB174">IFERROR(IF($W174="Y","",INDEX(EPA!$N$2:$N$512,MATCH(Y174&amp;Index!$K$1,EPA!$A$2:$A$512&amp;EPA!$W$2:$W$512,0))),"")</f>
        <v/>
      </c>
      <c r="AC174" s="174" t="str">
        <f ca="1">IF(AA174&lt;&gt;"",_xlfn.NORM.INV(RAND(),AA174,Index!$K$2),"")</f>
        <v/>
      </c>
      <c r="AD174" s="174" t="str">
        <f ca="1">IF(AB174&lt;&gt;"",_xlfn.NORM.INV(RAND(),AB174,Index!$K$2),"")</f>
        <v/>
      </c>
      <c r="AE174" s="157" t="str">
        <f t="shared" si="18"/>
        <v>CLE</v>
      </c>
      <c r="AF174" s="158" t="str">
        <f t="shared" si="19"/>
        <v>LV</v>
      </c>
      <c r="AG174" s="149">
        <f t="shared" si="20"/>
        <v>173</v>
      </c>
    </row>
    <row r="175" spans="1:33" x14ac:dyDescent="0.25">
      <c r="A175" s="9">
        <v>12</v>
      </c>
      <c r="B175" s="9" t="s">
        <v>661</v>
      </c>
      <c r="C175" s="148">
        <v>45984</v>
      </c>
      <c r="D175" s="9" t="s">
        <v>664</v>
      </c>
      <c r="E175" s="9" t="s">
        <v>36</v>
      </c>
      <c r="F175" s="9" t="s">
        <v>663</v>
      </c>
      <c r="G175" s="9" t="s">
        <v>27</v>
      </c>
      <c r="H175" s="9" t="s">
        <v>658</v>
      </c>
      <c r="I175" s="9">
        <v>27</v>
      </c>
      <c r="J175" s="9">
        <v>24</v>
      </c>
      <c r="K175" s="9">
        <v>371</v>
      </c>
      <c r="L175" s="9">
        <v>4</v>
      </c>
      <c r="M175" s="9">
        <v>326</v>
      </c>
      <c r="N175" s="9">
        <v>0</v>
      </c>
      <c r="O175" s="149" t="str">
        <f>IF(I175&lt;&gt;"",IF(I175=J175,"TIE",INDEX(Index!$F$1:$F$32,MATCH(E175,Index!$E$1:$E$32,0))),INDEX(Index!$F$1:$F$32,MATCH(E175,Index!$E$1:$E$32,0)))</f>
        <v>JAX</v>
      </c>
      <c r="P175" s="150" t="str">
        <f>IF(I175&lt;&gt;"",IF(I175=J175,"TIE",INDEX(Index!$F$1:$F$32,MATCH(G175,Index!$E$1:$E$32,0))),INDEX(Index!$F$1:$F$32,MATCH(G175,Index!$E$1:$E$32,0)))</f>
        <v>ARI</v>
      </c>
      <c r="Q175" s="155" t="str">
        <f>IF(O175="TIE",INDEX(Index!$F$1:$F$32,MATCH(E175,Index!$E$1:$E$32,0)),"")</f>
        <v/>
      </c>
      <c r="R175" s="155" t="str">
        <f>IF(P175="TIE",INDEX(Index!$F$1:$F$32,MATCH(G175,Index!$E$1:$E$32,0)),"")</f>
        <v/>
      </c>
      <c r="S175" s="151" t="str">
        <f t="shared" si="14"/>
        <v>A</v>
      </c>
      <c r="T175" s="156" t="str">
        <f>INDEX(Index!$H$1:$H$32,MATCH($E175,Index!$E$1:$E$32,0))</f>
        <v>AS</v>
      </c>
      <c r="U175" s="156" t="str">
        <f>INDEX(Index!$H$1:$H$32,MATCH($G175,Index!$E$1:$E$32,0))</f>
        <v>NW</v>
      </c>
      <c r="V175" s="156" t="str">
        <f t="shared" si="15"/>
        <v>Non</v>
      </c>
      <c r="W175" s="152" t="str">
        <f t="shared" si="16"/>
        <v>Y</v>
      </c>
      <c r="X175" s="149" t="str">
        <f>INDEX(Index!$G$1:$G$32,MATCH(E175,Index!$E$1:$E$32,0))</f>
        <v>JAX</v>
      </c>
      <c r="Y175" s="150" t="str">
        <f>INDEX(Index!$G$1:$G$32,MATCH(G175,Index!$E$1:$E$32,0))</f>
        <v>ARI</v>
      </c>
      <c r="Z175" s="147" t="str">
        <f t="shared" si="17"/>
        <v/>
      </c>
      <c r="AA175" s="174" t="str" cm="1">
        <f t="array" ref="AA175">IFERROR(IF($W175="Y","",INDEX(EPA!$N$2:$N$512,MATCH(X175&amp;Index!$K$1,EPA!$A$2:$A$512&amp;EPA!$W$2:$W$512,0))),"")</f>
        <v/>
      </c>
      <c r="AB175" s="174" t="str" cm="1">
        <f t="array" ref="AB175">IFERROR(IF($W175="Y","",INDEX(EPA!$N$2:$N$512,MATCH(Y175&amp;Index!$K$1,EPA!$A$2:$A$512&amp;EPA!$W$2:$W$512,0))),"")</f>
        <v/>
      </c>
      <c r="AC175" s="174" t="str">
        <f ca="1">IF(AA175&lt;&gt;"",_xlfn.NORM.INV(RAND(),AA175,Index!$K$2),"")</f>
        <v/>
      </c>
      <c r="AD175" s="174" t="str">
        <f ca="1">IF(AB175&lt;&gt;"",_xlfn.NORM.INV(RAND(),AB175,Index!$K$2),"")</f>
        <v/>
      </c>
      <c r="AE175" s="157" t="str">
        <f t="shared" si="18"/>
        <v>JAX</v>
      </c>
      <c r="AF175" s="158" t="str">
        <f t="shared" si="19"/>
        <v>ARI</v>
      </c>
      <c r="AG175" s="149">
        <f t="shared" si="20"/>
        <v>174</v>
      </c>
    </row>
    <row r="176" spans="1:33" x14ac:dyDescent="0.25">
      <c r="A176" s="9">
        <v>12</v>
      </c>
      <c r="B176" s="9" t="s">
        <v>661</v>
      </c>
      <c r="C176" s="148">
        <v>45984</v>
      </c>
      <c r="D176" s="9" t="s">
        <v>665</v>
      </c>
      <c r="E176" s="9" t="s">
        <v>78</v>
      </c>
      <c r="F176" s="9" t="s">
        <v>663</v>
      </c>
      <c r="G176" s="9" t="s">
        <v>71</v>
      </c>
      <c r="H176" s="9" t="s">
        <v>658</v>
      </c>
      <c r="I176" s="9">
        <v>24</v>
      </c>
      <c r="J176" s="9">
        <v>10</v>
      </c>
      <c r="K176" s="9">
        <v>302</v>
      </c>
      <c r="L176" s="9">
        <v>1</v>
      </c>
      <c r="M176" s="9">
        <v>293</v>
      </c>
      <c r="N176" s="9">
        <v>2</v>
      </c>
      <c r="O176" s="149" t="str">
        <f>IF(I176&lt;&gt;"",IF(I176=J176,"TIE",INDEX(Index!$F$1:$F$32,MATCH(E176,Index!$E$1:$E$32,0))),INDEX(Index!$F$1:$F$32,MATCH(E176,Index!$E$1:$E$32,0)))</f>
        <v>ATL</v>
      </c>
      <c r="P176" s="150" t="str">
        <f>IF(I176&lt;&gt;"",IF(I176=J176,"TIE",INDEX(Index!$F$1:$F$32,MATCH(G176,Index!$E$1:$E$32,0))),INDEX(Index!$F$1:$F$32,MATCH(G176,Index!$E$1:$E$32,0)))</f>
        <v>NO</v>
      </c>
      <c r="Q176" s="155" t="str">
        <f>IF(O176="TIE",INDEX(Index!$F$1:$F$32,MATCH(E176,Index!$E$1:$E$32,0)),"")</f>
        <v/>
      </c>
      <c r="R176" s="155" t="str">
        <f>IF(P176="TIE",INDEX(Index!$F$1:$F$32,MATCH(G176,Index!$E$1:$E$32,0)),"")</f>
        <v/>
      </c>
      <c r="S176" s="151" t="str">
        <f t="shared" si="14"/>
        <v>A</v>
      </c>
      <c r="T176" s="156" t="str">
        <f>INDEX(Index!$H$1:$H$32,MATCH($E176,Index!$E$1:$E$32,0))</f>
        <v>NS</v>
      </c>
      <c r="U176" s="156" t="str">
        <f>INDEX(Index!$H$1:$H$32,MATCH($G176,Index!$E$1:$E$32,0))</f>
        <v>NS</v>
      </c>
      <c r="V176" s="156" t="str">
        <f t="shared" si="15"/>
        <v>Div</v>
      </c>
      <c r="W176" s="152" t="str">
        <f t="shared" si="16"/>
        <v>Y</v>
      </c>
      <c r="X176" s="149" t="str">
        <f>INDEX(Index!$G$1:$G$32,MATCH(E176,Index!$E$1:$E$32,0))</f>
        <v>ATL</v>
      </c>
      <c r="Y176" s="150" t="str">
        <f>INDEX(Index!$G$1:$G$32,MATCH(G176,Index!$E$1:$E$32,0))</f>
        <v>NO</v>
      </c>
      <c r="Z176" s="147" t="str">
        <f t="shared" si="17"/>
        <v/>
      </c>
      <c r="AA176" s="174" t="str" cm="1">
        <f t="array" ref="AA176">IFERROR(IF($W176="Y","",INDEX(EPA!$N$2:$N$512,MATCH(X176&amp;Index!$K$1,EPA!$A$2:$A$512&amp;EPA!$W$2:$W$512,0))),"")</f>
        <v/>
      </c>
      <c r="AB176" s="174" t="str" cm="1">
        <f t="array" ref="AB176">IFERROR(IF($W176="Y","",INDEX(EPA!$N$2:$N$512,MATCH(Y176&amp;Index!$K$1,EPA!$A$2:$A$512&amp;EPA!$W$2:$W$512,0))),"")</f>
        <v/>
      </c>
      <c r="AC176" s="174" t="str">
        <f ca="1">IF(AA176&lt;&gt;"",_xlfn.NORM.INV(RAND(),AA176,Index!$K$2),"")</f>
        <v/>
      </c>
      <c r="AD176" s="174" t="str">
        <f ca="1">IF(AB176&lt;&gt;"",_xlfn.NORM.INV(RAND(),AB176,Index!$K$2),"")</f>
        <v/>
      </c>
      <c r="AE176" s="157" t="str">
        <f t="shared" si="18"/>
        <v>ATL</v>
      </c>
      <c r="AF176" s="158" t="str">
        <f t="shared" si="19"/>
        <v>NO</v>
      </c>
      <c r="AG176" s="149">
        <f t="shared" si="20"/>
        <v>175</v>
      </c>
    </row>
    <row r="177" spans="1:33" x14ac:dyDescent="0.25">
      <c r="A177" s="9">
        <v>12</v>
      </c>
      <c r="B177" s="9" t="s">
        <v>661</v>
      </c>
      <c r="C177" s="148">
        <v>45984</v>
      </c>
      <c r="D177" s="9" t="s">
        <v>665</v>
      </c>
      <c r="E177" s="9" t="s">
        <v>56</v>
      </c>
      <c r="F177" s="9"/>
      <c r="G177" s="9" t="s">
        <v>92</v>
      </c>
      <c r="H177" s="9" t="s">
        <v>658</v>
      </c>
      <c r="I177" s="9">
        <v>24</v>
      </c>
      <c r="J177" s="9">
        <v>21</v>
      </c>
      <c r="K177" s="9">
        <v>473</v>
      </c>
      <c r="L177" s="9">
        <v>2</v>
      </c>
      <c r="M177" s="9">
        <v>339</v>
      </c>
      <c r="N177" s="9">
        <v>2</v>
      </c>
      <c r="O177" s="149" t="str">
        <f>IF(I177&lt;&gt;"",IF(I177=J177,"TIE",INDEX(Index!$F$1:$F$32,MATCH(E177,Index!$E$1:$E$32,0))),INDEX(Index!$F$1:$F$32,MATCH(E177,Index!$E$1:$E$32,0)))</f>
        <v>DAL</v>
      </c>
      <c r="P177" s="150" t="str">
        <f>IF(I177&lt;&gt;"",IF(I177=J177,"TIE",INDEX(Index!$F$1:$F$32,MATCH(G177,Index!$E$1:$E$32,0))),INDEX(Index!$F$1:$F$32,MATCH(G177,Index!$E$1:$E$32,0)))</f>
        <v>PHI</v>
      </c>
      <c r="Q177" s="155" t="str">
        <f>IF(O177="TIE",INDEX(Index!$F$1:$F$32,MATCH(E177,Index!$E$1:$E$32,0)),"")</f>
        <v/>
      </c>
      <c r="R177" s="155" t="str">
        <f>IF(P177="TIE",INDEX(Index!$F$1:$F$32,MATCH(G177,Index!$E$1:$E$32,0)),"")</f>
        <v/>
      </c>
      <c r="S177" s="151" t="str">
        <f t="shared" si="14"/>
        <v>H</v>
      </c>
      <c r="T177" s="156" t="str">
        <f>INDEX(Index!$H$1:$H$32,MATCH($E177,Index!$E$1:$E$32,0))</f>
        <v>NE</v>
      </c>
      <c r="U177" s="156" t="str">
        <f>INDEX(Index!$H$1:$H$32,MATCH($G177,Index!$E$1:$E$32,0))</f>
        <v>NE</v>
      </c>
      <c r="V177" s="156" t="str">
        <f t="shared" si="15"/>
        <v>Div</v>
      </c>
      <c r="W177" s="152" t="str">
        <f t="shared" si="16"/>
        <v>Y</v>
      </c>
      <c r="X177" s="149" t="str">
        <f>INDEX(Index!$G$1:$G$32,MATCH(E177,Index!$E$1:$E$32,0))</f>
        <v>DAL</v>
      </c>
      <c r="Y177" s="150" t="str">
        <f>INDEX(Index!$G$1:$G$32,MATCH(G177,Index!$E$1:$E$32,0))</f>
        <v>PHI</v>
      </c>
      <c r="Z177" s="147" t="str">
        <f t="shared" si="17"/>
        <v/>
      </c>
      <c r="AA177" s="174" t="str" cm="1">
        <f t="array" ref="AA177">IFERROR(IF($W177="Y","",INDEX(EPA!$N$2:$N$512,MATCH(X177&amp;Index!$K$1,EPA!$A$2:$A$512&amp;EPA!$W$2:$W$512,0))),"")</f>
        <v/>
      </c>
      <c r="AB177" s="174" t="str" cm="1">
        <f t="array" ref="AB177">IFERROR(IF($W177="Y","",INDEX(EPA!$N$2:$N$512,MATCH(Y177&amp;Index!$K$1,EPA!$A$2:$A$512&amp;EPA!$W$2:$W$512,0))),"")</f>
        <v/>
      </c>
      <c r="AC177" s="174" t="str">
        <f ca="1">IF(AA177&lt;&gt;"",_xlfn.NORM.INV(RAND(),AA177,Index!$K$2),"")</f>
        <v/>
      </c>
      <c r="AD177" s="174" t="str">
        <f ca="1">IF(AB177&lt;&gt;"",_xlfn.NORM.INV(RAND(),AB177,Index!$K$2),"")</f>
        <v/>
      </c>
      <c r="AE177" s="157" t="str">
        <f t="shared" si="18"/>
        <v>DAL</v>
      </c>
      <c r="AF177" s="158" t="str">
        <f t="shared" si="19"/>
        <v>PHI</v>
      </c>
      <c r="AG177" s="149">
        <f t="shared" si="20"/>
        <v>176</v>
      </c>
    </row>
    <row r="178" spans="1:33" x14ac:dyDescent="0.25">
      <c r="A178" s="9">
        <v>12</v>
      </c>
      <c r="B178" s="9" t="s">
        <v>661</v>
      </c>
      <c r="C178" s="148">
        <v>45984</v>
      </c>
      <c r="D178" s="9" t="s">
        <v>657</v>
      </c>
      <c r="E178" s="9" t="s">
        <v>90</v>
      </c>
      <c r="F178" s="9"/>
      <c r="G178" s="9" t="s">
        <v>0</v>
      </c>
      <c r="H178" s="9" t="s">
        <v>658</v>
      </c>
      <c r="I178" s="9">
        <v>34</v>
      </c>
      <c r="J178" s="9">
        <v>7</v>
      </c>
      <c r="K178" s="9">
        <v>333</v>
      </c>
      <c r="L178" s="9">
        <v>0</v>
      </c>
      <c r="M178" s="9">
        <v>193</v>
      </c>
      <c r="N178" s="9">
        <v>2</v>
      </c>
      <c r="O178" s="149" t="str">
        <f>IF(I178&lt;&gt;"",IF(I178=J178,"TIE",INDEX(Index!$F$1:$F$32,MATCH(E178,Index!$E$1:$E$32,0))),INDEX(Index!$F$1:$F$32,MATCH(E178,Index!$E$1:$E$32,0)))</f>
        <v>LAR</v>
      </c>
      <c r="P178" s="150" t="str">
        <f>IF(I178&lt;&gt;"",IF(I178=J178,"TIE",INDEX(Index!$F$1:$F$32,MATCH(G178,Index!$E$1:$E$32,0))),INDEX(Index!$F$1:$F$32,MATCH(G178,Index!$E$1:$E$32,0)))</f>
        <v>TB</v>
      </c>
      <c r="Q178" s="155" t="str">
        <f>IF(O178="TIE",INDEX(Index!$F$1:$F$32,MATCH(E178,Index!$E$1:$E$32,0)),"")</f>
        <v/>
      </c>
      <c r="R178" s="155" t="str">
        <f>IF(P178="TIE",INDEX(Index!$F$1:$F$32,MATCH(G178,Index!$E$1:$E$32,0)),"")</f>
        <v/>
      </c>
      <c r="S178" s="151" t="str">
        <f t="shared" si="14"/>
        <v>H</v>
      </c>
      <c r="T178" s="156" t="str">
        <f>INDEX(Index!$H$1:$H$32,MATCH($E178,Index!$E$1:$E$32,0))</f>
        <v>NW</v>
      </c>
      <c r="U178" s="156" t="str">
        <f>INDEX(Index!$H$1:$H$32,MATCH($G178,Index!$E$1:$E$32,0))</f>
        <v>NS</v>
      </c>
      <c r="V178" s="156" t="str">
        <f t="shared" si="15"/>
        <v>Con</v>
      </c>
      <c r="W178" s="152" t="str">
        <f t="shared" si="16"/>
        <v>Y</v>
      </c>
      <c r="X178" s="149" t="str">
        <f>INDEX(Index!$G$1:$G$32,MATCH(E178,Index!$E$1:$E$32,0))</f>
        <v>LAR</v>
      </c>
      <c r="Y178" s="150" t="str">
        <f>INDEX(Index!$G$1:$G$32,MATCH(G178,Index!$E$1:$E$32,0))</f>
        <v>TB</v>
      </c>
      <c r="Z178" s="147" t="str">
        <f t="shared" si="17"/>
        <v/>
      </c>
      <c r="AA178" s="174" t="str" cm="1">
        <f t="array" ref="AA178">IFERROR(IF($W178="Y","",INDEX(EPA!$N$2:$N$512,MATCH(X178&amp;Index!$K$1,EPA!$A$2:$A$512&amp;EPA!$W$2:$W$512,0))),"")</f>
        <v/>
      </c>
      <c r="AB178" s="174" t="str" cm="1">
        <f t="array" ref="AB178">IFERROR(IF($W178="Y","",INDEX(EPA!$N$2:$N$512,MATCH(Y178&amp;Index!$K$1,EPA!$A$2:$A$512&amp;EPA!$W$2:$W$512,0))),"")</f>
        <v/>
      </c>
      <c r="AC178" s="174" t="str">
        <f ca="1">IF(AA178&lt;&gt;"",_xlfn.NORM.INV(RAND(),AA178,Index!$K$2),"")</f>
        <v/>
      </c>
      <c r="AD178" s="174" t="str">
        <f ca="1">IF(AB178&lt;&gt;"",_xlfn.NORM.INV(RAND(),AB178,Index!$K$2),"")</f>
        <v/>
      </c>
      <c r="AE178" s="157" t="str">
        <f t="shared" si="18"/>
        <v>LAR</v>
      </c>
      <c r="AF178" s="158" t="str">
        <f t="shared" si="19"/>
        <v>TB</v>
      </c>
      <c r="AG178" s="149">
        <f t="shared" si="20"/>
        <v>177</v>
      </c>
    </row>
    <row r="179" spans="1:33" x14ac:dyDescent="0.25">
      <c r="A179" s="9">
        <v>12</v>
      </c>
      <c r="B179" s="9" t="s">
        <v>666</v>
      </c>
      <c r="C179" s="148">
        <v>45985</v>
      </c>
      <c r="D179" s="9" t="s">
        <v>667</v>
      </c>
      <c r="E179" s="9" t="s">
        <v>30</v>
      </c>
      <c r="F179" s="9"/>
      <c r="G179" s="9" t="s">
        <v>12</v>
      </c>
      <c r="H179" s="9" t="s">
        <v>658</v>
      </c>
      <c r="I179" s="9">
        <v>20</v>
      </c>
      <c r="J179" s="9">
        <v>9</v>
      </c>
      <c r="K179" s="9">
        <v>340</v>
      </c>
      <c r="L179" s="9">
        <v>3</v>
      </c>
      <c r="M179" s="9">
        <v>230</v>
      </c>
      <c r="N179" s="9">
        <v>2</v>
      </c>
      <c r="O179" s="149" t="str">
        <f>IF(I179&lt;&gt;"",IF(I179=J179,"TIE",INDEX(Index!$F$1:$F$32,MATCH(E179,Index!$E$1:$E$32,0))),INDEX(Index!$F$1:$F$32,MATCH(E179,Index!$E$1:$E$32,0)))</f>
        <v>SF</v>
      </c>
      <c r="P179" s="150" t="str">
        <f>IF(I179&lt;&gt;"",IF(I179=J179,"TIE",INDEX(Index!$F$1:$F$32,MATCH(G179,Index!$E$1:$E$32,0))),INDEX(Index!$F$1:$F$32,MATCH(G179,Index!$E$1:$E$32,0)))</f>
        <v>CAR</v>
      </c>
      <c r="Q179" s="155" t="str">
        <f>IF(O179="TIE",INDEX(Index!$F$1:$F$32,MATCH(E179,Index!$E$1:$E$32,0)),"")</f>
        <v/>
      </c>
      <c r="R179" s="155" t="str">
        <f>IF(P179="TIE",INDEX(Index!$F$1:$F$32,MATCH(G179,Index!$E$1:$E$32,0)),"")</f>
        <v/>
      </c>
      <c r="S179" s="151" t="str">
        <f t="shared" si="14"/>
        <v>H</v>
      </c>
      <c r="T179" s="156" t="str">
        <f>INDEX(Index!$H$1:$H$32,MATCH($E179,Index!$E$1:$E$32,0))</f>
        <v>NW</v>
      </c>
      <c r="U179" s="156" t="str">
        <f>INDEX(Index!$H$1:$H$32,MATCH($G179,Index!$E$1:$E$32,0))</f>
        <v>NS</v>
      </c>
      <c r="V179" s="156" t="str">
        <f t="shared" si="15"/>
        <v>Con</v>
      </c>
      <c r="W179" s="152" t="str">
        <f t="shared" si="16"/>
        <v>Y</v>
      </c>
      <c r="X179" s="149" t="str">
        <f>INDEX(Index!$G$1:$G$32,MATCH(E179,Index!$E$1:$E$32,0))</f>
        <v>SF</v>
      </c>
      <c r="Y179" s="150" t="str">
        <f>INDEX(Index!$G$1:$G$32,MATCH(G179,Index!$E$1:$E$32,0))</f>
        <v>CAR</v>
      </c>
      <c r="Z179" s="147" t="str">
        <f t="shared" si="17"/>
        <v/>
      </c>
      <c r="AA179" s="174" t="str" cm="1">
        <f t="array" ref="AA179">IFERROR(IF($W179="Y","",INDEX(EPA!$N$2:$N$512,MATCH(X179&amp;Index!$K$1,EPA!$A$2:$A$512&amp;EPA!$W$2:$W$512,0))),"")</f>
        <v/>
      </c>
      <c r="AB179" s="174" t="str" cm="1">
        <f t="array" ref="AB179">IFERROR(IF($W179="Y","",INDEX(EPA!$N$2:$N$512,MATCH(Y179&amp;Index!$K$1,EPA!$A$2:$A$512&amp;EPA!$W$2:$W$512,0))),"")</f>
        <v/>
      </c>
      <c r="AC179" s="174" t="str">
        <f ca="1">IF(AA179&lt;&gt;"",_xlfn.NORM.INV(RAND(),AA179,Index!$K$2),"")</f>
        <v/>
      </c>
      <c r="AD179" s="174" t="str">
        <f ca="1">IF(AB179&lt;&gt;"",_xlfn.NORM.INV(RAND(),AB179,Index!$K$2),"")</f>
        <v/>
      </c>
      <c r="AE179" s="157" t="str">
        <f t="shared" si="18"/>
        <v>SF</v>
      </c>
      <c r="AF179" s="158" t="str">
        <f t="shared" si="19"/>
        <v>CAR</v>
      </c>
      <c r="AG179" s="149">
        <f t="shared" si="20"/>
        <v>178</v>
      </c>
    </row>
    <row r="180" spans="1:33" x14ac:dyDescent="0.25">
      <c r="A180" s="9">
        <v>13</v>
      </c>
      <c r="B180" s="9" t="s">
        <v>656</v>
      </c>
      <c r="C180" s="148">
        <v>45988</v>
      </c>
      <c r="D180" s="9" t="s">
        <v>662</v>
      </c>
      <c r="E180" s="9" t="s">
        <v>88</v>
      </c>
      <c r="F180" s="9" t="s">
        <v>663</v>
      </c>
      <c r="G180" s="9" t="s">
        <v>86</v>
      </c>
      <c r="H180" s="9" t="s">
        <v>658</v>
      </c>
      <c r="I180" s="9">
        <v>31</v>
      </c>
      <c r="J180" s="9">
        <v>24</v>
      </c>
      <c r="K180" s="9">
        <v>359</v>
      </c>
      <c r="L180" s="9">
        <v>0</v>
      </c>
      <c r="M180" s="9">
        <v>352</v>
      </c>
      <c r="N180" s="9">
        <v>0</v>
      </c>
      <c r="O180" s="149" t="str">
        <f>IF(I180&lt;&gt;"",IF(I180=J180,"TIE",INDEX(Index!$F$1:$F$32,MATCH(E180,Index!$E$1:$E$32,0))),INDEX(Index!$F$1:$F$32,MATCH(E180,Index!$E$1:$E$32,0)))</f>
        <v>GB</v>
      </c>
      <c r="P180" s="150" t="str">
        <f>IF(I180&lt;&gt;"",IF(I180=J180,"TIE",INDEX(Index!$F$1:$F$32,MATCH(G180,Index!$E$1:$E$32,0))),INDEX(Index!$F$1:$F$32,MATCH(G180,Index!$E$1:$E$32,0)))</f>
        <v>DET</v>
      </c>
      <c r="Q180" s="155" t="str">
        <f>IF(O180="TIE",INDEX(Index!$F$1:$F$32,MATCH(E180,Index!$E$1:$E$32,0)),"")</f>
        <v/>
      </c>
      <c r="R180" s="155" t="str">
        <f>IF(P180="TIE",INDEX(Index!$F$1:$F$32,MATCH(G180,Index!$E$1:$E$32,0)),"")</f>
        <v/>
      </c>
      <c r="S180" s="151" t="str">
        <f t="shared" si="14"/>
        <v>A</v>
      </c>
      <c r="T180" s="156" t="str">
        <f>INDEX(Index!$H$1:$H$32,MATCH($E180,Index!$E$1:$E$32,0))</f>
        <v>NN</v>
      </c>
      <c r="U180" s="156" t="str">
        <f>INDEX(Index!$H$1:$H$32,MATCH($G180,Index!$E$1:$E$32,0))</f>
        <v>NN</v>
      </c>
      <c r="V180" s="156" t="str">
        <f t="shared" si="15"/>
        <v>Div</v>
      </c>
      <c r="W180" s="152" t="str">
        <f t="shared" si="16"/>
        <v>Y</v>
      </c>
      <c r="X180" s="149" t="str">
        <f>INDEX(Index!$G$1:$G$32,MATCH(E180,Index!$E$1:$E$32,0))</f>
        <v>GB</v>
      </c>
      <c r="Y180" s="150" t="str">
        <f>INDEX(Index!$G$1:$G$32,MATCH(G180,Index!$E$1:$E$32,0))</f>
        <v>DET</v>
      </c>
      <c r="Z180" s="147" t="str">
        <f t="shared" si="17"/>
        <v/>
      </c>
      <c r="AA180" s="174" t="str" cm="1">
        <f t="array" ref="AA180">IFERROR(IF($W180="Y","",INDEX(EPA!$N$2:$N$512,MATCH(X180&amp;Index!$K$1,EPA!$A$2:$A$512&amp;EPA!$W$2:$W$512,0))),"")</f>
        <v/>
      </c>
      <c r="AB180" s="174" t="str" cm="1">
        <f t="array" ref="AB180">IFERROR(IF($W180="Y","",INDEX(EPA!$N$2:$N$512,MATCH(Y180&amp;Index!$K$1,EPA!$A$2:$A$512&amp;EPA!$W$2:$W$512,0))),"")</f>
        <v/>
      </c>
      <c r="AC180" s="174" t="str">
        <f ca="1">IF(AA180&lt;&gt;"",_xlfn.NORM.INV(RAND(),AA180,Index!$K$2),"")</f>
        <v/>
      </c>
      <c r="AD180" s="174" t="str">
        <f ca="1">IF(AB180&lt;&gt;"",_xlfn.NORM.INV(RAND(),AB180,Index!$K$2),"")</f>
        <v/>
      </c>
      <c r="AE180" s="157" t="str">
        <f t="shared" si="18"/>
        <v>GB</v>
      </c>
      <c r="AF180" s="158" t="str">
        <f t="shared" si="19"/>
        <v>DET</v>
      </c>
      <c r="AG180" s="149">
        <f t="shared" si="20"/>
        <v>179</v>
      </c>
    </row>
    <row r="181" spans="1:33" x14ac:dyDescent="0.25">
      <c r="A181" s="9">
        <v>13</v>
      </c>
      <c r="B181" s="9" t="s">
        <v>656</v>
      </c>
      <c r="C181" s="148">
        <v>45988</v>
      </c>
      <c r="D181" s="9" t="s">
        <v>672</v>
      </c>
      <c r="E181" s="9" t="s">
        <v>56</v>
      </c>
      <c r="F181" s="9"/>
      <c r="G181" s="9" t="s">
        <v>16</v>
      </c>
      <c r="H181" s="9" t="s">
        <v>658</v>
      </c>
      <c r="I181" s="9">
        <v>31</v>
      </c>
      <c r="J181" s="9">
        <v>28</v>
      </c>
      <c r="K181" s="9">
        <v>457</v>
      </c>
      <c r="L181" s="9">
        <v>1</v>
      </c>
      <c r="M181" s="9">
        <v>362</v>
      </c>
      <c r="N181" s="9">
        <v>0</v>
      </c>
      <c r="O181" s="149" t="str">
        <f>IF(I181&lt;&gt;"",IF(I181=J181,"TIE",INDEX(Index!$F$1:$F$32,MATCH(E181,Index!$E$1:$E$32,0))),INDEX(Index!$F$1:$F$32,MATCH(E181,Index!$E$1:$E$32,0)))</f>
        <v>DAL</v>
      </c>
      <c r="P181" s="150" t="str">
        <f>IF(I181&lt;&gt;"",IF(I181=J181,"TIE",INDEX(Index!$F$1:$F$32,MATCH(G181,Index!$E$1:$E$32,0))),INDEX(Index!$F$1:$F$32,MATCH(G181,Index!$E$1:$E$32,0)))</f>
        <v>KC</v>
      </c>
      <c r="Q181" s="155" t="str">
        <f>IF(O181="TIE",INDEX(Index!$F$1:$F$32,MATCH(E181,Index!$E$1:$E$32,0)),"")</f>
        <v/>
      </c>
      <c r="R181" s="155" t="str">
        <f>IF(P181="TIE",INDEX(Index!$F$1:$F$32,MATCH(G181,Index!$E$1:$E$32,0)),"")</f>
        <v/>
      </c>
      <c r="S181" s="151" t="str">
        <f t="shared" si="14"/>
        <v>H</v>
      </c>
      <c r="T181" s="156" t="str">
        <f>INDEX(Index!$H$1:$H$32,MATCH($E181,Index!$E$1:$E$32,0))</f>
        <v>NE</v>
      </c>
      <c r="U181" s="156" t="str">
        <f>INDEX(Index!$H$1:$H$32,MATCH($G181,Index!$E$1:$E$32,0))</f>
        <v>AW</v>
      </c>
      <c r="V181" s="156" t="str">
        <f t="shared" si="15"/>
        <v>Non</v>
      </c>
      <c r="W181" s="152" t="str">
        <f t="shared" si="16"/>
        <v>Y</v>
      </c>
      <c r="X181" s="149" t="str">
        <f>INDEX(Index!$G$1:$G$32,MATCH(E181,Index!$E$1:$E$32,0))</f>
        <v>DAL</v>
      </c>
      <c r="Y181" s="150" t="str">
        <f>INDEX(Index!$G$1:$G$32,MATCH(G181,Index!$E$1:$E$32,0))</f>
        <v>KC</v>
      </c>
      <c r="Z181" s="147" t="str">
        <f t="shared" si="17"/>
        <v/>
      </c>
      <c r="AA181" s="174" t="str" cm="1">
        <f t="array" ref="AA181">IFERROR(IF($W181="Y","",INDEX(EPA!$N$2:$N$512,MATCH(X181&amp;Index!$K$1,EPA!$A$2:$A$512&amp;EPA!$W$2:$W$512,0))),"")</f>
        <v/>
      </c>
      <c r="AB181" s="174" t="str" cm="1">
        <f t="array" ref="AB181">IFERROR(IF($W181="Y","",INDEX(EPA!$N$2:$N$512,MATCH(Y181&amp;Index!$K$1,EPA!$A$2:$A$512&amp;EPA!$W$2:$W$512,0))),"")</f>
        <v/>
      </c>
      <c r="AC181" s="174" t="str">
        <f ca="1">IF(AA181&lt;&gt;"",_xlfn.NORM.INV(RAND(),AA181,Index!$K$2),"")</f>
        <v/>
      </c>
      <c r="AD181" s="174" t="str">
        <f ca="1">IF(AB181&lt;&gt;"",_xlfn.NORM.INV(RAND(),AB181,Index!$K$2),"")</f>
        <v/>
      </c>
      <c r="AE181" s="157" t="str">
        <f t="shared" si="18"/>
        <v>DAL</v>
      </c>
      <c r="AF181" s="158" t="str">
        <f t="shared" si="19"/>
        <v>KC</v>
      </c>
      <c r="AG181" s="149">
        <f t="shared" si="20"/>
        <v>180</v>
      </c>
    </row>
    <row r="182" spans="1:33" x14ac:dyDescent="0.25">
      <c r="A182" s="9">
        <v>13</v>
      </c>
      <c r="B182" s="9" t="s">
        <v>656</v>
      </c>
      <c r="C182" s="148">
        <v>45988</v>
      </c>
      <c r="D182" s="9" t="s">
        <v>657</v>
      </c>
      <c r="E182" s="9" t="s">
        <v>53</v>
      </c>
      <c r="F182" s="9" t="s">
        <v>663</v>
      </c>
      <c r="G182" s="9" t="s">
        <v>76</v>
      </c>
      <c r="H182" s="9" t="s">
        <v>658</v>
      </c>
      <c r="I182" s="9">
        <v>32</v>
      </c>
      <c r="J182" s="9">
        <v>14</v>
      </c>
      <c r="K182" s="9">
        <v>382</v>
      </c>
      <c r="L182" s="9">
        <v>1</v>
      </c>
      <c r="M182" s="9">
        <v>346</v>
      </c>
      <c r="N182" s="9">
        <v>5</v>
      </c>
      <c r="O182" s="149" t="str">
        <f>IF(I182&lt;&gt;"",IF(I182=J182,"TIE",INDEX(Index!$F$1:$F$32,MATCH(E182,Index!$E$1:$E$32,0))),INDEX(Index!$F$1:$F$32,MATCH(E182,Index!$E$1:$E$32,0)))</f>
        <v>CIN</v>
      </c>
      <c r="P182" s="150" t="str">
        <f>IF(I182&lt;&gt;"",IF(I182=J182,"TIE",INDEX(Index!$F$1:$F$32,MATCH(G182,Index!$E$1:$E$32,0))),INDEX(Index!$F$1:$F$32,MATCH(G182,Index!$E$1:$E$32,0)))</f>
        <v>BAL</v>
      </c>
      <c r="Q182" s="155" t="str">
        <f>IF(O182="TIE",INDEX(Index!$F$1:$F$32,MATCH(E182,Index!$E$1:$E$32,0)),"")</f>
        <v/>
      </c>
      <c r="R182" s="155" t="str">
        <f>IF(P182="TIE",INDEX(Index!$F$1:$F$32,MATCH(G182,Index!$E$1:$E$32,0)),"")</f>
        <v/>
      </c>
      <c r="S182" s="151" t="str">
        <f t="shared" si="14"/>
        <v>A</v>
      </c>
      <c r="T182" s="156" t="str">
        <f>INDEX(Index!$H$1:$H$32,MATCH($E182,Index!$E$1:$E$32,0))</f>
        <v>AN</v>
      </c>
      <c r="U182" s="156" t="str">
        <f>INDEX(Index!$H$1:$H$32,MATCH($G182,Index!$E$1:$E$32,0))</f>
        <v>AN</v>
      </c>
      <c r="V182" s="156" t="str">
        <f t="shared" si="15"/>
        <v>Div</v>
      </c>
      <c r="W182" s="152" t="str">
        <f t="shared" si="16"/>
        <v>Y</v>
      </c>
      <c r="X182" s="149" t="str">
        <f>INDEX(Index!$G$1:$G$32,MATCH(E182,Index!$E$1:$E$32,0))</f>
        <v>CIN</v>
      </c>
      <c r="Y182" s="150" t="str">
        <f>INDEX(Index!$G$1:$G$32,MATCH(G182,Index!$E$1:$E$32,0))</f>
        <v>BAL</v>
      </c>
      <c r="Z182" s="147" t="str">
        <f t="shared" si="17"/>
        <v/>
      </c>
      <c r="AA182" s="174" t="str" cm="1">
        <f t="array" ref="AA182">IFERROR(IF($W182="Y","",INDEX(EPA!$N$2:$N$512,MATCH(X182&amp;Index!$K$1,EPA!$A$2:$A$512&amp;EPA!$W$2:$W$512,0))),"")</f>
        <v/>
      </c>
      <c r="AB182" s="174" t="str" cm="1">
        <f t="array" ref="AB182">IFERROR(IF($W182="Y","",INDEX(EPA!$N$2:$N$512,MATCH(Y182&amp;Index!$K$1,EPA!$A$2:$A$512&amp;EPA!$W$2:$W$512,0))),"")</f>
        <v/>
      </c>
      <c r="AC182" s="174" t="str">
        <f ca="1">IF(AA182&lt;&gt;"",_xlfn.NORM.INV(RAND(),AA182,Index!$K$2),"")</f>
        <v/>
      </c>
      <c r="AD182" s="174" t="str">
        <f ca="1">IF(AB182&lt;&gt;"",_xlfn.NORM.INV(RAND(),AB182,Index!$K$2),"")</f>
        <v/>
      </c>
      <c r="AE182" s="157" t="str">
        <f t="shared" si="18"/>
        <v>CIN</v>
      </c>
      <c r="AF182" s="158" t="str">
        <f t="shared" si="19"/>
        <v>BAL</v>
      </c>
      <c r="AG182" s="149">
        <f t="shared" si="20"/>
        <v>181</v>
      </c>
    </row>
    <row r="183" spans="1:33" x14ac:dyDescent="0.25">
      <c r="A183" s="9">
        <v>13</v>
      </c>
      <c r="B183" s="9" t="s">
        <v>659</v>
      </c>
      <c r="C183" s="148">
        <v>45989</v>
      </c>
      <c r="D183" s="9" t="s">
        <v>673</v>
      </c>
      <c r="E183" s="9" t="s">
        <v>65</v>
      </c>
      <c r="F183" s="9" t="s">
        <v>663</v>
      </c>
      <c r="G183" s="9" t="s">
        <v>92</v>
      </c>
      <c r="H183" s="9" t="s">
        <v>658</v>
      </c>
      <c r="I183" s="9">
        <v>24</v>
      </c>
      <c r="J183" s="9">
        <v>15</v>
      </c>
      <c r="K183" s="9">
        <v>425</v>
      </c>
      <c r="L183" s="9">
        <v>1</v>
      </c>
      <c r="M183" s="9">
        <v>317</v>
      </c>
      <c r="N183" s="9">
        <v>2</v>
      </c>
      <c r="O183" s="149" t="str">
        <f>IF(I183&lt;&gt;"",IF(I183=J183,"TIE",INDEX(Index!$F$1:$F$32,MATCH(E183,Index!$E$1:$E$32,0))),INDEX(Index!$F$1:$F$32,MATCH(E183,Index!$E$1:$E$32,0)))</f>
        <v>CHI</v>
      </c>
      <c r="P183" s="150" t="str">
        <f>IF(I183&lt;&gt;"",IF(I183=J183,"TIE",INDEX(Index!$F$1:$F$32,MATCH(G183,Index!$E$1:$E$32,0))),INDEX(Index!$F$1:$F$32,MATCH(G183,Index!$E$1:$E$32,0)))</f>
        <v>PHI</v>
      </c>
      <c r="Q183" s="155" t="str">
        <f>IF(O183="TIE",INDEX(Index!$F$1:$F$32,MATCH(E183,Index!$E$1:$E$32,0)),"")</f>
        <v/>
      </c>
      <c r="R183" s="155" t="str">
        <f>IF(P183="TIE",INDEX(Index!$F$1:$F$32,MATCH(G183,Index!$E$1:$E$32,0)),"")</f>
        <v/>
      </c>
      <c r="S183" s="151" t="str">
        <f t="shared" si="14"/>
        <v>A</v>
      </c>
      <c r="T183" s="156" t="str">
        <f>INDEX(Index!$H$1:$H$32,MATCH($E183,Index!$E$1:$E$32,0))</f>
        <v>NN</v>
      </c>
      <c r="U183" s="156" t="str">
        <f>INDEX(Index!$H$1:$H$32,MATCH($G183,Index!$E$1:$E$32,0))</f>
        <v>NE</v>
      </c>
      <c r="V183" s="156" t="str">
        <f t="shared" si="15"/>
        <v>Con</v>
      </c>
      <c r="W183" s="152" t="str">
        <f t="shared" si="16"/>
        <v>Y</v>
      </c>
      <c r="X183" s="149" t="str">
        <f>INDEX(Index!$G$1:$G$32,MATCH(E183,Index!$E$1:$E$32,0))</f>
        <v>CHI</v>
      </c>
      <c r="Y183" s="150" t="str">
        <f>INDEX(Index!$G$1:$G$32,MATCH(G183,Index!$E$1:$E$32,0))</f>
        <v>PHI</v>
      </c>
      <c r="Z183" s="147" t="str">
        <f t="shared" si="17"/>
        <v/>
      </c>
      <c r="AA183" s="174" t="str" cm="1">
        <f t="array" ref="AA183">IFERROR(IF($W183="Y","",INDEX(EPA!$N$2:$N$512,MATCH(X183&amp;Index!$K$1,EPA!$A$2:$A$512&amp;EPA!$W$2:$W$512,0))),"")</f>
        <v/>
      </c>
      <c r="AB183" s="174" t="str" cm="1">
        <f t="array" ref="AB183">IFERROR(IF($W183="Y","",INDEX(EPA!$N$2:$N$512,MATCH(Y183&amp;Index!$K$1,EPA!$A$2:$A$512&amp;EPA!$W$2:$W$512,0))),"")</f>
        <v/>
      </c>
      <c r="AC183" s="174" t="str">
        <f ca="1">IF(AA183&lt;&gt;"",_xlfn.NORM.INV(RAND(),AA183,Index!$K$2),"")</f>
        <v/>
      </c>
      <c r="AD183" s="174" t="str">
        <f ca="1">IF(AB183&lt;&gt;"",_xlfn.NORM.INV(RAND(),AB183,Index!$K$2),"")</f>
        <v/>
      </c>
      <c r="AE183" s="157" t="str">
        <f t="shared" si="18"/>
        <v>CHI</v>
      </c>
      <c r="AF183" s="158" t="str">
        <f t="shared" si="19"/>
        <v>PHI</v>
      </c>
      <c r="AG183" s="149">
        <f t="shared" si="20"/>
        <v>182</v>
      </c>
    </row>
    <row r="184" spans="1:33" x14ac:dyDescent="0.25">
      <c r="A184" s="9">
        <v>13</v>
      </c>
      <c r="B184" s="9" t="s">
        <v>661</v>
      </c>
      <c r="C184" s="148">
        <v>45991</v>
      </c>
      <c r="D184" s="9" t="s">
        <v>662</v>
      </c>
      <c r="E184" s="9" t="s">
        <v>23</v>
      </c>
      <c r="F184" s="9"/>
      <c r="G184" s="9" t="s">
        <v>78</v>
      </c>
      <c r="H184" s="9" t="s">
        <v>658</v>
      </c>
      <c r="I184" s="9">
        <v>27</v>
      </c>
      <c r="J184" s="9">
        <v>24</v>
      </c>
      <c r="K184" s="9">
        <v>269</v>
      </c>
      <c r="L184" s="9">
        <v>0</v>
      </c>
      <c r="M184" s="9">
        <v>389</v>
      </c>
      <c r="N184" s="9">
        <v>1</v>
      </c>
      <c r="O184" s="149" t="str">
        <f>IF(I184&lt;&gt;"",IF(I184=J184,"TIE",INDEX(Index!$F$1:$F$32,MATCH(E184,Index!$E$1:$E$32,0))),INDEX(Index!$F$1:$F$32,MATCH(E184,Index!$E$1:$E$32,0)))</f>
        <v>NYJ</v>
      </c>
      <c r="P184" s="150" t="str">
        <f>IF(I184&lt;&gt;"",IF(I184=J184,"TIE",INDEX(Index!$F$1:$F$32,MATCH(G184,Index!$E$1:$E$32,0))),INDEX(Index!$F$1:$F$32,MATCH(G184,Index!$E$1:$E$32,0)))</f>
        <v>ATL</v>
      </c>
      <c r="Q184" s="155" t="str">
        <f>IF(O184="TIE",INDEX(Index!$F$1:$F$32,MATCH(E184,Index!$E$1:$E$32,0)),"")</f>
        <v/>
      </c>
      <c r="R184" s="155" t="str">
        <f>IF(P184="TIE",INDEX(Index!$F$1:$F$32,MATCH(G184,Index!$E$1:$E$32,0)),"")</f>
        <v/>
      </c>
      <c r="S184" s="151" t="str">
        <f t="shared" si="14"/>
        <v>H</v>
      </c>
      <c r="T184" s="156" t="str">
        <f>INDEX(Index!$H$1:$H$32,MATCH($E184,Index!$E$1:$E$32,0))</f>
        <v>AE</v>
      </c>
      <c r="U184" s="156" t="str">
        <f>INDEX(Index!$H$1:$H$32,MATCH($G184,Index!$E$1:$E$32,0))</f>
        <v>NS</v>
      </c>
      <c r="V184" s="156" t="str">
        <f t="shared" si="15"/>
        <v>Non</v>
      </c>
      <c r="W184" s="152" t="str">
        <f t="shared" si="16"/>
        <v>Y</v>
      </c>
      <c r="X184" s="149" t="str">
        <f>INDEX(Index!$G$1:$G$32,MATCH(E184,Index!$E$1:$E$32,0))</f>
        <v>NYJ</v>
      </c>
      <c r="Y184" s="150" t="str">
        <f>INDEX(Index!$G$1:$G$32,MATCH(G184,Index!$E$1:$E$32,0))</f>
        <v>ATL</v>
      </c>
      <c r="Z184" s="147" t="str">
        <f t="shared" si="17"/>
        <v/>
      </c>
      <c r="AA184" s="174" t="str" cm="1">
        <f t="array" ref="AA184">IFERROR(IF($W184="Y","",INDEX(EPA!$N$2:$N$512,MATCH(X184&amp;Index!$K$1,EPA!$A$2:$A$512&amp;EPA!$W$2:$W$512,0))),"")</f>
        <v/>
      </c>
      <c r="AB184" s="174" t="str" cm="1">
        <f t="array" ref="AB184">IFERROR(IF($W184="Y","",INDEX(EPA!$N$2:$N$512,MATCH(Y184&amp;Index!$K$1,EPA!$A$2:$A$512&amp;EPA!$W$2:$W$512,0))),"")</f>
        <v/>
      </c>
      <c r="AC184" s="174" t="str">
        <f ca="1">IF(AA184&lt;&gt;"",_xlfn.NORM.INV(RAND(),AA184,Index!$K$2),"")</f>
        <v/>
      </c>
      <c r="AD184" s="174" t="str">
        <f ca="1">IF(AB184&lt;&gt;"",_xlfn.NORM.INV(RAND(),AB184,Index!$K$2),"")</f>
        <v/>
      </c>
      <c r="AE184" s="157" t="str">
        <f t="shared" si="18"/>
        <v>NYJ</v>
      </c>
      <c r="AF184" s="158" t="str">
        <f t="shared" si="19"/>
        <v>ATL</v>
      </c>
      <c r="AG184" s="149">
        <f t="shared" si="20"/>
        <v>183</v>
      </c>
    </row>
    <row r="185" spans="1:33" x14ac:dyDescent="0.25">
      <c r="A185" s="9">
        <v>13</v>
      </c>
      <c r="B185" s="9" t="s">
        <v>661</v>
      </c>
      <c r="C185" s="148">
        <v>45991</v>
      </c>
      <c r="D185" s="9" t="s">
        <v>662</v>
      </c>
      <c r="E185" s="9" t="s">
        <v>30</v>
      </c>
      <c r="F185" s="9" t="s">
        <v>663</v>
      </c>
      <c r="G185" s="9" t="s">
        <v>83</v>
      </c>
      <c r="H185" s="9" t="s">
        <v>658</v>
      </c>
      <c r="I185" s="9">
        <v>26</v>
      </c>
      <c r="J185" s="9">
        <v>8</v>
      </c>
      <c r="K185" s="9">
        <v>252</v>
      </c>
      <c r="L185" s="9">
        <v>0</v>
      </c>
      <c r="M185" s="9">
        <v>253</v>
      </c>
      <c r="N185" s="9">
        <v>2</v>
      </c>
      <c r="O185" s="149" t="str">
        <f>IF(I185&lt;&gt;"",IF(I185=J185,"TIE",INDEX(Index!$F$1:$F$32,MATCH(E185,Index!$E$1:$E$32,0))),INDEX(Index!$F$1:$F$32,MATCH(E185,Index!$E$1:$E$32,0)))</f>
        <v>SF</v>
      </c>
      <c r="P185" s="150" t="str">
        <f>IF(I185&lt;&gt;"",IF(I185=J185,"TIE",INDEX(Index!$F$1:$F$32,MATCH(G185,Index!$E$1:$E$32,0))),INDEX(Index!$F$1:$F$32,MATCH(G185,Index!$E$1:$E$32,0)))</f>
        <v>CLE</v>
      </c>
      <c r="Q185" s="155" t="str">
        <f>IF(O185="TIE",INDEX(Index!$F$1:$F$32,MATCH(E185,Index!$E$1:$E$32,0)),"")</f>
        <v/>
      </c>
      <c r="R185" s="155" t="str">
        <f>IF(P185="TIE",INDEX(Index!$F$1:$F$32,MATCH(G185,Index!$E$1:$E$32,0)),"")</f>
        <v/>
      </c>
      <c r="S185" s="151" t="str">
        <f t="shared" si="14"/>
        <v>A</v>
      </c>
      <c r="T185" s="156" t="str">
        <f>INDEX(Index!$H$1:$H$32,MATCH($E185,Index!$E$1:$E$32,0))</f>
        <v>NW</v>
      </c>
      <c r="U185" s="156" t="str">
        <f>INDEX(Index!$H$1:$H$32,MATCH($G185,Index!$E$1:$E$32,0))</f>
        <v>AN</v>
      </c>
      <c r="V185" s="156" t="str">
        <f t="shared" si="15"/>
        <v>Non</v>
      </c>
      <c r="W185" s="152" t="str">
        <f t="shared" si="16"/>
        <v>Y</v>
      </c>
      <c r="X185" s="149" t="str">
        <f>INDEX(Index!$G$1:$G$32,MATCH(E185,Index!$E$1:$E$32,0))</f>
        <v>SF</v>
      </c>
      <c r="Y185" s="150" t="str">
        <f>INDEX(Index!$G$1:$G$32,MATCH(G185,Index!$E$1:$E$32,0))</f>
        <v>CLE</v>
      </c>
      <c r="Z185" s="147" t="str">
        <f t="shared" si="17"/>
        <v/>
      </c>
      <c r="AA185" s="174" t="str" cm="1">
        <f t="array" ref="AA185">IFERROR(IF($W185="Y","",INDEX(EPA!$N$2:$N$512,MATCH(X185&amp;Index!$K$1,EPA!$A$2:$A$512&amp;EPA!$W$2:$W$512,0))),"")</f>
        <v/>
      </c>
      <c r="AB185" s="174" t="str" cm="1">
        <f t="array" ref="AB185">IFERROR(IF($W185="Y","",INDEX(EPA!$N$2:$N$512,MATCH(Y185&amp;Index!$K$1,EPA!$A$2:$A$512&amp;EPA!$W$2:$W$512,0))),"")</f>
        <v/>
      </c>
      <c r="AC185" s="174" t="str">
        <f ca="1">IF(AA185&lt;&gt;"",_xlfn.NORM.INV(RAND(),AA185,Index!$K$2),"")</f>
        <v/>
      </c>
      <c r="AD185" s="174" t="str">
        <f ca="1">IF(AB185&lt;&gt;"",_xlfn.NORM.INV(RAND(),AB185,Index!$K$2),"")</f>
        <v/>
      </c>
      <c r="AE185" s="157" t="str">
        <f t="shared" si="18"/>
        <v>SF</v>
      </c>
      <c r="AF185" s="158" t="str">
        <f t="shared" si="19"/>
        <v>CLE</v>
      </c>
      <c r="AG185" s="149">
        <f t="shared" si="20"/>
        <v>184</v>
      </c>
    </row>
    <row r="186" spans="1:33" x14ac:dyDescent="0.25">
      <c r="A186" s="9">
        <v>13</v>
      </c>
      <c r="B186" s="9" t="s">
        <v>661</v>
      </c>
      <c r="C186" s="148">
        <v>45991</v>
      </c>
      <c r="D186" s="9" t="s">
        <v>662</v>
      </c>
      <c r="E186" s="9" t="s">
        <v>33</v>
      </c>
      <c r="F186" s="9" t="s">
        <v>663</v>
      </c>
      <c r="G186" s="9" t="s">
        <v>42</v>
      </c>
      <c r="H186" s="9" t="s">
        <v>658</v>
      </c>
      <c r="I186" s="9">
        <v>20</v>
      </c>
      <c r="J186" s="9">
        <v>16</v>
      </c>
      <c r="K186" s="9">
        <v>364</v>
      </c>
      <c r="L186" s="9">
        <v>1</v>
      </c>
      <c r="M186" s="9">
        <v>281</v>
      </c>
      <c r="N186" s="9">
        <v>0</v>
      </c>
      <c r="O186" s="149" t="str">
        <f>IF(I186&lt;&gt;"",IF(I186=J186,"TIE",INDEX(Index!$F$1:$F$32,MATCH(E186,Index!$E$1:$E$32,0))),INDEX(Index!$F$1:$F$32,MATCH(E186,Index!$E$1:$E$32,0)))</f>
        <v>HOU</v>
      </c>
      <c r="P186" s="150" t="str">
        <f>IF(I186&lt;&gt;"",IF(I186=J186,"TIE",INDEX(Index!$F$1:$F$32,MATCH(G186,Index!$E$1:$E$32,0))),INDEX(Index!$F$1:$F$32,MATCH(G186,Index!$E$1:$E$32,0)))</f>
        <v>IND</v>
      </c>
      <c r="Q186" s="155" t="str">
        <f>IF(O186="TIE",INDEX(Index!$F$1:$F$32,MATCH(E186,Index!$E$1:$E$32,0)),"")</f>
        <v/>
      </c>
      <c r="R186" s="155" t="str">
        <f>IF(P186="TIE",INDEX(Index!$F$1:$F$32,MATCH(G186,Index!$E$1:$E$32,0)),"")</f>
        <v/>
      </c>
      <c r="S186" s="151" t="str">
        <f t="shared" si="14"/>
        <v>A</v>
      </c>
      <c r="T186" s="156" t="str">
        <f>INDEX(Index!$H$1:$H$32,MATCH($E186,Index!$E$1:$E$32,0))</f>
        <v>AS</v>
      </c>
      <c r="U186" s="156" t="str">
        <f>INDEX(Index!$H$1:$H$32,MATCH($G186,Index!$E$1:$E$32,0))</f>
        <v>AS</v>
      </c>
      <c r="V186" s="156" t="str">
        <f t="shared" si="15"/>
        <v>Div</v>
      </c>
      <c r="W186" s="152" t="str">
        <f t="shared" si="16"/>
        <v>Y</v>
      </c>
      <c r="X186" s="149" t="str">
        <f>INDEX(Index!$G$1:$G$32,MATCH(E186,Index!$E$1:$E$32,0))</f>
        <v>HOU</v>
      </c>
      <c r="Y186" s="150" t="str">
        <f>INDEX(Index!$G$1:$G$32,MATCH(G186,Index!$E$1:$E$32,0))</f>
        <v>IND</v>
      </c>
      <c r="Z186" s="147" t="str">
        <f t="shared" si="17"/>
        <v/>
      </c>
      <c r="AA186" s="174" t="str" cm="1">
        <f t="array" ref="AA186">IFERROR(IF($W186="Y","",INDEX(EPA!$N$2:$N$512,MATCH(X186&amp;Index!$K$1,EPA!$A$2:$A$512&amp;EPA!$W$2:$W$512,0))),"")</f>
        <v/>
      </c>
      <c r="AB186" s="174" t="str" cm="1">
        <f t="array" ref="AB186">IFERROR(IF($W186="Y","",INDEX(EPA!$N$2:$N$512,MATCH(Y186&amp;Index!$K$1,EPA!$A$2:$A$512&amp;EPA!$W$2:$W$512,0))),"")</f>
        <v/>
      </c>
      <c r="AC186" s="174" t="str">
        <f ca="1">IF(AA186&lt;&gt;"",_xlfn.NORM.INV(RAND(),AA186,Index!$K$2),"")</f>
        <v/>
      </c>
      <c r="AD186" s="174" t="str">
        <f ca="1">IF(AB186&lt;&gt;"",_xlfn.NORM.INV(RAND(),AB186,Index!$K$2),"")</f>
        <v/>
      </c>
      <c r="AE186" s="157" t="str">
        <f t="shared" si="18"/>
        <v>HOU</v>
      </c>
      <c r="AF186" s="158" t="str">
        <f t="shared" si="19"/>
        <v>IND</v>
      </c>
      <c r="AG186" s="149">
        <f t="shared" si="20"/>
        <v>185</v>
      </c>
    </row>
    <row r="187" spans="1:33" x14ac:dyDescent="0.25">
      <c r="A187" s="9">
        <v>13</v>
      </c>
      <c r="B187" s="9" t="s">
        <v>661</v>
      </c>
      <c r="C187" s="148">
        <v>45991</v>
      </c>
      <c r="D187" s="9" t="s">
        <v>662</v>
      </c>
      <c r="E187" s="9" t="s">
        <v>0</v>
      </c>
      <c r="F187" s="9"/>
      <c r="G187" s="9" t="s">
        <v>27</v>
      </c>
      <c r="H187" s="9" t="s">
        <v>658</v>
      </c>
      <c r="I187" s="9">
        <v>20</v>
      </c>
      <c r="J187" s="9">
        <v>17</v>
      </c>
      <c r="K187" s="9">
        <v>279</v>
      </c>
      <c r="L187" s="9">
        <v>0</v>
      </c>
      <c r="M187" s="9">
        <v>386</v>
      </c>
      <c r="N187" s="9">
        <v>2</v>
      </c>
      <c r="O187" s="149" t="str">
        <f>IF(I187&lt;&gt;"",IF(I187=J187,"TIE",INDEX(Index!$F$1:$F$32,MATCH(E187,Index!$E$1:$E$32,0))),INDEX(Index!$F$1:$F$32,MATCH(E187,Index!$E$1:$E$32,0)))</f>
        <v>TB</v>
      </c>
      <c r="P187" s="150" t="str">
        <f>IF(I187&lt;&gt;"",IF(I187=J187,"TIE",INDEX(Index!$F$1:$F$32,MATCH(G187,Index!$E$1:$E$32,0))),INDEX(Index!$F$1:$F$32,MATCH(G187,Index!$E$1:$E$32,0)))</f>
        <v>ARI</v>
      </c>
      <c r="Q187" s="155" t="str">
        <f>IF(O187="TIE",INDEX(Index!$F$1:$F$32,MATCH(E187,Index!$E$1:$E$32,0)),"")</f>
        <v/>
      </c>
      <c r="R187" s="155" t="str">
        <f>IF(P187="TIE",INDEX(Index!$F$1:$F$32,MATCH(G187,Index!$E$1:$E$32,0)),"")</f>
        <v/>
      </c>
      <c r="S187" s="151" t="str">
        <f t="shared" si="14"/>
        <v>H</v>
      </c>
      <c r="T187" s="156" t="str">
        <f>INDEX(Index!$H$1:$H$32,MATCH($E187,Index!$E$1:$E$32,0))</f>
        <v>NS</v>
      </c>
      <c r="U187" s="156" t="str">
        <f>INDEX(Index!$H$1:$H$32,MATCH($G187,Index!$E$1:$E$32,0))</f>
        <v>NW</v>
      </c>
      <c r="V187" s="156" t="str">
        <f t="shared" si="15"/>
        <v>Con</v>
      </c>
      <c r="W187" s="152" t="str">
        <f t="shared" si="16"/>
        <v>Y</v>
      </c>
      <c r="X187" s="149" t="str">
        <f>INDEX(Index!$G$1:$G$32,MATCH(E187,Index!$E$1:$E$32,0))</f>
        <v>TB</v>
      </c>
      <c r="Y187" s="150" t="str">
        <f>INDEX(Index!$G$1:$G$32,MATCH(G187,Index!$E$1:$E$32,0))</f>
        <v>ARI</v>
      </c>
      <c r="Z187" s="147" t="str">
        <f t="shared" si="17"/>
        <v/>
      </c>
      <c r="AA187" s="174" t="str" cm="1">
        <f t="array" ref="AA187">IFERROR(IF($W187="Y","",INDEX(EPA!$N$2:$N$512,MATCH(X187&amp;Index!$K$1,EPA!$A$2:$A$512&amp;EPA!$W$2:$W$512,0))),"")</f>
        <v/>
      </c>
      <c r="AB187" s="174" t="str" cm="1">
        <f t="array" ref="AB187">IFERROR(IF($W187="Y","",INDEX(EPA!$N$2:$N$512,MATCH(Y187&amp;Index!$K$1,EPA!$A$2:$A$512&amp;EPA!$W$2:$W$512,0))),"")</f>
        <v/>
      </c>
      <c r="AC187" s="174" t="str">
        <f ca="1">IF(AA187&lt;&gt;"",_xlfn.NORM.INV(RAND(),AA187,Index!$K$2),"")</f>
        <v/>
      </c>
      <c r="AD187" s="174" t="str">
        <f ca="1">IF(AB187&lt;&gt;"",_xlfn.NORM.INV(RAND(),AB187,Index!$K$2),"")</f>
        <v/>
      </c>
      <c r="AE187" s="157" t="str">
        <f t="shared" si="18"/>
        <v>TB</v>
      </c>
      <c r="AF187" s="158" t="str">
        <f t="shared" si="19"/>
        <v>ARI</v>
      </c>
      <c r="AG187" s="149">
        <f t="shared" si="20"/>
        <v>186</v>
      </c>
    </row>
    <row r="188" spans="1:33" x14ac:dyDescent="0.25">
      <c r="A188" s="9">
        <v>13</v>
      </c>
      <c r="B188" s="9" t="s">
        <v>661</v>
      </c>
      <c r="C188" s="148">
        <v>45991</v>
      </c>
      <c r="D188" s="9" t="s">
        <v>662</v>
      </c>
      <c r="E188" s="9" t="s">
        <v>36</v>
      </c>
      <c r="F188" s="9" t="s">
        <v>663</v>
      </c>
      <c r="G188" s="9" t="s">
        <v>19</v>
      </c>
      <c r="H188" s="9" t="s">
        <v>658</v>
      </c>
      <c r="I188" s="9">
        <v>25</v>
      </c>
      <c r="J188" s="9">
        <v>3</v>
      </c>
      <c r="K188" s="9">
        <v>272</v>
      </c>
      <c r="L188" s="9">
        <v>0</v>
      </c>
      <c r="M188" s="9">
        <v>188</v>
      </c>
      <c r="N188" s="9">
        <v>2</v>
      </c>
      <c r="O188" s="149" t="str">
        <f>IF(I188&lt;&gt;"",IF(I188=J188,"TIE",INDEX(Index!$F$1:$F$32,MATCH(E188,Index!$E$1:$E$32,0))),INDEX(Index!$F$1:$F$32,MATCH(E188,Index!$E$1:$E$32,0)))</f>
        <v>JAX</v>
      </c>
      <c r="P188" s="150" t="str">
        <f>IF(I188&lt;&gt;"",IF(I188=J188,"TIE",INDEX(Index!$F$1:$F$32,MATCH(G188,Index!$E$1:$E$32,0))),INDEX(Index!$F$1:$F$32,MATCH(G188,Index!$E$1:$E$32,0)))</f>
        <v>TEN</v>
      </c>
      <c r="Q188" s="155" t="str">
        <f>IF(O188="TIE",INDEX(Index!$F$1:$F$32,MATCH(E188,Index!$E$1:$E$32,0)),"")</f>
        <v/>
      </c>
      <c r="R188" s="155" t="str">
        <f>IF(P188="TIE",INDEX(Index!$F$1:$F$32,MATCH(G188,Index!$E$1:$E$32,0)),"")</f>
        <v/>
      </c>
      <c r="S188" s="151" t="str">
        <f t="shared" si="14"/>
        <v>A</v>
      </c>
      <c r="T188" s="156" t="str">
        <f>INDEX(Index!$H$1:$H$32,MATCH($E188,Index!$E$1:$E$32,0))</f>
        <v>AS</v>
      </c>
      <c r="U188" s="156" t="str">
        <f>INDEX(Index!$H$1:$H$32,MATCH($G188,Index!$E$1:$E$32,0))</f>
        <v>AS</v>
      </c>
      <c r="V188" s="156" t="str">
        <f t="shared" si="15"/>
        <v>Div</v>
      </c>
      <c r="W188" s="152" t="str">
        <f t="shared" si="16"/>
        <v>Y</v>
      </c>
      <c r="X188" s="149" t="str">
        <f>INDEX(Index!$G$1:$G$32,MATCH(E188,Index!$E$1:$E$32,0))</f>
        <v>JAX</v>
      </c>
      <c r="Y188" s="150" t="str">
        <f>INDEX(Index!$G$1:$G$32,MATCH(G188,Index!$E$1:$E$32,0))</f>
        <v>TEN</v>
      </c>
      <c r="Z188" s="147" t="str">
        <f t="shared" si="17"/>
        <v/>
      </c>
      <c r="AA188" s="174" t="str" cm="1">
        <f t="array" ref="AA188">IFERROR(IF($W188="Y","",INDEX(EPA!$N$2:$N$512,MATCH(X188&amp;Index!$K$1,EPA!$A$2:$A$512&amp;EPA!$W$2:$W$512,0))),"")</f>
        <v/>
      </c>
      <c r="AB188" s="174" t="str" cm="1">
        <f t="array" ref="AB188">IFERROR(IF($W188="Y","",INDEX(EPA!$N$2:$N$512,MATCH(Y188&amp;Index!$K$1,EPA!$A$2:$A$512&amp;EPA!$W$2:$W$512,0))),"")</f>
        <v/>
      </c>
      <c r="AC188" s="174" t="str">
        <f ca="1">IF(AA188&lt;&gt;"",_xlfn.NORM.INV(RAND(),AA188,Index!$K$2),"")</f>
        <v/>
      </c>
      <c r="AD188" s="174" t="str">
        <f ca="1">IF(AB188&lt;&gt;"",_xlfn.NORM.INV(RAND(),AB188,Index!$K$2),"")</f>
        <v/>
      </c>
      <c r="AE188" s="157" t="str">
        <f t="shared" si="18"/>
        <v>JAX</v>
      </c>
      <c r="AF188" s="158" t="str">
        <f t="shared" si="19"/>
        <v>TEN</v>
      </c>
      <c r="AG188" s="149">
        <f t="shared" si="20"/>
        <v>187</v>
      </c>
    </row>
    <row r="189" spans="1:33" x14ac:dyDescent="0.25">
      <c r="A189" s="9">
        <v>13</v>
      </c>
      <c r="B189" s="9" t="s">
        <v>661</v>
      </c>
      <c r="C189" s="148">
        <v>45991</v>
      </c>
      <c r="D189" s="9" t="s">
        <v>662</v>
      </c>
      <c r="E189" s="9" t="s">
        <v>62</v>
      </c>
      <c r="F189" s="9"/>
      <c r="G189" s="9" t="s">
        <v>71</v>
      </c>
      <c r="H189" s="9" t="s">
        <v>658</v>
      </c>
      <c r="I189" s="9">
        <v>21</v>
      </c>
      <c r="J189" s="9">
        <v>17</v>
      </c>
      <c r="K189" s="9">
        <v>298</v>
      </c>
      <c r="L189" s="9">
        <v>1</v>
      </c>
      <c r="M189" s="9">
        <v>294</v>
      </c>
      <c r="N189" s="9">
        <v>2</v>
      </c>
      <c r="O189" s="149" t="str">
        <f>IF(I189&lt;&gt;"",IF(I189=J189,"TIE",INDEX(Index!$F$1:$F$32,MATCH(E189,Index!$E$1:$E$32,0))),INDEX(Index!$F$1:$F$32,MATCH(E189,Index!$E$1:$E$32,0)))</f>
        <v>MIA</v>
      </c>
      <c r="P189" s="150" t="str">
        <f>IF(I189&lt;&gt;"",IF(I189=J189,"TIE",INDEX(Index!$F$1:$F$32,MATCH(G189,Index!$E$1:$E$32,0))),INDEX(Index!$F$1:$F$32,MATCH(G189,Index!$E$1:$E$32,0)))</f>
        <v>NO</v>
      </c>
      <c r="Q189" s="155" t="str">
        <f>IF(O189="TIE",INDEX(Index!$F$1:$F$32,MATCH(E189,Index!$E$1:$E$32,0)),"")</f>
        <v/>
      </c>
      <c r="R189" s="155" t="str">
        <f>IF(P189="TIE",INDEX(Index!$F$1:$F$32,MATCH(G189,Index!$E$1:$E$32,0)),"")</f>
        <v/>
      </c>
      <c r="S189" s="151" t="str">
        <f t="shared" si="14"/>
        <v>H</v>
      </c>
      <c r="T189" s="156" t="str">
        <f>INDEX(Index!$H$1:$H$32,MATCH($E189,Index!$E$1:$E$32,0))</f>
        <v>AE</v>
      </c>
      <c r="U189" s="156" t="str">
        <f>INDEX(Index!$H$1:$H$32,MATCH($G189,Index!$E$1:$E$32,0))</f>
        <v>NS</v>
      </c>
      <c r="V189" s="156" t="str">
        <f t="shared" si="15"/>
        <v>Non</v>
      </c>
      <c r="W189" s="152" t="str">
        <f t="shared" si="16"/>
        <v>Y</v>
      </c>
      <c r="X189" s="149" t="str">
        <f>INDEX(Index!$G$1:$G$32,MATCH(E189,Index!$E$1:$E$32,0))</f>
        <v>MIA</v>
      </c>
      <c r="Y189" s="150" t="str">
        <f>INDEX(Index!$G$1:$G$32,MATCH(G189,Index!$E$1:$E$32,0))</f>
        <v>NO</v>
      </c>
      <c r="Z189" s="147" t="str">
        <f t="shared" si="17"/>
        <v/>
      </c>
      <c r="AA189" s="174" t="str" cm="1">
        <f t="array" ref="AA189">IFERROR(IF($W189="Y","",INDEX(EPA!$N$2:$N$512,MATCH(X189&amp;Index!$K$1,EPA!$A$2:$A$512&amp;EPA!$W$2:$W$512,0))),"")</f>
        <v/>
      </c>
      <c r="AB189" s="174" t="str" cm="1">
        <f t="array" ref="AB189">IFERROR(IF($W189="Y","",INDEX(EPA!$N$2:$N$512,MATCH(Y189&amp;Index!$K$1,EPA!$A$2:$A$512&amp;EPA!$W$2:$W$512,0))),"")</f>
        <v/>
      </c>
      <c r="AC189" s="174" t="str">
        <f ca="1">IF(AA189&lt;&gt;"",_xlfn.NORM.INV(RAND(),AA189,Index!$K$2),"")</f>
        <v/>
      </c>
      <c r="AD189" s="174" t="str">
        <f ca="1">IF(AB189&lt;&gt;"",_xlfn.NORM.INV(RAND(),AB189,Index!$K$2),"")</f>
        <v/>
      </c>
      <c r="AE189" s="157" t="str">
        <f t="shared" si="18"/>
        <v>MIA</v>
      </c>
      <c r="AF189" s="158" t="str">
        <f t="shared" si="19"/>
        <v>NO</v>
      </c>
      <c r="AG189" s="149">
        <f t="shared" si="20"/>
        <v>188</v>
      </c>
    </row>
    <row r="190" spans="1:33" x14ac:dyDescent="0.25">
      <c r="A190" s="9">
        <v>13</v>
      </c>
      <c r="B190" s="9" t="s">
        <v>661</v>
      </c>
      <c r="C190" s="148">
        <v>45991</v>
      </c>
      <c r="D190" s="9" t="s">
        <v>662</v>
      </c>
      <c r="E190" s="9" t="s">
        <v>12</v>
      </c>
      <c r="F190" s="9"/>
      <c r="G190" s="9" t="s">
        <v>90</v>
      </c>
      <c r="H190" s="9" t="s">
        <v>658</v>
      </c>
      <c r="I190" s="9">
        <v>31</v>
      </c>
      <c r="J190" s="9">
        <v>28</v>
      </c>
      <c r="K190" s="9">
        <v>358</v>
      </c>
      <c r="L190" s="9">
        <v>0</v>
      </c>
      <c r="M190" s="9">
        <v>379</v>
      </c>
      <c r="N190" s="9">
        <v>3</v>
      </c>
      <c r="O190" s="149" t="str">
        <f>IF(I190&lt;&gt;"",IF(I190=J190,"TIE",INDEX(Index!$F$1:$F$32,MATCH(E190,Index!$E$1:$E$32,0))),INDEX(Index!$F$1:$F$32,MATCH(E190,Index!$E$1:$E$32,0)))</f>
        <v>CAR</v>
      </c>
      <c r="P190" s="150" t="str">
        <f>IF(I190&lt;&gt;"",IF(I190=J190,"TIE",INDEX(Index!$F$1:$F$32,MATCH(G190,Index!$E$1:$E$32,0))),INDEX(Index!$F$1:$F$32,MATCH(G190,Index!$E$1:$E$32,0)))</f>
        <v>LAR</v>
      </c>
      <c r="Q190" s="155" t="str">
        <f>IF(O190="TIE",INDEX(Index!$F$1:$F$32,MATCH(E190,Index!$E$1:$E$32,0)),"")</f>
        <v/>
      </c>
      <c r="R190" s="155" t="str">
        <f>IF(P190="TIE",INDEX(Index!$F$1:$F$32,MATCH(G190,Index!$E$1:$E$32,0)),"")</f>
        <v/>
      </c>
      <c r="S190" s="151" t="str">
        <f t="shared" si="14"/>
        <v>H</v>
      </c>
      <c r="T190" s="156" t="str">
        <f>INDEX(Index!$H$1:$H$32,MATCH($E190,Index!$E$1:$E$32,0))</f>
        <v>NS</v>
      </c>
      <c r="U190" s="156" t="str">
        <f>INDEX(Index!$H$1:$H$32,MATCH($G190,Index!$E$1:$E$32,0))</f>
        <v>NW</v>
      </c>
      <c r="V190" s="156" t="str">
        <f t="shared" si="15"/>
        <v>Con</v>
      </c>
      <c r="W190" s="152" t="str">
        <f t="shared" si="16"/>
        <v>Y</v>
      </c>
      <c r="X190" s="149" t="str">
        <f>INDEX(Index!$G$1:$G$32,MATCH(E190,Index!$E$1:$E$32,0))</f>
        <v>CAR</v>
      </c>
      <c r="Y190" s="150" t="str">
        <f>INDEX(Index!$G$1:$G$32,MATCH(G190,Index!$E$1:$E$32,0))</f>
        <v>LAR</v>
      </c>
      <c r="Z190" s="147" t="str">
        <f t="shared" si="17"/>
        <v/>
      </c>
      <c r="AA190" s="174" t="str" cm="1">
        <f t="array" ref="AA190">IFERROR(IF($W190="Y","",INDEX(EPA!$N$2:$N$512,MATCH(X190&amp;Index!$K$1,EPA!$A$2:$A$512&amp;EPA!$W$2:$W$512,0))),"")</f>
        <v/>
      </c>
      <c r="AB190" s="174" t="str" cm="1">
        <f t="array" ref="AB190">IFERROR(IF($W190="Y","",INDEX(EPA!$N$2:$N$512,MATCH(Y190&amp;Index!$K$1,EPA!$A$2:$A$512&amp;EPA!$W$2:$W$512,0))),"")</f>
        <v/>
      </c>
      <c r="AC190" s="174" t="str">
        <f ca="1">IF(AA190&lt;&gt;"",_xlfn.NORM.INV(RAND(),AA190,Index!$K$2),"")</f>
        <v/>
      </c>
      <c r="AD190" s="174" t="str">
        <f ca="1">IF(AB190&lt;&gt;"",_xlfn.NORM.INV(RAND(),AB190,Index!$K$2),"")</f>
        <v/>
      </c>
      <c r="AE190" s="157" t="str">
        <f t="shared" si="18"/>
        <v>CAR</v>
      </c>
      <c r="AF190" s="158" t="str">
        <f t="shared" si="19"/>
        <v>LAR</v>
      </c>
      <c r="AG190" s="149">
        <f t="shared" si="20"/>
        <v>189</v>
      </c>
    </row>
    <row r="191" spans="1:33" x14ac:dyDescent="0.25">
      <c r="A191" s="9">
        <v>13</v>
      </c>
      <c r="B191" s="9" t="s">
        <v>661</v>
      </c>
      <c r="C191" s="148">
        <v>45991</v>
      </c>
      <c r="D191" s="9" t="s">
        <v>664</v>
      </c>
      <c r="E191" s="9" t="s">
        <v>8</v>
      </c>
      <c r="F191" s="9"/>
      <c r="G191" s="9" t="s">
        <v>58</v>
      </c>
      <c r="H191" s="9" t="s">
        <v>658</v>
      </c>
      <c r="I191" s="9">
        <v>26</v>
      </c>
      <c r="J191" s="9">
        <v>0</v>
      </c>
      <c r="K191" s="9">
        <v>219</v>
      </c>
      <c r="L191" s="9">
        <v>2</v>
      </c>
      <c r="M191" s="9">
        <v>162</v>
      </c>
      <c r="N191" s="9">
        <v>5</v>
      </c>
      <c r="O191" s="149" t="str">
        <f>IF(I191&lt;&gt;"",IF(I191=J191,"TIE",INDEX(Index!$F$1:$F$32,MATCH(E191,Index!$E$1:$E$32,0))),INDEX(Index!$F$1:$F$32,MATCH(E191,Index!$E$1:$E$32,0)))</f>
        <v>SEA</v>
      </c>
      <c r="P191" s="150" t="str">
        <f>IF(I191&lt;&gt;"",IF(I191=J191,"TIE",INDEX(Index!$F$1:$F$32,MATCH(G191,Index!$E$1:$E$32,0))),INDEX(Index!$F$1:$F$32,MATCH(G191,Index!$E$1:$E$32,0)))</f>
        <v>MIN</v>
      </c>
      <c r="Q191" s="155" t="str">
        <f>IF(O191="TIE",INDEX(Index!$F$1:$F$32,MATCH(E191,Index!$E$1:$E$32,0)),"")</f>
        <v/>
      </c>
      <c r="R191" s="155" t="str">
        <f>IF(P191="TIE",INDEX(Index!$F$1:$F$32,MATCH(G191,Index!$E$1:$E$32,0)),"")</f>
        <v/>
      </c>
      <c r="S191" s="151" t="str">
        <f t="shared" si="14"/>
        <v>H</v>
      </c>
      <c r="T191" s="156" t="str">
        <f>INDEX(Index!$H$1:$H$32,MATCH($E191,Index!$E$1:$E$32,0))</f>
        <v>NW</v>
      </c>
      <c r="U191" s="156" t="str">
        <f>INDEX(Index!$H$1:$H$32,MATCH($G191,Index!$E$1:$E$32,0))</f>
        <v>NN</v>
      </c>
      <c r="V191" s="156" t="str">
        <f t="shared" si="15"/>
        <v>Con</v>
      </c>
      <c r="W191" s="152" t="str">
        <f t="shared" si="16"/>
        <v>Y</v>
      </c>
      <c r="X191" s="149" t="str">
        <f>INDEX(Index!$G$1:$G$32,MATCH(E191,Index!$E$1:$E$32,0))</f>
        <v>SEA</v>
      </c>
      <c r="Y191" s="150" t="str">
        <f>INDEX(Index!$G$1:$G$32,MATCH(G191,Index!$E$1:$E$32,0))</f>
        <v>MIN</v>
      </c>
      <c r="Z191" s="147" t="str">
        <f t="shared" si="17"/>
        <v/>
      </c>
      <c r="AA191" s="174" t="str" cm="1">
        <f t="array" ref="AA191">IFERROR(IF($W191="Y","",INDEX(EPA!$N$2:$N$512,MATCH(X191&amp;Index!$K$1,EPA!$A$2:$A$512&amp;EPA!$W$2:$W$512,0))),"")</f>
        <v/>
      </c>
      <c r="AB191" s="174" t="str" cm="1">
        <f t="array" ref="AB191">IFERROR(IF($W191="Y","",INDEX(EPA!$N$2:$N$512,MATCH(Y191&amp;Index!$K$1,EPA!$A$2:$A$512&amp;EPA!$W$2:$W$512,0))),"")</f>
        <v/>
      </c>
      <c r="AC191" s="174" t="str">
        <f ca="1">IF(AA191&lt;&gt;"",_xlfn.NORM.INV(RAND(),AA191,Index!$K$2),"")</f>
        <v/>
      </c>
      <c r="AD191" s="174" t="str">
        <f ca="1">IF(AB191&lt;&gt;"",_xlfn.NORM.INV(RAND(),AB191,Index!$K$2),"")</f>
        <v/>
      </c>
      <c r="AE191" s="157" t="str">
        <f t="shared" si="18"/>
        <v>SEA</v>
      </c>
      <c r="AF191" s="158" t="str">
        <f t="shared" si="19"/>
        <v>MIN</v>
      </c>
      <c r="AG191" s="149">
        <f t="shared" si="20"/>
        <v>190</v>
      </c>
    </row>
    <row r="192" spans="1:33" x14ac:dyDescent="0.25">
      <c r="A192" s="9">
        <v>13</v>
      </c>
      <c r="B192" s="9" t="s">
        <v>661</v>
      </c>
      <c r="C192" s="148">
        <v>45991</v>
      </c>
      <c r="D192" s="9" t="s">
        <v>665</v>
      </c>
      <c r="E192" s="9" t="s">
        <v>40</v>
      </c>
      <c r="F192" s="9" t="s">
        <v>663</v>
      </c>
      <c r="G192" s="9" t="s">
        <v>73</v>
      </c>
      <c r="H192" s="9" t="s">
        <v>658</v>
      </c>
      <c r="I192" s="9">
        <v>26</v>
      </c>
      <c r="J192" s="9">
        <v>7</v>
      </c>
      <c r="K192" s="9">
        <v>372</v>
      </c>
      <c r="L192" s="9">
        <v>2</v>
      </c>
      <c r="M192" s="9">
        <v>166</v>
      </c>
      <c r="N192" s="9">
        <v>2</v>
      </c>
      <c r="O192" s="149" t="str">
        <f>IF(I192&lt;&gt;"",IF(I192=J192,"TIE",INDEX(Index!$F$1:$F$32,MATCH(E192,Index!$E$1:$E$32,0))),INDEX(Index!$F$1:$F$32,MATCH(E192,Index!$E$1:$E$32,0)))</f>
        <v>BUF</v>
      </c>
      <c r="P192" s="150" t="str">
        <f>IF(I192&lt;&gt;"",IF(I192=J192,"TIE",INDEX(Index!$F$1:$F$32,MATCH(G192,Index!$E$1:$E$32,0))),INDEX(Index!$F$1:$F$32,MATCH(G192,Index!$E$1:$E$32,0)))</f>
        <v>PIT</v>
      </c>
      <c r="Q192" s="155" t="str">
        <f>IF(O192="TIE",INDEX(Index!$F$1:$F$32,MATCH(E192,Index!$E$1:$E$32,0)),"")</f>
        <v/>
      </c>
      <c r="R192" s="155" t="str">
        <f>IF(P192="TIE",INDEX(Index!$F$1:$F$32,MATCH(G192,Index!$E$1:$E$32,0)),"")</f>
        <v/>
      </c>
      <c r="S192" s="151" t="str">
        <f t="shared" si="14"/>
        <v>A</v>
      </c>
      <c r="T192" s="156" t="str">
        <f>INDEX(Index!$H$1:$H$32,MATCH($E192,Index!$E$1:$E$32,0))</f>
        <v>AE</v>
      </c>
      <c r="U192" s="156" t="str">
        <f>INDEX(Index!$H$1:$H$32,MATCH($G192,Index!$E$1:$E$32,0))</f>
        <v>AN</v>
      </c>
      <c r="V192" s="156" t="str">
        <f t="shared" si="15"/>
        <v>Con</v>
      </c>
      <c r="W192" s="152" t="str">
        <f t="shared" si="16"/>
        <v>Y</v>
      </c>
      <c r="X192" s="149" t="str">
        <f>INDEX(Index!$G$1:$G$32,MATCH(E192,Index!$E$1:$E$32,0))</f>
        <v>BUF</v>
      </c>
      <c r="Y192" s="150" t="str">
        <f>INDEX(Index!$G$1:$G$32,MATCH(G192,Index!$E$1:$E$32,0))</f>
        <v>PIT</v>
      </c>
      <c r="Z192" s="147" t="str">
        <f t="shared" si="17"/>
        <v/>
      </c>
      <c r="AA192" s="174" t="str" cm="1">
        <f t="array" ref="AA192">IFERROR(IF($W192="Y","",INDEX(EPA!$N$2:$N$512,MATCH(X192&amp;Index!$K$1,EPA!$A$2:$A$512&amp;EPA!$W$2:$W$512,0))),"")</f>
        <v/>
      </c>
      <c r="AB192" s="174" t="str" cm="1">
        <f t="array" ref="AB192">IFERROR(IF($W192="Y","",INDEX(EPA!$N$2:$N$512,MATCH(Y192&amp;Index!$K$1,EPA!$A$2:$A$512&amp;EPA!$W$2:$W$512,0))),"")</f>
        <v/>
      </c>
      <c r="AC192" s="174" t="str">
        <f ca="1">IF(AA192&lt;&gt;"",_xlfn.NORM.INV(RAND(),AA192,Index!$K$2),"")</f>
        <v/>
      </c>
      <c r="AD192" s="174" t="str">
        <f ca="1">IF(AB192&lt;&gt;"",_xlfn.NORM.INV(RAND(),AB192,Index!$K$2),"")</f>
        <v/>
      </c>
      <c r="AE192" s="157" t="str">
        <f t="shared" si="18"/>
        <v>BUF</v>
      </c>
      <c r="AF192" s="158" t="str">
        <f t="shared" si="19"/>
        <v>PIT</v>
      </c>
      <c r="AG192" s="149">
        <f t="shared" si="20"/>
        <v>191</v>
      </c>
    </row>
    <row r="193" spans="1:33" x14ac:dyDescent="0.25">
      <c r="A193" s="9">
        <v>13</v>
      </c>
      <c r="B193" s="9" t="s">
        <v>661</v>
      </c>
      <c r="C193" s="148">
        <v>45991</v>
      </c>
      <c r="D193" s="9" t="s">
        <v>665</v>
      </c>
      <c r="E193" s="9" t="s">
        <v>68</v>
      </c>
      <c r="F193" s="9"/>
      <c r="G193" s="9" t="s">
        <v>80</v>
      </c>
      <c r="H193" s="9" t="s">
        <v>658</v>
      </c>
      <c r="I193" s="9">
        <v>31</v>
      </c>
      <c r="J193" s="9">
        <v>14</v>
      </c>
      <c r="K193" s="9">
        <v>341</v>
      </c>
      <c r="L193" s="9">
        <v>1</v>
      </c>
      <c r="M193" s="9">
        <v>156</v>
      </c>
      <c r="N193" s="9">
        <v>1</v>
      </c>
      <c r="O193" s="149" t="str">
        <f>IF(I193&lt;&gt;"",IF(I193=J193,"TIE",INDEX(Index!$F$1:$F$32,MATCH(E193,Index!$E$1:$E$32,0))),INDEX(Index!$F$1:$F$32,MATCH(E193,Index!$E$1:$E$32,0)))</f>
        <v>LAC</v>
      </c>
      <c r="P193" s="150" t="str">
        <f>IF(I193&lt;&gt;"",IF(I193=J193,"TIE",INDEX(Index!$F$1:$F$32,MATCH(G193,Index!$E$1:$E$32,0))),INDEX(Index!$F$1:$F$32,MATCH(G193,Index!$E$1:$E$32,0)))</f>
        <v>LV</v>
      </c>
      <c r="Q193" s="155" t="str">
        <f>IF(O193="TIE",INDEX(Index!$F$1:$F$32,MATCH(E193,Index!$E$1:$E$32,0)),"")</f>
        <v/>
      </c>
      <c r="R193" s="155" t="str">
        <f>IF(P193="TIE",INDEX(Index!$F$1:$F$32,MATCH(G193,Index!$E$1:$E$32,0)),"")</f>
        <v/>
      </c>
      <c r="S193" s="151" t="str">
        <f t="shared" si="14"/>
        <v>H</v>
      </c>
      <c r="T193" s="156" t="str">
        <f>INDEX(Index!$H$1:$H$32,MATCH($E193,Index!$E$1:$E$32,0))</f>
        <v>AW</v>
      </c>
      <c r="U193" s="156" t="str">
        <f>INDEX(Index!$H$1:$H$32,MATCH($G193,Index!$E$1:$E$32,0))</f>
        <v>AW</v>
      </c>
      <c r="V193" s="156" t="str">
        <f t="shared" si="15"/>
        <v>Div</v>
      </c>
      <c r="W193" s="152" t="str">
        <f t="shared" si="16"/>
        <v>Y</v>
      </c>
      <c r="X193" s="149" t="str">
        <f>INDEX(Index!$G$1:$G$32,MATCH(E193,Index!$E$1:$E$32,0))</f>
        <v>LAC</v>
      </c>
      <c r="Y193" s="150" t="str">
        <f>INDEX(Index!$G$1:$G$32,MATCH(G193,Index!$E$1:$E$32,0))</f>
        <v>OAK</v>
      </c>
      <c r="Z193" s="147" t="str">
        <f t="shared" si="17"/>
        <v/>
      </c>
      <c r="AA193" s="174" t="str" cm="1">
        <f t="array" ref="AA193">IFERROR(IF($W193="Y","",INDEX(EPA!$N$2:$N$512,MATCH(X193&amp;Index!$K$1,EPA!$A$2:$A$512&amp;EPA!$W$2:$W$512,0))),"")</f>
        <v/>
      </c>
      <c r="AB193" s="174" t="str" cm="1">
        <f t="array" ref="AB193">IFERROR(IF($W193="Y","",INDEX(EPA!$N$2:$N$512,MATCH(Y193&amp;Index!$K$1,EPA!$A$2:$A$512&amp;EPA!$W$2:$W$512,0))),"")</f>
        <v/>
      </c>
      <c r="AC193" s="174" t="str">
        <f ca="1">IF(AA193&lt;&gt;"",_xlfn.NORM.INV(RAND(),AA193,Index!$K$2),"")</f>
        <v/>
      </c>
      <c r="AD193" s="174" t="str">
        <f ca="1">IF(AB193&lt;&gt;"",_xlfn.NORM.INV(RAND(),AB193,Index!$K$2),"")</f>
        <v/>
      </c>
      <c r="AE193" s="157" t="str">
        <f t="shared" si="18"/>
        <v>LAC</v>
      </c>
      <c r="AF193" s="158" t="str">
        <f t="shared" si="19"/>
        <v>LV</v>
      </c>
      <c r="AG193" s="149">
        <f t="shared" si="20"/>
        <v>192</v>
      </c>
    </row>
    <row r="194" spans="1:33" x14ac:dyDescent="0.25">
      <c r="A194" s="9">
        <v>13</v>
      </c>
      <c r="B194" s="9" t="s">
        <v>661</v>
      </c>
      <c r="C194" s="148">
        <v>45991</v>
      </c>
      <c r="D194" s="9" t="s">
        <v>657</v>
      </c>
      <c r="E194" s="9" t="s">
        <v>94</v>
      </c>
      <c r="F194" s="9" t="s">
        <v>663</v>
      </c>
      <c r="G194" s="9" t="s">
        <v>4</v>
      </c>
      <c r="H194" s="9" t="s">
        <v>658</v>
      </c>
      <c r="I194" s="9">
        <v>27</v>
      </c>
      <c r="J194" s="9">
        <v>26</v>
      </c>
      <c r="K194" s="9">
        <v>402</v>
      </c>
      <c r="L194" s="9">
        <v>1</v>
      </c>
      <c r="M194" s="9">
        <v>419</v>
      </c>
      <c r="N194" s="9">
        <v>1</v>
      </c>
      <c r="O194" s="149" t="str">
        <f>IF(I194&lt;&gt;"",IF(I194=J194,"TIE",INDEX(Index!$F$1:$F$32,MATCH(E194,Index!$E$1:$E$32,0))),INDEX(Index!$F$1:$F$32,MATCH(E194,Index!$E$1:$E$32,0)))</f>
        <v>DEN</v>
      </c>
      <c r="P194" s="150" t="str">
        <f>IF(I194&lt;&gt;"",IF(I194=J194,"TIE",INDEX(Index!$F$1:$F$32,MATCH(G194,Index!$E$1:$E$32,0))),INDEX(Index!$F$1:$F$32,MATCH(G194,Index!$E$1:$E$32,0)))</f>
        <v>WAS</v>
      </c>
      <c r="Q194" s="155" t="str">
        <f>IF(O194="TIE",INDEX(Index!$F$1:$F$32,MATCH(E194,Index!$E$1:$E$32,0)),"")</f>
        <v/>
      </c>
      <c r="R194" s="155" t="str">
        <f>IF(P194="TIE",INDEX(Index!$F$1:$F$32,MATCH(G194,Index!$E$1:$E$32,0)),"")</f>
        <v/>
      </c>
      <c r="S194" s="151" t="str">
        <f t="shared" ref="S194:S258" si="21">IF(F194="@","A","H")</f>
        <v>A</v>
      </c>
      <c r="T194" s="156" t="str">
        <f>INDEX(Index!$H$1:$H$32,MATCH($E194,Index!$E$1:$E$32,0))</f>
        <v>AW</v>
      </c>
      <c r="U194" s="156" t="str">
        <f>INDEX(Index!$H$1:$H$32,MATCH($G194,Index!$E$1:$E$32,0))</f>
        <v>NE</v>
      </c>
      <c r="V194" s="156" t="str">
        <f t="shared" ref="V194:V257" si="22">IF(T194=U194,"Div",IF(LEFT(T194,1)=LEFT(U194,1),"Con","Non"))</f>
        <v>Non</v>
      </c>
      <c r="W194" s="152" t="str">
        <f t="shared" ref="W194:W257" si="23">IF(I194&lt;&gt;"","Y","N")</f>
        <v>Y</v>
      </c>
      <c r="X194" s="149" t="str">
        <f>INDEX(Index!$G$1:$G$32,MATCH(E194,Index!$E$1:$E$32,0))</f>
        <v>DEN</v>
      </c>
      <c r="Y194" s="150" t="str">
        <f>INDEX(Index!$G$1:$G$32,MATCH(G194,Index!$E$1:$E$32,0))</f>
        <v>WAS</v>
      </c>
      <c r="Z194" s="147" t="str">
        <f t="shared" ref="Z194:Z257" si="24">IF(W194="Y","","Simulate")</f>
        <v/>
      </c>
      <c r="AA194" s="174" t="str" cm="1">
        <f t="array" ref="AA194">IFERROR(IF($W194="Y","",INDEX(EPA!$N$2:$N$512,MATCH(X194&amp;Index!$K$1,EPA!$A$2:$A$512&amp;EPA!$W$2:$W$512,0))),"")</f>
        <v/>
      </c>
      <c r="AB194" s="174" t="str" cm="1">
        <f t="array" ref="AB194">IFERROR(IF($W194="Y","",INDEX(EPA!$N$2:$N$512,MATCH(Y194&amp;Index!$K$1,EPA!$A$2:$A$512&amp;EPA!$W$2:$W$512,0))),"")</f>
        <v/>
      </c>
      <c r="AC194" s="174" t="str">
        <f ca="1">IF(AA194&lt;&gt;"",_xlfn.NORM.INV(RAND(),AA194,Index!$K$2),"")</f>
        <v/>
      </c>
      <c r="AD194" s="174" t="str">
        <f ca="1">IF(AB194&lt;&gt;"",_xlfn.NORM.INV(RAND(),AB194,Index!$K$2),"")</f>
        <v/>
      </c>
      <c r="AE194" s="157" t="str">
        <f t="shared" ref="AE194:AE257" si="25">IF(W194="Y",O194,IF(AC194&gt;AD194,O194,P194))</f>
        <v>DEN</v>
      </c>
      <c r="AF194" s="158" t="str">
        <f t="shared" ref="AF194:AF257" si="26">IF(W194="Y",P194,IF(AC194&gt;AD194,P194,O194))</f>
        <v>WAS</v>
      </c>
      <c r="AG194" s="149">
        <f t="shared" si="20"/>
        <v>193</v>
      </c>
    </row>
    <row r="195" spans="1:33" x14ac:dyDescent="0.25">
      <c r="A195" s="9">
        <v>13</v>
      </c>
      <c r="B195" s="9" t="s">
        <v>666</v>
      </c>
      <c r="C195" s="148">
        <v>45992</v>
      </c>
      <c r="D195" s="9" t="s">
        <v>667</v>
      </c>
      <c r="E195" s="9" t="s">
        <v>45</v>
      </c>
      <c r="F195" s="9"/>
      <c r="G195" s="9" t="s">
        <v>49</v>
      </c>
      <c r="H195" s="9" t="s">
        <v>658</v>
      </c>
      <c r="I195" s="9">
        <v>33</v>
      </c>
      <c r="J195" s="9">
        <v>15</v>
      </c>
      <c r="K195" s="9">
        <v>395</v>
      </c>
      <c r="L195" s="9">
        <v>0</v>
      </c>
      <c r="M195" s="9">
        <v>239</v>
      </c>
      <c r="N195" s="9">
        <v>1</v>
      </c>
      <c r="O195" s="149" t="str">
        <f>IF(I195&lt;&gt;"",IF(I195=J195,"TIE",INDEX(Index!$F$1:$F$32,MATCH(E195,Index!$E$1:$E$32,0))),INDEX(Index!$F$1:$F$32,MATCH(E195,Index!$E$1:$E$32,0)))</f>
        <v>NE</v>
      </c>
      <c r="P195" s="150" t="str">
        <f>IF(I195&lt;&gt;"",IF(I195=J195,"TIE",INDEX(Index!$F$1:$F$32,MATCH(G195,Index!$E$1:$E$32,0))),INDEX(Index!$F$1:$F$32,MATCH(G195,Index!$E$1:$E$32,0)))</f>
        <v>NYG</v>
      </c>
      <c r="Q195" s="155" t="str">
        <f>IF(O195="TIE",INDEX(Index!$F$1:$F$32,MATCH(E195,Index!$E$1:$E$32,0)),"")</f>
        <v/>
      </c>
      <c r="R195" s="155" t="str">
        <f>IF(P195="TIE",INDEX(Index!$F$1:$F$32,MATCH(G195,Index!$E$1:$E$32,0)),"")</f>
        <v/>
      </c>
      <c r="S195" s="151" t="str">
        <f t="shared" si="21"/>
        <v>H</v>
      </c>
      <c r="T195" s="156" t="str">
        <f>INDEX(Index!$H$1:$H$32,MATCH($E195,Index!$E$1:$E$32,0))</f>
        <v>AE</v>
      </c>
      <c r="U195" s="156" t="str">
        <f>INDEX(Index!$H$1:$H$32,MATCH($G195,Index!$E$1:$E$32,0))</f>
        <v>NE</v>
      </c>
      <c r="V195" s="156" t="str">
        <f t="shared" si="22"/>
        <v>Non</v>
      </c>
      <c r="W195" s="152" t="str">
        <f t="shared" si="23"/>
        <v>Y</v>
      </c>
      <c r="X195" s="149" t="str">
        <f>INDEX(Index!$G$1:$G$32,MATCH(E195,Index!$E$1:$E$32,0))</f>
        <v>NE</v>
      </c>
      <c r="Y195" s="150" t="str">
        <f>INDEX(Index!$G$1:$G$32,MATCH(G195,Index!$E$1:$E$32,0))</f>
        <v>NYG</v>
      </c>
      <c r="Z195" s="147" t="str">
        <f t="shared" si="24"/>
        <v/>
      </c>
      <c r="AA195" s="174" t="str" cm="1">
        <f t="array" ref="AA195">IFERROR(IF($W195="Y","",INDEX(EPA!$N$2:$N$512,MATCH(X195&amp;Index!$K$1,EPA!$A$2:$A$512&amp;EPA!$W$2:$W$512,0))),"")</f>
        <v/>
      </c>
      <c r="AB195" s="174" t="str" cm="1">
        <f t="array" ref="AB195">IFERROR(IF($W195="Y","",INDEX(EPA!$N$2:$N$512,MATCH(Y195&amp;Index!$K$1,EPA!$A$2:$A$512&amp;EPA!$W$2:$W$512,0))),"")</f>
        <v/>
      </c>
      <c r="AC195" s="174" t="str">
        <f ca="1">IF(AA195&lt;&gt;"",_xlfn.NORM.INV(RAND(),AA195,Index!$K$2),"")</f>
        <v/>
      </c>
      <c r="AD195" s="174" t="str">
        <f ca="1">IF(AB195&lt;&gt;"",_xlfn.NORM.INV(RAND(),AB195,Index!$K$2),"")</f>
        <v/>
      </c>
      <c r="AE195" s="157" t="str">
        <f t="shared" si="25"/>
        <v>NE</v>
      </c>
      <c r="AF195" s="158" t="str">
        <f t="shared" si="26"/>
        <v>NYG</v>
      </c>
      <c r="AG195" s="149">
        <f t="shared" ref="AG195:AG258" si="27">ROW(A195)-1</f>
        <v>194</v>
      </c>
    </row>
    <row r="196" spans="1:33" x14ac:dyDescent="0.25">
      <c r="A196" s="9">
        <v>14</v>
      </c>
      <c r="B196" s="9" t="s">
        <v>656</v>
      </c>
      <c r="C196" s="148">
        <v>45995</v>
      </c>
      <c r="D196" s="9" t="s">
        <v>667</v>
      </c>
      <c r="E196" s="9" t="s">
        <v>86</v>
      </c>
      <c r="F196" s="9"/>
      <c r="G196" s="9" t="s">
        <v>56</v>
      </c>
      <c r="H196" s="9" t="s">
        <v>658</v>
      </c>
      <c r="I196" s="9">
        <v>44</v>
      </c>
      <c r="J196" s="9">
        <v>30</v>
      </c>
      <c r="K196" s="9">
        <v>408</v>
      </c>
      <c r="L196" s="9">
        <v>0</v>
      </c>
      <c r="M196" s="9">
        <v>417</v>
      </c>
      <c r="N196" s="9">
        <v>3</v>
      </c>
      <c r="O196" s="149" t="str">
        <f>IF(I196&lt;&gt;"",IF(I196=J196,"TIE",INDEX(Index!$F$1:$F$32,MATCH(E196,Index!$E$1:$E$32,0))),INDEX(Index!$F$1:$F$32,MATCH(E196,Index!$E$1:$E$32,0)))</f>
        <v>DET</v>
      </c>
      <c r="P196" s="150" t="str">
        <f>IF(I196&lt;&gt;"",IF(I196=J196,"TIE",INDEX(Index!$F$1:$F$32,MATCH(G196,Index!$E$1:$E$32,0))),INDEX(Index!$F$1:$F$32,MATCH(G196,Index!$E$1:$E$32,0)))</f>
        <v>DAL</v>
      </c>
      <c r="Q196" s="155" t="str">
        <f>IF(O196="TIE",INDEX(Index!$F$1:$F$32,MATCH(E196,Index!$E$1:$E$32,0)),"")</f>
        <v/>
      </c>
      <c r="R196" s="155" t="str">
        <f>IF(P196="TIE",INDEX(Index!$F$1:$F$32,MATCH(G196,Index!$E$1:$E$32,0)),"")</f>
        <v/>
      </c>
      <c r="S196" s="151" t="str">
        <f t="shared" si="21"/>
        <v>H</v>
      </c>
      <c r="T196" s="156" t="str">
        <f>INDEX(Index!$H$1:$H$32,MATCH($E196,Index!$E$1:$E$32,0))</f>
        <v>NN</v>
      </c>
      <c r="U196" s="156" t="str">
        <f>INDEX(Index!$H$1:$H$32,MATCH($G196,Index!$E$1:$E$32,0))</f>
        <v>NE</v>
      </c>
      <c r="V196" s="156" t="str">
        <f t="shared" si="22"/>
        <v>Con</v>
      </c>
      <c r="W196" s="152" t="str">
        <f t="shared" si="23"/>
        <v>Y</v>
      </c>
      <c r="X196" s="149" t="str">
        <f>INDEX(Index!$G$1:$G$32,MATCH(E196,Index!$E$1:$E$32,0))</f>
        <v>DET</v>
      </c>
      <c r="Y196" s="150" t="str">
        <f>INDEX(Index!$G$1:$G$32,MATCH(G196,Index!$E$1:$E$32,0))</f>
        <v>DAL</v>
      </c>
      <c r="Z196" s="147" t="str">
        <f t="shared" si="24"/>
        <v/>
      </c>
      <c r="AA196" s="174" t="str" cm="1">
        <f t="array" ref="AA196">IFERROR(IF($W196="Y","",INDEX(EPA!$N$2:$N$512,MATCH(X196&amp;Index!$K$1,EPA!$A$2:$A$512&amp;EPA!$W$2:$W$512,0))),"")</f>
        <v/>
      </c>
      <c r="AB196" s="174" t="str" cm="1">
        <f t="array" ref="AB196">IFERROR(IF($W196="Y","",INDEX(EPA!$N$2:$N$512,MATCH(Y196&amp;Index!$K$1,EPA!$A$2:$A$512&amp;EPA!$W$2:$W$512,0))),"")</f>
        <v/>
      </c>
      <c r="AC196" s="174" t="str">
        <f ca="1">IF(AA196&lt;&gt;"",_xlfn.NORM.INV(RAND(),AA196,Index!$K$2),"")</f>
        <v/>
      </c>
      <c r="AD196" s="174" t="str">
        <f ca="1">IF(AB196&lt;&gt;"",_xlfn.NORM.INV(RAND(),AB196,Index!$K$2),"")</f>
        <v/>
      </c>
      <c r="AE196" s="157" t="str">
        <f t="shared" si="25"/>
        <v>DET</v>
      </c>
      <c r="AF196" s="158" t="str">
        <f t="shared" si="26"/>
        <v>DAL</v>
      </c>
      <c r="AG196" s="149">
        <f t="shared" si="27"/>
        <v>195</v>
      </c>
    </row>
    <row r="197" spans="1:33" x14ac:dyDescent="0.25">
      <c r="A197" s="9">
        <v>14</v>
      </c>
      <c r="B197" s="9" t="s">
        <v>661</v>
      </c>
      <c r="C197" s="148">
        <v>45998</v>
      </c>
      <c r="D197" s="9" t="s">
        <v>662</v>
      </c>
      <c r="E197" s="9" t="s">
        <v>8</v>
      </c>
      <c r="F197" s="9" t="s">
        <v>663</v>
      </c>
      <c r="G197" s="9" t="s">
        <v>78</v>
      </c>
      <c r="H197" s="9" t="s">
        <v>658</v>
      </c>
      <c r="I197" s="9">
        <v>37</v>
      </c>
      <c r="J197" s="9">
        <v>9</v>
      </c>
      <c r="K197" s="9">
        <v>365</v>
      </c>
      <c r="L197" s="9">
        <v>1</v>
      </c>
      <c r="M197" s="9">
        <v>274</v>
      </c>
      <c r="N197" s="9">
        <v>3</v>
      </c>
      <c r="O197" s="149" t="str">
        <f>IF(I197&lt;&gt;"",IF(I197=J197,"TIE",INDEX(Index!$F$1:$F$32,MATCH(E197,Index!$E$1:$E$32,0))),INDEX(Index!$F$1:$F$32,MATCH(E197,Index!$E$1:$E$32,0)))</f>
        <v>SEA</v>
      </c>
      <c r="P197" s="150" t="str">
        <f>IF(I197&lt;&gt;"",IF(I197=J197,"TIE",INDEX(Index!$F$1:$F$32,MATCH(G197,Index!$E$1:$E$32,0))),INDEX(Index!$F$1:$F$32,MATCH(G197,Index!$E$1:$E$32,0)))</f>
        <v>ATL</v>
      </c>
      <c r="Q197" s="155" t="str">
        <f>IF(O197="TIE",INDEX(Index!$F$1:$F$32,MATCH(E197,Index!$E$1:$E$32,0)),"")</f>
        <v/>
      </c>
      <c r="R197" s="155" t="str">
        <f>IF(P197="TIE",INDEX(Index!$F$1:$F$32,MATCH(G197,Index!$E$1:$E$32,0)),"")</f>
        <v/>
      </c>
      <c r="S197" s="151" t="str">
        <f t="shared" si="21"/>
        <v>A</v>
      </c>
      <c r="T197" s="156" t="str">
        <f>INDEX(Index!$H$1:$H$32,MATCH($E197,Index!$E$1:$E$32,0))</f>
        <v>NW</v>
      </c>
      <c r="U197" s="156" t="str">
        <f>INDEX(Index!$H$1:$H$32,MATCH($G197,Index!$E$1:$E$32,0))</f>
        <v>NS</v>
      </c>
      <c r="V197" s="156" t="str">
        <f t="shared" si="22"/>
        <v>Con</v>
      </c>
      <c r="W197" s="152" t="str">
        <f t="shared" si="23"/>
        <v>Y</v>
      </c>
      <c r="X197" s="149" t="str">
        <f>INDEX(Index!$G$1:$G$32,MATCH(E197,Index!$E$1:$E$32,0))</f>
        <v>SEA</v>
      </c>
      <c r="Y197" s="150" t="str">
        <f>INDEX(Index!$G$1:$G$32,MATCH(G197,Index!$E$1:$E$32,0))</f>
        <v>ATL</v>
      </c>
      <c r="Z197" s="147" t="str">
        <f t="shared" si="24"/>
        <v/>
      </c>
      <c r="AA197" s="174" t="str" cm="1">
        <f t="array" ref="AA197">IFERROR(IF($W197="Y","",INDEX(EPA!$N$2:$N$512,MATCH(X197&amp;Index!$K$1,EPA!$A$2:$A$512&amp;EPA!$W$2:$W$512,0))),"")</f>
        <v/>
      </c>
      <c r="AB197" s="174" t="str" cm="1">
        <f t="array" ref="AB197">IFERROR(IF($W197="Y","",INDEX(EPA!$N$2:$N$512,MATCH(Y197&amp;Index!$K$1,EPA!$A$2:$A$512&amp;EPA!$W$2:$W$512,0))),"")</f>
        <v/>
      </c>
      <c r="AC197" s="174" t="str">
        <f ca="1">IF(AA197&lt;&gt;"",_xlfn.NORM.INV(RAND(),AA197,Index!$K$2),"")</f>
        <v/>
      </c>
      <c r="AD197" s="174" t="str">
        <f ca="1">IF(AB197&lt;&gt;"",_xlfn.NORM.INV(RAND(),AB197,Index!$K$2),"")</f>
        <v/>
      </c>
      <c r="AE197" s="157" t="str">
        <f t="shared" si="25"/>
        <v>SEA</v>
      </c>
      <c r="AF197" s="158" t="str">
        <f t="shared" si="26"/>
        <v>ATL</v>
      </c>
      <c r="AG197" s="149">
        <f t="shared" si="27"/>
        <v>196</v>
      </c>
    </row>
    <row r="198" spans="1:33" x14ac:dyDescent="0.25">
      <c r="A198" s="9">
        <v>14</v>
      </c>
      <c r="B198" s="9" t="s">
        <v>661</v>
      </c>
      <c r="C198" s="148">
        <v>45998</v>
      </c>
      <c r="D198" s="9" t="s">
        <v>662</v>
      </c>
      <c r="E198" s="9" t="s">
        <v>40</v>
      </c>
      <c r="F198" s="9"/>
      <c r="G198" s="9" t="s">
        <v>53</v>
      </c>
      <c r="H198" s="9" t="s">
        <v>658</v>
      </c>
      <c r="I198" s="9">
        <v>39</v>
      </c>
      <c r="J198" s="9">
        <v>34</v>
      </c>
      <c r="K198" s="9">
        <v>416</v>
      </c>
      <c r="L198" s="9">
        <v>1</v>
      </c>
      <c r="M198" s="9">
        <v>338</v>
      </c>
      <c r="N198" s="9">
        <v>2</v>
      </c>
      <c r="O198" s="149" t="str">
        <f>IF(I198&lt;&gt;"",IF(I198=J198,"TIE",INDEX(Index!$F$1:$F$32,MATCH(E198,Index!$E$1:$E$32,0))),INDEX(Index!$F$1:$F$32,MATCH(E198,Index!$E$1:$E$32,0)))</f>
        <v>BUF</v>
      </c>
      <c r="P198" s="150" t="str">
        <f>IF(I198&lt;&gt;"",IF(I198=J198,"TIE",INDEX(Index!$F$1:$F$32,MATCH(G198,Index!$E$1:$E$32,0))),INDEX(Index!$F$1:$F$32,MATCH(G198,Index!$E$1:$E$32,0)))</f>
        <v>CIN</v>
      </c>
      <c r="Q198" s="155" t="str">
        <f>IF(O198="TIE",INDEX(Index!$F$1:$F$32,MATCH(E198,Index!$E$1:$E$32,0)),"")</f>
        <v/>
      </c>
      <c r="R198" s="155" t="str">
        <f>IF(P198="TIE",INDEX(Index!$F$1:$F$32,MATCH(G198,Index!$E$1:$E$32,0)),"")</f>
        <v/>
      </c>
      <c r="S198" s="151" t="str">
        <f t="shared" si="21"/>
        <v>H</v>
      </c>
      <c r="T198" s="156" t="str">
        <f>INDEX(Index!$H$1:$H$32,MATCH($E198,Index!$E$1:$E$32,0))</f>
        <v>AE</v>
      </c>
      <c r="U198" s="156" t="str">
        <f>INDEX(Index!$H$1:$H$32,MATCH($G198,Index!$E$1:$E$32,0))</f>
        <v>AN</v>
      </c>
      <c r="V198" s="156" t="str">
        <f t="shared" si="22"/>
        <v>Con</v>
      </c>
      <c r="W198" s="152" t="str">
        <f t="shared" si="23"/>
        <v>Y</v>
      </c>
      <c r="X198" s="149" t="str">
        <f>INDEX(Index!$G$1:$G$32,MATCH(E198,Index!$E$1:$E$32,0))</f>
        <v>BUF</v>
      </c>
      <c r="Y198" s="150" t="str">
        <f>INDEX(Index!$G$1:$G$32,MATCH(G198,Index!$E$1:$E$32,0))</f>
        <v>CIN</v>
      </c>
      <c r="Z198" s="147" t="str">
        <f t="shared" si="24"/>
        <v/>
      </c>
      <c r="AA198" s="174" t="str" cm="1">
        <f t="array" ref="AA198">IFERROR(IF($W198="Y","",INDEX(EPA!$N$2:$N$512,MATCH(X198&amp;Index!$K$1,EPA!$A$2:$A$512&amp;EPA!$W$2:$W$512,0))),"")</f>
        <v/>
      </c>
      <c r="AB198" s="174" t="str" cm="1">
        <f t="array" ref="AB198">IFERROR(IF($W198="Y","",INDEX(EPA!$N$2:$N$512,MATCH(Y198&amp;Index!$K$1,EPA!$A$2:$A$512&amp;EPA!$W$2:$W$512,0))),"")</f>
        <v/>
      </c>
      <c r="AC198" s="174" t="str">
        <f ca="1">IF(AA198&lt;&gt;"",_xlfn.NORM.INV(RAND(),AA198,Index!$K$2),"")</f>
        <v/>
      </c>
      <c r="AD198" s="174" t="str">
        <f ca="1">IF(AB198&lt;&gt;"",_xlfn.NORM.INV(RAND(),AB198,Index!$K$2),"")</f>
        <v/>
      </c>
      <c r="AE198" s="157" t="str">
        <f t="shared" si="25"/>
        <v>BUF</v>
      </c>
      <c r="AF198" s="158" t="str">
        <f t="shared" si="26"/>
        <v>CIN</v>
      </c>
      <c r="AG198" s="149">
        <f t="shared" si="27"/>
        <v>197</v>
      </c>
    </row>
    <row r="199" spans="1:33" x14ac:dyDescent="0.25">
      <c r="A199" s="9">
        <v>14</v>
      </c>
      <c r="B199" s="9" t="s">
        <v>661</v>
      </c>
      <c r="C199" s="148">
        <v>45998</v>
      </c>
      <c r="D199" s="9" t="s">
        <v>662</v>
      </c>
      <c r="E199" s="9" t="s">
        <v>19</v>
      </c>
      <c r="F199" s="9" t="s">
        <v>663</v>
      </c>
      <c r="G199" s="9" t="s">
        <v>83</v>
      </c>
      <c r="H199" s="9" t="s">
        <v>658</v>
      </c>
      <c r="I199" s="9">
        <v>31</v>
      </c>
      <c r="J199" s="9">
        <v>29</v>
      </c>
      <c r="K199" s="9">
        <v>292</v>
      </c>
      <c r="L199" s="9">
        <v>1</v>
      </c>
      <c r="M199" s="9">
        <v>412</v>
      </c>
      <c r="N199" s="9">
        <v>2</v>
      </c>
      <c r="O199" s="149" t="str">
        <f>IF(I199&lt;&gt;"",IF(I199=J199,"TIE",INDEX(Index!$F$1:$F$32,MATCH(E199,Index!$E$1:$E$32,0))),INDEX(Index!$F$1:$F$32,MATCH(E199,Index!$E$1:$E$32,0)))</f>
        <v>TEN</v>
      </c>
      <c r="P199" s="150" t="str">
        <f>IF(I199&lt;&gt;"",IF(I199=J199,"TIE",INDEX(Index!$F$1:$F$32,MATCH(G199,Index!$E$1:$E$32,0))),INDEX(Index!$F$1:$F$32,MATCH(G199,Index!$E$1:$E$32,0)))</f>
        <v>CLE</v>
      </c>
      <c r="Q199" s="155" t="str">
        <f>IF(O199="TIE",INDEX(Index!$F$1:$F$32,MATCH(E199,Index!$E$1:$E$32,0)),"")</f>
        <v/>
      </c>
      <c r="R199" s="155" t="str">
        <f>IF(P199="TIE",INDEX(Index!$F$1:$F$32,MATCH(G199,Index!$E$1:$E$32,0)),"")</f>
        <v/>
      </c>
      <c r="S199" s="151" t="str">
        <f t="shared" si="21"/>
        <v>A</v>
      </c>
      <c r="T199" s="156" t="str">
        <f>INDEX(Index!$H$1:$H$32,MATCH($E199,Index!$E$1:$E$32,0))</f>
        <v>AS</v>
      </c>
      <c r="U199" s="156" t="str">
        <f>INDEX(Index!$H$1:$H$32,MATCH($G199,Index!$E$1:$E$32,0))</f>
        <v>AN</v>
      </c>
      <c r="V199" s="156" t="str">
        <f t="shared" si="22"/>
        <v>Con</v>
      </c>
      <c r="W199" s="152" t="str">
        <f t="shared" si="23"/>
        <v>Y</v>
      </c>
      <c r="X199" s="149" t="str">
        <f>INDEX(Index!$G$1:$G$32,MATCH(E199,Index!$E$1:$E$32,0))</f>
        <v>TEN</v>
      </c>
      <c r="Y199" s="150" t="str">
        <f>INDEX(Index!$G$1:$G$32,MATCH(G199,Index!$E$1:$E$32,0))</f>
        <v>CLE</v>
      </c>
      <c r="Z199" s="147" t="str">
        <f t="shared" si="24"/>
        <v/>
      </c>
      <c r="AA199" s="174" t="str" cm="1">
        <f t="array" ref="AA199">IFERROR(IF($W199="Y","",INDEX(EPA!$N$2:$N$512,MATCH(X199&amp;Index!$K$1,EPA!$A$2:$A$512&amp;EPA!$W$2:$W$512,0))),"")</f>
        <v/>
      </c>
      <c r="AB199" s="174" t="str" cm="1">
        <f t="array" ref="AB199">IFERROR(IF($W199="Y","",INDEX(EPA!$N$2:$N$512,MATCH(Y199&amp;Index!$K$1,EPA!$A$2:$A$512&amp;EPA!$W$2:$W$512,0))),"")</f>
        <v/>
      </c>
      <c r="AC199" s="174" t="str">
        <f ca="1">IF(AA199&lt;&gt;"",_xlfn.NORM.INV(RAND(),AA199,Index!$K$2),"")</f>
        <v/>
      </c>
      <c r="AD199" s="174" t="str">
        <f ca="1">IF(AB199&lt;&gt;"",_xlfn.NORM.INV(RAND(),AB199,Index!$K$2),"")</f>
        <v/>
      </c>
      <c r="AE199" s="157" t="str">
        <f t="shared" si="25"/>
        <v>TEN</v>
      </c>
      <c r="AF199" s="158" t="str">
        <f t="shared" si="26"/>
        <v>CLE</v>
      </c>
      <c r="AG199" s="149">
        <f t="shared" si="27"/>
        <v>198</v>
      </c>
    </row>
    <row r="200" spans="1:33" x14ac:dyDescent="0.25">
      <c r="A200" s="9">
        <v>14</v>
      </c>
      <c r="B200" s="9" t="s">
        <v>661</v>
      </c>
      <c r="C200" s="148">
        <v>45998</v>
      </c>
      <c r="D200" s="9" t="s">
        <v>662</v>
      </c>
      <c r="E200" s="9" t="s">
        <v>36</v>
      </c>
      <c r="F200" s="9"/>
      <c r="G200" s="9" t="s">
        <v>42</v>
      </c>
      <c r="H200" s="9" t="s">
        <v>658</v>
      </c>
      <c r="I200" s="9">
        <v>36</v>
      </c>
      <c r="J200" s="9">
        <v>19</v>
      </c>
      <c r="K200" s="9">
        <v>350</v>
      </c>
      <c r="L200" s="9">
        <v>1</v>
      </c>
      <c r="M200" s="9">
        <v>285</v>
      </c>
      <c r="N200" s="9">
        <v>3</v>
      </c>
      <c r="O200" s="149" t="str">
        <f>IF(I200&lt;&gt;"",IF(I200=J200,"TIE",INDEX(Index!$F$1:$F$32,MATCH(E200,Index!$E$1:$E$32,0))),INDEX(Index!$F$1:$F$32,MATCH(E200,Index!$E$1:$E$32,0)))</f>
        <v>JAX</v>
      </c>
      <c r="P200" s="150" t="str">
        <f>IF(I200&lt;&gt;"",IF(I200=J200,"TIE",INDEX(Index!$F$1:$F$32,MATCH(G200,Index!$E$1:$E$32,0))),INDEX(Index!$F$1:$F$32,MATCH(G200,Index!$E$1:$E$32,0)))</f>
        <v>IND</v>
      </c>
      <c r="Q200" s="155" t="str">
        <f>IF(O200="TIE",INDEX(Index!$F$1:$F$32,MATCH(E200,Index!$E$1:$E$32,0)),"")</f>
        <v/>
      </c>
      <c r="R200" s="155" t="str">
        <f>IF(P200="TIE",INDEX(Index!$F$1:$F$32,MATCH(G200,Index!$E$1:$E$32,0)),"")</f>
        <v/>
      </c>
      <c r="S200" s="151" t="str">
        <f t="shared" si="21"/>
        <v>H</v>
      </c>
      <c r="T200" s="156" t="str">
        <f>INDEX(Index!$H$1:$H$32,MATCH($E200,Index!$E$1:$E$32,0))</f>
        <v>AS</v>
      </c>
      <c r="U200" s="156" t="str">
        <f>INDEX(Index!$H$1:$H$32,MATCH($G200,Index!$E$1:$E$32,0))</f>
        <v>AS</v>
      </c>
      <c r="V200" s="156" t="str">
        <f t="shared" si="22"/>
        <v>Div</v>
      </c>
      <c r="W200" s="152" t="str">
        <f t="shared" si="23"/>
        <v>Y</v>
      </c>
      <c r="X200" s="149" t="str">
        <f>INDEX(Index!$G$1:$G$32,MATCH(E200,Index!$E$1:$E$32,0))</f>
        <v>JAX</v>
      </c>
      <c r="Y200" s="150" t="str">
        <f>INDEX(Index!$G$1:$G$32,MATCH(G200,Index!$E$1:$E$32,0))</f>
        <v>IND</v>
      </c>
      <c r="Z200" s="147" t="str">
        <f t="shared" si="24"/>
        <v/>
      </c>
      <c r="AA200" s="174" t="str" cm="1">
        <f t="array" ref="AA200">IFERROR(IF($W200="Y","",INDEX(EPA!$N$2:$N$512,MATCH(X200&amp;Index!$K$1,EPA!$A$2:$A$512&amp;EPA!$W$2:$W$512,0))),"")</f>
        <v/>
      </c>
      <c r="AB200" s="174" t="str" cm="1">
        <f t="array" ref="AB200">IFERROR(IF($W200="Y","",INDEX(EPA!$N$2:$N$512,MATCH(Y200&amp;Index!$K$1,EPA!$A$2:$A$512&amp;EPA!$W$2:$W$512,0))),"")</f>
        <v/>
      </c>
      <c r="AC200" s="174" t="str">
        <f ca="1">IF(AA200&lt;&gt;"",_xlfn.NORM.INV(RAND(),AA200,Index!$K$2),"")</f>
        <v/>
      </c>
      <c r="AD200" s="174" t="str">
        <f ca="1">IF(AB200&lt;&gt;"",_xlfn.NORM.INV(RAND(),AB200,Index!$K$2),"")</f>
        <v/>
      </c>
      <c r="AE200" s="157" t="str">
        <f t="shared" si="25"/>
        <v>JAX</v>
      </c>
      <c r="AF200" s="158" t="str">
        <f t="shared" si="26"/>
        <v>IND</v>
      </c>
      <c r="AG200" s="149">
        <f t="shared" si="27"/>
        <v>199</v>
      </c>
    </row>
    <row r="201" spans="1:33" x14ac:dyDescent="0.25">
      <c r="A201" s="9">
        <v>14</v>
      </c>
      <c r="B201" s="9" t="s">
        <v>661</v>
      </c>
      <c r="C201" s="148">
        <v>45998</v>
      </c>
      <c r="D201" s="9" t="s">
        <v>662</v>
      </c>
      <c r="E201" s="9" t="s">
        <v>62</v>
      </c>
      <c r="F201" s="9" t="s">
        <v>663</v>
      </c>
      <c r="G201" s="9" t="s">
        <v>23</v>
      </c>
      <c r="H201" s="9" t="s">
        <v>658</v>
      </c>
      <c r="I201" s="9">
        <v>34</v>
      </c>
      <c r="J201" s="9">
        <v>10</v>
      </c>
      <c r="K201" s="9">
        <v>358</v>
      </c>
      <c r="L201" s="9">
        <v>0</v>
      </c>
      <c r="M201" s="9">
        <v>207</v>
      </c>
      <c r="N201" s="9">
        <v>3</v>
      </c>
      <c r="O201" s="149" t="str">
        <f>IF(I201&lt;&gt;"",IF(I201=J201,"TIE",INDEX(Index!$F$1:$F$32,MATCH(E201,Index!$E$1:$E$32,0))),INDEX(Index!$F$1:$F$32,MATCH(E201,Index!$E$1:$E$32,0)))</f>
        <v>MIA</v>
      </c>
      <c r="P201" s="150" t="str">
        <f>IF(I201&lt;&gt;"",IF(I201=J201,"TIE",INDEX(Index!$F$1:$F$32,MATCH(G201,Index!$E$1:$E$32,0))),INDEX(Index!$F$1:$F$32,MATCH(G201,Index!$E$1:$E$32,0)))</f>
        <v>NYJ</v>
      </c>
      <c r="Q201" s="155" t="str">
        <f>IF(O201="TIE",INDEX(Index!$F$1:$F$32,MATCH(E201,Index!$E$1:$E$32,0)),"")</f>
        <v/>
      </c>
      <c r="R201" s="155" t="str">
        <f>IF(P201="TIE",INDEX(Index!$F$1:$F$32,MATCH(G201,Index!$E$1:$E$32,0)),"")</f>
        <v/>
      </c>
      <c r="S201" s="151" t="str">
        <f t="shared" si="21"/>
        <v>A</v>
      </c>
      <c r="T201" s="156" t="str">
        <f>INDEX(Index!$H$1:$H$32,MATCH($E201,Index!$E$1:$E$32,0))</f>
        <v>AE</v>
      </c>
      <c r="U201" s="156" t="str">
        <f>INDEX(Index!$H$1:$H$32,MATCH($G201,Index!$E$1:$E$32,0))</f>
        <v>AE</v>
      </c>
      <c r="V201" s="156" t="str">
        <f t="shared" si="22"/>
        <v>Div</v>
      </c>
      <c r="W201" s="152" t="str">
        <f t="shared" si="23"/>
        <v>Y</v>
      </c>
      <c r="X201" s="149" t="str">
        <f>INDEX(Index!$G$1:$G$32,MATCH(E201,Index!$E$1:$E$32,0))</f>
        <v>MIA</v>
      </c>
      <c r="Y201" s="150" t="str">
        <f>INDEX(Index!$G$1:$G$32,MATCH(G201,Index!$E$1:$E$32,0))</f>
        <v>NYJ</v>
      </c>
      <c r="Z201" s="147" t="str">
        <f t="shared" si="24"/>
        <v/>
      </c>
      <c r="AA201" s="174" t="str" cm="1">
        <f t="array" ref="AA201">IFERROR(IF($W201="Y","",INDEX(EPA!$N$2:$N$512,MATCH(X201&amp;Index!$K$1,EPA!$A$2:$A$512&amp;EPA!$W$2:$W$512,0))),"")</f>
        <v/>
      </c>
      <c r="AB201" s="174" t="str" cm="1">
        <f t="array" ref="AB201">IFERROR(IF($W201="Y","",INDEX(EPA!$N$2:$N$512,MATCH(Y201&amp;Index!$K$1,EPA!$A$2:$A$512&amp;EPA!$W$2:$W$512,0))),"")</f>
        <v/>
      </c>
      <c r="AC201" s="174" t="str">
        <f ca="1">IF(AA201&lt;&gt;"",_xlfn.NORM.INV(RAND(),AA201,Index!$K$2),"")</f>
        <v/>
      </c>
      <c r="AD201" s="174" t="str">
        <f ca="1">IF(AB201&lt;&gt;"",_xlfn.NORM.INV(RAND(),AB201,Index!$K$2),"")</f>
        <v/>
      </c>
      <c r="AE201" s="157" t="str">
        <f t="shared" si="25"/>
        <v>MIA</v>
      </c>
      <c r="AF201" s="158" t="str">
        <f t="shared" si="26"/>
        <v>NYJ</v>
      </c>
      <c r="AG201" s="149">
        <f t="shared" si="27"/>
        <v>200</v>
      </c>
    </row>
    <row r="202" spans="1:33" x14ac:dyDescent="0.25">
      <c r="A202" s="9">
        <v>14</v>
      </c>
      <c r="B202" s="9" t="s">
        <v>661</v>
      </c>
      <c r="C202" s="148">
        <v>45998</v>
      </c>
      <c r="D202" s="9" t="s">
        <v>662</v>
      </c>
      <c r="E202" s="9" t="s">
        <v>58</v>
      </c>
      <c r="F202" s="9"/>
      <c r="G202" s="9" t="s">
        <v>4</v>
      </c>
      <c r="H202" s="9" t="s">
        <v>658</v>
      </c>
      <c r="I202" s="9">
        <v>31</v>
      </c>
      <c r="J202" s="9">
        <v>0</v>
      </c>
      <c r="K202" s="9">
        <v>313</v>
      </c>
      <c r="L202" s="9">
        <v>0</v>
      </c>
      <c r="M202" s="9">
        <v>206</v>
      </c>
      <c r="N202" s="9">
        <v>3</v>
      </c>
      <c r="O202" s="149" t="str">
        <f>IF(I202&lt;&gt;"",IF(I202=J202,"TIE",INDEX(Index!$F$1:$F$32,MATCH(E202,Index!$E$1:$E$32,0))),INDEX(Index!$F$1:$F$32,MATCH(E202,Index!$E$1:$E$32,0)))</f>
        <v>MIN</v>
      </c>
      <c r="P202" s="150" t="str">
        <f>IF(I202&lt;&gt;"",IF(I202=J202,"TIE",INDEX(Index!$F$1:$F$32,MATCH(G202,Index!$E$1:$E$32,0))),INDEX(Index!$F$1:$F$32,MATCH(G202,Index!$E$1:$E$32,0)))</f>
        <v>WAS</v>
      </c>
      <c r="Q202" s="155" t="str">
        <f>IF(O202="TIE",INDEX(Index!$F$1:$F$32,MATCH(E202,Index!$E$1:$E$32,0)),"")</f>
        <v/>
      </c>
      <c r="R202" s="155" t="str">
        <f>IF(P202="TIE",INDEX(Index!$F$1:$F$32,MATCH(G202,Index!$E$1:$E$32,0)),"")</f>
        <v/>
      </c>
      <c r="S202" s="151" t="str">
        <f t="shared" si="21"/>
        <v>H</v>
      </c>
      <c r="T202" s="156" t="str">
        <f>INDEX(Index!$H$1:$H$32,MATCH($E202,Index!$E$1:$E$32,0))</f>
        <v>NN</v>
      </c>
      <c r="U202" s="156" t="str">
        <f>INDEX(Index!$H$1:$H$32,MATCH($G202,Index!$E$1:$E$32,0))</f>
        <v>NE</v>
      </c>
      <c r="V202" s="156" t="str">
        <f t="shared" si="22"/>
        <v>Con</v>
      </c>
      <c r="W202" s="152" t="str">
        <f t="shared" si="23"/>
        <v>Y</v>
      </c>
      <c r="X202" s="149" t="str">
        <f>INDEX(Index!$G$1:$G$32,MATCH(E202,Index!$E$1:$E$32,0))</f>
        <v>MIN</v>
      </c>
      <c r="Y202" s="150" t="str">
        <f>INDEX(Index!$G$1:$G$32,MATCH(G202,Index!$E$1:$E$32,0))</f>
        <v>WAS</v>
      </c>
      <c r="Z202" s="147" t="str">
        <f t="shared" si="24"/>
        <v/>
      </c>
      <c r="AA202" s="174" t="str" cm="1">
        <f t="array" ref="AA202">IFERROR(IF($W202="Y","",INDEX(EPA!$N$2:$N$512,MATCH(X202&amp;Index!$K$1,EPA!$A$2:$A$512&amp;EPA!$W$2:$W$512,0))),"")</f>
        <v/>
      </c>
      <c r="AB202" s="174" t="str" cm="1">
        <f t="array" ref="AB202">IFERROR(IF($W202="Y","",INDEX(EPA!$N$2:$N$512,MATCH(Y202&amp;Index!$K$1,EPA!$A$2:$A$512&amp;EPA!$W$2:$W$512,0))),"")</f>
        <v/>
      </c>
      <c r="AC202" s="174" t="str">
        <f ca="1">IF(AA202&lt;&gt;"",_xlfn.NORM.INV(RAND(),AA202,Index!$K$2),"")</f>
        <v/>
      </c>
      <c r="AD202" s="174" t="str">
        <f ca="1">IF(AB202&lt;&gt;"",_xlfn.NORM.INV(RAND(),AB202,Index!$K$2),"")</f>
        <v/>
      </c>
      <c r="AE202" s="157" t="str">
        <f t="shared" si="25"/>
        <v>MIN</v>
      </c>
      <c r="AF202" s="158" t="str">
        <f t="shared" si="26"/>
        <v>WAS</v>
      </c>
      <c r="AG202" s="149">
        <f t="shared" si="27"/>
        <v>201</v>
      </c>
    </row>
    <row r="203" spans="1:33" x14ac:dyDescent="0.25">
      <c r="A203" s="9">
        <v>14</v>
      </c>
      <c r="B203" s="9" t="s">
        <v>661</v>
      </c>
      <c r="C203" s="148">
        <v>45998</v>
      </c>
      <c r="D203" s="9" t="s">
        <v>662</v>
      </c>
      <c r="E203" s="9" t="s">
        <v>71</v>
      </c>
      <c r="F203" s="9" t="s">
        <v>663</v>
      </c>
      <c r="G203" s="9" t="s">
        <v>0</v>
      </c>
      <c r="H203" s="9" t="s">
        <v>658</v>
      </c>
      <c r="I203" s="9">
        <v>24</v>
      </c>
      <c r="J203" s="9">
        <v>20</v>
      </c>
      <c r="K203" s="9">
        <v>260</v>
      </c>
      <c r="L203" s="9">
        <v>1</v>
      </c>
      <c r="M203" s="9">
        <v>301</v>
      </c>
      <c r="N203" s="9">
        <v>1</v>
      </c>
      <c r="O203" s="149" t="str">
        <f>IF(I203&lt;&gt;"",IF(I203=J203,"TIE",INDEX(Index!$F$1:$F$32,MATCH(E203,Index!$E$1:$E$32,0))),INDEX(Index!$F$1:$F$32,MATCH(E203,Index!$E$1:$E$32,0)))</f>
        <v>NO</v>
      </c>
      <c r="P203" s="150" t="str">
        <f>IF(I203&lt;&gt;"",IF(I203=J203,"TIE",INDEX(Index!$F$1:$F$32,MATCH(G203,Index!$E$1:$E$32,0))),INDEX(Index!$F$1:$F$32,MATCH(G203,Index!$E$1:$E$32,0)))</f>
        <v>TB</v>
      </c>
      <c r="Q203" s="155" t="str">
        <f>IF(O203="TIE",INDEX(Index!$F$1:$F$32,MATCH(E203,Index!$E$1:$E$32,0)),"")</f>
        <v/>
      </c>
      <c r="R203" s="155" t="str">
        <f>IF(P203="TIE",INDEX(Index!$F$1:$F$32,MATCH(G203,Index!$E$1:$E$32,0)),"")</f>
        <v/>
      </c>
      <c r="S203" s="151" t="str">
        <f t="shared" si="21"/>
        <v>A</v>
      </c>
      <c r="T203" s="156" t="str">
        <f>INDEX(Index!$H$1:$H$32,MATCH($E203,Index!$E$1:$E$32,0))</f>
        <v>NS</v>
      </c>
      <c r="U203" s="156" t="str">
        <f>INDEX(Index!$H$1:$H$32,MATCH($G203,Index!$E$1:$E$32,0))</f>
        <v>NS</v>
      </c>
      <c r="V203" s="156" t="str">
        <f t="shared" si="22"/>
        <v>Div</v>
      </c>
      <c r="W203" s="152" t="str">
        <f t="shared" si="23"/>
        <v>Y</v>
      </c>
      <c r="X203" s="149" t="str">
        <f>INDEX(Index!$G$1:$G$32,MATCH(E203,Index!$E$1:$E$32,0))</f>
        <v>NO</v>
      </c>
      <c r="Y203" s="150" t="str">
        <f>INDEX(Index!$G$1:$G$32,MATCH(G203,Index!$E$1:$E$32,0))</f>
        <v>TB</v>
      </c>
      <c r="Z203" s="147" t="str">
        <f t="shared" si="24"/>
        <v/>
      </c>
      <c r="AA203" s="174" t="str" cm="1">
        <f t="array" ref="AA203">IFERROR(IF($W203="Y","",INDEX(EPA!$N$2:$N$512,MATCH(X203&amp;Index!$K$1,EPA!$A$2:$A$512&amp;EPA!$W$2:$W$512,0))),"")</f>
        <v/>
      </c>
      <c r="AB203" s="174" t="str" cm="1">
        <f t="array" ref="AB203">IFERROR(IF($W203="Y","",INDEX(EPA!$N$2:$N$512,MATCH(Y203&amp;Index!$K$1,EPA!$A$2:$A$512&amp;EPA!$W$2:$W$512,0))),"")</f>
        <v/>
      </c>
      <c r="AC203" s="174" t="str">
        <f ca="1">IF(AA203&lt;&gt;"",_xlfn.NORM.INV(RAND(),AA203,Index!$K$2),"")</f>
        <v/>
      </c>
      <c r="AD203" s="174" t="str">
        <f ca="1">IF(AB203&lt;&gt;"",_xlfn.NORM.INV(RAND(),AB203,Index!$K$2),"")</f>
        <v/>
      </c>
      <c r="AE203" s="157" t="str">
        <f t="shared" si="25"/>
        <v>NO</v>
      </c>
      <c r="AF203" s="158" t="str">
        <f t="shared" si="26"/>
        <v>TB</v>
      </c>
      <c r="AG203" s="149">
        <f t="shared" si="27"/>
        <v>202</v>
      </c>
    </row>
    <row r="204" spans="1:33" x14ac:dyDescent="0.25">
      <c r="A204" s="9">
        <v>14</v>
      </c>
      <c r="B204" s="9" t="s">
        <v>661</v>
      </c>
      <c r="C204" s="148">
        <v>45998</v>
      </c>
      <c r="D204" s="9" t="s">
        <v>662</v>
      </c>
      <c r="E204" s="9" t="s">
        <v>73</v>
      </c>
      <c r="F204" s="9" t="s">
        <v>663</v>
      </c>
      <c r="G204" s="9" t="s">
        <v>76</v>
      </c>
      <c r="H204" s="9" t="s">
        <v>658</v>
      </c>
      <c r="I204" s="9">
        <v>27</v>
      </c>
      <c r="J204" s="9">
        <v>22</v>
      </c>
      <c r="K204" s="9">
        <v>318</v>
      </c>
      <c r="L204" s="9">
        <v>0</v>
      </c>
      <c r="M204" s="9">
        <v>420</v>
      </c>
      <c r="N204" s="9">
        <v>1</v>
      </c>
      <c r="O204" s="149" t="str">
        <f>IF(I204&lt;&gt;"",IF(I204=J204,"TIE",INDEX(Index!$F$1:$F$32,MATCH(E204,Index!$E$1:$E$32,0))),INDEX(Index!$F$1:$F$32,MATCH(E204,Index!$E$1:$E$32,0)))</f>
        <v>PIT</v>
      </c>
      <c r="P204" s="150" t="str">
        <f>IF(I204&lt;&gt;"",IF(I204=J204,"TIE",INDEX(Index!$F$1:$F$32,MATCH(G204,Index!$E$1:$E$32,0))),INDEX(Index!$F$1:$F$32,MATCH(G204,Index!$E$1:$E$32,0)))</f>
        <v>BAL</v>
      </c>
      <c r="Q204" s="155" t="str">
        <f>IF(O204="TIE",INDEX(Index!$F$1:$F$32,MATCH(E204,Index!$E$1:$E$32,0)),"")</f>
        <v/>
      </c>
      <c r="R204" s="155" t="str">
        <f>IF(P204="TIE",INDEX(Index!$F$1:$F$32,MATCH(G204,Index!$E$1:$E$32,0)),"")</f>
        <v/>
      </c>
      <c r="S204" s="151" t="str">
        <f t="shared" si="21"/>
        <v>A</v>
      </c>
      <c r="T204" s="156" t="str">
        <f>INDEX(Index!$H$1:$H$32,MATCH($E204,Index!$E$1:$E$32,0))</f>
        <v>AN</v>
      </c>
      <c r="U204" s="156" t="str">
        <f>INDEX(Index!$H$1:$H$32,MATCH($G204,Index!$E$1:$E$32,0))</f>
        <v>AN</v>
      </c>
      <c r="V204" s="156" t="str">
        <f t="shared" si="22"/>
        <v>Div</v>
      </c>
      <c r="W204" s="152" t="str">
        <f t="shared" si="23"/>
        <v>Y</v>
      </c>
      <c r="X204" s="149" t="str">
        <f>INDEX(Index!$G$1:$G$32,MATCH(E204,Index!$E$1:$E$32,0))</f>
        <v>PIT</v>
      </c>
      <c r="Y204" s="150" t="str">
        <f>INDEX(Index!$G$1:$G$32,MATCH(G204,Index!$E$1:$E$32,0))</f>
        <v>BAL</v>
      </c>
      <c r="Z204" s="147" t="str">
        <f t="shared" si="24"/>
        <v/>
      </c>
      <c r="AA204" s="174" t="str" cm="1">
        <f t="array" ref="AA204">IFERROR(IF($W204="Y","",INDEX(EPA!$N$2:$N$512,MATCH(X204&amp;Index!$K$1,EPA!$A$2:$A$512&amp;EPA!$W$2:$W$512,0))),"")</f>
        <v/>
      </c>
      <c r="AB204" s="174" t="str" cm="1">
        <f t="array" ref="AB204">IFERROR(IF($W204="Y","",INDEX(EPA!$N$2:$N$512,MATCH(Y204&amp;Index!$K$1,EPA!$A$2:$A$512&amp;EPA!$W$2:$W$512,0))),"")</f>
        <v/>
      </c>
      <c r="AC204" s="174" t="str">
        <f ca="1">IF(AA204&lt;&gt;"",_xlfn.NORM.INV(RAND(),AA204,Index!$K$2),"")</f>
        <v/>
      </c>
      <c r="AD204" s="174" t="str">
        <f ca="1">IF(AB204&lt;&gt;"",_xlfn.NORM.INV(RAND(),AB204,Index!$K$2),"")</f>
        <v/>
      </c>
      <c r="AE204" s="157" t="str">
        <f t="shared" si="25"/>
        <v>PIT</v>
      </c>
      <c r="AF204" s="158" t="str">
        <f t="shared" si="26"/>
        <v>BAL</v>
      </c>
      <c r="AG204" s="149">
        <f t="shared" si="27"/>
        <v>203</v>
      </c>
    </row>
    <row r="205" spans="1:33" x14ac:dyDescent="0.25">
      <c r="A205" s="9">
        <v>14</v>
      </c>
      <c r="B205" s="9" t="s">
        <v>661</v>
      </c>
      <c r="C205" s="148">
        <v>45998</v>
      </c>
      <c r="D205" s="9" t="s">
        <v>664</v>
      </c>
      <c r="E205" s="9" t="s">
        <v>94</v>
      </c>
      <c r="F205" s="9" t="s">
        <v>663</v>
      </c>
      <c r="G205" s="9" t="s">
        <v>80</v>
      </c>
      <c r="H205" s="9" t="s">
        <v>658</v>
      </c>
      <c r="I205" s="9">
        <v>24</v>
      </c>
      <c r="J205" s="9">
        <v>17</v>
      </c>
      <c r="K205" s="9">
        <v>356</v>
      </c>
      <c r="L205" s="9">
        <v>0</v>
      </c>
      <c r="M205" s="9">
        <v>229</v>
      </c>
      <c r="N205" s="9">
        <v>0</v>
      </c>
      <c r="O205" s="149" t="str">
        <f>IF(I205&lt;&gt;"",IF(I205=J205,"TIE",INDEX(Index!$F$1:$F$32,MATCH(E205,Index!$E$1:$E$32,0))),INDEX(Index!$F$1:$F$32,MATCH(E205,Index!$E$1:$E$32,0)))</f>
        <v>DEN</v>
      </c>
      <c r="P205" s="150" t="str">
        <f>IF(I205&lt;&gt;"",IF(I205=J205,"TIE",INDEX(Index!$F$1:$F$32,MATCH(G205,Index!$E$1:$E$32,0))),INDEX(Index!$F$1:$F$32,MATCH(G205,Index!$E$1:$E$32,0)))</f>
        <v>LV</v>
      </c>
      <c r="Q205" s="155" t="str">
        <f>IF(O205="TIE",INDEX(Index!$F$1:$F$32,MATCH(E205,Index!$E$1:$E$32,0)),"")</f>
        <v/>
      </c>
      <c r="R205" s="155" t="str">
        <f>IF(P205="TIE",INDEX(Index!$F$1:$F$32,MATCH(G205,Index!$E$1:$E$32,0)),"")</f>
        <v/>
      </c>
      <c r="S205" s="151" t="str">
        <f t="shared" si="21"/>
        <v>A</v>
      </c>
      <c r="T205" s="156" t="str">
        <f>INDEX(Index!$H$1:$H$32,MATCH($E205,Index!$E$1:$E$32,0))</f>
        <v>AW</v>
      </c>
      <c r="U205" s="156" t="str">
        <f>INDEX(Index!$H$1:$H$32,MATCH($G205,Index!$E$1:$E$32,0))</f>
        <v>AW</v>
      </c>
      <c r="V205" s="156" t="str">
        <f t="shared" si="22"/>
        <v>Div</v>
      </c>
      <c r="W205" s="152" t="str">
        <f t="shared" si="23"/>
        <v>Y</v>
      </c>
      <c r="X205" s="149" t="str">
        <f>INDEX(Index!$G$1:$G$32,MATCH(E205,Index!$E$1:$E$32,0))</f>
        <v>DEN</v>
      </c>
      <c r="Y205" s="150" t="str">
        <f>INDEX(Index!$G$1:$G$32,MATCH(G205,Index!$E$1:$E$32,0))</f>
        <v>OAK</v>
      </c>
      <c r="Z205" s="147" t="str">
        <f t="shared" si="24"/>
        <v/>
      </c>
      <c r="AA205" s="174" t="str" cm="1">
        <f t="array" ref="AA205">IFERROR(IF($W205="Y","",INDEX(EPA!$N$2:$N$512,MATCH(X205&amp;Index!$K$1,EPA!$A$2:$A$512&amp;EPA!$W$2:$W$512,0))),"")</f>
        <v/>
      </c>
      <c r="AB205" s="174" t="str" cm="1">
        <f t="array" ref="AB205">IFERROR(IF($W205="Y","",INDEX(EPA!$N$2:$N$512,MATCH(Y205&amp;Index!$K$1,EPA!$A$2:$A$512&amp;EPA!$W$2:$W$512,0))),"")</f>
        <v/>
      </c>
      <c r="AC205" s="174" t="str">
        <f ca="1">IF(AA205&lt;&gt;"",_xlfn.NORM.INV(RAND(),AA205,Index!$K$2),"")</f>
        <v/>
      </c>
      <c r="AD205" s="174" t="str">
        <f ca="1">IF(AB205&lt;&gt;"",_xlfn.NORM.INV(RAND(),AB205,Index!$K$2),"")</f>
        <v/>
      </c>
      <c r="AE205" s="157" t="str">
        <f t="shared" si="25"/>
        <v>DEN</v>
      </c>
      <c r="AF205" s="158" t="str">
        <f t="shared" si="26"/>
        <v>LV</v>
      </c>
      <c r="AG205" s="149">
        <f t="shared" si="27"/>
        <v>204</v>
      </c>
    </row>
    <row r="206" spans="1:33" x14ac:dyDescent="0.25">
      <c r="A206" s="9">
        <v>14</v>
      </c>
      <c r="B206" s="9" t="s">
        <v>661</v>
      </c>
      <c r="C206" s="148">
        <v>45998</v>
      </c>
      <c r="D206" s="9" t="s">
        <v>665</v>
      </c>
      <c r="E206" s="9" t="s">
        <v>88</v>
      </c>
      <c r="F206" s="9"/>
      <c r="G206" s="9" t="s">
        <v>65</v>
      </c>
      <c r="H206" s="9" t="s">
        <v>658</v>
      </c>
      <c r="I206" s="9">
        <v>28</v>
      </c>
      <c r="J206" s="9">
        <v>21</v>
      </c>
      <c r="K206" s="9">
        <v>337</v>
      </c>
      <c r="L206" s="9">
        <v>1</v>
      </c>
      <c r="M206" s="9">
        <v>315</v>
      </c>
      <c r="N206" s="9">
        <v>1</v>
      </c>
      <c r="O206" s="149" t="str">
        <f>IF(I206&lt;&gt;"",IF(I206=J206,"TIE",INDEX(Index!$F$1:$F$32,MATCH(E206,Index!$E$1:$E$32,0))),INDEX(Index!$F$1:$F$32,MATCH(E206,Index!$E$1:$E$32,0)))</f>
        <v>GB</v>
      </c>
      <c r="P206" s="150" t="str">
        <f>IF(I206&lt;&gt;"",IF(I206=J206,"TIE",INDEX(Index!$F$1:$F$32,MATCH(G206,Index!$E$1:$E$32,0))),INDEX(Index!$F$1:$F$32,MATCH(G206,Index!$E$1:$E$32,0)))</f>
        <v>CHI</v>
      </c>
      <c r="Q206" s="155" t="str">
        <f>IF(O206="TIE",INDEX(Index!$F$1:$F$32,MATCH(E206,Index!$E$1:$E$32,0)),"")</f>
        <v/>
      </c>
      <c r="R206" s="155" t="str">
        <f>IF(P206="TIE",INDEX(Index!$F$1:$F$32,MATCH(G206,Index!$E$1:$E$32,0)),"")</f>
        <v/>
      </c>
      <c r="S206" s="151" t="str">
        <f t="shared" si="21"/>
        <v>H</v>
      </c>
      <c r="T206" s="156" t="str">
        <f>INDEX(Index!$H$1:$H$32,MATCH($E206,Index!$E$1:$E$32,0))</f>
        <v>NN</v>
      </c>
      <c r="U206" s="156" t="str">
        <f>INDEX(Index!$H$1:$H$32,MATCH($G206,Index!$E$1:$E$32,0))</f>
        <v>NN</v>
      </c>
      <c r="V206" s="156" t="str">
        <f t="shared" si="22"/>
        <v>Div</v>
      </c>
      <c r="W206" s="152" t="str">
        <f t="shared" si="23"/>
        <v>Y</v>
      </c>
      <c r="X206" s="149" t="str">
        <f>INDEX(Index!$G$1:$G$32,MATCH(E206,Index!$E$1:$E$32,0))</f>
        <v>GB</v>
      </c>
      <c r="Y206" s="150" t="str">
        <f>INDEX(Index!$G$1:$G$32,MATCH(G206,Index!$E$1:$E$32,0))</f>
        <v>CHI</v>
      </c>
      <c r="Z206" s="147" t="str">
        <f t="shared" si="24"/>
        <v/>
      </c>
      <c r="AA206" s="174" t="str" cm="1">
        <f t="array" ref="AA206">IFERROR(IF($W206="Y","",INDEX(EPA!$N$2:$N$512,MATCH(X206&amp;Index!$K$1,EPA!$A$2:$A$512&amp;EPA!$W$2:$W$512,0))),"")</f>
        <v/>
      </c>
      <c r="AB206" s="174" t="str" cm="1">
        <f t="array" ref="AB206">IFERROR(IF($W206="Y","",INDEX(EPA!$N$2:$N$512,MATCH(Y206&amp;Index!$K$1,EPA!$A$2:$A$512&amp;EPA!$W$2:$W$512,0))),"")</f>
        <v/>
      </c>
      <c r="AC206" s="174" t="str">
        <f ca="1">IF(AA206&lt;&gt;"",_xlfn.NORM.INV(RAND(),AA206,Index!$K$2),"")</f>
        <v/>
      </c>
      <c r="AD206" s="174" t="str">
        <f ca="1">IF(AB206&lt;&gt;"",_xlfn.NORM.INV(RAND(),AB206,Index!$K$2),"")</f>
        <v/>
      </c>
      <c r="AE206" s="157" t="str">
        <f t="shared" si="25"/>
        <v>GB</v>
      </c>
      <c r="AF206" s="158" t="str">
        <f t="shared" si="26"/>
        <v>CHI</v>
      </c>
      <c r="AG206" s="149">
        <f t="shared" si="27"/>
        <v>205</v>
      </c>
    </row>
    <row r="207" spans="1:33" x14ac:dyDescent="0.25">
      <c r="A207" s="9">
        <v>14</v>
      </c>
      <c r="B207" s="9" t="s">
        <v>661</v>
      </c>
      <c r="C207" s="148">
        <v>45998</v>
      </c>
      <c r="D207" s="9" t="s">
        <v>665</v>
      </c>
      <c r="E207" s="9" t="s">
        <v>90</v>
      </c>
      <c r="F207" s="9" t="s">
        <v>663</v>
      </c>
      <c r="G207" s="9" t="s">
        <v>27</v>
      </c>
      <c r="H207" s="9" t="s">
        <v>658</v>
      </c>
      <c r="I207" s="9">
        <v>45</v>
      </c>
      <c r="J207" s="9">
        <v>17</v>
      </c>
      <c r="K207" s="9">
        <v>530</v>
      </c>
      <c r="L207" s="9">
        <v>0</v>
      </c>
      <c r="M207" s="9">
        <v>314</v>
      </c>
      <c r="N207" s="9">
        <v>1</v>
      </c>
      <c r="O207" s="149" t="str">
        <f>IF(I207&lt;&gt;"",IF(I207=J207,"TIE",INDEX(Index!$F$1:$F$32,MATCH(E207,Index!$E$1:$E$32,0))),INDEX(Index!$F$1:$F$32,MATCH(E207,Index!$E$1:$E$32,0)))</f>
        <v>LAR</v>
      </c>
      <c r="P207" s="150" t="str">
        <f>IF(I207&lt;&gt;"",IF(I207=J207,"TIE",INDEX(Index!$F$1:$F$32,MATCH(G207,Index!$E$1:$E$32,0))),INDEX(Index!$F$1:$F$32,MATCH(G207,Index!$E$1:$E$32,0)))</f>
        <v>ARI</v>
      </c>
      <c r="Q207" s="155" t="str">
        <f>IF(O207="TIE",INDEX(Index!$F$1:$F$32,MATCH(E207,Index!$E$1:$E$32,0)),"")</f>
        <v/>
      </c>
      <c r="R207" s="155" t="str">
        <f>IF(P207="TIE",INDEX(Index!$F$1:$F$32,MATCH(G207,Index!$E$1:$E$32,0)),"")</f>
        <v/>
      </c>
      <c r="S207" s="151" t="str">
        <f t="shared" si="21"/>
        <v>A</v>
      </c>
      <c r="T207" s="156" t="str">
        <f>INDEX(Index!$H$1:$H$32,MATCH($E207,Index!$E$1:$E$32,0))</f>
        <v>NW</v>
      </c>
      <c r="U207" s="156" t="str">
        <f>INDEX(Index!$H$1:$H$32,MATCH($G207,Index!$E$1:$E$32,0))</f>
        <v>NW</v>
      </c>
      <c r="V207" s="156" t="str">
        <f t="shared" si="22"/>
        <v>Div</v>
      </c>
      <c r="W207" s="152" t="str">
        <f t="shared" si="23"/>
        <v>Y</v>
      </c>
      <c r="X207" s="149" t="str">
        <f>INDEX(Index!$G$1:$G$32,MATCH(E207,Index!$E$1:$E$32,0))</f>
        <v>LAR</v>
      </c>
      <c r="Y207" s="150" t="str">
        <f>INDEX(Index!$G$1:$G$32,MATCH(G207,Index!$E$1:$E$32,0))</f>
        <v>ARI</v>
      </c>
      <c r="Z207" s="147" t="str">
        <f t="shared" si="24"/>
        <v/>
      </c>
      <c r="AA207" s="174" t="str" cm="1">
        <f t="array" ref="AA207">IFERROR(IF($W207="Y","",INDEX(EPA!$N$2:$N$512,MATCH(X207&amp;Index!$K$1,EPA!$A$2:$A$512&amp;EPA!$W$2:$W$512,0))),"")</f>
        <v/>
      </c>
      <c r="AB207" s="174" t="str" cm="1">
        <f t="array" ref="AB207">IFERROR(IF($W207="Y","",INDEX(EPA!$N$2:$N$512,MATCH(Y207&amp;Index!$K$1,EPA!$A$2:$A$512&amp;EPA!$W$2:$W$512,0))),"")</f>
        <v/>
      </c>
      <c r="AC207" s="174" t="str">
        <f ca="1">IF(AA207&lt;&gt;"",_xlfn.NORM.INV(RAND(),AA207,Index!$K$2),"")</f>
        <v/>
      </c>
      <c r="AD207" s="174" t="str">
        <f ca="1">IF(AB207&lt;&gt;"",_xlfn.NORM.INV(RAND(),AB207,Index!$K$2),"")</f>
        <v/>
      </c>
      <c r="AE207" s="157" t="str">
        <f t="shared" si="25"/>
        <v>LAR</v>
      </c>
      <c r="AF207" s="158" t="str">
        <f t="shared" si="26"/>
        <v>ARI</v>
      </c>
      <c r="AG207" s="149">
        <f t="shared" si="27"/>
        <v>206</v>
      </c>
    </row>
    <row r="208" spans="1:33" x14ac:dyDescent="0.25">
      <c r="A208" s="9">
        <v>14</v>
      </c>
      <c r="B208" s="9" t="s">
        <v>661</v>
      </c>
      <c r="C208" s="148">
        <v>45998</v>
      </c>
      <c r="D208" s="9" t="s">
        <v>657</v>
      </c>
      <c r="E208" s="9" t="s">
        <v>33</v>
      </c>
      <c r="F208" s="9" t="s">
        <v>663</v>
      </c>
      <c r="G208" s="9" t="s">
        <v>16</v>
      </c>
      <c r="H208" s="9" t="s">
        <v>658</v>
      </c>
      <c r="I208" s="9">
        <v>20</v>
      </c>
      <c r="J208" s="9">
        <v>10</v>
      </c>
      <c r="K208" s="9">
        <v>268</v>
      </c>
      <c r="L208" s="9">
        <v>0</v>
      </c>
      <c r="M208" s="9">
        <v>274</v>
      </c>
      <c r="N208" s="9">
        <v>3</v>
      </c>
      <c r="O208" s="149" t="str">
        <f>IF(I208&lt;&gt;"",IF(I208=J208,"TIE",INDEX(Index!$F$1:$F$32,MATCH(E208,Index!$E$1:$E$32,0))),INDEX(Index!$F$1:$F$32,MATCH(E208,Index!$E$1:$E$32,0)))</f>
        <v>HOU</v>
      </c>
      <c r="P208" s="150" t="str">
        <f>IF(I208&lt;&gt;"",IF(I208=J208,"TIE",INDEX(Index!$F$1:$F$32,MATCH(G208,Index!$E$1:$E$32,0))),INDEX(Index!$F$1:$F$32,MATCH(G208,Index!$E$1:$E$32,0)))</f>
        <v>KC</v>
      </c>
      <c r="Q208" s="155" t="str">
        <f>IF(O208="TIE",INDEX(Index!$F$1:$F$32,MATCH(E208,Index!$E$1:$E$32,0)),"")</f>
        <v/>
      </c>
      <c r="R208" s="155" t="str">
        <f>IF(P208="TIE",INDEX(Index!$F$1:$F$32,MATCH(G208,Index!$E$1:$E$32,0)),"")</f>
        <v/>
      </c>
      <c r="S208" s="151" t="str">
        <f t="shared" si="21"/>
        <v>A</v>
      </c>
      <c r="T208" s="156" t="str">
        <f>INDEX(Index!$H$1:$H$32,MATCH($E208,Index!$E$1:$E$32,0))</f>
        <v>AS</v>
      </c>
      <c r="U208" s="156" t="str">
        <f>INDEX(Index!$H$1:$H$32,MATCH($G208,Index!$E$1:$E$32,0))</f>
        <v>AW</v>
      </c>
      <c r="V208" s="156" t="str">
        <f t="shared" si="22"/>
        <v>Con</v>
      </c>
      <c r="W208" s="152" t="str">
        <f t="shared" si="23"/>
        <v>Y</v>
      </c>
      <c r="X208" s="149" t="str">
        <f>INDEX(Index!$G$1:$G$32,MATCH(E208,Index!$E$1:$E$32,0))</f>
        <v>HOU</v>
      </c>
      <c r="Y208" s="150" t="str">
        <f>INDEX(Index!$G$1:$G$32,MATCH(G208,Index!$E$1:$E$32,0))</f>
        <v>KC</v>
      </c>
      <c r="Z208" s="147" t="str">
        <f t="shared" si="24"/>
        <v/>
      </c>
      <c r="AA208" s="174" t="str" cm="1">
        <f t="array" ref="AA208">IFERROR(IF($W208="Y","",INDEX(EPA!$N$2:$N$512,MATCH(X208&amp;Index!$K$1,EPA!$A$2:$A$512&amp;EPA!$W$2:$W$512,0))),"")</f>
        <v/>
      </c>
      <c r="AB208" s="174" t="str" cm="1">
        <f t="array" ref="AB208">IFERROR(IF($W208="Y","",INDEX(EPA!$N$2:$N$512,MATCH(Y208&amp;Index!$K$1,EPA!$A$2:$A$512&amp;EPA!$W$2:$W$512,0))),"")</f>
        <v/>
      </c>
      <c r="AC208" s="174" t="str">
        <f ca="1">IF(AA208&lt;&gt;"",_xlfn.NORM.INV(RAND(),AA208,Index!$K$2),"")</f>
        <v/>
      </c>
      <c r="AD208" s="174" t="str">
        <f ca="1">IF(AB208&lt;&gt;"",_xlfn.NORM.INV(RAND(),AB208,Index!$K$2),"")</f>
        <v/>
      </c>
      <c r="AE208" s="157" t="str">
        <f t="shared" si="25"/>
        <v>HOU</v>
      </c>
      <c r="AF208" s="158" t="str">
        <f t="shared" si="26"/>
        <v>KC</v>
      </c>
      <c r="AG208" s="149">
        <f t="shared" si="27"/>
        <v>207</v>
      </c>
    </row>
    <row r="209" spans="1:33" x14ac:dyDescent="0.25">
      <c r="A209" s="9">
        <v>14</v>
      </c>
      <c r="B209" s="9" t="s">
        <v>666</v>
      </c>
      <c r="C209" s="148">
        <v>45999</v>
      </c>
      <c r="D209" s="9" t="s">
        <v>667</v>
      </c>
      <c r="E209" s="9" t="s">
        <v>68</v>
      </c>
      <c r="F209" s="9"/>
      <c r="G209" s="9" t="s">
        <v>92</v>
      </c>
      <c r="H209" s="9" t="s">
        <v>658</v>
      </c>
      <c r="I209" s="9">
        <v>22</v>
      </c>
      <c r="J209" s="9">
        <v>19</v>
      </c>
      <c r="K209" s="9">
        <v>275</v>
      </c>
      <c r="L209" s="9">
        <v>3</v>
      </c>
      <c r="M209" s="9">
        <v>365</v>
      </c>
      <c r="N209" s="9">
        <v>5</v>
      </c>
      <c r="O209" s="149" t="str">
        <f>IF(I209&lt;&gt;"",IF(I209=J209,"TIE",INDEX(Index!$F$1:$F$32,MATCH(E209,Index!$E$1:$E$32,0))),INDEX(Index!$F$1:$F$32,MATCH(E209,Index!$E$1:$E$32,0)))</f>
        <v>LAC</v>
      </c>
      <c r="P209" s="150" t="str">
        <f>IF(I209&lt;&gt;"",IF(I209=J209,"TIE",INDEX(Index!$F$1:$F$32,MATCH(G209,Index!$E$1:$E$32,0))),INDEX(Index!$F$1:$F$32,MATCH(G209,Index!$E$1:$E$32,0)))</f>
        <v>PHI</v>
      </c>
      <c r="Q209" s="155" t="str">
        <f>IF(O209="TIE",INDEX(Index!$F$1:$F$32,MATCH(E209,Index!$E$1:$E$32,0)),"")</f>
        <v/>
      </c>
      <c r="R209" s="155" t="str">
        <f>IF(P209="TIE",INDEX(Index!$F$1:$F$32,MATCH(G209,Index!$E$1:$E$32,0)),"")</f>
        <v/>
      </c>
      <c r="S209" s="151" t="str">
        <f t="shared" si="21"/>
        <v>H</v>
      </c>
      <c r="T209" s="156" t="str">
        <f>INDEX(Index!$H$1:$H$32,MATCH($E209,Index!$E$1:$E$32,0))</f>
        <v>AW</v>
      </c>
      <c r="U209" s="156" t="str">
        <f>INDEX(Index!$H$1:$H$32,MATCH($G209,Index!$E$1:$E$32,0))</f>
        <v>NE</v>
      </c>
      <c r="V209" s="156" t="str">
        <f t="shared" si="22"/>
        <v>Non</v>
      </c>
      <c r="W209" s="152" t="str">
        <f t="shared" si="23"/>
        <v>Y</v>
      </c>
      <c r="X209" s="149" t="str">
        <f>INDEX(Index!$G$1:$G$32,MATCH(E209,Index!$E$1:$E$32,0))</f>
        <v>LAC</v>
      </c>
      <c r="Y209" s="150" t="str">
        <f>INDEX(Index!$G$1:$G$32,MATCH(G209,Index!$E$1:$E$32,0))</f>
        <v>PHI</v>
      </c>
      <c r="Z209" s="147" t="str">
        <f t="shared" si="24"/>
        <v/>
      </c>
      <c r="AA209" s="174" t="str" cm="1">
        <f t="array" ref="AA209">IFERROR(IF($W209="Y","",INDEX(EPA!$N$2:$N$512,MATCH(X209&amp;Index!$K$1,EPA!$A$2:$A$512&amp;EPA!$W$2:$W$512,0))),"")</f>
        <v/>
      </c>
      <c r="AB209" s="174" t="str" cm="1">
        <f t="array" ref="AB209">IFERROR(IF($W209="Y","",INDEX(EPA!$N$2:$N$512,MATCH(Y209&amp;Index!$K$1,EPA!$A$2:$A$512&amp;EPA!$W$2:$W$512,0))),"")</f>
        <v/>
      </c>
      <c r="AC209" s="174" t="str">
        <f ca="1">IF(AA209&lt;&gt;"",_xlfn.NORM.INV(RAND(),AA209,Index!$K$2),"")</f>
        <v/>
      </c>
      <c r="AD209" s="174" t="str">
        <f ca="1">IF(AB209&lt;&gt;"",_xlfn.NORM.INV(RAND(),AB209,Index!$K$2),"")</f>
        <v/>
      </c>
      <c r="AE209" s="157" t="str">
        <f t="shared" si="25"/>
        <v>LAC</v>
      </c>
      <c r="AF209" s="158" t="str">
        <f t="shared" si="26"/>
        <v>PHI</v>
      </c>
      <c r="AG209" s="149">
        <f t="shared" si="27"/>
        <v>208</v>
      </c>
    </row>
    <row r="210" spans="1:33" x14ac:dyDescent="0.25">
      <c r="A210" s="9">
        <v>15</v>
      </c>
      <c r="B210" s="9" t="s">
        <v>656</v>
      </c>
      <c r="C210" s="148">
        <v>46002</v>
      </c>
      <c r="D210" s="9" t="s">
        <v>667</v>
      </c>
      <c r="E210" s="9" t="s">
        <v>78</v>
      </c>
      <c r="F210" s="9" t="s">
        <v>663</v>
      </c>
      <c r="G210" s="9" t="s">
        <v>0</v>
      </c>
      <c r="H210" s="9" t="s">
        <v>658</v>
      </c>
      <c r="I210" s="9">
        <v>29</v>
      </c>
      <c r="J210" s="9">
        <v>28</v>
      </c>
      <c r="K210" s="9">
        <v>476</v>
      </c>
      <c r="L210" s="9">
        <v>1</v>
      </c>
      <c r="M210" s="9">
        <v>338</v>
      </c>
      <c r="N210" s="9">
        <v>1</v>
      </c>
      <c r="O210" s="149" t="str">
        <f>IF(I210&lt;&gt;"",IF(I210=J210,"TIE",INDEX(Index!$F$1:$F$32,MATCH(E210,Index!$E$1:$E$32,0))),INDEX(Index!$F$1:$F$32,MATCH(E210,Index!$E$1:$E$32,0)))</f>
        <v>ATL</v>
      </c>
      <c r="P210" s="150" t="str">
        <f>IF(I210&lt;&gt;"",IF(I210=J210,"TIE",INDEX(Index!$F$1:$F$32,MATCH(G210,Index!$E$1:$E$32,0))),INDEX(Index!$F$1:$F$32,MATCH(G210,Index!$E$1:$E$32,0)))</f>
        <v>TB</v>
      </c>
      <c r="Q210" s="155" t="str">
        <f>IF(O210="TIE",INDEX(Index!$F$1:$F$32,MATCH(E210,Index!$E$1:$E$32,0)),"")</f>
        <v/>
      </c>
      <c r="R210" s="155" t="str">
        <f>IF(P210="TIE",INDEX(Index!$F$1:$F$32,MATCH(G210,Index!$E$1:$E$32,0)),"")</f>
        <v/>
      </c>
      <c r="S210" s="151" t="str">
        <f t="shared" si="21"/>
        <v>A</v>
      </c>
      <c r="T210" s="156" t="str">
        <f>INDEX(Index!$H$1:$H$32,MATCH($E210,Index!$E$1:$E$32,0))</f>
        <v>NS</v>
      </c>
      <c r="U210" s="156" t="str">
        <f>INDEX(Index!$H$1:$H$32,MATCH($G210,Index!$E$1:$E$32,0))</f>
        <v>NS</v>
      </c>
      <c r="V210" s="156" t="str">
        <f t="shared" si="22"/>
        <v>Div</v>
      </c>
      <c r="W210" s="152" t="str">
        <f t="shared" si="23"/>
        <v>Y</v>
      </c>
      <c r="X210" s="149" t="str">
        <f>INDEX(Index!$G$1:$G$32,MATCH(E210,Index!$E$1:$E$32,0))</f>
        <v>ATL</v>
      </c>
      <c r="Y210" s="150" t="str">
        <f>INDEX(Index!$G$1:$G$32,MATCH(G210,Index!$E$1:$E$32,0))</f>
        <v>TB</v>
      </c>
      <c r="Z210" s="147" t="str">
        <f t="shared" si="24"/>
        <v/>
      </c>
      <c r="AA210" s="174" t="str" cm="1">
        <f t="array" ref="AA210">IFERROR(IF($W210="Y","",INDEX(EPA!$N$2:$N$512,MATCH(X210&amp;Index!$K$1,EPA!$A$2:$A$512&amp;EPA!$W$2:$W$512,0))),"")</f>
        <v/>
      </c>
      <c r="AB210" s="174" t="str" cm="1">
        <f t="array" ref="AB210">IFERROR(IF($W210="Y","",INDEX(EPA!$N$2:$N$512,MATCH(Y210&amp;Index!$K$1,EPA!$A$2:$A$512&amp;EPA!$W$2:$W$512,0))),"")</f>
        <v/>
      </c>
      <c r="AC210" s="174" t="str">
        <f ca="1">IF(AA210&lt;&gt;"",_xlfn.NORM.INV(RAND(),AA210,Index!$K$2),"")</f>
        <v/>
      </c>
      <c r="AD210" s="174" t="str">
        <f ca="1">IF(AB210&lt;&gt;"",_xlfn.NORM.INV(RAND(),AB210,Index!$K$2),"")</f>
        <v/>
      </c>
      <c r="AE210" s="157" t="str">
        <f t="shared" si="25"/>
        <v>ATL</v>
      </c>
      <c r="AF210" s="158" t="str">
        <f t="shared" si="26"/>
        <v>TB</v>
      </c>
      <c r="AG210" s="149">
        <f t="shared" si="27"/>
        <v>209</v>
      </c>
    </row>
    <row r="211" spans="1:33" x14ac:dyDescent="0.25">
      <c r="A211" s="9">
        <v>15</v>
      </c>
      <c r="B211" s="9" t="s">
        <v>661</v>
      </c>
      <c r="C211" s="148">
        <v>46005</v>
      </c>
      <c r="D211" s="9" t="s">
        <v>662</v>
      </c>
      <c r="E211" s="9" t="s">
        <v>40</v>
      </c>
      <c r="F211" s="9" t="s">
        <v>663</v>
      </c>
      <c r="G211" s="9" t="s">
        <v>45</v>
      </c>
      <c r="H211" s="9" t="s">
        <v>658</v>
      </c>
      <c r="I211" s="9">
        <v>35</v>
      </c>
      <c r="J211" s="9">
        <v>31</v>
      </c>
      <c r="K211" s="9">
        <v>349</v>
      </c>
      <c r="L211" s="9">
        <v>0</v>
      </c>
      <c r="M211" s="9">
        <v>385</v>
      </c>
      <c r="N211" s="9">
        <v>1</v>
      </c>
      <c r="O211" s="149" t="str">
        <f>IF(I211&lt;&gt;"",IF(I211=J211,"TIE",INDEX(Index!$F$1:$F$32,MATCH(E211,Index!$E$1:$E$32,0))),INDEX(Index!$F$1:$F$32,MATCH(E211,Index!$E$1:$E$32,0)))</f>
        <v>BUF</v>
      </c>
      <c r="P211" s="150" t="str">
        <f>IF(I211&lt;&gt;"",IF(I211=J211,"TIE",INDEX(Index!$F$1:$F$32,MATCH(G211,Index!$E$1:$E$32,0))),INDEX(Index!$F$1:$F$32,MATCH(G211,Index!$E$1:$E$32,0)))</f>
        <v>NE</v>
      </c>
      <c r="Q211" s="155" t="str">
        <f>IF(O211="TIE",INDEX(Index!$F$1:$F$32,MATCH(E211,Index!$E$1:$E$32,0)),"")</f>
        <v/>
      </c>
      <c r="R211" s="155" t="str">
        <f>IF(P211="TIE",INDEX(Index!$F$1:$F$32,MATCH(G211,Index!$E$1:$E$32,0)),"")</f>
        <v/>
      </c>
      <c r="S211" s="151" t="str">
        <f t="shared" si="21"/>
        <v>A</v>
      </c>
      <c r="T211" s="156" t="str">
        <f>INDEX(Index!$H$1:$H$32,MATCH($E211,Index!$E$1:$E$32,0))</f>
        <v>AE</v>
      </c>
      <c r="U211" s="156" t="str">
        <f>INDEX(Index!$H$1:$H$32,MATCH($G211,Index!$E$1:$E$32,0))</f>
        <v>AE</v>
      </c>
      <c r="V211" s="156" t="str">
        <f t="shared" si="22"/>
        <v>Div</v>
      </c>
      <c r="W211" s="152" t="str">
        <f t="shared" si="23"/>
        <v>Y</v>
      </c>
      <c r="X211" s="149" t="str">
        <f>INDEX(Index!$G$1:$G$32,MATCH(E211,Index!$E$1:$E$32,0))</f>
        <v>BUF</v>
      </c>
      <c r="Y211" s="150" t="str">
        <f>INDEX(Index!$G$1:$G$32,MATCH(G211,Index!$E$1:$E$32,0))</f>
        <v>NE</v>
      </c>
      <c r="Z211" s="147" t="str">
        <f t="shared" si="24"/>
        <v/>
      </c>
      <c r="AA211" s="174" t="str" cm="1">
        <f t="array" ref="AA211">IFERROR(IF($W211="Y","",INDEX(EPA!$N$2:$N$512,MATCH(X211&amp;Index!$K$1,EPA!$A$2:$A$512&amp;EPA!$W$2:$W$512,0))),"")</f>
        <v/>
      </c>
      <c r="AB211" s="174" t="str" cm="1">
        <f t="array" ref="AB211">IFERROR(IF($W211="Y","",INDEX(EPA!$N$2:$N$512,MATCH(Y211&amp;Index!$K$1,EPA!$A$2:$A$512&amp;EPA!$W$2:$W$512,0))),"")</f>
        <v/>
      </c>
      <c r="AC211" s="174" t="str">
        <f ca="1">IF(AA211&lt;&gt;"",_xlfn.NORM.INV(RAND(),AA211,Index!$K$2),"")</f>
        <v/>
      </c>
      <c r="AD211" s="174" t="str">
        <f ca="1">IF(AB211&lt;&gt;"",_xlfn.NORM.INV(RAND(),AB211,Index!$K$2),"")</f>
        <v/>
      </c>
      <c r="AE211" s="157" t="str">
        <f t="shared" si="25"/>
        <v>BUF</v>
      </c>
      <c r="AF211" s="158" t="str">
        <f t="shared" si="26"/>
        <v>NE</v>
      </c>
      <c r="AG211" s="149">
        <f t="shared" si="27"/>
        <v>210</v>
      </c>
    </row>
    <row r="212" spans="1:33" x14ac:dyDescent="0.25">
      <c r="A212" s="9">
        <v>15</v>
      </c>
      <c r="B212" s="9" t="s">
        <v>661</v>
      </c>
      <c r="C212" s="148">
        <v>46005</v>
      </c>
      <c r="D212" s="9" t="s">
        <v>662</v>
      </c>
      <c r="E212" s="9" t="s">
        <v>65</v>
      </c>
      <c r="F212" s="9"/>
      <c r="G212" s="9" t="s">
        <v>83</v>
      </c>
      <c r="H212" s="9" t="s">
        <v>658</v>
      </c>
      <c r="I212" s="9">
        <v>31</v>
      </c>
      <c r="J212" s="9">
        <v>3</v>
      </c>
      <c r="K212" s="9">
        <v>361</v>
      </c>
      <c r="L212" s="9">
        <v>0</v>
      </c>
      <c r="M212" s="9">
        <v>192</v>
      </c>
      <c r="N212" s="9">
        <v>3</v>
      </c>
      <c r="O212" s="149" t="str">
        <f>IF(I212&lt;&gt;"",IF(I212=J212,"TIE",INDEX(Index!$F$1:$F$32,MATCH(E212,Index!$E$1:$E$32,0))),INDEX(Index!$F$1:$F$32,MATCH(E212,Index!$E$1:$E$32,0)))</f>
        <v>CHI</v>
      </c>
      <c r="P212" s="150" t="str">
        <f>IF(I212&lt;&gt;"",IF(I212=J212,"TIE",INDEX(Index!$F$1:$F$32,MATCH(G212,Index!$E$1:$E$32,0))),INDEX(Index!$F$1:$F$32,MATCH(G212,Index!$E$1:$E$32,0)))</f>
        <v>CLE</v>
      </c>
      <c r="Q212" s="155" t="str">
        <f>IF(O212="TIE",INDEX(Index!$F$1:$F$32,MATCH(E212,Index!$E$1:$E$32,0)),"")</f>
        <v/>
      </c>
      <c r="R212" s="155" t="str">
        <f>IF(P212="TIE",INDEX(Index!$F$1:$F$32,MATCH(G212,Index!$E$1:$E$32,0)),"")</f>
        <v/>
      </c>
      <c r="S212" s="151" t="str">
        <f t="shared" si="21"/>
        <v>H</v>
      </c>
      <c r="T212" s="156" t="str">
        <f>INDEX(Index!$H$1:$H$32,MATCH($E212,Index!$E$1:$E$32,0))</f>
        <v>NN</v>
      </c>
      <c r="U212" s="156" t="str">
        <f>INDEX(Index!$H$1:$H$32,MATCH($G212,Index!$E$1:$E$32,0))</f>
        <v>AN</v>
      </c>
      <c r="V212" s="156" t="str">
        <f t="shared" si="22"/>
        <v>Non</v>
      </c>
      <c r="W212" s="152" t="str">
        <f t="shared" si="23"/>
        <v>Y</v>
      </c>
      <c r="X212" s="149" t="str">
        <f>INDEX(Index!$G$1:$G$32,MATCH(E212,Index!$E$1:$E$32,0))</f>
        <v>CHI</v>
      </c>
      <c r="Y212" s="150" t="str">
        <f>INDEX(Index!$G$1:$G$32,MATCH(G212,Index!$E$1:$E$32,0))</f>
        <v>CLE</v>
      </c>
      <c r="Z212" s="147" t="str">
        <f t="shared" si="24"/>
        <v/>
      </c>
      <c r="AA212" s="174" t="str" cm="1">
        <f t="array" ref="AA212">IFERROR(IF($W212="Y","",INDEX(EPA!$N$2:$N$512,MATCH(X212&amp;Index!$K$1,EPA!$A$2:$A$512&amp;EPA!$W$2:$W$512,0))),"")</f>
        <v/>
      </c>
      <c r="AB212" s="174" t="str" cm="1">
        <f t="array" ref="AB212">IFERROR(IF($W212="Y","",INDEX(EPA!$N$2:$N$512,MATCH(Y212&amp;Index!$K$1,EPA!$A$2:$A$512&amp;EPA!$W$2:$W$512,0))),"")</f>
        <v/>
      </c>
      <c r="AC212" s="174" t="str">
        <f ca="1">IF(AA212&lt;&gt;"",_xlfn.NORM.INV(RAND(),AA212,Index!$K$2),"")</f>
        <v/>
      </c>
      <c r="AD212" s="174" t="str">
        <f ca="1">IF(AB212&lt;&gt;"",_xlfn.NORM.INV(RAND(),AB212,Index!$K$2),"")</f>
        <v/>
      </c>
      <c r="AE212" s="157" t="str">
        <f t="shared" si="25"/>
        <v>CHI</v>
      </c>
      <c r="AF212" s="158" t="str">
        <f t="shared" si="26"/>
        <v>CLE</v>
      </c>
      <c r="AG212" s="149">
        <f t="shared" si="27"/>
        <v>211</v>
      </c>
    </row>
    <row r="213" spans="1:33" x14ac:dyDescent="0.25">
      <c r="A213" s="9">
        <v>15</v>
      </c>
      <c r="B213" s="9" t="s">
        <v>661</v>
      </c>
      <c r="C213" s="148">
        <v>46005</v>
      </c>
      <c r="D213" s="9" t="s">
        <v>662</v>
      </c>
      <c r="E213" s="9" t="s">
        <v>76</v>
      </c>
      <c r="F213" s="9" t="s">
        <v>663</v>
      </c>
      <c r="G213" s="9" t="s">
        <v>53</v>
      </c>
      <c r="H213" s="9" t="s">
        <v>658</v>
      </c>
      <c r="I213" s="9">
        <v>24</v>
      </c>
      <c r="J213" s="9">
        <v>0</v>
      </c>
      <c r="K213" s="9">
        <v>317</v>
      </c>
      <c r="L213" s="9">
        <v>1</v>
      </c>
      <c r="M213" s="9">
        <v>298</v>
      </c>
      <c r="N213" s="9">
        <v>2</v>
      </c>
      <c r="O213" s="149" t="str">
        <f>IF(I213&lt;&gt;"",IF(I213=J213,"TIE",INDEX(Index!$F$1:$F$32,MATCH(E213,Index!$E$1:$E$32,0))),INDEX(Index!$F$1:$F$32,MATCH(E213,Index!$E$1:$E$32,0)))</f>
        <v>BAL</v>
      </c>
      <c r="P213" s="150" t="str">
        <f>IF(I213&lt;&gt;"",IF(I213=J213,"TIE",INDEX(Index!$F$1:$F$32,MATCH(G213,Index!$E$1:$E$32,0))),INDEX(Index!$F$1:$F$32,MATCH(G213,Index!$E$1:$E$32,0)))</f>
        <v>CIN</v>
      </c>
      <c r="Q213" s="155" t="str">
        <f>IF(O213="TIE",INDEX(Index!$F$1:$F$32,MATCH(E213,Index!$E$1:$E$32,0)),"")</f>
        <v/>
      </c>
      <c r="R213" s="155" t="str">
        <f>IF(P213="TIE",INDEX(Index!$F$1:$F$32,MATCH(G213,Index!$E$1:$E$32,0)),"")</f>
        <v/>
      </c>
      <c r="S213" s="151" t="str">
        <f t="shared" si="21"/>
        <v>A</v>
      </c>
      <c r="T213" s="156" t="str">
        <f>INDEX(Index!$H$1:$H$32,MATCH($E213,Index!$E$1:$E$32,0))</f>
        <v>AN</v>
      </c>
      <c r="U213" s="156" t="str">
        <f>INDEX(Index!$H$1:$H$32,MATCH($G213,Index!$E$1:$E$32,0))</f>
        <v>AN</v>
      </c>
      <c r="V213" s="156" t="str">
        <f t="shared" si="22"/>
        <v>Div</v>
      </c>
      <c r="W213" s="152" t="str">
        <f t="shared" si="23"/>
        <v>Y</v>
      </c>
      <c r="X213" s="149" t="str">
        <f>INDEX(Index!$G$1:$G$32,MATCH(E213,Index!$E$1:$E$32,0))</f>
        <v>BAL</v>
      </c>
      <c r="Y213" s="150" t="str">
        <f>INDEX(Index!$G$1:$G$32,MATCH(G213,Index!$E$1:$E$32,0))</f>
        <v>CIN</v>
      </c>
      <c r="Z213" s="147" t="str">
        <f t="shared" si="24"/>
        <v/>
      </c>
      <c r="AA213" s="174" t="str" cm="1">
        <f t="array" ref="AA213">IFERROR(IF($W213="Y","",INDEX(EPA!$N$2:$N$512,MATCH(X213&amp;Index!$K$1,EPA!$A$2:$A$512&amp;EPA!$W$2:$W$512,0))),"")</f>
        <v/>
      </c>
      <c r="AB213" s="174" t="str" cm="1">
        <f t="array" ref="AB213">IFERROR(IF($W213="Y","",INDEX(EPA!$N$2:$N$512,MATCH(Y213&amp;Index!$K$1,EPA!$A$2:$A$512&amp;EPA!$W$2:$W$512,0))),"")</f>
        <v/>
      </c>
      <c r="AC213" s="174" t="str">
        <f ca="1">IF(AA213&lt;&gt;"",_xlfn.NORM.INV(RAND(),AA213,Index!$K$2),"")</f>
        <v/>
      </c>
      <c r="AD213" s="174" t="str">
        <f ca="1">IF(AB213&lt;&gt;"",_xlfn.NORM.INV(RAND(),AB213,Index!$K$2),"")</f>
        <v/>
      </c>
      <c r="AE213" s="157" t="str">
        <f t="shared" si="25"/>
        <v>BAL</v>
      </c>
      <c r="AF213" s="158" t="str">
        <f t="shared" si="26"/>
        <v>CIN</v>
      </c>
      <c r="AG213" s="149">
        <f t="shared" si="27"/>
        <v>212</v>
      </c>
    </row>
    <row r="214" spans="1:33" x14ac:dyDescent="0.25">
      <c r="A214" s="9">
        <v>15</v>
      </c>
      <c r="B214" s="9" t="s">
        <v>661</v>
      </c>
      <c r="C214" s="148">
        <v>46005</v>
      </c>
      <c r="D214" s="9" t="s">
        <v>662</v>
      </c>
      <c r="E214" s="9" t="s">
        <v>33</v>
      </c>
      <c r="F214" s="9"/>
      <c r="G214" s="9" t="s">
        <v>27</v>
      </c>
      <c r="H214" s="9" t="s">
        <v>658</v>
      </c>
      <c r="I214" s="9">
        <v>40</v>
      </c>
      <c r="J214" s="9">
        <v>20</v>
      </c>
      <c r="K214" s="9">
        <v>399</v>
      </c>
      <c r="L214" s="9">
        <v>0</v>
      </c>
      <c r="M214" s="9">
        <v>307</v>
      </c>
      <c r="N214" s="9">
        <v>2</v>
      </c>
      <c r="O214" s="149" t="str">
        <f>IF(I214&lt;&gt;"",IF(I214=J214,"TIE",INDEX(Index!$F$1:$F$32,MATCH(E214,Index!$E$1:$E$32,0))),INDEX(Index!$F$1:$F$32,MATCH(E214,Index!$E$1:$E$32,0)))</f>
        <v>HOU</v>
      </c>
      <c r="P214" s="150" t="str">
        <f>IF(I214&lt;&gt;"",IF(I214=J214,"TIE",INDEX(Index!$F$1:$F$32,MATCH(G214,Index!$E$1:$E$32,0))),INDEX(Index!$F$1:$F$32,MATCH(G214,Index!$E$1:$E$32,0)))</f>
        <v>ARI</v>
      </c>
      <c r="Q214" s="155" t="str">
        <f>IF(O214="TIE",INDEX(Index!$F$1:$F$32,MATCH(E214,Index!$E$1:$E$32,0)),"")</f>
        <v/>
      </c>
      <c r="R214" s="155" t="str">
        <f>IF(P214="TIE",INDEX(Index!$F$1:$F$32,MATCH(G214,Index!$E$1:$E$32,0)),"")</f>
        <v/>
      </c>
      <c r="S214" s="151" t="str">
        <f t="shared" si="21"/>
        <v>H</v>
      </c>
      <c r="T214" s="156" t="str">
        <f>INDEX(Index!$H$1:$H$32,MATCH($E214,Index!$E$1:$E$32,0))</f>
        <v>AS</v>
      </c>
      <c r="U214" s="156" t="str">
        <f>INDEX(Index!$H$1:$H$32,MATCH($G214,Index!$E$1:$E$32,0))</f>
        <v>NW</v>
      </c>
      <c r="V214" s="156" t="str">
        <f t="shared" si="22"/>
        <v>Non</v>
      </c>
      <c r="W214" s="152" t="str">
        <f t="shared" si="23"/>
        <v>Y</v>
      </c>
      <c r="X214" s="149" t="str">
        <f>INDEX(Index!$G$1:$G$32,MATCH(E214,Index!$E$1:$E$32,0))</f>
        <v>HOU</v>
      </c>
      <c r="Y214" s="150" t="str">
        <f>INDEX(Index!$G$1:$G$32,MATCH(G214,Index!$E$1:$E$32,0))</f>
        <v>ARI</v>
      </c>
      <c r="Z214" s="147" t="str">
        <f t="shared" si="24"/>
        <v/>
      </c>
      <c r="AA214" s="174" t="str" cm="1">
        <f t="array" ref="AA214">IFERROR(IF($W214="Y","",INDEX(EPA!$N$2:$N$512,MATCH(X214&amp;Index!$K$1,EPA!$A$2:$A$512&amp;EPA!$W$2:$W$512,0))),"")</f>
        <v/>
      </c>
      <c r="AB214" s="174" t="str" cm="1">
        <f t="array" ref="AB214">IFERROR(IF($W214="Y","",INDEX(EPA!$N$2:$N$512,MATCH(Y214&amp;Index!$K$1,EPA!$A$2:$A$512&amp;EPA!$W$2:$W$512,0))),"")</f>
        <v/>
      </c>
      <c r="AC214" s="174" t="str">
        <f ca="1">IF(AA214&lt;&gt;"",_xlfn.NORM.INV(RAND(),AA214,Index!$K$2),"")</f>
        <v/>
      </c>
      <c r="AD214" s="174" t="str">
        <f ca="1">IF(AB214&lt;&gt;"",_xlfn.NORM.INV(RAND(),AB214,Index!$K$2),"")</f>
        <v/>
      </c>
      <c r="AE214" s="157" t="str">
        <f t="shared" si="25"/>
        <v>HOU</v>
      </c>
      <c r="AF214" s="158" t="str">
        <f t="shared" si="26"/>
        <v>ARI</v>
      </c>
      <c r="AG214" s="149">
        <f t="shared" si="27"/>
        <v>213</v>
      </c>
    </row>
    <row r="215" spans="1:33" x14ac:dyDescent="0.25">
      <c r="A215" s="9">
        <v>15</v>
      </c>
      <c r="B215" s="9" t="s">
        <v>661</v>
      </c>
      <c r="C215" s="148">
        <v>46005</v>
      </c>
      <c r="D215" s="9" t="s">
        <v>662</v>
      </c>
      <c r="E215" s="9" t="s">
        <v>36</v>
      </c>
      <c r="F215" s="9"/>
      <c r="G215" s="9" t="s">
        <v>23</v>
      </c>
      <c r="H215" s="9" t="s">
        <v>658</v>
      </c>
      <c r="I215" s="9">
        <v>48</v>
      </c>
      <c r="J215" s="9">
        <v>20</v>
      </c>
      <c r="K215" s="9">
        <v>438</v>
      </c>
      <c r="L215" s="9">
        <v>1</v>
      </c>
      <c r="M215" s="9">
        <v>284</v>
      </c>
      <c r="N215" s="9">
        <v>3</v>
      </c>
      <c r="O215" s="149" t="str">
        <f>IF(I215&lt;&gt;"",IF(I215=J215,"TIE",INDEX(Index!$F$1:$F$32,MATCH(E215,Index!$E$1:$E$32,0))),INDEX(Index!$F$1:$F$32,MATCH(E215,Index!$E$1:$E$32,0)))</f>
        <v>JAX</v>
      </c>
      <c r="P215" s="150" t="str">
        <f>IF(I215&lt;&gt;"",IF(I215=J215,"TIE",INDEX(Index!$F$1:$F$32,MATCH(G215,Index!$E$1:$E$32,0))),INDEX(Index!$F$1:$F$32,MATCH(G215,Index!$E$1:$E$32,0)))</f>
        <v>NYJ</v>
      </c>
      <c r="Q215" s="155" t="str">
        <f>IF(O215="TIE",INDEX(Index!$F$1:$F$32,MATCH(E215,Index!$E$1:$E$32,0)),"")</f>
        <v/>
      </c>
      <c r="R215" s="155" t="str">
        <f>IF(P215="TIE",INDEX(Index!$F$1:$F$32,MATCH(G215,Index!$E$1:$E$32,0)),"")</f>
        <v/>
      </c>
      <c r="S215" s="151" t="str">
        <f t="shared" si="21"/>
        <v>H</v>
      </c>
      <c r="T215" s="156" t="str">
        <f>INDEX(Index!$H$1:$H$32,MATCH($E215,Index!$E$1:$E$32,0))</f>
        <v>AS</v>
      </c>
      <c r="U215" s="156" t="str">
        <f>INDEX(Index!$H$1:$H$32,MATCH($G215,Index!$E$1:$E$32,0))</f>
        <v>AE</v>
      </c>
      <c r="V215" s="156" t="str">
        <f t="shared" si="22"/>
        <v>Con</v>
      </c>
      <c r="W215" s="152" t="str">
        <f t="shared" si="23"/>
        <v>Y</v>
      </c>
      <c r="X215" s="149" t="str">
        <f>INDEX(Index!$G$1:$G$32,MATCH(E215,Index!$E$1:$E$32,0))</f>
        <v>JAX</v>
      </c>
      <c r="Y215" s="150" t="str">
        <f>INDEX(Index!$G$1:$G$32,MATCH(G215,Index!$E$1:$E$32,0))</f>
        <v>NYJ</v>
      </c>
      <c r="Z215" s="147" t="str">
        <f t="shared" si="24"/>
        <v/>
      </c>
      <c r="AA215" s="174" t="str" cm="1">
        <f t="array" ref="AA215">IFERROR(IF($W215="Y","",INDEX(EPA!$N$2:$N$512,MATCH(X215&amp;Index!$K$1,EPA!$A$2:$A$512&amp;EPA!$W$2:$W$512,0))),"")</f>
        <v/>
      </c>
      <c r="AB215" s="174" t="str" cm="1">
        <f t="array" ref="AB215">IFERROR(IF($W215="Y","",INDEX(EPA!$N$2:$N$512,MATCH(Y215&amp;Index!$K$1,EPA!$A$2:$A$512&amp;EPA!$W$2:$W$512,0))),"")</f>
        <v/>
      </c>
      <c r="AC215" s="174" t="str">
        <f ca="1">IF(AA215&lt;&gt;"",_xlfn.NORM.INV(RAND(),AA215,Index!$K$2),"")</f>
        <v/>
      </c>
      <c r="AD215" s="174" t="str">
        <f ca="1">IF(AB215&lt;&gt;"",_xlfn.NORM.INV(RAND(),AB215,Index!$K$2),"")</f>
        <v/>
      </c>
      <c r="AE215" s="157" t="str">
        <f t="shared" si="25"/>
        <v>JAX</v>
      </c>
      <c r="AF215" s="158" t="str">
        <f t="shared" si="26"/>
        <v>NYJ</v>
      </c>
      <c r="AG215" s="149">
        <f t="shared" si="27"/>
        <v>214</v>
      </c>
    </row>
    <row r="216" spans="1:33" x14ac:dyDescent="0.25">
      <c r="A216" s="9">
        <v>15</v>
      </c>
      <c r="B216" s="9" t="s">
        <v>661</v>
      </c>
      <c r="C216" s="148">
        <v>46005</v>
      </c>
      <c r="D216" s="9" t="s">
        <v>662</v>
      </c>
      <c r="E216" s="9" t="s">
        <v>68</v>
      </c>
      <c r="F216" s="9" t="s">
        <v>663</v>
      </c>
      <c r="G216" s="9" t="s">
        <v>16</v>
      </c>
      <c r="H216" s="9" t="s">
        <v>658</v>
      </c>
      <c r="I216" s="9">
        <v>16</v>
      </c>
      <c r="J216" s="9">
        <v>13</v>
      </c>
      <c r="K216" s="9">
        <v>295</v>
      </c>
      <c r="L216" s="9">
        <v>1</v>
      </c>
      <c r="M216" s="9">
        <v>239</v>
      </c>
      <c r="N216" s="9">
        <v>2</v>
      </c>
      <c r="O216" s="149" t="str">
        <f>IF(I216&lt;&gt;"",IF(I216=J216,"TIE",INDEX(Index!$F$1:$F$32,MATCH(E216,Index!$E$1:$E$32,0))),INDEX(Index!$F$1:$F$32,MATCH(E216,Index!$E$1:$E$32,0)))</f>
        <v>LAC</v>
      </c>
      <c r="P216" s="150" t="str">
        <f>IF(I216&lt;&gt;"",IF(I216=J216,"TIE",INDEX(Index!$F$1:$F$32,MATCH(G216,Index!$E$1:$E$32,0))),INDEX(Index!$F$1:$F$32,MATCH(G216,Index!$E$1:$E$32,0)))</f>
        <v>KC</v>
      </c>
      <c r="Q216" s="155" t="str">
        <f>IF(O216="TIE",INDEX(Index!$F$1:$F$32,MATCH(E216,Index!$E$1:$E$32,0)),"")</f>
        <v/>
      </c>
      <c r="R216" s="155" t="str">
        <f>IF(P216="TIE",INDEX(Index!$F$1:$F$32,MATCH(G216,Index!$E$1:$E$32,0)),"")</f>
        <v/>
      </c>
      <c r="S216" s="151" t="str">
        <f t="shared" si="21"/>
        <v>A</v>
      </c>
      <c r="T216" s="156" t="str">
        <f>INDEX(Index!$H$1:$H$32,MATCH($E216,Index!$E$1:$E$32,0))</f>
        <v>AW</v>
      </c>
      <c r="U216" s="156" t="str">
        <f>INDEX(Index!$H$1:$H$32,MATCH($G216,Index!$E$1:$E$32,0))</f>
        <v>AW</v>
      </c>
      <c r="V216" s="156" t="str">
        <f t="shared" si="22"/>
        <v>Div</v>
      </c>
      <c r="W216" s="152" t="str">
        <f t="shared" si="23"/>
        <v>Y</v>
      </c>
      <c r="X216" s="149" t="str">
        <f>INDEX(Index!$G$1:$G$32,MATCH(E216,Index!$E$1:$E$32,0))</f>
        <v>LAC</v>
      </c>
      <c r="Y216" s="150" t="str">
        <f>INDEX(Index!$G$1:$G$32,MATCH(G216,Index!$E$1:$E$32,0))</f>
        <v>KC</v>
      </c>
      <c r="Z216" s="147" t="str">
        <f t="shared" si="24"/>
        <v/>
      </c>
      <c r="AA216" s="174" t="str" cm="1">
        <f t="array" ref="AA216">IFERROR(IF($W216="Y","",INDEX(EPA!$N$2:$N$512,MATCH(X216&amp;Index!$K$1,EPA!$A$2:$A$512&amp;EPA!$W$2:$W$512,0))),"")</f>
        <v/>
      </c>
      <c r="AB216" s="174" t="str" cm="1">
        <f t="array" ref="AB216">IFERROR(IF($W216="Y","",INDEX(EPA!$N$2:$N$512,MATCH(Y216&amp;Index!$K$1,EPA!$A$2:$A$512&amp;EPA!$W$2:$W$512,0))),"")</f>
        <v/>
      </c>
      <c r="AC216" s="174" t="str">
        <f ca="1">IF(AA216&lt;&gt;"",_xlfn.NORM.INV(RAND(),AA216,Index!$K$2),"")</f>
        <v/>
      </c>
      <c r="AD216" s="174" t="str">
        <f ca="1">IF(AB216&lt;&gt;"",_xlfn.NORM.INV(RAND(),AB216,Index!$K$2),"")</f>
        <v/>
      </c>
      <c r="AE216" s="157" t="str">
        <f t="shared" si="25"/>
        <v>LAC</v>
      </c>
      <c r="AF216" s="158" t="str">
        <f t="shared" si="26"/>
        <v>KC</v>
      </c>
      <c r="AG216" s="149">
        <f t="shared" si="27"/>
        <v>215</v>
      </c>
    </row>
    <row r="217" spans="1:33" x14ac:dyDescent="0.25">
      <c r="A217" s="9">
        <v>15</v>
      </c>
      <c r="B217" s="9" t="s">
        <v>661</v>
      </c>
      <c r="C217" s="148">
        <v>46005</v>
      </c>
      <c r="D217" s="9" t="s">
        <v>662</v>
      </c>
      <c r="E217" s="9" t="s">
        <v>4</v>
      </c>
      <c r="F217" s="9" t="s">
        <v>663</v>
      </c>
      <c r="G217" s="9" t="s">
        <v>49</v>
      </c>
      <c r="H217" s="9" t="s">
        <v>658</v>
      </c>
      <c r="I217" s="9">
        <v>29</v>
      </c>
      <c r="J217" s="9">
        <v>21</v>
      </c>
      <c r="K217" s="9">
        <v>340</v>
      </c>
      <c r="L217" s="9">
        <v>2</v>
      </c>
      <c r="M217" s="9">
        <v>384</v>
      </c>
      <c r="N217" s="9">
        <v>1</v>
      </c>
      <c r="O217" s="149" t="str">
        <f>IF(I217&lt;&gt;"",IF(I217=J217,"TIE",INDEX(Index!$F$1:$F$32,MATCH(E217,Index!$E$1:$E$32,0))),INDEX(Index!$F$1:$F$32,MATCH(E217,Index!$E$1:$E$32,0)))</f>
        <v>WAS</v>
      </c>
      <c r="P217" s="150" t="str">
        <f>IF(I217&lt;&gt;"",IF(I217=J217,"TIE",INDEX(Index!$F$1:$F$32,MATCH(G217,Index!$E$1:$E$32,0))),INDEX(Index!$F$1:$F$32,MATCH(G217,Index!$E$1:$E$32,0)))</f>
        <v>NYG</v>
      </c>
      <c r="Q217" s="155" t="str">
        <f>IF(O217="TIE",INDEX(Index!$F$1:$F$32,MATCH(E217,Index!$E$1:$E$32,0)),"")</f>
        <v/>
      </c>
      <c r="R217" s="155" t="str">
        <f>IF(P217="TIE",INDEX(Index!$F$1:$F$32,MATCH(G217,Index!$E$1:$E$32,0)),"")</f>
        <v/>
      </c>
      <c r="S217" s="151" t="str">
        <f t="shared" si="21"/>
        <v>A</v>
      </c>
      <c r="T217" s="156" t="str">
        <f>INDEX(Index!$H$1:$H$32,MATCH($E217,Index!$E$1:$E$32,0))</f>
        <v>NE</v>
      </c>
      <c r="U217" s="156" t="str">
        <f>INDEX(Index!$H$1:$H$32,MATCH($G217,Index!$E$1:$E$32,0))</f>
        <v>NE</v>
      </c>
      <c r="V217" s="156" t="str">
        <f t="shared" si="22"/>
        <v>Div</v>
      </c>
      <c r="W217" s="152" t="str">
        <f t="shared" si="23"/>
        <v>Y</v>
      </c>
      <c r="X217" s="149" t="str">
        <f>INDEX(Index!$G$1:$G$32,MATCH(E217,Index!$E$1:$E$32,0))</f>
        <v>WAS</v>
      </c>
      <c r="Y217" s="150" t="str">
        <f>INDEX(Index!$G$1:$G$32,MATCH(G217,Index!$E$1:$E$32,0))</f>
        <v>NYG</v>
      </c>
      <c r="Z217" s="147" t="str">
        <f t="shared" si="24"/>
        <v/>
      </c>
      <c r="AA217" s="174" t="str" cm="1">
        <f t="array" ref="AA217">IFERROR(IF($W217="Y","",INDEX(EPA!$N$2:$N$512,MATCH(X217&amp;Index!$K$1,EPA!$A$2:$A$512&amp;EPA!$W$2:$W$512,0))),"")</f>
        <v/>
      </c>
      <c r="AB217" s="174" t="str" cm="1">
        <f t="array" ref="AB217">IFERROR(IF($W217="Y","",INDEX(EPA!$N$2:$N$512,MATCH(Y217&amp;Index!$K$1,EPA!$A$2:$A$512&amp;EPA!$W$2:$W$512,0))),"")</f>
        <v/>
      </c>
      <c r="AC217" s="174" t="str">
        <f ca="1">IF(AA217&lt;&gt;"",_xlfn.NORM.INV(RAND(),AA217,Index!$K$2),"")</f>
        <v/>
      </c>
      <c r="AD217" s="174" t="str">
        <f ca="1">IF(AB217&lt;&gt;"",_xlfn.NORM.INV(RAND(),AB217,Index!$K$2),"")</f>
        <v/>
      </c>
      <c r="AE217" s="157" t="str">
        <f t="shared" si="25"/>
        <v>WAS</v>
      </c>
      <c r="AF217" s="158" t="str">
        <f t="shared" si="26"/>
        <v>NYG</v>
      </c>
      <c r="AG217" s="149">
        <f t="shared" si="27"/>
        <v>216</v>
      </c>
    </row>
    <row r="218" spans="1:33" x14ac:dyDescent="0.25">
      <c r="A218" s="9">
        <v>15</v>
      </c>
      <c r="B218" s="9" t="s">
        <v>661</v>
      </c>
      <c r="C218" s="148">
        <v>46005</v>
      </c>
      <c r="D218" s="9" t="s">
        <v>662</v>
      </c>
      <c r="E218" s="9" t="s">
        <v>92</v>
      </c>
      <c r="F218" s="9"/>
      <c r="G218" s="9" t="s">
        <v>80</v>
      </c>
      <c r="H218" s="9" t="s">
        <v>658</v>
      </c>
      <c r="I218" s="9">
        <v>31</v>
      </c>
      <c r="J218" s="9">
        <v>0</v>
      </c>
      <c r="K218" s="9">
        <v>387</v>
      </c>
      <c r="L218" s="9">
        <v>0</v>
      </c>
      <c r="M218" s="9">
        <v>75</v>
      </c>
      <c r="N218" s="9">
        <v>1</v>
      </c>
      <c r="O218" s="149" t="str">
        <f>IF(I218&lt;&gt;"",IF(I218=J218,"TIE",INDEX(Index!$F$1:$F$32,MATCH(E218,Index!$E$1:$E$32,0))),INDEX(Index!$F$1:$F$32,MATCH(E218,Index!$E$1:$E$32,0)))</f>
        <v>PHI</v>
      </c>
      <c r="P218" s="150" t="str">
        <f>IF(I218&lt;&gt;"",IF(I218=J218,"TIE",INDEX(Index!$F$1:$F$32,MATCH(G218,Index!$E$1:$E$32,0))),INDEX(Index!$F$1:$F$32,MATCH(G218,Index!$E$1:$E$32,0)))</f>
        <v>LV</v>
      </c>
      <c r="Q218" s="155" t="str">
        <f>IF(O218="TIE",INDEX(Index!$F$1:$F$32,MATCH(E218,Index!$E$1:$E$32,0)),"")</f>
        <v/>
      </c>
      <c r="R218" s="155" t="str">
        <f>IF(P218="TIE",INDEX(Index!$F$1:$F$32,MATCH(G218,Index!$E$1:$E$32,0)),"")</f>
        <v/>
      </c>
      <c r="S218" s="151" t="str">
        <f t="shared" si="21"/>
        <v>H</v>
      </c>
      <c r="T218" s="156" t="str">
        <f>INDEX(Index!$H$1:$H$32,MATCH($E218,Index!$E$1:$E$32,0))</f>
        <v>NE</v>
      </c>
      <c r="U218" s="156" t="str">
        <f>INDEX(Index!$H$1:$H$32,MATCH($G218,Index!$E$1:$E$32,0))</f>
        <v>AW</v>
      </c>
      <c r="V218" s="156" t="str">
        <f t="shared" si="22"/>
        <v>Non</v>
      </c>
      <c r="W218" s="152" t="str">
        <f t="shared" si="23"/>
        <v>Y</v>
      </c>
      <c r="X218" s="149" t="str">
        <f>INDEX(Index!$G$1:$G$32,MATCH(E218,Index!$E$1:$E$32,0))</f>
        <v>PHI</v>
      </c>
      <c r="Y218" s="150" t="str">
        <f>INDEX(Index!$G$1:$G$32,MATCH(G218,Index!$E$1:$E$32,0))</f>
        <v>OAK</v>
      </c>
      <c r="Z218" s="147" t="str">
        <f t="shared" si="24"/>
        <v/>
      </c>
      <c r="AA218" s="174" t="str" cm="1">
        <f t="array" ref="AA218">IFERROR(IF($W218="Y","",INDEX(EPA!$N$2:$N$512,MATCH(X218&amp;Index!$K$1,EPA!$A$2:$A$512&amp;EPA!$W$2:$W$512,0))),"")</f>
        <v/>
      </c>
      <c r="AB218" s="174" t="str" cm="1">
        <f t="array" ref="AB218">IFERROR(IF($W218="Y","",INDEX(EPA!$N$2:$N$512,MATCH(Y218&amp;Index!$K$1,EPA!$A$2:$A$512&amp;EPA!$W$2:$W$512,0))),"")</f>
        <v/>
      </c>
      <c r="AC218" s="174" t="str">
        <f ca="1">IF(AA218&lt;&gt;"",_xlfn.NORM.INV(RAND(),AA218,Index!$K$2),"")</f>
        <v/>
      </c>
      <c r="AD218" s="174" t="str">
        <f ca="1">IF(AB218&lt;&gt;"",_xlfn.NORM.INV(RAND(),AB218,Index!$K$2),"")</f>
        <v/>
      </c>
      <c r="AE218" s="157" t="str">
        <f t="shared" si="25"/>
        <v>PHI</v>
      </c>
      <c r="AF218" s="158" t="str">
        <f t="shared" si="26"/>
        <v>LV</v>
      </c>
      <c r="AG218" s="149">
        <f t="shared" si="27"/>
        <v>217</v>
      </c>
    </row>
    <row r="219" spans="1:33" x14ac:dyDescent="0.25">
      <c r="A219" s="9">
        <v>15</v>
      </c>
      <c r="B219" s="9" t="s">
        <v>661</v>
      </c>
      <c r="C219" s="148">
        <v>46005</v>
      </c>
      <c r="D219" s="9" t="s">
        <v>665</v>
      </c>
      <c r="E219" s="9" t="s">
        <v>71</v>
      </c>
      <c r="F219" s="9"/>
      <c r="G219" s="9" t="s">
        <v>12</v>
      </c>
      <c r="H219" s="9" t="s">
        <v>658</v>
      </c>
      <c r="I219" s="9">
        <v>20</v>
      </c>
      <c r="J219" s="9">
        <v>17</v>
      </c>
      <c r="K219" s="9">
        <v>337</v>
      </c>
      <c r="L219" s="9">
        <v>0</v>
      </c>
      <c r="M219" s="9">
        <v>281</v>
      </c>
      <c r="N219" s="9">
        <v>1</v>
      </c>
      <c r="O219" s="149" t="str">
        <f>IF(I219&lt;&gt;"",IF(I219=J219,"TIE",INDEX(Index!$F$1:$F$32,MATCH(E219,Index!$E$1:$E$32,0))),INDEX(Index!$F$1:$F$32,MATCH(E219,Index!$E$1:$E$32,0)))</f>
        <v>NO</v>
      </c>
      <c r="P219" s="150" t="str">
        <f>IF(I219&lt;&gt;"",IF(I219=J219,"TIE",INDEX(Index!$F$1:$F$32,MATCH(G219,Index!$E$1:$E$32,0))),INDEX(Index!$F$1:$F$32,MATCH(G219,Index!$E$1:$E$32,0)))</f>
        <v>CAR</v>
      </c>
      <c r="Q219" s="155" t="str">
        <f>IF(O219="TIE",INDEX(Index!$F$1:$F$32,MATCH(E219,Index!$E$1:$E$32,0)),"")</f>
        <v/>
      </c>
      <c r="R219" s="155" t="str">
        <f>IF(P219="TIE",INDEX(Index!$F$1:$F$32,MATCH(G219,Index!$E$1:$E$32,0)),"")</f>
        <v/>
      </c>
      <c r="S219" s="151" t="str">
        <f t="shared" si="21"/>
        <v>H</v>
      </c>
      <c r="T219" s="156" t="str">
        <f>INDEX(Index!$H$1:$H$32,MATCH($E219,Index!$E$1:$E$32,0))</f>
        <v>NS</v>
      </c>
      <c r="U219" s="156" t="str">
        <f>INDEX(Index!$H$1:$H$32,MATCH($G219,Index!$E$1:$E$32,0))</f>
        <v>NS</v>
      </c>
      <c r="V219" s="156" t="str">
        <f t="shared" si="22"/>
        <v>Div</v>
      </c>
      <c r="W219" s="152" t="str">
        <f t="shared" si="23"/>
        <v>Y</v>
      </c>
      <c r="X219" s="149" t="str">
        <f>INDEX(Index!$G$1:$G$32,MATCH(E219,Index!$E$1:$E$32,0))</f>
        <v>NO</v>
      </c>
      <c r="Y219" s="150" t="str">
        <f>INDEX(Index!$G$1:$G$32,MATCH(G219,Index!$E$1:$E$32,0))</f>
        <v>CAR</v>
      </c>
      <c r="Z219" s="147" t="str">
        <f t="shared" si="24"/>
        <v/>
      </c>
      <c r="AA219" s="174" t="str" cm="1">
        <f t="array" ref="AA219">IFERROR(IF($W219="Y","",INDEX(EPA!$N$2:$N$512,MATCH(X219&amp;Index!$K$1,EPA!$A$2:$A$512&amp;EPA!$W$2:$W$512,0))),"")</f>
        <v/>
      </c>
      <c r="AB219" s="174" t="str" cm="1">
        <f t="array" ref="AB219">IFERROR(IF($W219="Y","",INDEX(EPA!$N$2:$N$512,MATCH(Y219&amp;Index!$K$1,EPA!$A$2:$A$512&amp;EPA!$W$2:$W$512,0))),"")</f>
        <v/>
      </c>
      <c r="AC219" s="174" t="str">
        <f ca="1">IF(AA219&lt;&gt;"",_xlfn.NORM.INV(RAND(),AA219,Index!$K$2),"")</f>
        <v/>
      </c>
      <c r="AD219" s="174" t="str">
        <f ca="1">IF(AB219&lt;&gt;"",_xlfn.NORM.INV(RAND(),AB219,Index!$K$2),"")</f>
        <v/>
      </c>
      <c r="AE219" s="157" t="str">
        <f t="shared" si="25"/>
        <v>NO</v>
      </c>
      <c r="AF219" s="158" t="str">
        <f t="shared" si="26"/>
        <v>CAR</v>
      </c>
      <c r="AG219" s="149">
        <f t="shared" si="27"/>
        <v>218</v>
      </c>
    </row>
    <row r="220" spans="1:33" x14ac:dyDescent="0.25">
      <c r="A220" s="9">
        <v>15</v>
      </c>
      <c r="B220" s="9" t="s">
        <v>661</v>
      </c>
      <c r="C220" s="148">
        <v>46005</v>
      </c>
      <c r="D220" s="9" t="s">
        <v>665</v>
      </c>
      <c r="E220" s="9" t="s">
        <v>8</v>
      </c>
      <c r="F220" s="9"/>
      <c r="G220" s="9" t="s">
        <v>42</v>
      </c>
      <c r="H220" s="9" t="s">
        <v>658</v>
      </c>
      <c r="I220" s="9">
        <v>18</v>
      </c>
      <c r="J220" s="9">
        <v>16</v>
      </c>
      <c r="K220" s="9">
        <v>314</v>
      </c>
      <c r="L220" s="9">
        <v>0</v>
      </c>
      <c r="M220" s="9">
        <v>220</v>
      </c>
      <c r="N220" s="9">
        <v>1</v>
      </c>
      <c r="O220" s="149" t="str">
        <f>IF(I220&lt;&gt;"",IF(I220=J220,"TIE",INDEX(Index!$F$1:$F$32,MATCH(E220,Index!$E$1:$E$32,0))),INDEX(Index!$F$1:$F$32,MATCH(E220,Index!$E$1:$E$32,0)))</f>
        <v>SEA</v>
      </c>
      <c r="P220" s="150" t="str">
        <f>IF(I220&lt;&gt;"",IF(I220=J220,"TIE",INDEX(Index!$F$1:$F$32,MATCH(G220,Index!$E$1:$E$32,0))),INDEX(Index!$F$1:$F$32,MATCH(G220,Index!$E$1:$E$32,0)))</f>
        <v>IND</v>
      </c>
      <c r="Q220" s="155" t="str">
        <f>IF(O220="TIE",INDEX(Index!$F$1:$F$32,MATCH(E220,Index!$E$1:$E$32,0)),"")</f>
        <v/>
      </c>
      <c r="R220" s="155" t="str">
        <f>IF(P220="TIE",INDEX(Index!$F$1:$F$32,MATCH(G220,Index!$E$1:$E$32,0)),"")</f>
        <v/>
      </c>
      <c r="S220" s="151" t="str">
        <f t="shared" si="21"/>
        <v>H</v>
      </c>
      <c r="T220" s="156" t="str">
        <f>INDEX(Index!$H$1:$H$32,MATCH($E220,Index!$E$1:$E$32,0))</f>
        <v>NW</v>
      </c>
      <c r="U220" s="156" t="str">
        <f>INDEX(Index!$H$1:$H$32,MATCH($G220,Index!$E$1:$E$32,0))</f>
        <v>AS</v>
      </c>
      <c r="V220" s="156" t="str">
        <f t="shared" si="22"/>
        <v>Non</v>
      </c>
      <c r="W220" s="152" t="str">
        <f t="shared" si="23"/>
        <v>Y</v>
      </c>
      <c r="X220" s="149" t="str">
        <f>INDEX(Index!$G$1:$G$32,MATCH(E220,Index!$E$1:$E$32,0))</f>
        <v>SEA</v>
      </c>
      <c r="Y220" s="150" t="str">
        <f>INDEX(Index!$G$1:$G$32,MATCH(G220,Index!$E$1:$E$32,0))</f>
        <v>IND</v>
      </c>
      <c r="Z220" s="147" t="str">
        <f t="shared" si="24"/>
        <v/>
      </c>
      <c r="AA220" s="174" t="str" cm="1">
        <f t="array" ref="AA220">IFERROR(IF($W220="Y","",INDEX(EPA!$N$2:$N$512,MATCH(X220&amp;Index!$K$1,EPA!$A$2:$A$512&amp;EPA!$W$2:$W$512,0))),"")</f>
        <v/>
      </c>
      <c r="AB220" s="174" t="str" cm="1">
        <f t="array" ref="AB220">IFERROR(IF($W220="Y","",INDEX(EPA!$N$2:$N$512,MATCH(Y220&amp;Index!$K$1,EPA!$A$2:$A$512&amp;EPA!$W$2:$W$512,0))),"")</f>
        <v/>
      </c>
      <c r="AC220" s="174" t="str">
        <f ca="1">IF(AA220&lt;&gt;"",_xlfn.NORM.INV(RAND(),AA220,Index!$K$2),"")</f>
        <v/>
      </c>
      <c r="AD220" s="174" t="str">
        <f ca="1">IF(AB220&lt;&gt;"",_xlfn.NORM.INV(RAND(),AB220,Index!$K$2),"")</f>
        <v/>
      </c>
      <c r="AE220" s="157" t="str">
        <f t="shared" si="25"/>
        <v>SEA</v>
      </c>
      <c r="AF220" s="158" t="str">
        <f t="shared" si="26"/>
        <v>IND</v>
      </c>
      <c r="AG220" s="149">
        <f t="shared" si="27"/>
        <v>219</v>
      </c>
    </row>
    <row r="221" spans="1:33" x14ac:dyDescent="0.25">
      <c r="A221" s="9">
        <v>15</v>
      </c>
      <c r="B221" s="9" t="s">
        <v>661</v>
      </c>
      <c r="C221" s="148">
        <v>46005</v>
      </c>
      <c r="D221" s="9" t="s">
        <v>665</v>
      </c>
      <c r="E221" s="9" t="s">
        <v>94</v>
      </c>
      <c r="F221" s="9"/>
      <c r="G221" s="9" t="s">
        <v>88</v>
      </c>
      <c r="H221" s="9" t="s">
        <v>658</v>
      </c>
      <c r="I221" s="9">
        <v>34</v>
      </c>
      <c r="J221" s="9">
        <v>26</v>
      </c>
      <c r="K221" s="9">
        <v>391</v>
      </c>
      <c r="L221" s="9">
        <v>1</v>
      </c>
      <c r="M221" s="9">
        <v>362</v>
      </c>
      <c r="N221" s="9">
        <v>2</v>
      </c>
      <c r="O221" s="149" t="str">
        <f>IF(I221&lt;&gt;"",IF(I221=J221,"TIE",INDEX(Index!$F$1:$F$32,MATCH(E221,Index!$E$1:$E$32,0))),INDEX(Index!$F$1:$F$32,MATCH(E221,Index!$E$1:$E$32,0)))</f>
        <v>DEN</v>
      </c>
      <c r="P221" s="150" t="str">
        <f>IF(I221&lt;&gt;"",IF(I221=J221,"TIE",INDEX(Index!$F$1:$F$32,MATCH(G221,Index!$E$1:$E$32,0))),INDEX(Index!$F$1:$F$32,MATCH(G221,Index!$E$1:$E$32,0)))</f>
        <v>GB</v>
      </c>
      <c r="Q221" s="155" t="str">
        <f>IF(O221="TIE",INDEX(Index!$F$1:$F$32,MATCH(E221,Index!$E$1:$E$32,0)),"")</f>
        <v/>
      </c>
      <c r="R221" s="155" t="str">
        <f>IF(P221="TIE",INDEX(Index!$F$1:$F$32,MATCH(G221,Index!$E$1:$E$32,0)),"")</f>
        <v/>
      </c>
      <c r="S221" s="151" t="str">
        <f t="shared" si="21"/>
        <v>H</v>
      </c>
      <c r="T221" s="156" t="str">
        <f>INDEX(Index!$H$1:$H$32,MATCH($E221,Index!$E$1:$E$32,0))</f>
        <v>AW</v>
      </c>
      <c r="U221" s="156" t="str">
        <f>INDEX(Index!$H$1:$H$32,MATCH($G221,Index!$E$1:$E$32,0))</f>
        <v>NN</v>
      </c>
      <c r="V221" s="156" t="str">
        <f t="shared" si="22"/>
        <v>Non</v>
      </c>
      <c r="W221" s="152" t="str">
        <f t="shared" si="23"/>
        <v>Y</v>
      </c>
      <c r="X221" s="149" t="str">
        <f>INDEX(Index!$G$1:$G$32,MATCH(E221,Index!$E$1:$E$32,0))</f>
        <v>DEN</v>
      </c>
      <c r="Y221" s="150" t="str">
        <f>INDEX(Index!$G$1:$G$32,MATCH(G221,Index!$E$1:$E$32,0))</f>
        <v>GB</v>
      </c>
      <c r="Z221" s="147" t="str">
        <f t="shared" si="24"/>
        <v/>
      </c>
      <c r="AA221" s="174" t="str" cm="1">
        <f t="array" ref="AA221">IFERROR(IF($W221="Y","",INDEX(EPA!$N$2:$N$512,MATCH(X221&amp;Index!$K$1,EPA!$A$2:$A$512&amp;EPA!$W$2:$W$512,0))),"")</f>
        <v/>
      </c>
      <c r="AB221" s="174" t="str" cm="1">
        <f t="array" ref="AB221">IFERROR(IF($W221="Y","",INDEX(EPA!$N$2:$N$512,MATCH(Y221&amp;Index!$K$1,EPA!$A$2:$A$512&amp;EPA!$W$2:$W$512,0))),"")</f>
        <v/>
      </c>
      <c r="AC221" s="174" t="str">
        <f ca="1">IF(AA221&lt;&gt;"",_xlfn.NORM.INV(RAND(),AA221,Index!$K$2),"")</f>
        <v/>
      </c>
      <c r="AD221" s="174" t="str">
        <f ca="1">IF(AB221&lt;&gt;"",_xlfn.NORM.INV(RAND(),AB221,Index!$K$2),"")</f>
        <v/>
      </c>
      <c r="AE221" s="157" t="str">
        <f t="shared" si="25"/>
        <v>DEN</v>
      </c>
      <c r="AF221" s="158" t="str">
        <f t="shared" si="26"/>
        <v>GB</v>
      </c>
      <c r="AG221" s="149">
        <f t="shared" si="27"/>
        <v>220</v>
      </c>
    </row>
    <row r="222" spans="1:33" x14ac:dyDescent="0.25">
      <c r="A222" s="9">
        <v>15</v>
      </c>
      <c r="B222" s="9" t="s">
        <v>661</v>
      </c>
      <c r="C222" s="148">
        <v>46005</v>
      </c>
      <c r="D222" s="9" t="s">
        <v>665</v>
      </c>
      <c r="E222" s="9" t="s">
        <v>90</v>
      </c>
      <c r="F222" s="9"/>
      <c r="G222" s="9" t="s">
        <v>86</v>
      </c>
      <c r="H222" s="9" t="s">
        <v>658</v>
      </c>
      <c r="I222" s="9">
        <v>41</v>
      </c>
      <c r="J222" s="9">
        <v>34</v>
      </c>
      <c r="K222" s="9">
        <v>519</v>
      </c>
      <c r="L222" s="9">
        <v>1</v>
      </c>
      <c r="M222" s="9">
        <v>396</v>
      </c>
      <c r="N222" s="9">
        <v>0</v>
      </c>
      <c r="O222" s="149" t="str">
        <f>IF(I222&lt;&gt;"",IF(I222=J222,"TIE",INDEX(Index!$F$1:$F$32,MATCH(E222,Index!$E$1:$E$32,0))),INDEX(Index!$F$1:$F$32,MATCH(E222,Index!$E$1:$E$32,0)))</f>
        <v>LAR</v>
      </c>
      <c r="P222" s="150" t="str">
        <f>IF(I222&lt;&gt;"",IF(I222=J222,"TIE",INDEX(Index!$F$1:$F$32,MATCH(G222,Index!$E$1:$E$32,0))),INDEX(Index!$F$1:$F$32,MATCH(G222,Index!$E$1:$E$32,0)))</f>
        <v>DET</v>
      </c>
      <c r="Q222" s="155" t="str">
        <f>IF(O222="TIE",INDEX(Index!$F$1:$F$32,MATCH(E222,Index!$E$1:$E$32,0)),"")</f>
        <v/>
      </c>
      <c r="R222" s="155" t="str">
        <f>IF(P222="TIE",INDEX(Index!$F$1:$F$32,MATCH(G222,Index!$E$1:$E$32,0)),"")</f>
        <v/>
      </c>
      <c r="S222" s="151" t="str">
        <f t="shared" si="21"/>
        <v>H</v>
      </c>
      <c r="T222" s="156" t="str">
        <f>INDEX(Index!$H$1:$H$32,MATCH($E222,Index!$E$1:$E$32,0))</f>
        <v>NW</v>
      </c>
      <c r="U222" s="156" t="str">
        <f>INDEX(Index!$H$1:$H$32,MATCH($G222,Index!$E$1:$E$32,0))</f>
        <v>NN</v>
      </c>
      <c r="V222" s="156" t="str">
        <f t="shared" si="22"/>
        <v>Con</v>
      </c>
      <c r="W222" s="152" t="str">
        <f t="shared" si="23"/>
        <v>Y</v>
      </c>
      <c r="X222" s="149" t="str">
        <f>INDEX(Index!$G$1:$G$32,MATCH(E222,Index!$E$1:$E$32,0))</f>
        <v>LAR</v>
      </c>
      <c r="Y222" s="150" t="str">
        <f>INDEX(Index!$G$1:$G$32,MATCH(G222,Index!$E$1:$E$32,0))</f>
        <v>DET</v>
      </c>
      <c r="Z222" s="147" t="str">
        <f t="shared" si="24"/>
        <v/>
      </c>
      <c r="AA222" s="174" t="str" cm="1">
        <f t="array" ref="AA222">IFERROR(IF($W222="Y","",INDEX(EPA!$N$2:$N$512,MATCH(X222&amp;Index!$K$1,EPA!$A$2:$A$512&amp;EPA!$W$2:$W$512,0))),"")</f>
        <v/>
      </c>
      <c r="AB222" s="174" t="str" cm="1">
        <f t="array" ref="AB222">IFERROR(IF($W222="Y","",INDEX(EPA!$N$2:$N$512,MATCH(Y222&amp;Index!$K$1,EPA!$A$2:$A$512&amp;EPA!$W$2:$W$512,0))),"")</f>
        <v/>
      </c>
      <c r="AC222" s="174" t="str">
        <f ca="1">IF(AA222&lt;&gt;"",_xlfn.NORM.INV(RAND(),AA222,Index!$K$2),"")</f>
        <v/>
      </c>
      <c r="AD222" s="174" t="str">
        <f ca="1">IF(AB222&lt;&gt;"",_xlfn.NORM.INV(RAND(),AB222,Index!$K$2),"")</f>
        <v/>
      </c>
      <c r="AE222" s="157" t="str">
        <f t="shared" si="25"/>
        <v>LAR</v>
      </c>
      <c r="AF222" s="158" t="str">
        <f t="shared" si="26"/>
        <v>DET</v>
      </c>
      <c r="AG222" s="149">
        <f t="shared" si="27"/>
        <v>221</v>
      </c>
    </row>
    <row r="223" spans="1:33" x14ac:dyDescent="0.25">
      <c r="A223" s="9">
        <v>15</v>
      </c>
      <c r="B223" s="9" t="s">
        <v>661</v>
      </c>
      <c r="C223" s="148">
        <v>46005</v>
      </c>
      <c r="D223" s="9" t="s">
        <v>665</v>
      </c>
      <c r="E223" s="9" t="s">
        <v>30</v>
      </c>
      <c r="F223" s="9"/>
      <c r="G223" s="9" t="s">
        <v>19</v>
      </c>
      <c r="H223" s="9" t="s">
        <v>658</v>
      </c>
      <c r="I223" s="9">
        <v>37</v>
      </c>
      <c r="J223" s="9">
        <v>24</v>
      </c>
      <c r="K223" s="9">
        <v>430</v>
      </c>
      <c r="L223" s="9">
        <v>1</v>
      </c>
      <c r="M223" s="9">
        <v>306</v>
      </c>
      <c r="N223" s="9">
        <v>0</v>
      </c>
      <c r="O223" s="149" t="str">
        <f>IF(I223&lt;&gt;"",IF(I223=J223,"TIE",INDEX(Index!$F$1:$F$32,MATCH(E223,Index!$E$1:$E$32,0))),INDEX(Index!$F$1:$F$32,MATCH(E223,Index!$E$1:$E$32,0)))</f>
        <v>SF</v>
      </c>
      <c r="P223" s="150" t="str">
        <f>IF(I223&lt;&gt;"",IF(I223=J223,"TIE",INDEX(Index!$F$1:$F$32,MATCH(G223,Index!$E$1:$E$32,0))),INDEX(Index!$F$1:$F$32,MATCH(G223,Index!$E$1:$E$32,0)))</f>
        <v>TEN</v>
      </c>
      <c r="Q223" s="155" t="str">
        <f>IF(O223="TIE",INDEX(Index!$F$1:$F$32,MATCH(E223,Index!$E$1:$E$32,0)),"")</f>
        <v/>
      </c>
      <c r="R223" s="155" t="str">
        <f>IF(P223="TIE",INDEX(Index!$F$1:$F$32,MATCH(G223,Index!$E$1:$E$32,0)),"")</f>
        <v/>
      </c>
      <c r="S223" s="151" t="str">
        <f t="shared" si="21"/>
        <v>H</v>
      </c>
      <c r="T223" s="156" t="str">
        <f>INDEX(Index!$H$1:$H$32,MATCH($E223,Index!$E$1:$E$32,0))</f>
        <v>NW</v>
      </c>
      <c r="U223" s="156" t="str">
        <f>INDEX(Index!$H$1:$H$32,MATCH($G223,Index!$E$1:$E$32,0))</f>
        <v>AS</v>
      </c>
      <c r="V223" s="156" t="str">
        <f t="shared" si="22"/>
        <v>Non</v>
      </c>
      <c r="W223" s="152" t="str">
        <f t="shared" si="23"/>
        <v>Y</v>
      </c>
      <c r="X223" s="149" t="str">
        <f>INDEX(Index!$G$1:$G$32,MATCH(E223,Index!$E$1:$E$32,0))</f>
        <v>SF</v>
      </c>
      <c r="Y223" s="150" t="str">
        <f>INDEX(Index!$G$1:$G$32,MATCH(G223,Index!$E$1:$E$32,0))</f>
        <v>TEN</v>
      </c>
      <c r="Z223" s="147" t="str">
        <f t="shared" si="24"/>
        <v/>
      </c>
      <c r="AA223" s="174" t="str" cm="1">
        <f t="array" ref="AA223">IFERROR(IF($W223="Y","",INDEX(EPA!$N$2:$N$512,MATCH(X223&amp;Index!$K$1,EPA!$A$2:$A$512&amp;EPA!$W$2:$W$512,0))),"")</f>
        <v/>
      </c>
      <c r="AB223" s="174" t="str" cm="1">
        <f t="array" ref="AB223">IFERROR(IF($W223="Y","",INDEX(EPA!$N$2:$N$512,MATCH(Y223&amp;Index!$K$1,EPA!$A$2:$A$512&amp;EPA!$W$2:$W$512,0))),"")</f>
        <v/>
      </c>
      <c r="AC223" s="174" t="str">
        <f ca="1">IF(AA223&lt;&gt;"",_xlfn.NORM.INV(RAND(),AA223,Index!$K$2),"")</f>
        <v/>
      </c>
      <c r="AD223" s="174" t="str">
        <f ca="1">IF(AB223&lt;&gt;"",_xlfn.NORM.INV(RAND(),AB223,Index!$K$2),"")</f>
        <v/>
      </c>
      <c r="AE223" s="157" t="str">
        <f t="shared" si="25"/>
        <v>SF</v>
      </c>
      <c r="AF223" s="158" t="str">
        <f t="shared" si="26"/>
        <v>TEN</v>
      </c>
      <c r="AG223" s="149">
        <f t="shared" si="27"/>
        <v>222</v>
      </c>
    </row>
    <row r="224" spans="1:33" x14ac:dyDescent="0.25">
      <c r="A224" s="9">
        <v>15</v>
      </c>
      <c r="B224" s="9" t="s">
        <v>661</v>
      </c>
      <c r="C224" s="148">
        <v>46005</v>
      </c>
      <c r="D224" s="9" t="s">
        <v>657</v>
      </c>
      <c r="E224" s="9" t="s">
        <v>58</v>
      </c>
      <c r="F224" s="9" t="s">
        <v>663</v>
      </c>
      <c r="G224" s="9" t="s">
        <v>56</v>
      </c>
      <c r="H224" s="9" t="s">
        <v>658</v>
      </c>
      <c r="I224" s="9">
        <v>34</v>
      </c>
      <c r="J224" s="9">
        <v>26</v>
      </c>
      <c r="K224" s="9">
        <v>327</v>
      </c>
      <c r="L224" s="9">
        <v>1</v>
      </c>
      <c r="M224" s="9">
        <v>423</v>
      </c>
      <c r="N224" s="9">
        <v>0</v>
      </c>
      <c r="O224" s="149" t="str">
        <f>IF(I224&lt;&gt;"",IF(I224=J224,"TIE",INDEX(Index!$F$1:$F$32,MATCH(E224,Index!$E$1:$E$32,0))),INDEX(Index!$F$1:$F$32,MATCH(E224,Index!$E$1:$E$32,0)))</f>
        <v>MIN</v>
      </c>
      <c r="P224" s="150" t="str">
        <f>IF(I224&lt;&gt;"",IF(I224=J224,"TIE",INDEX(Index!$F$1:$F$32,MATCH(G224,Index!$E$1:$E$32,0))),INDEX(Index!$F$1:$F$32,MATCH(G224,Index!$E$1:$E$32,0)))</f>
        <v>DAL</v>
      </c>
      <c r="Q224" s="155" t="str">
        <f>IF(O224="TIE",INDEX(Index!$F$1:$F$32,MATCH(E224,Index!$E$1:$E$32,0)),"")</f>
        <v/>
      </c>
      <c r="R224" s="155" t="str">
        <f>IF(P224="TIE",INDEX(Index!$F$1:$F$32,MATCH(G224,Index!$E$1:$E$32,0)),"")</f>
        <v/>
      </c>
      <c r="S224" s="151" t="str">
        <f t="shared" si="21"/>
        <v>A</v>
      </c>
      <c r="T224" s="156" t="str">
        <f>INDEX(Index!$H$1:$H$32,MATCH($E224,Index!$E$1:$E$32,0))</f>
        <v>NN</v>
      </c>
      <c r="U224" s="156" t="str">
        <f>INDEX(Index!$H$1:$H$32,MATCH($G224,Index!$E$1:$E$32,0))</f>
        <v>NE</v>
      </c>
      <c r="V224" s="156" t="str">
        <f t="shared" si="22"/>
        <v>Con</v>
      </c>
      <c r="W224" s="152" t="str">
        <f t="shared" si="23"/>
        <v>Y</v>
      </c>
      <c r="X224" s="149" t="str">
        <f>INDEX(Index!$G$1:$G$32,MATCH(E224,Index!$E$1:$E$32,0))</f>
        <v>MIN</v>
      </c>
      <c r="Y224" s="150" t="str">
        <f>INDEX(Index!$G$1:$G$32,MATCH(G224,Index!$E$1:$E$32,0))</f>
        <v>DAL</v>
      </c>
      <c r="Z224" s="147" t="str">
        <f t="shared" si="24"/>
        <v/>
      </c>
      <c r="AA224" s="174" t="str" cm="1">
        <f t="array" ref="AA224">IFERROR(IF($W224="Y","",INDEX(EPA!$N$2:$N$512,MATCH(X224&amp;Index!$K$1,EPA!$A$2:$A$512&amp;EPA!$W$2:$W$512,0))),"")</f>
        <v/>
      </c>
      <c r="AB224" s="174" t="str" cm="1">
        <f t="array" ref="AB224">IFERROR(IF($W224="Y","",INDEX(EPA!$N$2:$N$512,MATCH(Y224&amp;Index!$K$1,EPA!$A$2:$A$512&amp;EPA!$W$2:$W$512,0))),"")</f>
        <v/>
      </c>
      <c r="AC224" s="174" t="str">
        <f ca="1">IF(AA224&lt;&gt;"",_xlfn.NORM.INV(RAND(),AA224,Index!$K$2),"")</f>
        <v/>
      </c>
      <c r="AD224" s="174" t="str">
        <f ca="1">IF(AB224&lt;&gt;"",_xlfn.NORM.INV(RAND(),AB224,Index!$K$2),"")</f>
        <v/>
      </c>
      <c r="AE224" s="157" t="str">
        <f t="shared" si="25"/>
        <v>MIN</v>
      </c>
      <c r="AF224" s="158" t="str">
        <f t="shared" si="26"/>
        <v>DAL</v>
      </c>
      <c r="AG224" s="149">
        <f t="shared" si="27"/>
        <v>223</v>
      </c>
    </row>
    <row r="225" spans="1:33" x14ac:dyDescent="0.25">
      <c r="A225" s="9">
        <v>15</v>
      </c>
      <c r="B225" s="9" t="s">
        <v>666</v>
      </c>
      <c r="C225" s="148">
        <v>46006</v>
      </c>
      <c r="D225" s="9" t="s">
        <v>667</v>
      </c>
      <c r="E225" s="9" t="s">
        <v>73</v>
      </c>
      <c r="F225" s="9"/>
      <c r="G225" s="9" t="s">
        <v>62</v>
      </c>
      <c r="H225" s="9" t="s">
        <v>658</v>
      </c>
      <c r="I225" s="9">
        <v>28</v>
      </c>
      <c r="J225" s="9">
        <v>15</v>
      </c>
      <c r="K225" s="9">
        <v>336</v>
      </c>
      <c r="L225" s="9">
        <v>0</v>
      </c>
      <c r="M225" s="9">
        <v>285</v>
      </c>
      <c r="N225" s="9">
        <v>1</v>
      </c>
      <c r="O225" s="149" t="str">
        <f>IF(I225&lt;&gt;"",IF(I225=J225,"TIE",INDEX(Index!$F$1:$F$32,MATCH(E225,Index!$E$1:$E$32,0))),INDEX(Index!$F$1:$F$32,MATCH(E225,Index!$E$1:$E$32,0)))</f>
        <v>PIT</v>
      </c>
      <c r="P225" s="150" t="str">
        <f>IF(I225&lt;&gt;"",IF(I225=J225,"TIE",INDEX(Index!$F$1:$F$32,MATCH(G225,Index!$E$1:$E$32,0))),INDEX(Index!$F$1:$F$32,MATCH(G225,Index!$E$1:$E$32,0)))</f>
        <v>MIA</v>
      </c>
      <c r="Q225" s="155" t="str">
        <f>IF(O225="TIE",INDEX(Index!$F$1:$F$32,MATCH(E225,Index!$E$1:$E$32,0)),"")</f>
        <v/>
      </c>
      <c r="R225" s="155" t="str">
        <f>IF(P225="TIE",INDEX(Index!$F$1:$F$32,MATCH(G225,Index!$E$1:$E$32,0)),"")</f>
        <v/>
      </c>
      <c r="S225" s="151" t="str">
        <f t="shared" si="21"/>
        <v>H</v>
      </c>
      <c r="T225" s="156" t="str">
        <f>INDEX(Index!$H$1:$H$32,MATCH($E225,Index!$E$1:$E$32,0))</f>
        <v>AN</v>
      </c>
      <c r="U225" s="156" t="str">
        <f>INDEX(Index!$H$1:$H$32,MATCH($G225,Index!$E$1:$E$32,0))</f>
        <v>AE</v>
      </c>
      <c r="V225" s="156" t="str">
        <f t="shared" si="22"/>
        <v>Con</v>
      </c>
      <c r="W225" s="152" t="str">
        <f t="shared" si="23"/>
        <v>Y</v>
      </c>
      <c r="X225" s="149" t="str">
        <f>INDEX(Index!$G$1:$G$32,MATCH(E225,Index!$E$1:$E$32,0))</f>
        <v>PIT</v>
      </c>
      <c r="Y225" s="150" t="str">
        <f>INDEX(Index!$G$1:$G$32,MATCH(G225,Index!$E$1:$E$32,0))</f>
        <v>MIA</v>
      </c>
      <c r="Z225" s="147" t="str">
        <f t="shared" si="24"/>
        <v/>
      </c>
      <c r="AA225" s="174" t="str" cm="1">
        <f t="array" ref="AA225">IFERROR(IF($W225="Y","",INDEX(EPA!$N$2:$N$512,MATCH(X225&amp;Index!$K$1,EPA!$A$2:$A$512&amp;EPA!$W$2:$W$512,0))),"")</f>
        <v/>
      </c>
      <c r="AB225" s="174" t="str" cm="1">
        <f t="array" ref="AB225">IFERROR(IF($W225="Y","",INDEX(EPA!$N$2:$N$512,MATCH(Y225&amp;Index!$K$1,EPA!$A$2:$A$512&amp;EPA!$W$2:$W$512,0))),"")</f>
        <v/>
      </c>
      <c r="AC225" s="174" t="str">
        <f ca="1">IF(AA225&lt;&gt;"",_xlfn.NORM.INV(RAND(),AA225,Index!$K$2),"")</f>
        <v/>
      </c>
      <c r="AD225" s="174" t="str">
        <f ca="1">IF(AB225&lt;&gt;"",_xlfn.NORM.INV(RAND(),AB225,Index!$K$2),"")</f>
        <v/>
      </c>
      <c r="AE225" s="157" t="str">
        <f t="shared" si="25"/>
        <v>PIT</v>
      </c>
      <c r="AF225" s="158" t="str">
        <f t="shared" si="26"/>
        <v>MIA</v>
      </c>
      <c r="AG225" s="149">
        <f t="shared" si="27"/>
        <v>224</v>
      </c>
    </row>
    <row r="226" spans="1:33" x14ac:dyDescent="0.25">
      <c r="A226" s="9">
        <v>16</v>
      </c>
      <c r="B226" s="9" t="s">
        <v>656</v>
      </c>
      <c r="C226" s="148">
        <v>46009</v>
      </c>
      <c r="D226" s="9" t="s">
        <v>667</v>
      </c>
      <c r="E226" s="9" t="s">
        <v>8</v>
      </c>
      <c r="F226" s="9"/>
      <c r="G226" s="9" t="s">
        <v>90</v>
      </c>
      <c r="H226" s="9" t="s">
        <v>658</v>
      </c>
      <c r="I226" s="9">
        <v>38</v>
      </c>
      <c r="J226" s="9">
        <v>37</v>
      </c>
      <c r="K226" s="9">
        <v>415</v>
      </c>
      <c r="L226" s="9">
        <v>3</v>
      </c>
      <c r="M226" s="9">
        <v>581</v>
      </c>
      <c r="N226" s="9">
        <v>0</v>
      </c>
      <c r="O226" s="149" t="str">
        <f>IF(I226&lt;&gt;"",IF(I226=J226,"TIE",INDEX(Index!$F$1:$F$32,MATCH(E226,Index!$E$1:$E$32,0))),INDEX(Index!$F$1:$F$32,MATCH(E226,Index!$E$1:$E$32,0)))</f>
        <v>SEA</v>
      </c>
      <c r="P226" s="150" t="str">
        <f>IF(I226&lt;&gt;"",IF(I226=J226,"TIE",INDEX(Index!$F$1:$F$32,MATCH(G226,Index!$E$1:$E$32,0))),INDEX(Index!$F$1:$F$32,MATCH(G226,Index!$E$1:$E$32,0)))</f>
        <v>LAR</v>
      </c>
      <c r="Q226" s="155" t="str">
        <f>IF(O226="TIE",INDEX(Index!$F$1:$F$32,MATCH(E226,Index!$E$1:$E$32,0)),"")</f>
        <v/>
      </c>
      <c r="R226" s="155" t="str">
        <f>IF(P226="TIE",INDEX(Index!$F$1:$F$32,MATCH(G226,Index!$E$1:$E$32,0)),"")</f>
        <v/>
      </c>
      <c r="S226" s="151" t="str">
        <f t="shared" si="21"/>
        <v>H</v>
      </c>
      <c r="T226" s="156" t="str">
        <f>INDEX(Index!$H$1:$H$32,MATCH($E226,Index!$E$1:$E$32,0))</f>
        <v>NW</v>
      </c>
      <c r="U226" s="156" t="str">
        <f>INDEX(Index!$H$1:$H$32,MATCH($G226,Index!$E$1:$E$32,0))</f>
        <v>NW</v>
      </c>
      <c r="V226" s="156" t="str">
        <f t="shared" si="22"/>
        <v>Div</v>
      </c>
      <c r="W226" s="152" t="str">
        <f t="shared" si="23"/>
        <v>Y</v>
      </c>
      <c r="X226" s="149" t="str">
        <f>INDEX(Index!$G$1:$G$32,MATCH(E226,Index!$E$1:$E$32,0))</f>
        <v>SEA</v>
      </c>
      <c r="Y226" s="150" t="str">
        <f>INDEX(Index!$G$1:$G$32,MATCH(G226,Index!$E$1:$E$32,0))</f>
        <v>LAR</v>
      </c>
      <c r="Z226" s="147" t="str">
        <f t="shared" si="24"/>
        <v/>
      </c>
      <c r="AA226" s="174" t="str" cm="1">
        <f t="array" ref="AA226">IFERROR(IF($W226="Y","",INDEX(EPA!$N$2:$N$512,MATCH(X226&amp;Index!$K$1,EPA!$A$2:$A$512&amp;EPA!$W$2:$W$512,0))),"")</f>
        <v/>
      </c>
      <c r="AB226" s="174" t="str" cm="1">
        <f t="array" ref="AB226">IFERROR(IF($W226="Y","",INDEX(EPA!$N$2:$N$512,MATCH(Y226&amp;Index!$K$1,EPA!$A$2:$A$512&amp;EPA!$W$2:$W$512,0))),"")</f>
        <v/>
      </c>
      <c r="AC226" s="174" t="str">
        <f ca="1">IF(AA226&lt;&gt;"",_xlfn.NORM.INV(RAND(),AA226,Index!$K$2),"")</f>
        <v/>
      </c>
      <c r="AD226" s="174" t="str">
        <f ca="1">IF(AB226&lt;&gt;"",_xlfn.NORM.INV(RAND(),AB226,Index!$K$2),"")</f>
        <v/>
      </c>
      <c r="AE226" s="157" t="str">
        <f t="shared" si="25"/>
        <v>SEA</v>
      </c>
      <c r="AF226" s="158" t="str">
        <f t="shared" si="26"/>
        <v>LAR</v>
      </c>
      <c r="AG226" s="149">
        <f t="shared" si="27"/>
        <v>225</v>
      </c>
    </row>
    <row r="227" spans="1:33" x14ac:dyDescent="0.25">
      <c r="A227" s="9">
        <v>16</v>
      </c>
      <c r="B227" s="9" t="s">
        <v>674</v>
      </c>
      <c r="C227" s="148">
        <v>46011</v>
      </c>
      <c r="D227" s="9" t="s">
        <v>675</v>
      </c>
      <c r="E227" s="9" t="s">
        <v>92</v>
      </c>
      <c r="F227" s="9" t="s">
        <v>663</v>
      </c>
      <c r="G227" s="9" t="s">
        <v>4</v>
      </c>
      <c r="H227" s="9" t="s">
        <v>658</v>
      </c>
      <c r="I227" s="9">
        <v>29</v>
      </c>
      <c r="J227" s="9">
        <v>18</v>
      </c>
      <c r="K227" s="9">
        <v>385</v>
      </c>
      <c r="L227" s="9">
        <v>1</v>
      </c>
      <c r="M227" s="9">
        <v>220</v>
      </c>
      <c r="N227" s="9">
        <v>1</v>
      </c>
      <c r="O227" s="149" t="str">
        <f>IF(I227&lt;&gt;"",IF(I227=J227,"TIE",INDEX(Index!$F$1:$F$32,MATCH(E227,Index!$E$1:$E$32,0))),INDEX(Index!$F$1:$F$32,MATCH(E227,Index!$E$1:$E$32,0)))</f>
        <v>PHI</v>
      </c>
      <c r="P227" s="150" t="str">
        <f>IF(I227&lt;&gt;"",IF(I227=J227,"TIE",INDEX(Index!$F$1:$F$32,MATCH(G227,Index!$E$1:$E$32,0))),INDEX(Index!$F$1:$F$32,MATCH(G227,Index!$E$1:$E$32,0)))</f>
        <v>WAS</v>
      </c>
      <c r="Q227" s="155" t="str">
        <f>IF(O227="TIE",INDEX(Index!$F$1:$F$32,MATCH(E227,Index!$E$1:$E$32,0)),"")</f>
        <v/>
      </c>
      <c r="R227" s="155" t="str">
        <f>IF(P227="TIE",INDEX(Index!$F$1:$F$32,MATCH(G227,Index!$E$1:$E$32,0)),"")</f>
        <v/>
      </c>
      <c r="S227" s="151" t="str">
        <f t="shared" si="21"/>
        <v>A</v>
      </c>
      <c r="T227" s="156" t="str">
        <f>INDEX(Index!$H$1:$H$32,MATCH($E227,Index!$E$1:$E$32,0))</f>
        <v>NE</v>
      </c>
      <c r="U227" s="156" t="str">
        <f>INDEX(Index!$H$1:$H$32,MATCH($G227,Index!$E$1:$E$32,0))</f>
        <v>NE</v>
      </c>
      <c r="V227" s="156" t="str">
        <f t="shared" si="22"/>
        <v>Div</v>
      </c>
      <c r="W227" s="152" t="str">
        <f t="shared" si="23"/>
        <v>Y</v>
      </c>
      <c r="X227" s="149" t="str">
        <f>INDEX(Index!$G$1:$G$32,MATCH(E227,Index!$E$1:$E$32,0))</f>
        <v>PHI</v>
      </c>
      <c r="Y227" s="150" t="str">
        <f>INDEX(Index!$G$1:$G$32,MATCH(G227,Index!$E$1:$E$32,0))</f>
        <v>WAS</v>
      </c>
      <c r="Z227" s="147" t="str">
        <f t="shared" si="24"/>
        <v/>
      </c>
      <c r="AA227" s="174" t="str" cm="1">
        <f t="array" ref="AA227">IFERROR(IF($W227="Y","",INDEX(EPA!$N$2:$N$512,MATCH(X227&amp;Index!$K$1,EPA!$A$2:$A$512&amp;EPA!$W$2:$W$512,0))),"")</f>
        <v/>
      </c>
      <c r="AB227" s="174" t="str" cm="1">
        <f t="array" ref="AB227">IFERROR(IF($W227="Y","",INDEX(EPA!$N$2:$N$512,MATCH(Y227&amp;Index!$K$1,EPA!$A$2:$A$512&amp;EPA!$W$2:$W$512,0))),"")</f>
        <v/>
      </c>
      <c r="AC227" s="174" t="str">
        <f ca="1">IF(AA227&lt;&gt;"",_xlfn.NORM.INV(RAND(),AA227,Index!$K$2),"")</f>
        <v/>
      </c>
      <c r="AD227" s="174" t="str">
        <f ca="1">IF(AB227&lt;&gt;"",_xlfn.NORM.INV(RAND(),AB227,Index!$K$2),"")</f>
        <v/>
      </c>
      <c r="AE227" s="157" t="str">
        <f t="shared" si="25"/>
        <v>PHI</v>
      </c>
      <c r="AF227" s="158" t="str">
        <f t="shared" si="26"/>
        <v>WAS</v>
      </c>
      <c r="AG227" s="149">
        <f t="shared" si="27"/>
        <v>226</v>
      </c>
    </row>
    <row r="228" spans="1:33" x14ac:dyDescent="0.25">
      <c r="A228" s="9">
        <v>16</v>
      </c>
      <c r="B228" s="9" t="s">
        <v>674</v>
      </c>
      <c r="C228" s="148">
        <v>46011</v>
      </c>
      <c r="D228" s="9" t="s">
        <v>657</v>
      </c>
      <c r="E228" s="9" t="s">
        <v>65</v>
      </c>
      <c r="F228" s="9"/>
      <c r="G228" s="9" t="s">
        <v>88</v>
      </c>
      <c r="H228" s="9" t="s">
        <v>658</v>
      </c>
      <c r="I228" s="9">
        <v>22</v>
      </c>
      <c r="J228" s="9">
        <v>16</v>
      </c>
      <c r="K228" s="9">
        <v>400</v>
      </c>
      <c r="L228" s="9">
        <v>0</v>
      </c>
      <c r="M228" s="9">
        <v>384</v>
      </c>
      <c r="N228" s="9">
        <v>1</v>
      </c>
      <c r="O228" s="149" t="str">
        <f>IF(I228&lt;&gt;"",IF(I228=J228,"TIE",INDEX(Index!$F$1:$F$32,MATCH(E228,Index!$E$1:$E$32,0))),INDEX(Index!$F$1:$F$32,MATCH(E228,Index!$E$1:$E$32,0)))</f>
        <v>CHI</v>
      </c>
      <c r="P228" s="150" t="str">
        <f>IF(I228&lt;&gt;"",IF(I228=J228,"TIE",INDEX(Index!$F$1:$F$32,MATCH(G228,Index!$E$1:$E$32,0))),INDEX(Index!$F$1:$F$32,MATCH(G228,Index!$E$1:$E$32,0)))</f>
        <v>GB</v>
      </c>
      <c r="Q228" s="155" t="str">
        <f>IF(O228="TIE",INDEX(Index!$F$1:$F$32,MATCH(E228,Index!$E$1:$E$32,0)),"")</f>
        <v/>
      </c>
      <c r="R228" s="155" t="str">
        <f>IF(P228="TIE",INDEX(Index!$F$1:$F$32,MATCH(G228,Index!$E$1:$E$32,0)),"")</f>
        <v/>
      </c>
      <c r="S228" s="151" t="str">
        <f t="shared" si="21"/>
        <v>H</v>
      </c>
      <c r="T228" s="156" t="str">
        <f>INDEX(Index!$H$1:$H$32,MATCH($E228,Index!$E$1:$E$32,0))</f>
        <v>NN</v>
      </c>
      <c r="U228" s="156" t="str">
        <f>INDEX(Index!$H$1:$H$32,MATCH($G228,Index!$E$1:$E$32,0))</f>
        <v>NN</v>
      </c>
      <c r="V228" s="156" t="str">
        <f t="shared" si="22"/>
        <v>Div</v>
      </c>
      <c r="W228" s="152" t="str">
        <f t="shared" si="23"/>
        <v>Y</v>
      </c>
      <c r="X228" s="149" t="str">
        <f>INDEX(Index!$G$1:$G$32,MATCH(E228,Index!$E$1:$E$32,0))</f>
        <v>CHI</v>
      </c>
      <c r="Y228" s="150" t="str">
        <f>INDEX(Index!$G$1:$G$32,MATCH(G228,Index!$E$1:$E$32,0))</f>
        <v>GB</v>
      </c>
      <c r="Z228" s="147" t="str">
        <f t="shared" si="24"/>
        <v/>
      </c>
      <c r="AA228" s="174" t="str" cm="1">
        <f t="array" ref="AA228">IFERROR(IF($W228="Y","",INDEX(EPA!$N$2:$N$512,MATCH(X228&amp;Index!$K$1,EPA!$A$2:$A$512&amp;EPA!$W$2:$W$512,0))),"")</f>
        <v/>
      </c>
      <c r="AB228" s="174" t="str" cm="1">
        <f t="array" ref="AB228">IFERROR(IF($W228="Y","",INDEX(EPA!$N$2:$N$512,MATCH(Y228&amp;Index!$K$1,EPA!$A$2:$A$512&amp;EPA!$W$2:$W$512,0))),"")</f>
        <v/>
      </c>
      <c r="AC228" s="174" t="str">
        <f ca="1">IF(AA228&lt;&gt;"",_xlfn.NORM.INV(RAND(),AA228,Index!$K$2),"")</f>
        <v/>
      </c>
      <c r="AD228" s="174" t="str">
        <f ca="1">IF(AB228&lt;&gt;"",_xlfn.NORM.INV(RAND(),AB228,Index!$K$2),"")</f>
        <v/>
      </c>
      <c r="AE228" s="157" t="str">
        <f t="shared" si="25"/>
        <v>CHI</v>
      </c>
      <c r="AF228" s="158" t="str">
        <f t="shared" si="26"/>
        <v>GB</v>
      </c>
      <c r="AG228" s="149">
        <f t="shared" si="27"/>
        <v>227</v>
      </c>
    </row>
    <row r="229" spans="1:33" x14ac:dyDescent="0.25">
      <c r="A229" s="9">
        <v>16</v>
      </c>
      <c r="B229" s="9" t="s">
        <v>661</v>
      </c>
      <c r="C229" s="148">
        <v>46012</v>
      </c>
      <c r="D229" s="9" t="s">
        <v>662</v>
      </c>
      <c r="E229" s="9" t="s">
        <v>40</v>
      </c>
      <c r="F229" s="9" t="s">
        <v>663</v>
      </c>
      <c r="G229" s="9" t="s">
        <v>83</v>
      </c>
      <c r="H229" s="9" t="s">
        <v>658</v>
      </c>
      <c r="I229" s="9">
        <v>23</v>
      </c>
      <c r="J229" s="9">
        <v>20</v>
      </c>
      <c r="K229" s="9">
        <v>259</v>
      </c>
      <c r="L229" s="9">
        <v>0</v>
      </c>
      <c r="M229" s="9">
        <v>294</v>
      </c>
      <c r="N229" s="9">
        <v>2</v>
      </c>
      <c r="O229" s="149" t="str">
        <f>IF(I229&lt;&gt;"",IF(I229=J229,"TIE",INDEX(Index!$F$1:$F$32,MATCH(E229,Index!$E$1:$E$32,0))),INDEX(Index!$F$1:$F$32,MATCH(E229,Index!$E$1:$E$32,0)))</f>
        <v>BUF</v>
      </c>
      <c r="P229" s="150" t="str">
        <f>IF(I229&lt;&gt;"",IF(I229=J229,"TIE",INDEX(Index!$F$1:$F$32,MATCH(G229,Index!$E$1:$E$32,0))),INDEX(Index!$F$1:$F$32,MATCH(G229,Index!$E$1:$E$32,0)))</f>
        <v>CLE</v>
      </c>
      <c r="Q229" s="155" t="str">
        <f>IF(O229="TIE",INDEX(Index!$F$1:$F$32,MATCH(E229,Index!$E$1:$E$32,0)),"")</f>
        <v/>
      </c>
      <c r="R229" s="155" t="str">
        <f>IF(P229="TIE",INDEX(Index!$F$1:$F$32,MATCH(G229,Index!$E$1:$E$32,0)),"")</f>
        <v/>
      </c>
      <c r="S229" s="151" t="str">
        <f t="shared" si="21"/>
        <v>A</v>
      </c>
      <c r="T229" s="156" t="str">
        <f>INDEX(Index!$H$1:$H$32,MATCH($E229,Index!$E$1:$E$32,0))</f>
        <v>AE</v>
      </c>
      <c r="U229" s="156" t="str">
        <f>INDEX(Index!$H$1:$H$32,MATCH($G229,Index!$E$1:$E$32,0))</f>
        <v>AN</v>
      </c>
      <c r="V229" s="156" t="str">
        <f t="shared" si="22"/>
        <v>Con</v>
      </c>
      <c r="W229" s="152" t="str">
        <f t="shared" si="23"/>
        <v>Y</v>
      </c>
      <c r="X229" s="149" t="str">
        <f>INDEX(Index!$G$1:$G$32,MATCH(E229,Index!$E$1:$E$32,0))</f>
        <v>BUF</v>
      </c>
      <c r="Y229" s="150" t="str">
        <f>INDEX(Index!$G$1:$G$32,MATCH(G229,Index!$E$1:$E$32,0))</f>
        <v>CLE</v>
      </c>
      <c r="Z229" s="147" t="str">
        <f t="shared" si="24"/>
        <v/>
      </c>
      <c r="AA229" s="174" t="str" cm="1">
        <f t="array" ref="AA229">IFERROR(IF($W229="Y","",INDEX(EPA!$N$2:$N$512,MATCH(X229&amp;Index!$K$1,EPA!$A$2:$A$512&amp;EPA!$W$2:$W$512,0))),"")</f>
        <v/>
      </c>
      <c r="AB229" s="174" t="str" cm="1">
        <f t="array" ref="AB229">IFERROR(IF($W229="Y","",INDEX(EPA!$N$2:$N$512,MATCH(Y229&amp;Index!$K$1,EPA!$A$2:$A$512&amp;EPA!$W$2:$W$512,0))),"")</f>
        <v/>
      </c>
      <c r="AC229" s="174" t="str">
        <f ca="1">IF(AA229&lt;&gt;"",_xlfn.NORM.INV(RAND(),AA229,Index!$K$2),"")</f>
        <v/>
      </c>
      <c r="AD229" s="174" t="str">
        <f ca="1">IF(AB229&lt;&gt;"",_xlfn.NORM.INV(RAND(),AB229,Index!$K$2),"")</f>
        <v/>
      </c>
      <c r="AE229" s="157" t="str">
        <f t="shared" si="25"/>
        <v>BUF</v>
      </c>
      <c r="AF229" s="158" t="str">
        <f t="shared" si="26"/>
        <v>CLE</v>
      </c>
      <c r="AG229" s="149">
        <f t="shared" si="27"/>
        <v>228</v>
      </c>
    </row>
    <row r="230" spans="1:33" x14ac:dyDescent="0.25">
      <c r="A230" s="9">
        <v>16</v>
      </c>
      <c r="B230" s="9" t="s">
        <v>661</v>
      </c>
      <c r="C230" s="148">
        <v>46012</v>
      </c>
      <c r="D230" s="9" t="s">
        <v>662</v>
      </c>
      <c r="E230" s="9" t="s">
        <v>12</v>
      </c>
      <c r="F230" s="9"/>
      <c r="G230" s="9" t="s">
        <v>0</v>
      </c>
      <c r="H230" s="9" t="s">
        <v>658</v>
      </c>
      <c r="I230" s="9">
        <v>23</v>
      </c>
      <c r="J230" s="9">
        <v>20</v>
      </c>
      <c r="K230" s="9">
        <v>275</v>
      </c>
      <c r="L230" s="9">
        <v>0</v>
      </c>
      <c r="M230" s="9">
        <v>296</v>
      </c>
      <c r="N230" s="9">
        <v>1</v>
      </c>
      <c r="O230" s="149" t="str">
        <f>IF(I230&lt;&gt;"",IF(I230=J230,"TIE",INDEX(Index!$F$1:$F$32,MATCH(E230,Index!$E$1:$E$32,0))),INDEX(Index!$F$1:$F$32,MATCH(E230,Index!$E$1:$E$32,0)))</f>
        <v>CAR</v>
      </c>
      <c r="P230" s="150" t="str">
        <f>IF(I230&lt;&gt;"",IF(I230=J230,"TIE",INDEX(Index!$F$1:$F$32,MATCH(G230,Index!$E$1:$E$32,0))),INDEX(Index!$F$1:$F$32,MATCH(G230,Index!$E$1:$E$32,0)))</f>
        <v>TB</v>
      </c>
      <c r="Q230" s="155" t="str">
        <f>IF(O230="TIE",INDEX(Index!$F$1:$F$32,MATCH(E230,Index!$E$1:$E$32,0)),"")</f>
        <v/>
      </c>
      <c r="R230" s="155" t="str">
        <f>IF(P230="TIE",INDEX(Index!$F$1:$F$32,MATCH(G230,Index!$E$1:$E$32,0)),"")</f>
        <v/>
      </c>
      <c r="S230" s="151" t="str">
        <f t="shared" si="21"/>
        <v>H</v>
      </c>
      <c r="T230" s="156" t="str">
        <f>INDEX(Index!$H$1:$H$32,MATCH($E230,Index!$E$1:$E$32,0))</f>
        <v>NS</v>
      </c>
      <c r="U230" s="156" t="str">
        <f>INDEX(Index!$H$1:$H$32,MATCH($G230,Index!$E$1:$E$32,0))</f>
        <v>NS</v>
      </c>
      <c r="V230" s="156" t="str">
        <f t="shared" si="22"/>
        <v>Div</v>
      </c>
      <c r="W230" s="152" t="str">
        <f t="shared" si="23"/>
        <v>Y</v>
      </c>
      <c r="X230" s="149" t="str">
        <f>INDEX(Index!$G$1:$G$32,MATCH(E230,Index!$E$1:$E$32,0))</f>
        <v>CAR</v>
      </c>
      <c r="Y230" s="150" t="str">
        <f>INDEX(Index!$G$1:$G$32,MATCH(G230,Index!$E$1:$E$32,0))</f>
        <v>TB</v>
      </c>
      <c r="Z230" s="147" t="str">
        <f t="shared" si="24"/>
        <v/>
      </c>
      <c r="AA230" s="174" t="str" cm="1">
        <f t="array" ref="AA230">IFERROR(IF($W230="Y","",INDEX(EPA!$N$2:$N$512,MATCH(X230&amp;Index!$K$1,EPA!$A$2:$A$512&amp;EPA!$W$2:$W$512,0))),"")</f>
        <v/>
      </c>
      <c r="AB230" s="174" t="str" cm="1">
        <f t="array" ref="AB230">IFERROR(IF($W230="Y","",INDEX(EPA!$N$2:$N$512,MATCH(Y230&amp;Index!$K$1,EPA!$A$2:$A$512&amp;EPA!$W$2:$W$512,0))),"")</f>
        <v/>
      </c>
      <c r="AC230" s="174" t="str">
        <f ca="1">IF(AA230&lt;&gt;"",_xlfn.NORM.INV(RAND(),AA230,Index!$K$2),"")</f>
        <v/>
      </c>
      <c r="AD230" s="174" t="str">
        <f ca="1">IF(AB230&lt;&gt;"",_xlfn.NORM.INV(RAND(),AB230,Index!$K$2),"")</f>
        <v/>
      </c>
      <c r="AE230" s="157" t="str">
        <f t="shared" si="25"/>
        <v>CAR</v>
      </c>
      <c r="AF230" s="158" t="str">
        <f t="shared" si="26"/>
        <v>TB</v>
      </c>
      <c r="AG230" s="149">
        <f t="shared" si="27"/>
        <v>229</v>
      </c>
    </row>
    <row r="231" spans="1:33" x14ac:dyDescent="0.25">
      <c r="A231" s="9">
        <v>16</v>
      </c>
      <c r="B231" s="9" t="s">
        <v>661</v>
      </c>
      <c r="C231" s="148">
        <v>46012</v>
      </c>
      <c r="D231" s="9" t="s">
        <v>662</v>
      </c>
      <c r="E231" s="9" t="s">
        <v>53</v>
      </c>
      <c r="F231" s="9" t="s">
        <v>663</v>
      </c>
      <c r="G231" s="9" t="s">
        <v>62</v>
      </c>
      <c r="H231" s="9" t="s">
        <v>658</v>
      </c>
      <c r="I231" s="9">
        <v>45</v>
      </c>
      <c r="J231" s="9">
        <v>21</v>
      </c>
      <c r="K231" s="9">
        <v>407</v>
      </c>
      <c r="L231" s="9">
        <v>0</v>
      </c>
      <c r="M231" s="9">
        <v>389</v>
      </c>
      <c r="N231" s="9">
        <v>3</v>
      </c>
      <c r="O231" s="149" t="str">
        <f>IF(I231&lt;&gt;"",IF(I231=J231,"TIE",INDEX(Index!$F$1:$F$32,MATCH(E231,Index!$E$1:$E$32,0))),INDEX(Index!$F$1:$F$32,MATCH(E231,Index!$E$1:$E$32,0)))</f>
        <v>CIN</v>
      </c>
      <c r="P231" s="150" t="str">
        <f>IF(I231&lt;&gt;"",IF(I231=J231,"TIE",INDEX(Index!$F$1:$F$32,MATCH(G231,Index!$E$1:$E$32,0))),INDEX(Index!$F$1:$F$32,MATCH(G231,Index!$E$1:$E$32,0)))</f>
        <v>MIA</v>
      </c>
      <c r="Q231" s="155" t="str">
        <f>IF(O231="TIE",INDEX(Index!$F$1:$F$32,MATCH(E231,Index!$E$1:$E$32,0)),"")</f>
        <v/>
      </c>
      <c r="R231" s="155" t="str">
        <f>IF(P231="TIE",INDEX(Index!$F$1:$F$32,MATCH(G231,Index!$E$1:$E$32,0)),"")</f>
        <v/>
      </c>
      <c r="S231" s="151" t="str">
        <f t="shared" si="21"/>
        <v>A</v>
      </c>
      <c r="T231" s="156" t="str">
        <f>INDEX(Index!$H$1:$H$32,MATCH($E231,Index!$E$1:$E$32,0))</f>
        <v>AN</v>
      </c>
      <c r="U231" s="156" t="str">
        <f>INDEX(Index!$H$1:$H$32,MATCH($G231,Index!$E$1:$E$32,0))</f>
        <v>AE</v>
      </c>
      <c r="V231" s="156" t="str">
        <f t="shared" si="22"/>
        <v>Con</v>
      </c>
      <c r="W231" s="152" t="str">
        <f t="shared" si="23"/>
        <v>Y</v>
      </c>
      <c r="X231" s="149" t="str">
        <f>INDEX(Index!$G$1:$G$32,MATCH(E231,Index!$E$1:$E$32,0))</f>
        <v>CIN</v>
      </c>
      <c r="Y231" s="150" t="str">
        <f>INDEX(Index!$G$1:$G$32,MATCH(G231,Index!$E$1:$E$32,0))</f>
        <v>MIA</v>
      </c>
      <c r="Z231" s="147" t="str">
        <f t="shared" si="24"/>
        <v/>
      </c>
      <c r="AA231" s="174" t="str" cm="1">
        <f t="array" ref="AA231">IFERROR(IF($W231="Y","",INDEX(EPA!$N$2:$N$512,MATCH(X231&amp;Index!$K$1,EPA!$A$2:$A$512&amp;EPA!$W$2:$W$512,0))),"")</f>
        <v/>
      </c>
      <c r="AB231" s="174" t="str" cm="1">
        <f t="array" ref="AB231">IFERROR(IF($W231="Y","",INDEX(EPA!$N$2:$N$512,MATCH(Y231&amp;Index!$K$1,EPA!$A$2:$A$512&amp;EPA!$W$2:$W$512,0))),"")</f>
        <v/>
      </c>
      <c r="AC231" s="174" t="str">
        <f ca="1">IF(AA231&lt;&gt;"",_xlfn.NORM.INV(RAND(),AA231,Index!$K$2),"")</f>
        <v/>
      </c>
      <c r="AD231" s="174" t="str">
        <f ca="1">IF(AB231&lt;&gt;"",_xlfn.NORM.INV(RAND(),AB231,Index!$K$2),"")</f>
        <v/>
      </c>
      <c r="AE231" s="157" t="str">
        <f t="shared" si="25"/>
        <v>CIN</v>
      </c>
      <c r="AF231" s="158" t="str">
        <f t="shared" si="26"/>
        <v>MIA</v>
      </c>
      <c r="AG231" s="149">
        <f t="shared" si="27"/>
        <v>230</v>
      </c>
    </row>
    <row r="232" spans="1:33" x14ac:dyDescent="0.25">
      <c r="A232" s="9">
        <v>16</v>
      </c>
      <c r="B232" s="9" t="s">
        <v>661</v>
      </c>
      <c r="C232" s="148">
        <v>46012</v>
      </c>
      <c r="D232" s="9" t="s">
        <v>662</v>
      </c>
      <c r="E232" s="9" t="s">
        <v>68</v>
      </c>
      <c r="F232" s="9" t="s">
        <v>663</v>
      </c>
      <c r="G232" s="9" t="s">
        <v>56</v>
      </c>
      <c r="H232" s="9" t="s">
        <v>658</v>
      </c>
      <c r="I232" s="9">
        <v>34</v>
      </c>
      <c r="J232" s="9">
        <v>17</v>
      </c>
      <c r="K232" s="9">
        <v>452</v>
      </c>
      <c r="L232" s="9">
        <v>0</v>
      </c>
      <c r="M232" s="9">
        <v>340</v>
      </c>
      <c r="N232" s="9">
        <v>1</v>
      </c>
      <c r="O232" s="149" t="str">
        <f>IF(I232&lt;&gt;"",IF(I232=J232,"TIE",INDEX(Index!$F$1:$F$32,MATCH(E232,Index!$E$1:$E$32,0))),INDEX(Index!$F$1:$F$32,MATCH(E232,Index!$E$1:$E$32,0)))</f>
        <v>LAC</v>
      </c>
      <c r="P232" s="150" t="str">
        <f>IF(I232&lt;&gt;"",IF(I232=J232,"TIE",INDEX(Index!$F$1:$F$32,MATCH(G232,Index!$E$1:$E$32,0))),INDEX(Index!$F$1:$F$32,MATCH(G232,Index!$E$1:$E$32,0)))</f>
        <v>DAL</v>
      </c>
      <c r="Q232" s="155" t="str">
        <f>IF(O232="TIE",INDEX(Index!$F$1:$F$32,MATCH(E232,Index!$E$1:$E$32,0)),"")</f>
        <v/>
      </c>
      <c r="R232" s="155" t="str">
        <f>IF(P232="TIE",INDEX(Index!$F$1:$F$32,MATCH(G232,Index!$E$1:$E$32,0)),"")</f>
        <v/>
      </c>
      <c r="S232" s="151" t="str">
        <f t="shared" si="21"/>
        <v>A</v>
      </c>
      <c r="T232" s="156" t="str">
        <f>INDEX(Index!$H$1:$H$32,MATCH($E232,Index!$E$1:$E$32,0))</f>
        <v>AW</v>
      </c>
      <c r="U232" s="156" t="str">
        <f>INDEX(Index!$H$1:$H$32,MATCH($G232,Index!$E$1:$E$32,0))</f>
        <v>NE</v>
      </c>
      <c r="V232" s="156" t="str">
        <f t="shared" si="22"/>
        <v>Non</v>
      </c>
      <c r="W232" s="152" t="str">
        <f t="shared" si="23"/>
        <v>Y</v>
      </c>
      <c r="X232" s="149" t="str">
        <f>INDEX(Index!$G$1:$G$32,MATCH(E232,Index!$E$1:$E$32,0))</f>
        <v>LAC</v>
      </c>
      <c r="Y232" s="150" t="str">
        <f>INDEX(Index!$G$1:$G$32,MATCH(G232,Index!$E$1:$E$32,0))</f>
        <v>DAL</v>
      </c>
      <c r="Z232" s="147" t="str">
        <f t="shared" si="24"/>
        <v/>
      </c>
      <c r="AA232" s="174" t="str" cm="1">
        <f t="array" ref="AA232">IFERROR(IF($W232="Y","",INDEX(EPA!$N$2:$N$512,MATCH(X232&amp;Index!$K$1,EPA!$A$2:$A$512&amp;EPA!$W$2:$W$512,0))),"")</f>
        <v/>
      </c>
      <c r="AB232" s="174" t="str" cm="1">
        <f t="array" ref="AB232">IFERROR(IF($W232="Y","",INDEX(EPA!$N$2:$N$512,MATCH(Y232&amp;Index!$K$1,EPA!$A$2:$A$512&amp;EPA!$W$2:$W$512,0))),"")</f>
        <v/>
      </c>
      <c r="AC232" s="174" t="str">
        <f ca="1">IF(AA232&lt;&gt;"",_xlfn.NORM.INV(RAND(),AA232,Index!$K$2),"")</f>
        <v/>
      </c>
      <c r="AD232" s="174" t="str">
        <f ca="1">IF(AB232&lt;&gt;"",_xlfn.NORM.INV(RAND(),AB232,Index!$K$2),"")</f>
        <v/>
      </c>
      <c r="AE232" s="157" t="str">
        <f t="shared" si="25"/>
        <v>LAC</v>
      </c>
      <c r="AF232" s="158" t="str">
        <f t="shared" si="26"/>
        <v>DAL</v>
      </c>
      <c r="AG232" s="149">
        <f t="shared" si="27"/>
        <v>231</v>
      </c>
    </row>
    <row r="233" spans="1:33" x14ac:dyDescent="0.25">
      <c r="A233" s="9">
        <v>16</v>
      </c>
      <c r="B233" s="9" t="s">
        <v>661</v>
      </c>
      <c r="C233" s="148">
        <v>46012</v>
      </c>
      <c r="D233" s="9" t="s">
        <v>662</v>
      </c>
      <c r="E233" s="9" t="s">
        <v>19</v>
      </c>
      <c r="F233" s="9"/>
      <c r="G233" s="9" t="s">
        <v>16</v>
      </c>
      <c r="H233" s="9" t="s">
        <v>658</v>
      </c>
      <c r="I233" s="9">
        <v>26</v>
      </c>
      <c r="J233" s="9">
        <v>9</v>
      </c>
      <c r="K233" s="9">
        <v>376</v>
      </c>
      <c r="L233" s="9">
        <v>0</v>
      </c>
      <c r="M233" s="9">
        <v>133</v>
      </c>
      <c r="N233" s="9">
        <v>0</v>
      </c>
      <c r="O233" s="149" t="str">
        <f>IF(I233&lt;&gt;"",IF(I233=J233,"TIE",INDEX(Index!$F$1:$F$32,MATCH(E233,Index!$E$1:$E$32,0))),INDEX(Index!$F$1:$F$32,MATCH(E233,Index!$E$1:$E$32,0)))</f>
        <v>TEN</v>
      </c>
      <c r="P233" s="150" t="str">
        <f>IF(I233&lt;&gt;"",IF(I233=J233,"TIE",INDEX(Index!$F$1:$F$32,MATCH(G233,Index!$E$1:$E$32,0))),INDEX(Index!$F$1:$F$32,MATCH(G233,Index!$E$1:$E$32,0)))</f>
        <v>KC</v>
      </c>
      <c r="Q233" s="155" t="str">
        <f>IF(O233="TIE",INDEX(Index!$F$1:$F$32,MATCH(E233,Index!$E$1:$E$32,0)),"")</f>
        <v/>
      </c>
      <c r="R233" s="155" t="str">
        <f>IF(P233="TIE",INDEX(Index!$F$1:$F$32,MATCH(G233,Index!$E$1:$E$32,0)),"")</f>
        <v/>
      </c>
      <c r="S233" s="151" t="str">
        <f t="shared" si="21"/>
        <v>H</v>
      </c>
      <c r="T233" s="156" t="str">
        <f>INDEX(Index!$H$1:$H$32,MATCH($E233,Index!$E$1:$E$32,0))</f>
        <v>AS</v>
      </c>
      <c r="U233" s="156" t="str">
        <f>INDEX(Index!$H$1:$H$32,MATCH($G233,Index!$E$1:$E$32,0))</f>
        <v>AW</v>
      </c>
      <c r="V233" s="156" t="str">
        <f t="shared" si="22"/>
        <v>Con</v>
      </c>
      <c r="W233" s="152" t="str">
        <f t="shared" si="23"/>
        <v>Y</v>
      </c>
      <c r="X233" s="149" t="str">
        <f>INDEX(Index!$G$1:$G$32,MATCH(E233,Index!$E$1:$E$32,0))</f>
        <v>TEN</v>
      </c>
      <c r="Y233" s="150" t="str">
        <f>INDEX(Index!$G$1:$G$32,MATCH(G233,Index!$E$1:$E$32,0))</f>
        <v>KC</v>
      </c>
      <c r="Z233" s="147" t="str">
        <f t="shared" si="24"/>
        <v/>
      </c>
      <c r="AA233" s="174" t="str" cm="1">
        <f t="array" ref="AA233">IFERROR(IF($W233="Y","",INDEX(EPA!$N$2:$N$512,MATCH(X233&amp;Index!$K$1,EPA!$A$2:$A$512&amp;EPA!$W$2:$W$512,0))),"")</f>
        <v/>
      </c>
      <c r="AB233" s="174" t="str" cm="1">
        <f t="array" ref="AB233">IFERROR(IF($W233="Y","",INDEX(EPA!$N$2:$N$512,MATCH(Y233&amp;Index!$K$1,EPA!$A$2:$A$512&amp;EPA!$W$2:$W$512,0))),"")</f>
        <v/>
      </c>
      <c r="AC233" s="174" t="str">
        <f ca="1">IF(AA233&lt;&gt;"",_xlfn.NORM.INV(RAND(),AA233,Index!$K$2),"")</f>
        <v/>
      </c>
      <c r="AD233" s="174" t="str">
        <f ca="1">IF(AB233&lt;&gt;"",_xlfn.NORM.INV(RAND(),AB233,Index!$K$2),"")</f>
        <v/>
      </c>
      <c r="AE233" s="157" t="str">
        <f t="shared" si="25"/>
        <v>TEN</v>
      </c>
      <c r="AF233" s="158" t="str">
        <f t="shared" si="26"/>
        <v>KC</v>
      </c>
      <c r="AG233" s="149">
        <f t="shared" si="27"/>
        <v>232</v>
      </c>
    </row>
    <row r="234" spans="1:33" x14ac:dyDescent="0.25">
      <c r="A234" s="9">
        <v>16</v>
      </c>
      <c r="B234" s="9" t="s">
        <v>661</v>
      </c>
      <c r="C234" s="148">
        <v>46012</v>
      </c>
      <c r="D234" s="9" t="s">
        <v>662</v>
      </c>
      <c r="E234" s="9" t="s">
        <v>58</v>
      </c>
      <c r="F234" s="9" t="s">
        <v>663</v>
      </c>
      <c r="G234" s="9" t="s">
        <v>49</v>
      </c>
      <c r="H234" s="9" t="s">
        <v>658</v>
      </c>
      <c r="I234" s="9">
        <v>16</v>
      </c>
      <c r="J234" s="9">
        <v>13</v>
      </c>
      <c r="K234" s="9">
        <v>240</v>
      </c>
      <c r="L234" s="9">
        <v>2</v>
      </c>
      <c r="M234" s="9">
        <v>141</v>
      </c>
      <c r="N234" s="9">
        <v>1</v>
      </c>
      <c r="O234" s="149" t="str">
        <f>IF(I234&lt;&gt;"",IF(I234=J234,"TIE",INDEX(Index!$F$1:$F$32,MATCH(E234,Index!$E$1:$E$32,0))),INDEX(Index!$F$1:$F$32,MATCH(E234,Index!$E$1:$E$32,0)))</f>
        <v>MIN</v>
      </c>
      <c r="P234" s="150" t="str">
        <f>IF(I234&lt;&gt;"",IF(I234=J234,"TIE",INDEX(Index!$F$1:$F$32,MATCH(G234,Index!$E$1:$E$32,0))),INDEX(Index!$F$1:$F$32,MATCH(G234,Index!$E$1:$E$32,0)))</f>
        <v>NYG</v>
      </c>
      <c r="Q234" s="155" t="str">
        <f>IF(O234="TIE",INDEX(Index!$F$1:$F$32,MATCH(E234,Index!$E$1:$E$32,0)),"")</f>
        <v/>
      </c>
      <c r="R234" s="155" t="str">
        <f>IF(P234="TIE",INDEX(Index!$F$1:$F$32,MATCH(G234,Index!$E$1:$E$32,0)),"")</f>
        <v/>
      </c>
      <c r="S234" s="151" t="str">
        <f t="shared" si="21"/>
        <v>A</v>
      </c>
      <c r="T234" s="156" t="str">
        <f>INDEX(Index!$H$1:$H$32,MATCH($E234,Index!$E$1:$E$32,0))</f>
        <v>NN</v>
      </c>
      <c r="U234" s="156" t="str">
        <f>INDEX(Index!$H$1:$H$32,MATCH($G234,Index!$E$1:$E$32,0))</f>
        <v>NE</v>
      </c>
      <c r="V234" s="156" t="str">
        <f t="shared" si="22"/>
        <v>Con</v>
      </c>
      <c r="W234" s="152" t="str">
        <f t="shared" si="23"/>
        <v>Y</v>
      </c>
      <c r="X234" s="149" t="str">
        <f>INDEX(Index!$G$1:$G$32,MATCH(E234,Index!$E$1:$E$32,0))</f>
        <v>MIN</v>
      </c>
      <c r="Y234" s="150" t="str">
        <f>INDEX(Index!$G$1:$G$32,MATCH(G234,Index!$E$1:$E$32,0))</f>
        <v>NYG</v>
      </c>
      <c r="Z234" s="147" t="str">
        <f t="shared" si="24"/>
        <v/>
      </c>
      <c r="AA234" s="174" t="str" cm="1">
        <f t="array" ref="AA234">IFERROR(IF($W234="Y","",INDEX(EPA!$N$2:$N$512,MATCH(X234&amp;Index!$K$1,EPA!$A$2:$A$512&amp;EPA!$W$2:$W$512,0))),"")</f>
        <v/>
      </c>
      <c r="AB234" s="174" t="str" cm="1">
        <f t="array" ref="AB234">IFERROR(IF($W234="Y","",INDEX(EPA!$N$2:$N$512,MATCH(Y234&amp;Index!$K$1,EPA!$A$2:$A$512&amp;EPA!$W$2:$W$512,0))),"")</f>
        <v/>
      </c>
      <c r="AC234" s="174" t="str">
        <f ca="1">IF(AA234&lt;&gt;"",_xlfn.NORM.INV(RAND(),AA234,Index!$K$2),"")</f>
        <v/>
      </c>
      <c r="AD234" s="174" t="str">
        <f ca="1">IF(AB234&lt;&gt;"",_xlfn.NORM.INV(RAND(),AB234,Index!$K$2),"")</f>
        <v/>
      </c>
      <c r="AE234" s="157" t="str">
        <f t="shared" si="25"/>
        <v>MIN</v>
      </c>
      <c r="AF234" s="158" t="str">
        <f t="shared" si="26"/>
        <v>NYG</v>
      </c>
      <c r="AG234" s="149">
        <f t="shared" si="27"/>
        <v>233</v>
      </c>
    </row>
    <row r="235" spans="1:33" x14ac:dyDescent="0.25">
      <c r="A235" s="9">
        <v>16</v>
      </c>
      <c r="B235" s="9" t="s">
        <v>661</v>
      </c>
      <c r="C235" s="148">
        <v>46012</v>
      </c>
      <c r="D235" s="9" t="s">
        <v>662</v>
      </c>
      <c r="E235" s="9" t="s">
        <v>71</v>
      </c>
      <c r="F235" s="9"/>
      <c r="G235" s="9" t="s">
        <v>23</v>
      </c>
      <c r="H235" s="9" t="s">
        <v>658</v>
      </c>
      <c r="I235" s="9">
        <v>29</v>
      </c>
      <c r="J235" s="9">
        <v>6</v>
      </c>
      <c r="K235" s="9">
        <v>412</v>
      </c>
      <c r="L235" s="9">
        <v>1</v>
      </c>
      <c r="M235" s="9">
        <v>195</v>
      </c>
      <c r="N235" s="9">
        <v>2</v>
      </c>
      <c r="O235" s="149" t="str">
        <f>IF(I235&lt;&gt;"",IF(I235=J235,"TIE",INDEX(Index!$F$1:$F$32,MATCH(E235,Index!$E$1:$E$32,0))),INDEX(Index!$F$1:$F$32,MATCH(E235,Index!$E$1:$E$32,0)))</f>
        <v>NO</v>
      </c>
      <c r="P235" s="150" t="str">
        <f>IF(I235&lt;&gt;"",IF(I235=J235,"TIE",INDEX(Index!$F$1:$F$32,MATCH(G235,Index!$E$1:$E$32,0))),INDEX(Index!$F$1:$F$32,MATCH(G235,Index!$E$1:$E$32,0)))</f>
        <v>NYJ</v>
      </c>
      <c r="Q235" s="155" t="str">
        <f>IF(O235="TIE",INDEX(Index!$F$1:$F$32,MATCH(E235,Index!$E$1:$E$32,0)),"")</f>
        <v/>
      </c>
      <c r="R235" s="155" t="str">
        <f>IF(P235="TIE",INDEX(Index!$F$1:$F$32,MATCH(G235,Index!$E$1:$E$32,0)),"")</f>
        <v/>
      </c>
      <c r="S235" s="151" t="str">
        <f t="shared" si="21"/>
        <v>H</v>
      </c>
      <c r="T235" s="156" t="str">
        <f>INDEX(Index!$H$1:$H$32,MATCH($E235,Index!$E$1:$E$32,0))</f>
        <v>NS</v>
      </c>
      <c r="U235" s="156" t="str">
        <f>INDEX(Index!$H$1:$H$32,MATCH($G235,Index!$E$1:$E$32,0))</f>
        <v>AE</v>
      </c>
      <c r="V235" s="156" t="str">
        <f t="shared" si="22"/>
        <v>Non</v>
      </c>
      <c r="W235" s="152" t="str">
        <f t="shared" si="23"/>
        <v>Y</v>
      </c>
      <c r="X235" s="149" t="str">
        <f>INDEX(Index!$G$1:$G$32,MATCH(E235,Index!$E$1:$E$32,0))</f>
        <v>NO</v>
      </c>
      <c r="Y235" s="150" t="str">
        <f>INDEX(Index!$G$1:$G$32,MATCH(G235,Index!$E$1:$E$32,0))</f>
        <v>NYJ</v>
      </c>
      <c r="Z235" s="147" t="str">
        <f t="shared" si="24"/>
        <v/>
      </c>
      <c r="AA235" s="174" t="str" cm="1">
        <f t="array" ref="AA235">IFERROR(IF($W235="Y","",INDEX(EPA!$N$2:$N$512,MATCH(X235&amp;Index!$K$1,EPA!$A$2:$A$512&amp;EPA!$W$2:$W$512,0))),"")</f>
        <v/>
      </c>
      <c r="AB235" s="174" t="str" cm="1">
        <f t="array" ref="AB235">IFERROR(IF($W235="Y","",INDEX(EPA!$N$2:$N$512,MATCH(Y235&amp;Index!$K$1,EPA!$A$2:$A$512&amp;EPA!$W$2:$W$512,0))),"")</f>
        <v/>
      </c>
      <c r="AC235" s="174" t="str">
        <f ca="1">IF(AA235&lt;&gt;"",_xlfn.NORM.INV(RAND(),AA235,Index!$K$2),"")</f>
        <v/>
      </c>
      <c r="AD235" s="174" t="str">
        <f ca="1">IF(AB235&lt;&gt;"",_xlfn.NORM.INV(RAND(),AB235,Index!$K$2),"")</f>
        <v/>
      </c>
      <c r="AE235" s="157" t="str">
        <f t="shared" si="25"/>
        <v>NO</v>
      </c>
      <c r="AF235" s="158" t="str">
        <f t="shared" si="26"/>
        <v>NYJ</v>
      </c>
      <c r="AG235" s="149">
        <f t="shared" si="27"/>
        <v>234</v>
      </c>
    </row>
    <row r="236" spans="1:33" x14ac:dyDescent="0.25">
      <c r="A236" s="9">
        <v>16</v>
      </c>
      <c r="B236" s="9" t="s">
        <v>661</v>
      </c>
      <c r="C236" s="148">
        <v>46012</v>
      </c>
      <c r="D236" s="9" t="s">
        <v>664</v>
      </c>
      <c r="E236" s="9" t="s">
        <v>78</v>
      </c>
      <c r="F236" s="9" t="s">
        <v>663</v>
      </c>
      <c r="G236" s="9" t="s">
        <v>27</v>
      </c>
      <c r="H236" s="9" t="s">
        <v>658</v>
      </c>
      <c r="I236" s="9">
        <v>26</v>
      </c>
      <c r="J236" s="9">
        <v>19</v>
      </c>
      <c r="K236" s="9">
        <v>342</v>
      </c>
      <c r="L236" s="9">
        <v>2</v>
      </c>
      <c r="M236" s="9">
        <v>320</v>
      </c>
      <c r="N236" s="9">
        <v>1</v>
      </c>
      <c r="O236" s="149" t="str">
        <f>IF(I236&lt;&gt;"",IF(I236=J236,"TIE",INDEX(Index!$F$1:$F$32,MATCH(E236,Index!$E$1:$E$32,0))),INDEX(Index!$F$1:$F$32,MATCH(E236,Index!$E$1:$E$32,0)))</f>
        <v>ATL</v>
      </c>
      <c r="P236" s="150" t="str">
        <f>IF(I236&lt;&gt;"",IF(I236=J236,"TIE",INDEX(Index!$F$1:$F$32,MATCH(G236,Index!$E$1:$E$32,0))),INDEX(Index!$F$1:$F$32,MATCH(G236,Index!$E$1:$E$32,0)))</f>
        <v>ARI</v>
      </c>
      <c r="Q236" s="155" t="str">
        <f>IF(O236="TIE",INDEX(Index!$F$1:$F$32,MATCH(E236,Index!$E$1:$E$32,0)),"")</f>
        <v/>
      </c>
      <c r="R236" s="155" t="str">
        <f>IF(P236="TIE",INDEX(Index!$F$1:$F$32,MATCH(G236,Index!$E$1:$E$32,0)),"")</f>
        <v/>
      </c>
      <c r="S236" s="151" t="str">
        <f t="shared" si="21"/>
        <v>A</v>
      </c>
      <c r="T236" s="156" t="str">
        <f>INDEX(Index!$H$1:$H$32,MATCH($E236,Index!$E$1:$E$32,0))</f>
        <v>NS</v>
      </c>
      <c r="U236" s="156" t="str">
        <f>INDEX(Index!$H$1:$H$32,MATCH($G236,Index!$E$1:$E$32,0))</f>
        <v>NW</v>
      </c>
      <c r="V236" s="156" t="str">
        <f t="shared" si="22"/>
        <v>Con</v>
      </c>
      <c r="W236" s="152" t="str">
        <f t="shared" si="23"/>
        <v>Y</v>
      </c>
      <c r="X236" s="149" t="str">
        <f>INDEX(Index!$G$1:$G$32,MATCH(E236,Index!$E$1:$E$32,0))</f>
        <v>ATL</v>
      </c>
      <c r="Y236" s="150" t="str">
        <f>INDEX(Index!$G$1:$G$32,MATCH(G236,Index!$E$1:$E$32,0))</f>
        <v>ARI</v>
      </c>
      <c r="Z236" s="147" t="str">
        <f t="shared" si="24"/>
        <v/>
      </c>
      <c r="AA236" s="174" t="str" cm="1">
        <f t="array" ref="AA236">IFERROR(IF($W236="Y","",INDEX(EPA!$N$2:$N$512,MATCH(X236&amp;Index!$K$1,EPA!$A$2:$A$512&amp;EPA!$W$2:$W$512,0))),"")</f>
        <v/>
      </c>
      <c r="AB236" s="174" t="str" cm="1">
        <f t="array" ref="AB236">IFERROR(IF($W236="Y","",INDEX(EPA!$N$2:$N$512,MATCH(Y236&amp;Index!$K$1,EPA!$A$2:$A$512&amp;EPA!$W$2:$W$512,0))),"")</f>
        <v/>
      </c>
      <c r="AC236" s="174" t="str">
        <f ca="1">IF(AA236&lt;&gt;"",_xlfn.NORM.INV(RAND(),AA236,Index!$K$2),"")</f>
        <v/>
      </c>
      <c r="AD236" s="174" t="str">
        <f ca="1">IF(AB236&lt;&gt;"",_xlfn.NORM.INV(RAND(),AB236,Index!$K$2),"")</f>
        <v/>
      </c>
      <c r="AE236" s="157" t="str">
        <f t="shared" si="25"/>
        <v>ATL</v>
      </c>
      <c r="AF236" s="158" t="str">
        <f t="shared" si="26"/>
        <v>ARI</v>
      </c>
      <c r="AG236" s="149">
        <f t="shared" si="27"/>
        <v>235</v>
      </c>
    </row>
    <row r="237" spans="1:33" x14ac:dyDescent="0.25">
      <c r="A237" s="9">
        <v>16</v>
      </c>
      <c r="B237" s="9" t="s">
        <v>661</v>
      </c>
      <c r="C237" s="148">
        <v>46012</v>
      </c>
      <c r="D237" s="9" t="s">
        <v>664</v>
      </c>
      <c r="E237" s="9" t="s">
        <v>36</v>
      </c>
      <c r="F237" s="9" t="s">
        <v>663</v>
      </c>
      <c r="G237" s="9" t="s">
        <v>94</v>
      </c>
      <c r="H237" s="9" t="s">
        <v>658</v>
      </c>
      <c r="I237" s="9">
        <v>34</v>
      </c>
      <c r="J237" s="9">
        <v>20</v>
      </c>
      <c r="K237" s="9">
        <v>346</v>
      </c>
      <c r="L237" s="9">
        <v>0</v>
      </c>
      <c r="M237" s="9">
        <v>445</v>
      </c>
      <c r="N237" s="9">
        <v>2</v>
      </c>
      <c r="O237" s="149" t="str">
        <f>IF(I237&lt;&gt;"",IF(I237=J237,"TIE",INDEX(Index!$F$1:$F$32,MATCH(E237,Index!$E$1:$E$32,0))),INDEX(Index!$F$1:$F$32,MATCH(E237,Index!$E$1:$E$32,0)))</f>
        <v>JAX</v>
      </c>
      <c r="P237" s="150" t="str">
        <f>IF(I237&lt;&gt;"",IF(I237=J237,"TIE",INDEX(Index!$F$1:$F$32,MATCH(G237,Index!$E$1:$E$32,0))),INDEX(Index!$F$1:$F$32,MATCH(G237,Index!$E$1:$E$32,0)))</f>
        <v>DEN</v>
      </c>
      <c r="Q237" s="155" t="str">
        <f>IF(O237="TIE",INDEX(Index!$F$1:$F$32,MATCH(E237,Index!$E$1:$E$32,0)),"")</f>
        <v/>
      </c>
      <c r="R237" s="155" t="str">
        <f>IF(P237="TIE",INDEX(Index!$F$1:$F$32,MATCH(G237,Index!$E$1:$E$32,0)),"")</f>
        <v/>
      </c>
      <c r="S237" s="151" t="str">
        <f t="shared" si="21"/>
        <v>A</v>
      </c>
      <c r="T237" s="156" t="str">
        <f>INDEX(Index!$H$1:$H$32,MATCH($E237,Index!$E$1:$E$32,0))</f>
        <v>AS</v>
      </c>
      <c r="U237" s="156" t="str">
        <f>INDEX(Index!$H$1:$H$32,MATCH($G237,Index!$E$1:$E$32,0))</f>
        <v>AW</v>
      </c>
      <c r="V237" s="156" t="str">
        <f t="shared" si="22"/>
        <v>Con</v>
      </c>
      <c r="W237" s="152" t="str">
        <f t="shared" si="23"/>
        <v>Y</v>
      </c>
      <c r="X237" s="149" t="str">
        <f>INDEX(Index!$G$1:$G$32,MATCH(E237,Index!$E$1:$E$32,0))</f>
        <v>JAX</v>
      </c>
      <c r="Y237" s="150" t="str">
        <f>INDEX(Index!$G$1:$G$32,MATCH(G237,Index!$E$1:$E$32,0))</f>
        <v>DEN</v>
      </c>
      <c r="Z237" s="147" t="str">
        <f t="shared" si="24"/>
        <v/>
      </c>
      <c r="AA237" s="174" t="str" cm="1">
        <f t="array" ref="AA237">IFERROR(IF($W237="Y","",INDEX(EPA!$N$2:$N$512,MATCH(X237&amp;Index!$K$1,EPA!$A$2:$A$512&amp;EPA!$W$2:$W$512,0))),"")</f>
        <v/>
      </c>
      <c r="AB237" s="174" t="str" cm="1">
        <f t="array" ref="AB237">IFERROR(IF($W237="Y","",INDEX(EPA!$N$2:$N$512,MATCH(Y237&amp;Index!$K$1,EPA!$A$2:$A$512&amp;EPA!$W$2:$W$512,0))),"")</f>
        <v/>
      </c>
      <c r="AC237" s="174" t="str">
        <f ca="1">IF(AA237&lt;&gt;"",_xlfn.NORM.INV(RAND(),AA237,Index!$K$2),"")</f>
        <v/>
      </c>
      <c r="AD237" s="174" t="str">
        <f ca="1">IF(AB237&lt;&gt;"",_xlfn.NORM.INV(RAND(),AB237,Index!$K$2),"")</f>
        <v/>
      </c>
      <c r="AE237" s="157" t="str">
        <f t="shared" si="25"/>
        <v>JAX</v>
      </c>
      <c r="AF237" s="158" t="str">
        <f t="shared" si="26"/>
        <v>DEN</v>
      </c>
      <c r="AG237" s="149">
        <f t="shared" si="27"/>
        <v>236</v>
      </c>
    </row>
    <row r="238" spans="1:33" x14ac:dyDescent="0.25">
      <c r="A238" s="9">
        <v>16</v>
      </c>
      <c r="B238" s="9" t="s">
        <v>661</v>
      </c>
      <c r="C238" s="148">
        <v>46012</v>
      </c>
      <c r="D238" s="9" t="s">
        <v>665</v>
      </c>
      <c r="E238" s="9" t="s">
        <v>73</v>
      </c>
      <c r="F238" s="9" t="s">
        <v>663</v>
      </c>
      <c r="G238" s="9" t="s">
        <v>86</v>
      </c>
      <c r="H238" s="9" t="s">
        <v>658</v>
      </c>
      <c r="I238" s="9">
        <v>29</v>
      </c>
      <c r="J238" s="9">
        <v>24</v>
      </c>
      <c r="K238" s="9">
        <v>481</v>
      </c>
      <c r="L238" s="9">
        <v>1</v>
      </c>
      <c r="M238" s="9">
        <v>361</v>
      </c>
      <c r="N238" s="9">
        <v>0</v>
      </c>
      <c r="O238" s="149" t="str">
        <f>IF(I238&lt;&gt;"",IF(I238=J238,"TIE",INDEX(Index!$F$1:$F$32,MATCH(E238,Index!$E$1:$E$32,0))),INDEX(Index!$F$1:$F$32,MATCH(E238,Index!$E$1:$E$32,0)))</f>
        <v>PIT</v>
      </c>
      <c r="P238" s="150" t="str">
        <f>IF(I238&lt;&gt;"",IF(I238=J238,"TIE",INDEX(Index!$F$1:$F$32,MATCH(G238,Index!$E$1:$E$32,0))),INDEX(Index!$F$1:$F$32,MATCH(G238,Index!$E$1:$E$32,0)))</f>
        <v>DET</v>
      </c>
      <c r="Q238" s="155" t="str">
        <f>IF(O238="TIE",INDEX(Index!$F$1:$F$32,MATCH(E238,Index!$E$1:$E$32,0)),"")</f>
        <v/>
      </c>
      <c r="R238" s="155" t="str">
        <f>IF(P238="TIE",INDEX(Index!$F$1:$F$32,MATCH(G238,Index!$E$1:$E$32,0)),"")</f>
        <v/>
      </c>
      <c r="S238" s="151" t="str">
        <f t="shared" si="21"/>
        <v>A</v>
      </c>
      <c r="T238" s="156" t="str">
        <f>INDEX(Index!$H$1:$H$32,MATCH($E238,Index!$E$1:$E$32,0))</f>
        <v>AN</v>
      </c>
      <c r="U238" s="156" t="str">
        <f>INDEX(Index!$H$1:$H$32,MATCH($G238,Index!$E$1:$E$32,0))</f>
        <v>NN</v>
      </c>
      <c r="V238" s="156" t="str">
        <f t="shared" si="22"/>
        <v>Non</v>
      </c>
      <c r="W238" s="152" t="str">
        <f t="shared" si="23"/>
        <v>Y</v>
      </c>
      <c r="X238" s="149" t="str">
        <f>INDEX(Index!$G$1:$G$32,MATCH(E238,Index!$E$1:$E$32,0))</f>
        <v>PIT</v>
      </c>
      <c r="Y238" s="150" t="str">
        <f>INDEX(Index!$G$1:$G$32,MATCH(G238,Index!$E$1:$E$32,0))</f>
        <v>DET</v>
      </c>
      <c r="Z238" s="147" t="str">
        <f t="shared" si="24"/>
        <v/>
      </c>
      <c r="AA238" s="174" t="str" cm="1">
        <f t="array" ref="AA238">IFERROR(IF($W238="Y","",INDEX(EPA!$N$2:$N$512,MATCH(X238&amp;Index!$K$1,EPA!$A$2:$A$512&amp;EPA!$W$2:$W$512,0))),"")</f>
        <v/>
      </c>
      <c r="AB238" s="174" t="str" cm="1">
        <f t="array" ref="AB238">IFERROR(IF($W238="Y","",INDEX(EPA!$N$2:$N$512,MATCH(Y238&amp;Index!$K$1,EPA!$A$2:$A$512&amp;EPA!$W$2:$W$512,0))),"")</f>
        <v/>
      </c>
      <c r="AC238" s="174" t="str">
        <f ca="1">IF(AA238&lt;&gt;"",_xlfn.NORM.INV(RAND(),AA238,Index!$K$2),"")</f>
        <v/>
      </c>
      <c r="AD238" s="174" t="str">
        <f ca="1">IF(AB238&lt;&gt;"",_xlfn.NORM.INV(RAND(),AB238,Index!$K$2),"")</f>
        <v/>
      </c>
      <c r="AE238" s="157" t="str">
        <f t="shared" si="25"/>
        <v>PIT</v>
      </c>
      <c r="AF238" s="158" t="str">
        <f t="shared" si="26"/>
        <v>DET</v>
      </c>
      <c r="AG238" s="149">
        <f t="shared" si="27"/>
        <v>237</v>
      </c>
    </row>
    <row r="239" spans="1:33" x14ac:dyDescent="0.25">
      <c r="A239" s="9">
        <v>16</v>
      </c>
      <c r="B239" s="9" t="s">
        <v>661</v>
      </c>
      <c r="C239" s="148">
        <v>46012</v>
      </c>
      <c r="D239" s="9" t="s">
        <v>665</v>
      </c>
      <c r="E239" s="9" t="s">
        <v>33</v>
      </c>
      <c r="F239" s="9"/>
      <c r="G239" s="9" t="s">
        <v>80</v>
      </c>
      <c r="H239" s="9" t="s">
        <v>658</v>
      </c>
      <c r="I239" s="9">
        <v>23</v>
      </c>
      <c r="J239" s="9">
        <v>21</v>
      </c>
      <c r="K239" s="9">
        <v>270</v>
      </c>
      <c r="L239" s="9">
        <v>0</v>
      </c>
      <c r="M239" s="9">
        <v>315</v>
      </c>
      <c r="N239" s="9">
        <v>1</v>
      </c>
      <c r="O239" s="149" t="str">
        <f>IF(I239&lt;&gt;"",IF(I239=J239,"TIE",INDEX(Index!$F$1:$F$32,MATCH(E239,Index!$E$1:$E$32,0))),INDEX(Index!$F$1:$F$32,MATCH(E239,Index!$E$1:$E$32,0)))</f>
        <v>HOU</v>
      </c>
      <c r="P239" s="150" t="str">
        <f>IF(I239&lt;&gt;"",IF(I239=J239,"TIE",INDEX(Index!$F$1:$F$32,MATCH(G239,Index!$E$1:$E$32,0))),INDEX(Index!$F$1:$F$32,MATCH(G239,Index!$E$1:$E$32,0)))</f>
        <v>LV</v>
      </c>
      <c r="Q239" s="155" t="str">
        <f>IF(O239="TIE",INDEX(Index!$F$1:$F$32,MATCH(E239,Index!$E$1:$E$32,0)),"")</f>
        <v/>
      </c>
      <c r="R239" s="155" t="str">
        <f>IF(P239="TIE",INDEX(Index!$F$1:$F$32,MATCH(G239,Index!$E$1:$E$32,0)),"")</f>
        <v/>
      </c>
      <c r="S239" s="151" t="str">
        <f t="shared" si="21"/>
        <v>H</v>
      </c>
      <c r="T239" s="156" t="str">
        <f>INDEX(Index!$H$1:$H$32,MATCH($E239,Index!$E$1:$E$32,0))</f>
        <v>AS</v>
      </c>
      <c r="U239" s="156" t="str">
        <f>INDEX(Index!$H$1:$H$32,MATCH($G239,Index!$E$1:$E$32,0))</f>
        <v>AW</v>
      </c>
      <c r="V239" s="156" t="str">
        <f t="shared" si="22"/>
        <v>Con</v>
      </c>
      <c r="W239" s="152" t="str">
        <f t="shared" si="23"/>
        <v>Y</v>
      </c>
      <c r="X239" s="149" t="str">
        <f>INDEX(Index!$G$1:$G$32,MATCH(E239,Index!$E$1:$E$32,0))</f>
        <v>HOU</v>
      </c>
      <c r="Y239" s="150" t="str">
        <f>INDEX(Index!$G$1:$G$32,MATCH(G239,Index!$E$1:$E$32,0))</f>
        <v>OAK</v>
      </c>
      <c r="Z239" s="147" t="str">
        <f t="shared" si="24"/>
        <v/>
      </c>
      <c r="AA239" s="174" t="str" cm="1">
        <f t="array" ref="AA239">IFERROR(IF($W239="Y","",INDEX(EPA!$N$2:$N$512,MATCH(X239&amp;Index!$K$1,EPA!$A$2:$A$512&amp;EPA!$W$2:$W$512,0))),"")</f>
        <v/>
      </c>
      <c r="AB239" s="174" t="str" cm="1">
        <f t="array" ref="AB239">IFERROR(IF($W239="Y","",INDEX(EPA!$N$2:$N$512,MATCH(Y239&amp;Index!$K$1,EPA!$A$2:$A$512&amp;EPA!$W$2:$W$512,0))),"")</f>
        <v/>
      </c>
      <c r="AC239" s="174" t="str">
        <f ca="1">IF(AA239&lt;&gt;"",_xlfn.NORM.INV(RAND(),AA239,Index!$K$2),"")</f>
        <v/>
      </c>
      <c r="AD239" s="174" t="str">
        <f ca="1">IF(AB239&lt;&gt;"",_xlfn.NORM.INV(RAND(),AB239,Index!$K$2),"")</f>
        <v/>
      </c>
      <c r="AE239" s="157" t="str">
        <f t="shared" si="25"/>
        <v>HOU</v>
      </c>
      <c r="AF239" s="158" t="str">
        <f t="shared" si="26"/>
        <v>LV</v>
      </c>
      <c r="AG239" s="149">
        <f t="shared" si="27"/>
        <v>238</v>
      </c>
    </row>
    <row r="240" spans="1:33" x14ac:dyDescent="0.25">
      <c r="A240" s="9">
        <v>16</v>
      </c>
      <c r="B240" s="9" t="s">
        <v>661</v>
      </c>
      <c r="C240" s="148">
        <v>46012</v>
      </c>
      <c r="D240" s="9" t="s">
        <v>657</v>
      </c>
      <c r="E240" s="9" t="s">
        <v>45</v>
      </c>
      <c r="F240" s="9" t="s">
        <v>663</v>
      </c>
      <c r="G240" s="9" t="s">
        <v>76</v>
      </c>
      <c r="H240" s="9" t="s">
        <v>658</v>
      </c>
      <c r="I240" s="9">
        <v>28</v>
      </c>
      <c r="J240" s="9">
        <v>24</v>
      </c>
      <c r="K240" s="9">
        <v>453</v>
      </c>
      <c r="L240" s="9">
        <v>2</v>
      </c>
      <c r="M240" s="9">
        <v>330</v>
      </c>
      <c r="N240" s="9">
        <v>2</v>
      </c>
      <c r="O240" s="149" t="str">
        <f>IF(I240&lt;&gt;"",IF(I240=J240,"TIE",INDEX(Index!$F$1:$F$32,MATCH(E240,Index!$E$1:$E$32,0))),INDEX(Index!$F$1:$F$32,MATCH(E240,Index!$E$1:$E$32,0)))</f>
        <v>NE</v>
      </c>
      <c r="P240" s="150" t="str">
        <f>IF(I240&lt;&gt;"",IF(I240=J240,"TIE",INDEX(Index!$F$1:$F$32,MATCH(G240,Index!$E$1:$E$32,0))),INDEX(Index!$F$1:$F$32,MATCH(G240,Index!$E$1:$E$32,0)))</f>
        <v>BAL</v>
      </c>
      <c r="Q240" s="155" t="str">
        <f>IF(O240="TIE",INDEX(Index!$F$1:$F$32,MATCH(E240,Index!$E$1:$E$32,0)),"")</f>
        <v/>
      </c>
      <c r="R240" s="155" t="str">
        <f>IF(P240="TIE",INDEX(Index!$F$1:$F$32,MATCH(G240,Index!$E$1:$E$32,0)),"")</f>
        <v/>
      </c>
      <c r="S240" s="151" t="str">
        <f t="shared" si="21"/>
        <v>A</v>
      </c>
      <c r="T240" s="156" t="str">
        <f>INDEX(Index!$H$1:$H$32,MATCH($E240,Index!$E$1:$E$32,0))</f>
        <v>AE</v>
      </c>
      <c r="U240" s="156" t="str">
        <f>INDEX(Index!$H$1:$H$32,MATCH($G240,Index!$E$1:$E$32,0))</f>
        <v>AN</v>
      </c>
      <c r="V240" s="156" t="str">
        <f t="shared" si="22"/>
        <v>Con</v>
      </c>
      <c r="W240" s="152" t="str">
        <f t="shared" si="23"/>
        <v>Y</v>
      </c>
      <c r="X240" s="149" t="str">
        <f>INDEX(Index!$G$1:$G$32,MATCH(E240,Index!$E$1:$E$32,0))</f>
        <v>NE</v>
      </c>
      <c r="Y240" s="150" t="str">
        <f>INDEX(Index!$G$1:$G$32,MATCH(G240,Index!$E$1:$E$32,0))</f>
        <v>BAL</v>
      </c>
      <c r="Z240" s="147" t="str">
        <f t="shared" si="24"/>
        <v/>
      </c>
      <c r="AA240" s="174" t="str" cm="1">
        <f t="array" ref="AA240">IFERROR(IF($W240="Y","",INDEX(EPA!$N$2:$N$512,MATCH(X240&amp;Index!$K$1,EPA!$A$2:$A$512&amp;EPA!$W$2:$W$512,0))),"")</f>
        <v/>
      </c>
      <c r="AB240" s="174" t="str" cm="1">
        <f t="array" ref="AB240">IFERROR(IF($W240="Y","",INDEX(EPA!$N$2:$N$512,MATCH(Y240&amp;Index!$K$1,EPA!$A$2:$A$512&amp;EPA!$W$2:$W$512,0))),"")</f>
        <v/>
      </c>
      <c r="AC240" s="174" t="str">
        <f ca="1">IF(AA240&lt;&gt;"",_xlfn.NORM.INV(RAND(),AA240,Index!$K$2),"")</f>
        <v/>
      </c>
      <c r="AD240" s="174" t="str">
        <f ca="1">IF(AB240&lt;&gt;"",_xlfn.NORM.INV(RAND(),AB240,Index!$K$2),"")</f>
        <v/>
      </c>
      <c r="AE240" s="157" t="str">
        <f t="shared" si="25"/>
        <v>NE</v>
      </c>
      <c r="AF240" s="158" t="str">
        <f t="shared" si="26"/>
        <v>BAL</v>
      </c>
      <c r="AG240" s="149">
        <f t="shared" si="27"/>
        <v>239</v>
      </c>
    </row>
    <row r="241" spans="1:33" x14ac:dyDescent="0.25">
      <c r="A241" s="9">
        <v>16</v>
      </c>
      <c r="B241" s="9" t="s">
        <v>666</v>
      </c>
      <c r="C241" s="148">
        <v>46013</v>
      </c>
      <c r="D241" s="9" t="s">
        <v>667</v>
      </c>
      <c r="E241" s="9" t="s">
        <v>30</v>
      </c>
      <c r="F241" s="9" t="s">
        <v>663</v>
      </c>
      <c r="G241" s="9" t="s">
        <v>42</v>
      </c>
      <c r="H241" s="9" t="s">
        <v>658</v>
      </c>
      <c r="I241" s="9">
        <v>48</v>
      </c>
      <c r="J241" s="9">
        <v>27</v>
      </c>
      <c r="K241" s="9">
        <v>440</v>
      </c>
      <c r="L241" s="9">
        <v>1</v>
      </c>
      <c r="M241" s="9">
        <v>312</v>
      </c>
      <c r="N241" s="9">
        <v>2</v>
      </c>
      <c r="O241" s="149" t="str">
        <f>IF(I241&lt;&gt;"",IF(I241=J241,"TIE",INDEX(Index!$F$1:$F$32,MATCH(E241,Index!$E$1:$E$32,0))),INDEX(Index!$F$1:$F$32,MATCH(E241,Index!$E$1:$E$32,0)))</f>
        <v>SF</v>
      </c>
      <c r="P241" s="150" t="str">
        <f>IF(I241&lt;&gt;"",IF(I241=J241,"TIE",INDEX(Index!$F$1:$F$32,MATCH(G241,Index!$E$1:$E$32,0))),INDEX(Index!$F$1:$F$32,MATCH(G241,Index!$E$1:$E$32,0)))</f>
        <v>IND</v>
      </c>
      <c r="Q241" s="155" t="str">
        <f>IF(O241="TIE",INDEX(Index!$F$1:$F$32,MATCH(E241,Index!$E$1:$E$32,0)),"")</f>
        <v/>
      </c>
      <c r="R241" s="155" t="str">
        <f>IF(P241="TIE",INDEX(Index!$F$1:$F$32,MATCH(G241,Index!$E$1:$E$32,0)),"")</f>
        <v/>
      </c>
      <c r="S241" s="151" t="str">
        <f t="shared" si="21"/>
        <v>A</v>
      </c>
      <c r="T241" s="156" t="str">
        <f>INDEX(Index!$H$1:$H$32,MATCH($E241,Index!$E$1:$E$32,0))</f>
        <v>NW</v>
      </c>
      <c r="U241" s="156" t="str">
        <f>INDEX(Index!$H$1:$H$32,MATCH($G241,Index!$E$1:$E$32,0))</f>
        <v>AS</v>
      </c>
      <c r="V241" s="156" t="str">
        <f t="shared" si="22"/>
        <v>Non</v>
      </c>
      <c r="W241" s="152" t="str">
        <f t="shared" si="23"/>
        <v>Y</v>
      </c>
      <c r="X241" s="149" t="str">
        <f>INDEX(Index!$G$1:$G$32,MATCH(E241,Index!$E$1:$E$32,0))</f>
        <v>SF</v>
      </c>
      <c r="Y241" s="150" t="str">
        <f>INDEX(Index!$G$1:$G$32,MATCH(G241,Index!$E$1:$E$32,0))</f>
        <v>IND</v>
      </c>
      <c r="Z241" s="147" t="str">
        <f t="shared" si="24"/>
        <v/>
      </c>
      <c r="AA241" s="174" t="str" cm="1">
        <f t="array" ref="AA241">IFERROR(IF($W241="Y","",INDEX(EPA!$N$2:$N$512,MATCH(X241&amp;Index!$K$1,EPA!$A$2:$A$512&amp;EPA!$W$2:$W$512,0))),"")</f>
        <v/>
      </c>
      <c r="AB241" s="174" t="str" cm="1">
        <f t="array" ref="AB241">IFERROR(IF($W241="Y","",INDEX(EPA!$N$2:$N$512,MATCH(Y241&amp;Index!$K$1,EPA!$A$2:$A$512&amp;EPA!$W$2:$W$512,0))),"")</f>
        <v/>
      </c>
      <c r="AC241" s="174" t="str">
        <f ca="1">IF(AA241&lt;&gt;"",_xlfn.NORM.INV(RAND(),AA241,Index!$K$2),"")</f>
        <v/>
      </c>
      <c r="AD241" s="174" t="str">
        <f ca="1">IF(AB241&lt;&gt;"",_xlfn.NORM.INV(RAND(),AB241,Index!$K$2),"")</f>
        <v/>
      </c>
      <c r="AE241" s="157" t="str">
        <f t="shared" si="25"/>
        <v>SF</v>
      </c>
      <c r="AF241" s="158" t="str">
        <f t="shared" si="26"/>
        <v>IND</v>
      </c>
      <c r="AG241" s="149">
        <f t="shared" si="27"/>
        <v>240</v>
      </c>
    </row>
    <row r="242" spans="1:33" x14ac:dyDescent="0.25">
      <c r="A242" s="9">
        <v>17</v>
      </c>
      <c r="B242" s="9" t="s">
        <v>656</v>
      </c>
      <c r="C242" s="148">
        <v>46016</v>
      </c>
      <c r="D242" s="9" t="s">
        <v>662</v>
      </c>
      <c r="E242" s="9" t="s">
        <v>56</v>
      </c>
      <c r="F242" s="9" t="s">
        <v>663</v>
      </c>
      <c r="G242" s="9" t="s">
        <v>4</v>
      </c>
      <c r="H242" s="9" t="s">
        <v>658</v>
      </c>
      <c r="I242" s="9">
        <v>30</v>
      </c>
      <c r="J242" s="9">
        <v>23</v>
      </c>
      <c r="K242" s="9">
        <v>480</v>
      </c>
      <c r="L242" s="9">
        <v>0</v>
      </c>
      <c r="M242" s="9">
        <v>328</v>
      </c>
      <c r="N242" s="9">
        <v>0</v>
      </c>
      <c r="O242" s="149" t="str">
        <f>IF(I242&lt;&gt;"",IF(I242=J242,"TIE",INDEX(Index!$F$1:$F$32,MATCH(E242,Index!$E$1:$E$32,0))),INDEX(Index!$F$1:$F$32,MATCH(E242,Index!$E$1:$E$32,0)))</f>
        <v>DAL</v>
      </c>
      <c r="P242" s="150" t="str">
        <f>IF(I242&lt;&gt;"",IF(I242=J242,"TIE",INDEX(Index!$F$1:$F$32,MATCH(G242,Index!$E$1:$E$32,0))),INDEX(Index!$F$1:$F$32,MATCH(G242,Index!$E$1:$E$32,0)))</f>
        <v>WAS</v>
      </c>
      <c r="Q242" s="155" t="str">
        <f>IF(O242="TIE",INDEX(Index!$F$1:$F$32,MATCH(E242,Index!$E$1:$E$32,0)),"")</f>
        <v/>
      </c>
      <c r="R242" s="155" t="str">
        <f>IF(P242="TIE",INDEX(Index!$F$1:$F$32,MATCH(G242,Index!$E$1:$E$32,0)),"")</f>
        <v/>
      </c>
      <c r="S242" s="151" t="str">
        <f t="shared" si="21"/>
        <v>A</v>
      </c>
      <c r="T242" s="156" t="str">
        <f>INDEX(Index!$H$1:$H$32,MATCH($E242,Index!$E$1:$E$32,0))</f>
        <v>NE</v>
      </c>
      <c r="U242" s="156" t="str">
        <f>INDEX(Index!$H$1:$H$32,MATCH($G242,Index!$E$1:$E$32,0))</f>
        <v>NE</v>
      </c>
      <c r="V242" s="156" t="str">
        <f t="shared" si="22"/>
        <v>Div</v>
      </c>
      <c r="W242" s="152" t="str">
        <f t="shared" si="23"/>
        <v>Y</v>
      </c>
      <c r="X242" s="149" t="str">
        <f>INDEX(Index!$G$1:$G$32,MATCH(E242,Index!$E$1:$E$32,0))</f>
        <v>DAL</v>
      </c>
      <c r="Y242" s="150" t="str">
        <f>INDEX(Index!$G$1:$G$32,MATCH(G242,Index!$E$1:$E$32,0))</f>
        <v>WAS</v>
      </c>
      <c r="Z242" s="147" t="str">
        <f t="shared" si="24"/>
        <v/>
      </c>
      <c r="AA242" s="174" t="str" cm="1">
        <f t="array" ref="AA242">IFERROR(IF($W242="Y","",INDEX(EPA!$N$2:$N$512,MATCH(X242&amp;Index!$K$1,EPA!$A$2:$A$512&amp;EPA!$W$2:$W$512,0))),"")</f>
        <v/>
      </c>
      <c r="AB242" s="174" t="str" cm="1">
        <f t="array" ref="AB242">IFERROR(IF($W242="Y","",INDEX(EPA!$N$2:$N$512,MATCH(Y242&amp;Index!$K$1,EPA!$A$2:$A$512&amp;EPA!$W$2:$W$512,0))),"")</f>
        <v/>
      </c>
      <c r="AC242" s="174" t="str">
        <f ca="1">IF(AA242&lt;&gt;"",_xlfn.NORM.INV(RAND(),AA242,Index!$K$2),"")</f>
        <v/>
      </c>
      <c r="AD242" s="174" t="str">
        <f ca="1">IF(AB242&lt;&gt;"",_xlfn.NORM.INV(RAND(),AB242,Index!$K$2),"")</f>
        <v/>
      </c>
      <c r="AE242" s="157" t="str">
        <f t="shared" si="25"/>
        <v>DAL</v>
      </c>
      <c r="AF242" s="158" t="str">
        <f t="shared" si="26"/>
        <v>WAS</v>
      </c>
      <c r="AG242" s="149">
        <f t="shared" si="27"/>
        <v>241</v>
      </c>
    </row>
    <row r="243" spans="1:33" x14ac:dyDescent="0.25">
      <c r="A243" s="9">
        <v>17</v>
      </c>
      <c r="B243" s="9" t="s">
        <v>656</v>
      </c>
      <c r="C243" s="148">
        <v>46016</v>
      </c>
      <c r="D243" s="9" t="s">
        <v>672</v>
      </c>
      <c r="E243" s="9" t="s">
        <v>58</v>
      </c>
      <c r="F243" s="9"/>
      <c r="G243" s="9" t="s">
        <v>86</v>
      </c>
      <c r="H243" s="9" t="s">
        <v>658</v>
      </c>
      <c r="I243" s="9">
        <v>23</v>
      </c>
      <c r="J243" s="9">
        <v>10</v>
      </c>
      <c r="K243" s="9">
        <v>161</v>
      </c>
      <c r="L243" s="9">
        <v>0</v>
      </c>
      <c r="M243" s="9">
        <v>231</v>
      </c>
      <c r="N243" s="9">
        <v>6</v>
      </c>
      <c r="O243" s="149" t="str">
        <f>IF(I243&lt;&gt;"",IF(I243=J243,"TIE",INDEX(Index!$F$1:$F$32,MATCH(E243,Index!$E$1:$E$32,0))),INDEX(Index!$F$1:$F$32,MATCH(E243,Index!$E$1:$E$32,0)))</f>
        <v>MIN</v>
      </c>
      <c r="P243" s="150" t="str">
        <f>IF(I243&lt;&gt;"",IF(I243=J243,"TIE",INDEX(Index!$F$1:$F$32,MATCH(G243,Index!$E$1:$E$32,0))),INDEX(Index!$F$1:$F$32,MATCH(G243,Index!$E$1:$E$32,0)))</f>
        <v>DET</v>
      </c>
      <c r="Q243" s="155" t="str">
        <f>IF(O243="TIE",INDEX(Index!$F$1:$F$32,MATCH(E243,Index!$E$1:$E$32,0)),"")</f>
        <v/>
      </c>
      <c r="R243" s="155" t="str">
        <f>IF(P243="TIE",INDEX(Index!$F$1:$F$32,MATCH(G243,Index!$E$1:$E$32,0)),"")</f>
        <v/>
      </c>
      <c r="S243" s="151" t="str">
        <f t="shared" si="21"/>
        <v>H</v>
      </c>
      <c r="T243" s="156" t="str">
        <f>INDEX(Index!$H$1:$H$32,MATCH($E243,Index!$E$1:$E$32,0))</f>
        <v>NN</v>
      </c>
      <c r="U243" s="156" t="str">
        <f>INDEX(Index!$H$1:$H$32,MATCH($G243,Index!$E$1:$E$32,0))</f>
        <v>NN</v>
      </c>
      <c r="V243" s="156" t="str">
        <f t="shared" si="22"/>
        <v>Div</v>
      </c>
      <c r="W243" s="152" t="str">
        <f t="shared" si="23"/>
        <v>Y</v>
      </c>
      <c r="X243" s="149" t="str">
        <f>INDEX(Index!$G$1:$G$32,MATCH(E243,Index!$E$1:$E$32,0))</f>
        <v>MIN</v>
      </c>
      <c r="Y243" s="150" t="str">
        <f>INDEX(Index!$G$1:$G$32,MATCH(G243,Index!$E$1:$E$32,0))</f>
        <v>DET</v>
      </c>
      <c r="Z243" s="147" t="str">
        <f t="shared" si="24"/>
        <v/>
      </c>
      <c r="AA243" s="174" t="str" cm="1">
        <f t="array" ref="AA243">IFERROR(IF($W243="Y","",INDEX(EPA!$N$2:$N$512,MATCH(X243&amp;Index!$K$1,EPA!$A$2:$A$512&amp;EPA!$W$2:$W$512,0))),"")</f>
        <v/>
      </c>
      <c r="AB243" s="174" t="str" cm="1">
        <f t="array" ref="AB243">IFERROR(IF($W243="Y","",INDEX(EPA!$N$2:$N$512,MATCH(Y243&amp;Index!$K$1,EPA!$A$2:$A$512&amp;EPA!$W$2:$W$512,0))),"")</f>
        <v/>
      </c>
      <c r="AC243" s="174" t="str">
        <f ca="1">IF(AA243&lt;&gt;"",_xlfn.NORM.INV(RAND(),AA243,Index!$K$2),"")</f>
        <v/>
      </c>
      <c r="AD243" s="174" t="str">
        <f ca="1">IF(AB243&lt;&gt;"",_xlfn.NORM.INV(RAND(),AB243,Index!$K$2),"")</f>
        <v/>
      </c>
      <c r="AE243" s="157" t="str">
        <f t="shared" si="25"/>
        <v>MIN</v>
      </c>
      <c r="AF243" s="158" t="str">
        <f t="shared" si="26"/>
        <v>DET</v>
      </c>
      <c r="AG243" s="149">
        <f t="shared" si="27"/>
        <v>242</v>
      </c>
    </row>
    <row r="244" spans="1:33" x14ac:dyDescent="0.25">
      <c r="A244" s="9">
        <v>17</v>
      </c>
      <c r="B244" s="9" t="s">
        <v>656</v>
      </c>
      <c r="C244" s="148">
        <v>46016</v>
      </c>
      <c r="D244" s="9" t="s">
        <v>667</v>
      </c>
      <c r="E244" s="9" t="s">
        <v>94</v>
      </c>
      <c r="F244" s="9" t="s">
        <v>663</v>
      </c>
      <c r="G244" s="9" t="s">
        <v>16</v>
      </c>
      <c r="H244" s="9" t="s">
        <v>658</v>
      </c>
      <c r="I244" s="9">
        <v>20</v>
      </c>
      <c r="J244" s="9">
        <v>13</v>
      </c>
      <c r="K244" s="9">
        <v>303</v>
      </c>
      <c r="L244" s="9">
        <v>1</v>
      </c>
      <c r="M244" s="9">
        <v>139</v>
      </c>
      <c r="N244" s="9">
        <v>0</v>
      </c>
      <c r="O244" s="149" t="str">
        <f>IF(I244&lt;&gt;"",IF(I244=J244,"TIE",INDEX(Index!$F$1:$F$32,MATCH(E244,Index!$E$1:$E$32,0))),INDEX(Index!$F$1:$F$32,MATCH(E244,Index!$E$1:$E$32,0)))</f>
        <v>DEN</v>
      </c>
      <c r="P244" s="150" t="str">
        <f>IF(I244&lt;&gt;"",IF(I244=J244,"TIE",INDEX(Index!$F$1:$F$32,MATCH(G244,Index!$E$1:$E$32,0))),INDEX(Index!$F$1:$F$32,MATCH(G244,Index!$E$1:$E$32,0)))</f>
        <v>KC</v>
      </c>
      <c r="Q244" s="155" t="str">
        <f>IF(O244="TIE",INDEX(Index!$F$1:$F$32,MATCH(E244,Index!$E$1:$E$32,0)),"")</f>
        <v/>
      </c>
      <c r="R244" s="155" t="str">
        <f>IF(P244="TIE",INDEX(Index!$F$1:$F$32,MATCH(G244,Index!$E$1:$E$32,0)),"")</f>
        <v/>
      </c>
      <c r="S244" s="151" t="str">
        <f t="shared" si="21"/>
        <v>A</v>
      </c>
      <c r="T244" s="156" t="str">
        <f>INDEX(Index!$H$1:$H$32,MATCH($E244,Index!$E$1:$E$32,0))</f>
        <v>AW</v>
      </c>
      <c r="U244" s="156" t="str">
        <f>INDEX(Index!$H$1:$H$32,MATCH($G244,Index!$E$1:$E$32,0))</f>
        <v>AW</v>
      </c>
      <c r="V244" s="156" t="str">
        <f t="shared" si="22"/>
        <v>Div</v>
      </c>
      <c r="W244" s="152" t="str">
        <f t="shared" si="23"/>
        <v>Y</v>
      </c>
      <c r="X244" s="149" t="str">
        <f>INDEX(Index!$G$1:$G$32,MATCH(E244,Index!$E$1:$E$32,0))</f>
        <v>DEN</v>
      </c>
      <c r="Y244" s="150" t="str">
        <f>INDEX(Index!$G$1:$G$32,MATCH(G244,Index!$E$1:$E$32,0))</f>
        <v>KC</v>
      </c>
      <c r="Z244" s="147" t="str">
        <f t="shared" si="24"/>
        <v/>
      </c>
      <c r="AA244" s="174" t="str" cm="1">
        <f t="array" ref="AA244">IFERROR(IF($W244="Y","",INDEX(EPA!$N$2:$N$512,MATCH(X244&amp;Index!$K$1,EPA!$A$2:$A$512&amp;EPA!$W$2:$W$512,0))),"")</f>
        <v/>
      </c>
      <c r="AB244" s="174" t="str" cm="1">
        <f t="array" ref="AB244">IFERROR(IF($W244="Y","",INDEX(EPA!$N$2:$N$512,MATCH(Y244&amp;Index!$K$1,EPA!$A$2:$A$512&amp;EPA!$W$2:$W$512,0))),"")</f>
        <v/>
      </c>
      <c r="AC244" s="174" t="str">
        <f ca="1">IF(AA244&lt;&gt;"",_xlfn.NORM.INV(RAND(),AA244,Index!$K$2),"")</f>
        <v/>
      </c>
      <c r="AD244" s="174" t="str">
        <f ca="1">IF(AB244&lt;&gt;"",_xlfn.NORM.INV(RAND(),AB244,Index!$K$2),"")</f>
        <v/>
      </c>
      <c r="AE244" s="157" t="str">
        <f t="shared" si="25"/>
        <v>DEN</v>
      </c>
      <c r="AF244" s="158" t="str">
        <f t="shared" si="26"/>
        <v>KC</v>
      </c>
      <c r="AG244" s="149">
        <f t="shared" si="27"/>
        <v>243</v>
      </c>
    </row>
    <row r="245" spans="1:33" x14ac:dyDescent="0.25">
      <c r="A245" s="9">
        <v>17</v>
      </c>
      <c r="B245" s="9" t="s">
        <v>674</v>
      </c>
      <c r="C245" s="148">
        <v>46018</v>
      </c>
      <c r="D245" s="9" t="s">
        <v>672</v>
      </c>
      <c r="E245" s="9" t="s">
        <v>33</v>
      </c>
      <c r="F245" s="9" t="s">
        <v>663</v>
      </c>
      <c r="G245" s="9" t="s">
        <v>68</v>
      </c>
      <c r="H245" s="9" t="s">
        <v>658</v>
      </c>
      <c r="I245" s="9">
        <v>20</v>
      </c>
      <c r="J245" s="9">
        <v>16</v>
      </c>
      <c r="K245" s="9">
        <v>362</v>
      </c>
      <c r="L245" s="9">
        <v>2</v>
      </c>
      <c r="M245" s="9">
        <v>275</v>
      </c>
      <c r="N245" s="9">
        <v>1</v>
      </c>
      <c r="O245" s="149" t="str">
        <f>IF(I245&lt;&gt;"",IF(I245=J245,"TIE",INDEX(Index!$F$1:$F$32,MATCH(E245,Index!$E$1:$E$32,0))),INDEX(Index!$F$1:$F$32,MATCH(E245,Index!$E$1:$E$32,0)))</f>
        <v>HOU</v>
      </c>
      <c r="P245" s="150" t="str">
        <f>IF(I245&lt;&gt;"",IF(I245=J245,"TIE",INDEX(Index!$F$1:$F$32,MATCH(G245,Index!$E$1:$E$32,0))),INDEX(Index!$F$1:$F$32,MATCH(G245,Index!$E$1:$E$32,0)))</f>
        <v>LAC</v>
      </c>
      <c r="Q245" s="155" t="str">
        <f>IF(O245="TIE",INDEX(Index!$F$1:$F$32,MATCH(E245,Index!$E$1:$E$32,0)),"")</f>
        <v/>
      </c>
      <c r="R245" s="155" t="str">
        <f>IF(P245="TIE",INDEX(Index!$F$1:$F$32,MATCH(G245,Index!$E$1:$E$32,0)),"")</f>
        <v/>
      </c>
      <c r="S245" s="151" t="str">
        <f t="shared" si="21"/>
        <v>A</v>
      </c>
      <c r="T245" s="156" t="str">
        <f>INDEX(Index!$H$1:$H$32,MATCH($E245,Index!$E$1:$E$32,0))</f>
        <v>AS</v>
      </c>
      <c r="U245" s="156" t="str">
        <f>INDEX(Index!$H$1:$H$32,MATCH($G245,Index!$E$1:$E$32,0))</f>
        <v>AW</v>
      </c>
      <c r="V245" s="156" t="str">
        <f t="shared" si="22"/>
        <v>Con</v>
      </c>
      <c r="W245" s="152" t="str">
        <f t="shared" si="23"/>
        <v>Y</v>
      </c>
      <c r="X245" s="149" t="str">
        <f>INDEX(Index!$G$1:$G$32,MATCH(E245,Index!$E$1:$E$32,0))</f>
        <v>HOU</v>
      </c>
      <c r="Y245" s="150" t="str">
        <f>INDEX(Index!$G$1:$G$32,MATCH(G245,Index!$E$1:$E$32,0))</f>
        <v>LAC</v>
      </c>
      <c r="Z245" s="147" t="str">
        <f t="shared" si="24"/>
        <v/>
      </c>
      <c r="AA245" s="174" t="str" cm="1">
        <f t="array" ref="AA245">IFERROR(IF($W245="Y","",INDEX(EPA!$N$2:$N$512,MATCH(X245&amp;Index!$K$1,EPA!$A$2:$A$512&amp;EPA!$W$2:$W$512,0))),"")</f>
        <v/>
      </c>
      <c r="AB245" s="174" t="str" cm="1">
        <f t="array" ref="AB245">IFERROR(IF($W245="Y","",INDEX(EPA!$N$2:$N$512,MATCH(Y245&amp;Index!$K$1,EPA!$A$2:$A$512&amp;EPA!$W$2:$W$512,0))),"")</f>
        <v/>
      </c>
      <c r="AC245" s="174" t="str">
        <f ca="1">IF(AA245&lt;&gt;"",_xlfn.NORM.INV(RAND(),AA245,Index!$K$2),"")</f>
        <v/>
      </c>
      <c r="AD245" s="174" t="str">
        <f ca="1">IF(AB245&lt;&gt;"",_xlfn.NORM.INV(RAND(),AB245,Index!$K$2),"")</f>
        <v/>
      </c>
      <c r="AE245" s="157" t="str">
        <f t="shared" si="25"/>
        <v>HOU</v>
      </c>
      <c r="AF245" s="158" t="str">
        <f t="shared" si="26"/>
        <v>LAC</v>
      </c>
      <c r="AG245" s="149">
        <f t="shared" si="27"/>
        <v>244</v>
      </c>
    </row>
    <row r="246" spans="1:33" x14ac:dyDescent="0.25">
      <c r="A246" s="9">
        <v>17</v>
      </c>
      <c r="B246" s="9" t="s">
        <v>674</v>
      </c>
      <c r="C246" s="148">
        <v>46018</v>
      </c>
      <c r="D246" s="9" t="s">
        <v>660</v>
      </c>
      <c r="E246" s="9" t="s">
        <v>76</v>
      </c>
      <c r="F246" s="9" t="s">
        <v>663</v>
      </c>
      <c r="G246" s="9" t="s">
        <v>88</v>
      </c>
      <c r="H246" s="9" t="s">
        <v>658</v>
      </c>
      <c r="I246" s="9">
        <v>41</v>
      </c>
      <c r="J246" s="9">
        <v>24</v>
      </c>
      <c r="K246" s="9">
        <v>414</v>
      </c>
      <c r="L246" s="9">
        <v>0</v>
      </c>
      <c r="M246" s="9">
        <v>363</v>
      </c>
      <c r="N246" s="9">
        <v>2</v>
      </c>
      <c r="O246" s="149" t="str">
        <f>IF(I246&lt;&gt;"",IF(I246=J246,"TIE",INDEX(Index!$F$1:$F$32,MATCH(E246,Index!$E$1:$E$32,0))),INDEX(Index!$F$1:$F$32,MATCH(E246,Index!$E$1:$E$32,0)))</f>
        <v>BAL</v>
      </c>
      <c r="P246" s="150" t="str">
        <f>IF(I246&lt;&gt;"",IF(I246=J246,"TIE",INDEX(Index!$F$1:$F$32,MATCH(G246,Index!$E$1:$E$32,0))),INDEX(Index!$F$1:$F$32,MATCH(G246,Index!$E$1:$E$32,0)))</f>
        <v>GB</v>
      </c>
      <c r="Q246" s="155" t="str">
        <f>IF(O246="TIE",INDEX(Index!$F$1:$F$32,MATCH(E246,Index!$E$1:$E$32,0)),"")</f>
        <v/>
      </c>
      <c r="R246" s="155" t="str">
        <f>IF(P246="TIE",INDEX(Index!$F$1:$F$32,MATCH(G246,Index!$E$1:$E$32,0)),"")</f>
        <v/>
      </c>
      <c r="S246" s="151" t="str">
        <f t="shared" si="21"/>
        <v>A</v>
      </c>
      <c r="T246" s="156" t="str">
        <f>INDEX(Index!$H$1:$H$32,MATCH($E246,Index!$E$1:$E$32,0))</f>
        <v>AN</v>
      </c>
      <c r="U246" s="156" t="str">
        <f>INDEX(Index!$H$1:$H$32,MATCH($G246,Index!$E$1:$E$32,0))</f>
        <v>NN</v>
      </c>
      <c r="V246" s="156" t="str">
        <f t="shared" si="22"/>
        <v>Non</v>
      </c>
      <c r="W246" s="152" t="str">
        <f t="shared" si="23"/>
        <v>Y</v>
      </c>
      <c r="X246" s="149" t="str">
        <f>INDEX(Index!$G$1:$G$32,MATCH(E246,Index!$E$1:$E$32,0))</f>
        <v>BAL</v>
      </c>
      <c r="Y246" s="150" t="str">
        <f>INDEX(Index!$G$1:$G$32,MATCH(G246,Index!$E$1:$E$32,0))</f>
        <v>GB</v>
      </c>
      <c r="Z246" s="147" t="str">
        <f t="shared" si="24"/>
        <v/>
      </c>
      <c r="AA246" s="174" t="str" cm="1">
        <f t="array" ref="AA246">IFERROR(IF($W246="Y","",INDEX(EPA!$N$2:$N$512,MATCH(X246&amp;Index!$K$1,EPA!$A$2:$A$512&amp;EPA!$W$2:$W$512,0))),"")</f>
        <v/>
      </c>
      <c r="AB246" s="174" t="str" cm="1">
        <f t="array" ref="AB246">IFERROR(IF($W246="Y","",INDEX(EPA!$N$2:$N$512,MATCH(Y246&amp;Index!$K$1,EPA!$A$2:$A$512&amp;EPA!$W$2:$W$512,0))),"")</f>
        <v/>
      </c>
      <c r="AC246" s="174" t="str">
        <f ca="1">IF(AA246&lt;&gt;"",_xlfn.NORM.INV(RAND(),AA246,Index!$K$2),"")</f>
        <v/>
      </c>
      <c r="AD246" s="174" t="str">
        <f ca="1">IF(AB246&lt;&gt;"",_xlfn.NORM.INV(RAND(),AB246,Index!$K$2),"")</f>
        <v/>
      </c>
      <c r="AE246" s="157" t="str">
        <f t="shared" si="25"/>
        <v>BAL</v>
      </c>
      <c r="AF246" s="158" t="str">
        <f t="shared" si="26"/>
        <v>GB</v>
      </c>
      <c r="AG246" s="149">
        <f t="shared" si="27"/>
        <v>245</v>
      </c>
    </row>
    <row r="247" spans="1:33" x14ac:dyDescent="0.25">
      <c r="A247" s="9">
        <v>17</v>
      </c>
      <c r="B247" s="9" t="s">
        <v>661</v>
      </c>
      <c r="C247" s="148">
        <v>46019</v>
      </c>
      <c r="D247" s="9" t="s">
        <v>662</v>
      </c>
      <c r="E247" s="9" t="s">
        <v>8</v>
      </c>
      <c r="F247" s="9" t="s">
        <v>663</v>
      </c>
      <c r="G247" s="9" t="s">
        <v>12</v>
      </c>
      <c r="H247" s="9" t="s">
        <v>658</v>
      </c>
      <c r="I247" s="9">
        <v>27</v>
      </c>
      <c r="J247" s="9">
        <v>10</v>
      </c>
      <c r="K247" s="9">
        <v>288</v>
      </c>
      <c r="L247" s="9">
        <v>2</v>
      </c>
      <c r="M247" s="9">
        <v>139</v>
      </c>
      <c r="N247" s="9">
        <v>2</v>
      </c>
      <c r="O247" s="149" t="str">
        <f>IF(I247&lt;&gt;"",IF(I247=J247,"TIE",INDEX(Index!$F$1:$F$32,MATCH(E247,Index!$E$1:$E$32,0))),INDEX(Index!$F$1:$F$32,MATCH(E247,Index!$E$1:$E$32,0)))</f>
        <v>SEA</v>
      </c>
      <c r="P247" s="150" t="str">
        <f>IF(I247&lt;&gt;"",IF(I247=J247,"TIE",INDEX(Index!$F$1:$F$32,MATCH(G247,Index!$E$1:$E$32,0))),INDEX(Index!$F$1:$F$32,MATCH(G247,Index!$E$1:$E$32,0)))</f>
        <v>CAR</v>
      </c>
      <c r="Q247" s="155" t="str">
        <f>IF(O247="TIE",INDEX(Index!$F$1:$F$32,MATCH(E247,Index!$E$1:$E$32,0)),"")</f>
        <v/>
      </c>
      <c r="R247" s="155" t="str">
        <f>IF(P247="TIE",INDEX(Index!$F$1:$F$32,MATCH(G247,Index!$E$1:$E$32,0)),"")</f>
        <v/>
      </c>
      <c r="S247" s="151" t="str">
        <f t="shared" si="21"/>
        <v>A</v>
      </c>
      <c r="T247" s="156" t="str">
        <f>INDEX(Index!$H$1:$H$32,MATCH($E247,Index!$E$1:$E$32,0))</f>
        <v>NW</v>
      </c>
      <c r="U247" s="156" t="str">
        <f>INDEX(Index!$H$1:$H$32,MATCH($G247,Index!$E$1:$E$32,0))</f>
        <v>NS</v>
      </c>
      <c r="V247" s="156" t="str">
        <f t="shared" si="22"/>
        <v>Con</v>
      </c>
      <c r="W247" s="152" t="str">
        <f t="shared" si="23"/>
        <v>Y</v>
      </c>
      <c r="X247" s="149" t="str">
        <f>INDEX(Index!$G$1:$G$32,MATCH(E247,Index!$E$1:$E$32,0))</f>
        <v>SEA</v>
      </c>
      <c r="Y247" s="150" t="str">
        <f>INDEX(Index!$G$1:$G$32,MATCH(G247,Index!$E$1:$E$32,0))</f>
        <v>CAR</v>
      </c>
      <c r="Z247" s="147" t="str">
        <f t="shared" si="24"/>
        <v/>
      </c>
      <c r="AA247" s="174" t="str" cm="1">
        <f t="array" ref="AA247">IFERROR(IF($W247="Y","",INDEX(EPA!$N$2:$N$512,MATCH(X247&amp;Index!$K$1,EPA!$A$2:$A$512&amp;EPA!$W$2:$W$512,0))),"")</f>
        <v/>
      </c>
      <c r="AB247" s="174" t="str" cm="1">
        <f t="array" ref="AB247">IFERROR(IF($W247="Y","",INDEX(EPA!$N$2:$N$512,MATCH(Y247&amp;Index!$K$1,EPA!$A$2:$A$512&amp;EPA!$W$2:$W$512,0))),"")</f>
        <v/>
      </c>
      <c r="AC247" s="174" t="str">
        <f ca="1">IF(AA247&lt;&gt;"",_xlfn.NORM.INV(RAND(),AA247,Index!$K$2),"")</f>
        <v/>
      </c>
      <c r="AD247" s="174" t="str">
        <f ca="1">IF(AB247&lt;&gt;"",_xlfn.NORM.INV(RAND(),AB247,Index!$K$2),"")</f>
        <v/>
      </c>
      <c r="AE247" s="157" t="str">
        <f t="shared" si="25"/>
        <v>SEA</v>
      </c>
      <c r="AF247" s="158" t="str">
        <f t="shared" si="26"/>
        <v>CAR</v>
      </c>
      <c r="AG247" s="149">
        <f t="shared" si="27"/>
        <v>246</v>
      </c>
    </row>
    <row r="248" spans="1:33" x14ac:dyDescent="0.25">
      <c r="A248" s="9">
        <v>17</v>
      </c>
      <c r="B248" s="9" t="s">
        <v>661</v>
      </c>
      <c r="C248" s="148">
        <v>46019</v>
      </c>
      <c r="D248" s="9" t="s">
        <v>662</v>
      </c>
      <c r="E248" s="9" t="s">
        <v>53</v>
      </c>
      <c r="F248" s="9"/>
      <c r="G248" s="9" t="s">
        <v>27</v>
      </c>
      <c r="H248" s="9" t="s">
        <v>658</v>
      </c>
      <c r="I248" s="9">
        <v>37</v>
      </c>
      <c r="J248" s="9">
        <v>14</v>
      </c>
      <c r="K248" s="9">
        <v>429</v>
      </c>
      <c r="L248" s="9">
        <v>0</v>
      </c>
      <c r="M248" s="9">
        <v>233</v>
      </c>
      <c r="N248" s="9">
        <v>0</v>
      </c>
      <c r="O248" s="149" t="str">
        <f>IF(I248&lt;&gt;"",IF(I248=J248,"TIE",INDEX(Index!$F$1:$F$32,MATCH(E248,Index!$E$1:$E$32,0))),INDEX(Index!$F$1:$F$32,MATCH(E248,Index!$E$1:$E$32,0)))</f>
        <v>CIN</v>
      </c>
      <c r="P248" s="150" t="str">
        <f>IF(I248&lt;&gt;"",IF(I248=J248,"TIE",INDEX(Index!$F$1:$F$32,MATCH(G248,Index!$E$1:$E$32,0))),INDEX(Index!$F$1:$F$32,MATCH(G248,Index!$E$1:$E$32,0)))</f>
        <v>ARI</v>
      </c>
      <c r="Q248" s="155" t="str">
        <f>IF(O248="TIE",INDEX(Index!$F$1:$F$32,MATCH(E248,Index!$E$1:$E$32,0)),"")</f>
        <v/>
      </c>
      <c r="R248" s="155" t="str">
        <f>IF(P248="TIE",INDEX(Index!$F$1:$F$32,MATCH(G248,Index!$E$1:$E$32,0)),"")</f>
        <v/>
      </c>
      <c r="S248" s="151" t="str">
        <f t="shared" si="21"/>
        <v>H</v>
      </c>
      <c r="T248" s="156" t="str">
        <f>INDEX(Index!$H$1:$H$32,MATCH($E248,Index!$E$1:$E$32,0))</f>
        <v>AN</v>
      </c>
      <c r="U248" s="156" t="str">
        <f>INDEX(Index!$H$1:$H$32,MATCH($G248,Index!$E$1:$E$32,0))</f>
        <v>NW</v>
      </c>
      <c r="V248" s="156" t="str">
        <f t="shared" si="22"/>
        <v>Non</v>
      </c>
      <c r="W248" s="152" t="str">
        <f t="shared" si="23"/>
        <v>Y</v>
      </c>
      <c r="X248" s="149" t="str">
        <f>INDEX(Index!$G$1:$G$32,MATCH(E248,Index!$E$1:$E$32,0))</f>
        <v>CIN</v>
      </c>
      <c r="Y248" s="150" t="str">
        <f>INDEX(Index!$G$1:$G$32,MATCH(G248,Index!$E$1:$E$32,0))</f>
        <v>ARI</v>
      </c>
      <c r="Z248" s="147" t="str">
        <f t="shared" si="24"/>
        <v/>
      </c>
      <c r="AA248" s="174" t="str" cm="1">
        <f t="array" ref="AA248">IFERROR(IF($W248="Y","",INDEX(EPA!$N$2:$N$512,MATCH(X248&amp;Index!$K$1,EPA!$A$2:$A$512&amp;EPA!$W$2:$W$512,0))),"")</f>
        <v/>
      </c>
      <c r="AB248" s="174" t="str" cm="1">
        <f t="array" ref="AB248">IFERROR(IF($W248="Y","",INDEX(EPA!$N$2:$N$512,MATCH(Y248&amp;Index!$K$1,EPA!$A$2:$A$512&amp;EPA!$W$2:$W$512,0))),"")</f>
        <v/>
      </c>
      <c r="AC248" s="174" t="str">
        <f ca="1">IF(AA248&lt;&gt;"",_xlfn.NORM.INV(RAND(),AA248,Index!$K$2),"")</f>
        <v/>
      </c>
      <c r="AD248" s="174" t="str">
        <f ca="1">IF(AB248&lt;&gt;"",_xlfn.NORM.INV(RAND(),AB248,Index!$K$2),"")</f>
        <v/>
      </c>
      <c r="AE248" s="157" t="str">
        <f t="shared" si="25"/>
        <v>CIN</v>
      </c>
      <c r="AF248" s="158" t="str">
        <f t="shared" si="26"/>
        <v>ARI</v>
      </c>
      <c r="AG248" s="149">
        <f t="shared" si="27"/>
        <v>247</v>
      </c>
    </row>
    <row r="249" spans="1:33" x14ac:dyDescent="0.25">
      <c r="A249" s="9">
        <v>17</v>
      </c>
      <c r="B249" s="9" t="s">
        <v>661</v>
      </c>
      <c r="C249" s="148">
        <v>46019</v>
      </c>
      <c r="D249" s="9" t="s">
        <v>662</v>
      </c>
      <c r="E249" s="9" t="s">
        <v>83</v>
      </c>
      <c r="F249" s="9"/>
      <c r="G249" s="9" t="s">
        <v>73</v>
      </c>
      <c r="H249" s="9" t="s">
        <v>658</v>
      </c>
      <c r="I249" s="9">
        <v>13</v>
      </c>
      <c r="J249" s="9">
        <v>6</v>
      </c>
      <c r="K249" s="9">
        <v>262</v>
      </c>
      <c r="L249" s="9">
        <v>2</v>
      </c>
      <c r="M249" s="9">
        <v>291</v>
      </c>
      <c r="N249" s="9">
        <v>0</v>
      </c>
      <c r="O249" s="149" t="str">
        <f>IF(I249&lt;&gt;"",IF(I249=J249,"TIE",INDEX(Index!$F$1:$F$32,MATCH(E249,Index!$E$1:$E$32,0))),INDEX(Index!$F$1:$F$32,MATCH(E249,Index!$E$1:$E$32,0)))</f>
        <v>CLE</v>
      </c>
      <c r="P249" s="150" t="str">
        <f>IF(I249&lt;&gt;"",IF(I249=J249,"TIE",INDEX(Index!$F$1:$F$32,MATCH(G249,Index!$E$1:$E$32,0))),INDEX(Index!$F$1:$F$32,MATCH(G249,Index!$E$1:$E$32,0)))</f>
        <v>PIT</v>
      </c>
      <c r="Q249" s="155" t="str">
        <f>IF(O249="TIE",INDEX(Index!$F$1:$F$32,MATCH(E249,Index!$E$1:$E$32,0)),"")</f>
        <v/>
      </c>
      <c r="R249" s="155" t="str">
        <f>IF(P249="TIE",INDEX(Index!$F$1:$F$32,MATCH(G249,Index!$E$1:$E$32,0)),"")</f>
        <v/>
      </c>
      <c r="S249" s="151" t="str">
        <f t="shared" si="21"/>
        <v>H</v>
      </c>
      <c r="T249" s="156" t="str">
        <f>INDEX(Index!$H$1:$H$32,MATCH($E249,Index!$E$1:$E$32,0))</f>
        <v>AN</v>
      </c>
      <c r="U249" s="156" t="str">
        <f>INDEX(Index!$H$1:$H$32,MATCH($G249,Index!$E$1:$E$32,0))</f>
        <v>AN</v>
      </c>
      <c r="V249" s="156" t="str">
        <f t="shared" si="22"/>
        <v>Div</v>
      </c>
      <c r="W249" s="152" t="str">
        <f t="shared" si="23"/>
        <v>Y</v>
      </c>
      <c r="X249" s="149" t="str">
        <f>INDEX(Index!$G$1:$G$32,MATCH(E249,Index!$E$1:$E$32,0))</f>
        <v>CLE</v>
      </c>
      <c r="Y249" s="150" t="str">
        <f>INDEX(Index!$G$1:$G$32,MATCH(G249,Index!$E$1:$E$32,0))</f>
        <v>PIT</v>
      </c>
      <c r="Z249" s="147" t="str">
        <f t="shared" si="24"/>
        <v/>
      </c>
      <c r="AA249" s="174" t="str" cm="1">
        <f t="array" ref="AA249">IFERROR(IF($W249="Y","",INDEX(EPA!$N$2:$N$512,MATCH(X249&amp;Index!$K$1,EPA!$A$2:$A$512&amp;EPA!$W$2:$W$512,0))),"")</f>
        <v/>
      </c>
      <c r="AB249" s="174" t="str" cm="1">
        <f t="array" ref="AB249">IFERROR(IF($W249="Y","",INDEX(EPA!$N$2:$N$512,MATCH(Y249&amp;Index!$K$1,EPA!$A$2:$A$512&amp;EPA!$W$2:$W$512,0))),"")</f>
        <v/>
      </c>
      <c r="AC249" s="174" t="str">
        <f ca="1">IF(AA249&lt;&gt;"",_xlfn.NORM.INV(RAND(),AA249,Index!$K$2),"")</f>
        <v/>
      </c>
      <c r="AD249" s="174" t="str">
        <f ca="1">IF(AB249&lt;&gt;"",_xlfn.NORM.INV(RAND(),AB249,Index!$K$2),"")</f>
        <v/>
      </c>
      <c r="AE249" s="157" t="str">
        <f t="shared" si="25"/>
        <v>CLE</v>
      </c>
      <c r="AF249" s="158" t="str">
        <f t="shared" si="26"/>
        <v>PIT</v>
      </c>
      <c r="AG249" s="149">
        <f t="shared" si="27"/>
        <v>248</v>
      </c>
    </row>
    <row r="250" spans="1:33" x14ac:dyDescent="0.25">
      <c r="A250" s="9">
        <v>17</v>
      </c>
      <c r="B250" s="9" t="s">
        <v>661</v>
      </c>
      <c r="C250" s="148">
        <v>46019</v>
      </c>
      <c r="D250" s="9" t="s">
        <v>662</v>
      </c>
      <c r="E250" s="9" t="s">
        <v>36</v>
      </c>
      <c r="F250" s="9" t="s">
        <v>663</v>
      </c>
      <c r="G250" s="9" t="s">
        <v>42</v>
      </c>
      <c r="H250" s="9" t="s">
        <v>658</v>
      </c>
      <c r="I250" s="9">
        <v>23</v>
      </c>
      <c r="J250" s="9">
        <v>17</v>
      </c>
      <c r="K250" s="9">
        <v>370</v>
      </c>
      <c r="L250" s="9">
        <v>2</v>
      </c>
      <c r="M250" s="9">
        <v>204</v>
      </c>
      <c r="N250" s="9">
        <v>2</v>
      </c>
      <c r="O250" s="149" t="str">
        <f>IF(I250&lt;&gt;"",IF(I250=J250,"TIE",INDEX(Index!$F$1:$F$32,MATCH(E250,Index!$E$1:$E$32,0))),INDEX(Index!$F$1:$F$32,MATCH(E250,Index!$E$1:$E$32,0)))</f>
        <v>JAX</v>
      </c>
      <c r="P250" s="150" t="str">
        <f>IF(I250&lt;&gt;"",IF(I250=J250,"TIE",INDEX(Index!$F$1:$F$32,MATCH(G250,Index!$E$1:$E$32,0))),INDEX(Index!$F$1:$F$32,MATCH(G250,Index!$E$1:$E$32,0)))</f>
        <v>IND</v>
      </c>
      <c r="Q250" s="155" t="str">
        <f>IF(O250="TIE",INDEX(Index!$F$1:$F$32,MATCH(E250,Index!$E$1:$E$32,0)),"")</f>
        <v/>
      </c>
      <c r="R250" s="155" t="str">
        <f>IF(P250="TIE",INDEX(Index!$F$1:$F$32,MATCH(G250,Index!$E$1:$E$32,0)),"")</f>
        <v/>
      </c>
      <c r="S250" s="151" t="str">
        <f t="shared" si="21"/>
        <v>A</v>
      </c>
      <c r="T250" s="156" t="str">
        <f>INDEX(Index!$H$1:$H$32,MATCH($E250,Index!$E$1:$E$32,0))</f>
        <v>AS</v>
      </c>
      <c r="U250" s="156" t="str">
        <f>INDEX(Index!$H$1:$H$32,MATCH($G250,Index!$E$1:$E$32,0))</f>
        <v>AS</v>
      </c>
      <c r="V250" s="156" t="str">
        <f t="shared" si="22"/>
        <v>Div</v>
      </c>
      <c r="W250" s="152" t="str">
        <f t="shared" si="23"/>
        <v>Y</v>
      </c>
      <c r="X250" s="149" t="str">
        <f>INDEX(Index!$G$1:$G$32,MATCH(E250,Index!$E$1:$E$32,0))</f>
        <v>JAX</v>
      </c>
      <c r="Y250" s="150" t="str">
        <f>INDEX(Index!$G$1:$G$32,MATCH(G250,Index!$E$1:$E$32,0))</f>
        <v>IND</v>
      </c>
      <c r="Z250" s="147" t="str">
        <f t="shared" si="24"/>
        <v/>
      </c>
      <c r="AA250" s="174" t="str" cm="1">
        <f t="array" ref="AA250">IFERROR(IF($W250="Y","",INDEX(EPA!$N$2:$N$512,MATCH(X250&amp;Index!$K$1,EPA!$A$2:$A$512&amp;EPA!$W$2:$W$512,0))),"")</f>
        <v/>
      </c>
      <c r="AB250" s="174" t="str" cm="1">
        <f t="array" ref="AB250">IFERROR(IF($W250="Y","",INDEX(EPA!$N$2:$N$512,MATCH(Y250&amp;Index!$K$1,EPA!$A$2:$A$512&amp;EPA!$W$2:$W$512,0))),"")</f>
        <v/>
      </c>
      <c r="AC250" s="174" t="str">
        <f ca="1">IF(AA250&lt;&gt;"",_xlfn.NORM.INV(RAND(),AA250,Index!$K$2),"")</f>
        <v/>
      </c>
      <c r="AD250" s="174" t="str">
        <f ca="1">IF(AB250&lt;&gt;"",_xlfn.NORM.INV(RAND(),AB250,Index!$K$2),"")</f>
        <v/>
      </c>
      <c r="AE250" s="157" t="str">
        <f t="shared" si="25"/>
        <v>JAX</v>
      </c>
      <c r="AF250" s="158" t="str">
        <f t="shared" si="26"/>
        <v>IND</v>
      </c>
      <c r="AG250" s="149">
        <f t="shared" si="27"/>
        <v>249</v>
      </c>
    </row>
    <row r="251" spans="1:33" x14ac:dyDescent="0.25">
      <c r="A251" s="9">
        <v>17</v>
      </c>
      <c r="B251" s="9" t="s">
        <v>661</v>
      </c>
      <c r="C251" s="148">
        <v>46019</v>
      </c>
      <c r="D251" s="9" t="s">
        <v>662</v>
      </c>
      <c r="E251" s="9" t="s">
        <v>62</v>
      </c>
      <c r="F251" s="9"/>
      <c r="G251" s="9" t="s">
        <v>0</v>
      </c>
      <c r="H251" s="9" t="s">
        <v>658</v>
      </c>
      <c r="I251" s="9">
        <v>20</v>
      </c>
      <c r="J251" s="9">
        <v>17</v>
      </c>
      <c r="K251" s="9">
        <v>298</v>
      </c>
      <c r="L251" s="9">
        <v>0</v>
      </c>
      <c r="M251" s="9">
        <v>380</v>
      </c>
      <c r="N251" s="9">
        <v>3</v>
      </c>
      <c r="O251" s="149" t="str">
        <f>IF(I251&lt;&gt;"",IF(I251=J251,"TIE",INDEX(Index!$F$1:$F$32,MATCH(E251,Index!$E$1:$E$32,0))),INDEX(Index!$F$1:$F$32,MATCH(E251,Index!$E$1:$E$32,0)))</f>
        <v>MIA</v>
      </c>
      <c r="P251" s="150" t="str">
        <f>IF(I251&lt;&gt;"",IF(I251=J251,"TIE",INDEX(Index!$F$1:$F$32,MATCH(G251,Index!$E$1:$E$32,0))),INDEX(Index!$F$1:$F$32,MATCH(G251,Index!$E$1:$E$32,0)))</f>
        <v>TB</v>
      </c>
      <c r="Q251" s="155" t="str">
        <f>IF(O251="TIE",INDEX(Index!$F$1:$F$32,MATCH(E251,Index!$E$1:$E$32,0)),"")</f>
        <v/>
      </c>
      <c r="R251" s="155" t="str">
        <f>IF(P251="TIE",INDEX(Index!$F$1:$F$32,MATCH(G251,Index!$E$1:$E$32,0)),"")</f>
        <v/>
      </c>
      <c r="S251" s="151" t="str">
        <f t="shared" si="21"/>
        <v>H</v>
      </c>
      <c r="T251" s="156" t="str">
        <f>INDEX(Index!$H$1:$H$32,MATCH($E251,Index!$E$1:$E$32,0))</f>
        <v>AE</v>
      </c>
      <c r="U251" s="156" t="str">
        <f>INDEX(Index!$H$1:$H$32,MATCH($G251,Index!$E$1:$E$32,0))</f>
        <v>NS</v>
      </c>
      <c r="V251" s="156" t="str">
        <f t="shared" si="22"/>
        <v>Non</v>
      </c>
      <c r="W251" s="152" t="str">
        <f t="shared" si="23"/>
        <v>Y</v>
      </c>
      <c r="X251" s="149" t="str">
        <f>INDEX(Index!$G$1:$G$32,MATCH(E251,Index!$E$1:$E$32,0))</f>
        <v>MIA</v>
      </c>
      <c r="Y251" s="150" t="str">
        <f>INDEX(Index!$G$1:$G$32,MATCH(G251,Index!$E$1:$E$32,0))</f>
        <v>TB</v>
      </c>
      <c r="Z251" s="147" t="str">
        <f t="shared" si="24"/>
        <v/>
      </c>
      <c r="AA251" s="174" t="str" cm="1">
        <f t="array" ref="AA251">IFERROR(IF($W251="Y","",INDEX(EPA!$N$2:$N$512,MATCH(X251&amp;Index!$K$1,EPA!$A$2:$A$512&amp;EPA!$W$2:$W$512,0))),"")</f>
        <v/>
      </c>
      <c r="AB251" s="174" t="str" cm="1">
        <f t="array" ref="AB251">IFERROR(IF($W251="Y","",INDEX(EPA!$N$2:$N$512,MATCH(Y251&amp;Index!$K$1,EPA!$A$2:$A$512&amp;EPA!$W$2:$W$512,0))),"")</f>
        <v/>
      </c>
      <c r="AC251" s="174" t="str">
        <f ca="1">IF(AA251&lt;&gt;"",_xlfn.NORM.INV(RAND(),AA251,Index!$K$2),"")</f>
        <v/>
      </c>
      <c r="AD251" s="174" t="str">
        <f ca="1">IF(AB251&lt;&gt;"",_xlfn.NORM.INV(RAND(),AB251,Index!$K$2),"")</f>
        <v/>
      </c>
      <c r="AE251" s="157" t="str">
        <f t="shared" si="25"/>
        <v>MIA</v>
      </c>
      <c r="AF251" s="158" t="str">
        <f t="shared" si="26"/>
        <v>TB</v>
      </c>
      <c r="AG251" s="149">
        <f t="shared" si="27"/>
        <v>250</v>
      </c>
    </row>
    <row r="252" spans="1:33" x14ac:dyDescent="0.25">
      <c r="A252" s="9">
        <v>17</v>
      </c>
      <c r="B252" s="9" t="s">
        <v>661</v>
      </c>
      <c r="C252" s="148">
        <v>46019</v>
      </c>
      <c r="D252" s="9" t="s">
        <v>662</v>
      </c>
      <c r="E252" s="9" t="s">
        <v>71</v>
      </c>
      <c r="F252" s="9" t="s">
        <v>663</v>
      </c>
      <c r="G252" s="9" t="s">
        <v>19</v>
      </c>
      <c r="H252" s="9" t="s">
        <v>658</v>
      </c>
      <c r="I252" s="9">
        <v>34</v>
      </c>
      <c r="J252" s="9">
        <v>26</v>
      </c>
      <c r="K252" s="9">
        <v>423</v>
      </c>
      <c r="L252" s="9">
        <v>1</v>
      </c>
      <c r="M252" s="9">
        <v>336</v>
      </c>
      <c r="N252" s="9">
        <v>1</v>
      </c>
      <c r="O252" s="149" t="str">
        <f>IF(I252&lt;&gt;"",IF(I252=J252,"TIE",INDEX(Index!$F$1:$F$32,MATCH(E252,Index!$E$1:$E$32,0))),INDEX(Index!$F$1:$F$32,MATCH(E252,Index!$E$1:$E$32,0)))</f>
        <v>NO</v>
      </c>
      <c r="P252" s="150" t="str">
        <f>IF(I252&lt;&gt;"",IF(I252=J252,"TIE",INDEX(Index!$F$1:$F$32,MATCH(G252,Index!$E$1:$E$32,0))),INDEX(Index!$F$1:$F$32,MATCH(G252,Index!$E$1:$E$32,0)))</f>
        <v>TEN</v>
      </c>
      <c r="Q252" s="155" t="str">
        <f>IF(O252="TIE",INDEX(Index!$F$1:$F$32,MATCH(E252,Index!$E$1:$E$32,0)),"")</f>
        <v/>
      </c>
      <c r="R252" s="155" t="str">
        <f>IF(P252="TIE",INDEX(Index!$F$1:$F$32,MATCH(G252,Index!$E$1:$E$32,0)),"")</f>
        <v/>
      </c>
      <c r="S252" s="151" t="str">
        <f t="shared" si="21"/>
        <v>A</v>
      </c>
      <c r="T252" s="156" t="str">
        <f>INDEX(Index!$H$1:$H$32,MATCH($E252,Index!$E$1:$E$32,0))</f>
        <v>NS</v>
      </c>
      <c r="U252" s="156" t="str">
        <f>INDEX(Index!$H$1:$H$32,MATCH($G252,Index!$E$1:$E$32,0))</f>
        <v>AS</v>
      </c>
      <c r="V252" s="156" t="str">
        <f t="shared" si="22"/>
        <v>Non</v>
      </c>
      <c r="W252" s="152" t="str">
        <f t="shared" si="23"/>
        <v>Y</v>
      </c>
      <c r="X252" s="149" t="str">
        <f>INDEX(Index!$G$1:$G$32,MATCH(E252,Index!$E$1:$E$32,0))</f>
        <v>NO</v>
      </c>
      <c r="Y252" s="150" t="str">
        <f>INDEX(Index!$G$1:$G$32,MATCH(G252,Index!$E$1:$E$32,0))</f>
        <v>TEN</v>
      </c>
      <c r="Z252" s="147" t="str">
        <f t="shared" si="24"/>
        <v/>
      </c>
      <c r="AA252" s="174" t="str" cm="1">
        <f t="array" ref="AA252">IFERROR(IF($W252="Y","",INDEX(EPA!$N$2:$N$512,MATCH(X252&amp;Index!$K$1,EPA!$A$2:$A$512&amp;EPA!$W$2:$W$512,0))),"")</f>
        <v/>
      </c>
      <c r="AB252" s="174" t="str" cm="1">
        <f t="array" ref="AB252">IFERROR(IF($W252="Y","",INDEX(EPA!$N$2:$N$512,MATCH(Y252&amp;Index!$K$1,EPA!$A$2:$A$512&amp;EPA!$W$2:$W$512,0))),"")</f>
        <v/>
      </c>
      <c r="AC252" s="174" t="str">
        <f ca="1">IF(AA252&lt;&gt;"",_xlfn.NORM.INV(RAND(),AA252,Index!$K$2),"")</f>
        <v/>
      </c>
      <c r="AD252" s="174" t="str">
        <f ca="1">IF(AB252&lt;&gt;"",_xlfn.NORM.INV(RAND(),AB252,Index!$K$2),"")</f>
        <v/>
      </c>
      <c r="AE252" s="157" t="str">
        <f t="shared" si="25"/>
        <v>NO</v>
      </c>
      <c r="AF252" s="158" t="str">
        <f t="shared" si="26"/>
        <v>TEN</v>
      </c>
      <c r="AG252" s="149">
        <f t="shared" si="27"/>
        <v>251</v>
      </c>
    </row>
    <row r="253" spans="1:33" x14ac:dyDescent="0.25">
      <c r="A253" s="9">
        <v>17</v>
      </c>
      <c r="B253" s="9" t="s">
        <v>661</v>
      </c>
      <c r="C253" s="148">
        <v>46019</v>
      </c>
      <c r="D253" s="9" t="s">
        <v>662</v>
      </c>
      <c r="E253" s="9" t="s">
        <v>45</v>
      </c>
      <c r="F253" s="9" t="s">
        <v>663</v>
      </c>
      <c r="G253" s="9" t="s">
        <v>23</v>
      </c>
      <c r="H253" s="9" t="s">
        <v>658</v>
      </c>
      <c r="I253" s="9">
        <v>42</v>
      </c>
      <c r="J253" s="9">
        <v>10</v>
      </c>
      <c r="K253" s="9">
        <v>440</v>
      </c>
      <c r="L253" s="9">
        <v>0</v>
      </c>
      <c r="M253" s="9">
        <v>307</v>
      </c>
      <c r="N253" s="9">
        <v>1</v>
      </c>
      <c r="O253" s="149" t="str">
        <f>IF(I253&lt;&gt;"",IF(I253=J253,"TIE",INDEX(Index!$F$1:$F$32,MATCH(E253,Index!$E$1:$E$32,0))),INDEX(Index!$F$1:$F$32,MATCH(E253,Index!$E$1:$E$32,0)))</f>
        <v>NE</v>
      </c>
      <c r="P253" s="150" t="str">
        <f>IF(I253&lt;&gt;"",IF(I253=J253,"TIE",INDEX(Index!$F$1:$F$32,MATCH(G253,Index!$E$1:$E$32,0))),INDEX(Index!$F$1:$F$32,MATCH(G253,Index!$E$1:$E$32,0)))</f>
        <v>NYJ</v>
      </c>
      <c r="Q253" s="155" t="str">
        <f>IF(O253="TIE",INDEX(Index!$F$1:$F$32,MATCH(E253,Index!$E$1:$E$32,0)),"")</f>
        <v/>
      </c>
      <c r="R253" s="155" t="str">
        <f>IF(P253="TIE",INDEX(Index!$F$1:$F$32,MATCH(G253,Index!$E$1:$E$32,0)),"")</f>
        <v/>
      </c>
      <c r="S253" s="151" t="str">
        <f t="shared" si="21"/>
        <v>A</v>
      </c>
      <c r="T253" s="156" t="str">
        <f>INDEX(Index!$H$1:$H$32,MATCH($E253,Index!$E$1:$E$32,0))</f>
        <v>AE</v>
      </c>
      <c r="U253" s="156" t="str">
        <f>INDEX(Index!$H$1:$H$32,MATCH($G253,Index!$E$1:$E$32,0))</f>
        <v>AE</v>
      </c>
      <c r="V253" s="156" t="str">
        <f t="shared" si="22"/>
        <v>Div</v>
      </c>
      <c r="W253" s="152" t="str">
        <f t="shared" si="23"/>
        <v>Y</v>
      </c>
      <c r="X253" s="149" t="str">
        <f>INDEX(Index!$G$1:$G$32,MATCH(E253,Index!$E$1:$E$32,0))</f>
        <v>NE</v>
      </c>
      <c r="Y253" s="150" t="str">
        <f>INDEX(Index!$G$1:$G$32,MATCH(G253,Index!$E$1:$E$32,0))</f>
        <v>NYJ</v>
      </c>
      <c r="Z253" s="147" t="str">
        <f t="shared" si="24"/>
        <v/>
      </c>
      <c r="AA253" s="174" t="str" cm="1">
        <f t="array" ref="AA253">IFERROR(IF($W253="Y","",INDEX(EPA!$N$2:$N$512,MATCH(X253&amp;Index!$K$1,EPA!$A$2:$A$512&amp;EPA!$W$2:$W$512,0))),"")</f>
        <v/>
      </c>
      <c r="AB253" s="174" t="str" cm="1">
        <f t="array" ref="AB253">IFERROR(IF($W253="Y","",INDEX(EPA!$N$2:$N$512,MATCH(Y253&amp;Index!$K$1,EPA!$A$2:$A$512&amp;EPA!$W$2:$W$512,0))),"")</f>
        <v/>
      </c>
      <c r="AC253" s="174" t="str">
        <f ca="1">IF(AA253&lt;&gt;"",_xlfn.NORM.INV(RAND(),AA253,Index!$K$2),"")</f>
        <v/>
      </c>
      <c r="AD253" s="174" t="str">
        <f ca="1">IF(AB253&lt;&gt;"",_xlfn.NORM.INV(RAND(),AB253,Index!$K$2),"")</f>
        <v/>
      </c>
      <c r="AE253" s="157" t="str">
        <f t="shared" si="25"/>
        <v>NE</v>
      </c>
      <c r="AF253" s="158" t="str">
        <f t="shared" si="26"/>
        <v>NYJ</v>
      </c>
      <c r="AG253" s="149">
        <f t="shared" si="27"/>
        <v>252</v>
      </c>
    </row>
    <row r="254" spans="1:33" x14ac:dyDescent="0.25">
      <c r="A254" s="9">
        <v>17</v>
      </c>
      <c r="B254" s="9" t="s">
        <v>661</v>
      </c>
      <c r="C254" s="148">
        <v>46019</v>
      </c>
      <c r="D254" s="9" t="s">
        <v>664</v>
      </c>
      <c r="E254" s="9" t="s">
        <v>49</v>
      </c>
      <c r="F254" s="9" t="s">
        <v>663</v>
      </c>
      <c r="G254" s="9" t="s">
        <v>80</v>
      </c>
      <c r="H254" s="9" t="s">
        <v>658</v>
      </c>
      <c r="I254" s="9">
        <v>34</v>
      </c>
      <c r="J254" s="9">
        <v>10</v>
      </c>
      <c r="K254" s="9">
        <v>343</v>
      </c>
      <c r="L254" s="9">
        <v>0</v>
      </c>
      <c r="M254" s="9">
        <v>231</v>
      </c>
      <c r="N254" s="9">
        <v>2</v>
      </c>
      <c r="O254" s="149" t="str">
        <f>IF(I254&lt;&gt;"",IF(I254=J254,"TIE",INDEX(Index!$F$1:$F$32,MATCH(E254,Index!$E$1:$E$32,0))),INDEX(Index!$F$1:$F$32,MATCH(E254,Index!$E$1:$E$32,0)))</f>
        <v>NYG</v>
      </c>
      <c r="P254" s="150" t="str">
        <f>IF(I254&lt;&gt;"",IF(I254=J254,"TIE",INDEX(Index!$F$1:$F$32,MATCH(G254,Index!$E$1:$E$32,0))),INDEX(Index!$F$1:$F$32,MATCH(G254,Index!$E$1:$E$32,0)))</f>
        <v>LV</v>
      </c>
      <c r="Q254" s="155" t="str">
        <f>IF(O254="TIE",INDEX(Index!$F$1:$F$32,MATCH(E254,Index!$E$1:$E$32,0)),"")</f>
        <v/>
      </c>
      <c r="R254" s="155" t="str">
        <f>IF(P254="TIE",INDEX(Index!$F$1:$F$32,MATCH(G254,Index!$E$1:$E$32,0)),"")</f>
        <v/>
      </c>
      <c r="S254" s="151" t="str">
        <f t="shared" si="21"/>
        <v>A</v>
      </c>
      <c r="T254" s="156" t="str">
        <f>INDEX(Index!$H$1:$H$32,MATCH($E254,Index!$E$1:$E$32,0))</f>
        <v>NE</v>
      </c>
      <c r="U254" s="156" t="str">
        <f>INDEX(Index!$H$1:$H$32,MATCH($G254,Index!$E$1:$E$32,0))</f>
        <v>AW</v>
      </c>
      <c r="V254" s="156" t="str">
        <f t="shared" si="22"/>
        <v>Non</v>
      </c>
      <c r="W254" s="152" t="str">
        <f t="shared" si="23"/>
        <v>Y</v>
      </c>
      <c r="X254" s="149" t="str">
        <f>INDEX(Index!$G$1:$G$32,MATCH(E254,Index!$E$1:$E$32,0))</f>
        <v>NYG</v>
      </c>
      <c r="Y254" s="150" t="str">
        <f>INDEX(Index!$G$1:$G$32,MATCH(G254,Index!$E$1:$E$32,0))</f>
        <v>OAK</v>
      </c>
      <c r="Z254" s="147" t="str">
        <f t="shared" si="24"/>
        <v/>
      </c>
      <c r="AA254" s="174" t="str" cm="1">
        <f t="array" ref="AA254">IFERROR(IF($W254="Y","",INDEX(EPA!$N$2:$N$512,MATCH(X254&amp;Index!$K$1,EPA!$A$2:$A$512&amp;EPA!$W$2:$W$512,0))),"")</f>
        <v/>
      </c>
      <c r="AB254" s="174" t="str" cm="1">
        <f t="array" ref="AB254">IFERROR(IF($W254="Y","",INDEX(EPA!$N$2:$N$512,MATCH(Y254&amp;Index!$K$1,EPA!$A$2:$A$512&amp;EPA!$W$2:$W$512,0))),"")</f>
        <v/>
      </c>
      <c r="AC254" s="174" t="str">
        <f ca="1">IF(AA254&lt;&gt;"",_xlfn.NORM.INV(RAND(),AA254,Index!$K$2),"")</f>
        <v/>
      </c>
      <c r="AD254" s="174" t="str">
        <f ca="1">IF(AB254&lt;&gt;"",_xlfn.NORM.INV(RAND(),AB254,Index!$K$2),"")</f>
        <v/>
      </c>
      <c r="AE254" s="157" t="str">
        <f t="shared" si="25"/>
        <v>NYG</v>
      </c>
      <c r="AF254" s="158" t="str">
        <f t="shared" si="26"/>
        <v>LV</v>
      </c>
      <c r="AG254" s="149">
        <f t="shared" si="27"/>
        <v>253</v>
      </c>
    </row>
    <row r="255" spans="1:33" x14ac:dyDescent="0.25">
      <c r="A255" s="9">
        <v>17</v>
      </c>
      <c r="B255" s="9" t="s">
        <v>661</v>
      </c>
      <c r="C255" s="148">
        <v>46019</v>
      </c>
      <c r="D255" s="9" t="s">
        <v>665</v>
      </c>
      <c r="E255" s="9" t="s">
        <v>92</v>
      </c>
      <c r="F255" s="9" t="s">
        <v>663</v>
      </c>
      <c r="G255" s="9" t="s">
        <v>40</v>
      </c>
      <c r="H255" s="9" t="s">
        <v>658</v>
      </c>
      <c r="I255" s="9">
        <v>13</v>
      </c>
      <c r="J255" s="9">
        <v>12</v>
      </c>
      <c r="K255" s="9">
        <v>190</v>
      </c>
      <c r="L255" s="9">
        <v>0</v>
      </c>
      <c r="M255" s="9">
        <v>331</v>
      </c>
      <c r="N255" s="9">
        <v>1</v>
      </c>
      <c r="O255" s="149" t="str">
        <f>IF(I255&lt;&gt;"",IF(I255=J255,"TIE",INDEX(Index!$F$1:$F$32,MATCH(E255,Index!$E$1:$E$32,0))),INDEX(Index!$F$1:$F$32,MATCH(E255,Index!$E$1:$E$32,0)))</f>
        <v>PHI</v>
      </c>
      <c r="P255" s="150" t="str">
        <f>IF(I255&lt;&gt;"",IF(I255=J255,"TIE",INDEX(Index!$F$1:$F$32,MATCH(G255,Index!$E$1:$E$32,0))),INDEX(Index!$F$1:$F$32,MATCH(G255,Index!$E$1:$E$32,0)))</f>
        <v>BUF</v>
      </c>
      <c r="Q255" s="155" t="str">
        <f>IF(O255="TIE",INDEX(Index!$F$1:$F$32,MATCH(E255,Index!$E$1:$E$32,0)),"")</f>
        <v/>
      </c>
      <c r="R255" s="155" t="str">
        <f>IF(P255="TIE",INDEX(Index!$F$1:$F$32,MATCH(G255,Index!$E$1:$E$32,0)),"")</f>
        <v/>
      </c>
      <c r="S255" s="151" t="str">
        <f t="shared" si="21"/>
        <v>A</v>
      </c>
      <c r="T255" s="156" t="str">
        <f>INDEX(Index!$H$1:$H$32,MATCH($E255,Index!$E$1:$E$32,0))</f>
        <v>NE</v>
      </c>
      <c r="U255" s="156" t="str">
        <f>INDEX(Index!$H$1:$H$32,MATCH($G255,Index!$E$1:$E$32,0))</f>
        <v>AE</v>
      </c>
      <c r="V255" s="156" t="str">
        <f t="shared" si="22"/>
        <v>Non</v>
      </c>
      <c r="W255" s="152" t="str">
        <f t="shared" si="23"/>
        <v>Y</v>
      </c>
      <c r="X255" s="149" t="str">
        <f>INDEX(Index!$G$1:$G$32,MATCH(E255,Index!$E$1:$E$32,0))</f>
        <v>PHI</v>
      </c>
      <c r="Y255" s="150" t="str">
        <f>INDEX(Index!$G$1:$G$32,MATCH(G255,Index!$E$1:$E$32,0))</f>
        <v>BUF</v>
      </c>
      <c r="Z255" s="147" t="str">
        <f t="shared" si="24"/>
        <v/>
      </c>
      <c r="AA255" s="174" t="str" cm="1">
        <f t="array" ref="AA255">IFERROR(IF($W255="Y","",INDEX(EPA!$N$2:$N$512,MATCH(X255&amp;Index!$K$1,EPA!$A$2:$A$512&amp;EPA!$W$2:$W$512,0))),"")</f>
        <v/>
      </c>
      <c r="AB255" s="174" t="str" cm="1">
        <f t="array" ref="AB255">IFERROR(IF($W255="Y","",INDEX(EPA!$N$2:$N$512,MATCH(Y255&amp;Index!$K$1,EPA!$A$2:$A$512&amp;EPA!$W$2:$W$512,0))),"")</f>
        <v/>
      </c>
      <c r="AC255" s="174" t="str">
        <f ca="1">IF(AA255&lt;&gt;"",_xlfn.NORM.INV(RAND(),AA255,Index!$K$2),"")</f>
        <v/>
      </c>
      <c r="AD255" s="174" t="str">
        <f ca="1">IF(AB255&lt;&gt;"",_xlfn.NORM.INV(RAND(),AB255,Index!$K$2),"")</f>
        <v/>
      </c>
      <c r="AE255" s="157" t="str">
        <f t="shared" si="25"/>
        <v>PHI</v>
      </c>
      <c r="AF255" s="158" t="str">
        <f t="shared" si="26"/>
        <v>BUF</v>
      </c>
      <c r="AG255" s="149">
        <f t="shared" si="27"/>
        <v>254</v>
      </c>
    </row>
    <row r="256" spans="1:33" x14ac:dyDescent="0.25">
      <c r="A256" s="9">
        <v>17</v>
      </c>
      <c r="B256" s="9" t="s">
        <v>661</v>
      </c>
      <c r="C256" s="148">
        <v>46019</v>
      </c>
      <c r="D256" s="9" t="s">
        <v>657</v>
      </c>
      <c r="E256" s="9" t="s">
        <v>30</v>
      </c>
      <c r="F256" s="9"/>
      <c r="G256" s="9" t="s">
        <v>65</v>
      </c>
      <c r="H256" s="9" t="s">
        <v>658</v>
      </c>
      <c r="I256" s="9">
        <v>42</v>
      </c>
      <c r="J256" s="9">
        <v>38</v>
      </c>
      <c r="K256" s="9">
        <v>496</v>
      </c>
      <c r="L256" s="9">
        <v>1</v>
      </c>
      <c r="M256" s="9">
        <v>440</v>
      </c>
      <c r="N256" s="9">
        <v>0</v>
      </c>
      <c r="O256" s="149" t="str">
        <f>IF(I256&lt;&gt;"",IF(I256=J256,"TIE",INDEX(Index!$F$1:$F$32,MATCH(E256,Index!$E$1:$E$32,0))),INDEX(Index!$F$1:$F$32,MATCH(E256,Index!$E$1:$E$32,0)))</f>
        <v>SF</v>
      </c>
      <c r="P256" s="150" t="str">
        <f>IF(I256&lt;&gt;"",IF(I256=J256,"TIE",INDEX(Index!$F$1:$F$32,MATCH(G256,Index!$E$1:$E$32,0))),INDEX(Index!$F$1:$F$32,MATCH(G256,Index!$E$1:$E$32,0)))</f>
        <v>CHI</v>
      </c>
      <c r="Q256" s="155" t="str">
        <f>IF(O256="TIE",INDEX(Index!$F$1:$F$32,MATCH(E256,Index!$E$1:$E$32,0)),"")</f>
        <v/>
      </c>
      <c r="R256" s="155" t="str">
        <f>IF(P256="TIE",INDEX(Index!$F$1:$F$32,MATCH(G256,Index!$E$1:$E$32,0)),"")</f>
        <v/>
      </c>
      <c r="S256" s="151" t="str">
        <f t="shared" si="21"/>
        <v>H</v>
      </c>
      <c r="T256" s="156" t="str">
        <f>INDEX(Index!$H$1:$H$32,MATCH($E256,Index!$E$1:$E$32,0))</f>
        <v>NW</v>
      </c>
      <c r="U256" s="156" t="str">
        <f>INDEX(Index!$H$1:$H$32,MATCH($G256,Index!$E$1:$E$32,0))</f>
        <v>NN</v>
      </c>
      <c r="V256" s="156" t="str">
        <f t="shared" si="22"/>
        <v>Con</v>
      </c>
      <c r="W256" s="152" t="str">
        <f t="shared" si="23"/>
        <v>Y</v>
      </c>
      <c r="X256" s="149" t="str">
        <f>INDEX(Index!$G$1:$G$32,MATCH(E256,Index!$E$1:$E$32,0))</f>
        <v>SF</v>
      </c>
      <c r="Y256" s="150" t="str">
        <f>INDEX(Index!$G$1:$G$32,MATCH(G256,Index!$E$1:$E$32,0))</f>
        <v>CHI</v>
      </c>
      <c r="Z256" s="147" t="str">
        <f t="shared" si="24"/>
        <v/>
      </c>
      <c r="AA256" s="174" t="str" cm="1">
        <f t="array" ref="AA256">IFERROR(IF($W256="Y","",INDEX(EPA!$N$2:$N$512,MATCH(X256&amp;Index!$K$1,EPA!$A$2:$A$512&amp;EPA!$W$2:$W$512,0))),"")</f>
        <v/>
      </c>
      <c r="AB256" s="174" t="str" cm="1">
        <f t="array" ref="AB256">IFERROR(IF($W256="Y","",INDEX(EPA!$N$2:$N$512,MATCH(Y256&amp;Index!$K$1,EPA!$A$2:$A$512&amp;EPA!$W$2:$W$512,0))),"")</f>
        <v/>
      </c>
      <c r="AC256" s="174" t="str">
        <f ca="1">IF(AA256&lt;&gt;"",_xlfn.NORM.INV(RAND(),AA256,Index!$K$2),"")</f>
        <v/>
      </c>
      <c r="AD256" s="174" t="str">
        <f ca="1">IF(AB256&lt;&gt;"",_xlfn.NORM.INV(RAND(),AB256,Index!$K$2),"")</f>
        <v/>
      </c>
      <c r="AE256" s="157" t="str">
        <f t="shared" si="25"/>
        <v>SF</v>
      </c>
      <c r="AF256" s="158" t="str">
        <f t="shared" si="26"/>
        <v>CHI</v>
      </c>
      <c r="AG256" s="149">
        <f t="shared" si="27"/>
        <v>255</v>
      </c>
    </row>
    <row r="257" spans="1:33" x14ac:dyDescent="0.25">
      <c r="A257" s="9">
        <v>17</v>
      </c>
      <c r="B257" s="9" t="s">
        <v>666</v>
      </c>
      <c r="C257" s="148">
        <v>46020</v>
      </c>
      <c r="D257" s="9" t="s">
        <v>667</v>
      </c>
      <c r="E257" s="9" t="s">
        <v>78</v>
      </c>
      <c r="F257" s="9"/>
      <c r="G257" s="9" t="s">
        <v>90</v>
      </c>
      <c r="H257" s="9" t="s">
        <v>658</v>
      </c>
      <c r="I257" s="9">
        <v>27</v>
      </c>
      <c r="J257" s="9">
        <v>24</v>
      </c>
      <c r="K257" s="9">
        <v>345</v>
      </c>
      <c r="L257" s="9">
        <v>0</v>
      </c>
      <c r="M257" s="9">
        <v>363</v>
      </c>
      <c r="N257" s="9">
        <v>3</v>
      </c>
      <c r="O257" s="149" t="str">
        <f>IF(I257&lt;&gt;"",IF(I257=J257,"TIE",INDEX(Index!$F$1:$F$32,MATCH(E257,Index!$E$1:$E$32,0))),INDEX(Index!$F$1:$F$32,MATCH(E257,Index!$E$1:$E$32,0)))</f>
        <v>ATL</v>
      </c>
      <c r="P257" s="150" t="str">
        <f>IF(I257&lt;&gt;"",IF(I257=J257,"TIE",INDEX(Index!$F$1:$F$32,MATCH(G257,Index!$E$1:$E$32,0))),INDEX(Index!$F$1:$F$32,MATCH(G257,Index!$E$1:$E$32,0)))</f>
        <v>LAR</v>
      </c>
      <c r="Q257" s="155" t="str">
        <f>IF(O257="TIE",INDEX(Index!$F$1:$F$32,MATCH(E257,Index!$E$1:$E$32,0)),"")</f>
        <v/>
      </c>
      <c r="R257" s="155" t="str">
        <f>IF(P257="TIE",INDEX(Index!$F$1:$F$32,MATCH(G257,Index!$E$1:$E$32,0)),"")</f>
        <v/>
      </c>
      <c r="S257" s="151" t="str">
        <f t="shared" si="21"/>
        <v>H</v>
      </c>
      <c r="T257" s="156" t="str">
        <f>INDEX(Index!$H$1:$H$32,MATCH($E257,Index!$E$1:$E$32,0))</f>
        <v>NS</v>
      </c>
      <c r="U257" s="156" t="str">
        <f>INDEX(Index!$H$1:$H$32,MATCH($G257,Index!$E$1:$E$32,0))</f>
        <v>NW</v>
      </c>
      <c r="V257" s="156" t="str">
        <f t="shared" si="22"/>
        <v>Con</v>
      </c>
      <c r="W257" s="152" t="str">
        <f t="shared" si="23"/>
        <v>Y</v>
      </c>
      <c r="X257" s="149" t="str">
        <f>INDEX(Index!$G$1:$G$32,MATCH(E257,Index!$E$1:$E$32,0))</f>
        <v>ATL</v>
      </c>
      <c r="Y257" s="150" t="str">
        <f>INDEX(Index!$G$1:$G$32,MATCH(G257,Index!$E$1:$E$32,0))</f>
        <v>LAR</v>
      </c>
      <c r="Z257" s="147" t="str">
        <f t="shared" si="24"/>
        <v/>
      </c>
      <c r="AA257" s="174" t="str" cm="1">
        <f t="array" ref="AA257">IFERROR(IF($W257="Y","",INDEX(EPA!$N$2:$N$512,MATCH(X257&amp;Index!$K$1,EPA!$A$2:$A$512&amp;EPA!$W$2:$W$512,0))),"")</f>
        <v/>
      </c>
      <c r="AB257" s="174" t="str" cm="1">
        <f t="array" ref="AB257">IFERROR(IF($W257="Y","",INDEX(EPA!$N$2:$N$512,MATCH(Y257&amp;Index!$K$1,EPA!$A$2:$A$512&amp;EPA!$W$2:$W$512,0))),"")</f>
        <v/>
      </c>
      <c r="AC257" s="174" t="str">
        <f ca="1">IF(AA257&lt;&gt;"",_xlfn.NORM.INV(RAND(),AA257,Index!$K$2),"")</f>
        <v/>
      </c>
      <c r="AD257" s="174" t="str">
        <f ca="1">IF(AB257&lt;&gt;"",_xlfn.NORM.INV(RAND(),AB257,Index!$K$2),"")</f>
        <v/>
      </c>
      <c r="AE257" s="157" t="str">
        <f t="shared" si="25"/>
        <v>ATL</v>
      </c>
      <c r="AF257" s="158" t="str">
        <f t="shared" si="26"/>
        <v>LAR</v>
      </c>
      <c r="AG257" s="149">
        <f t="shared" si="27"/>
        <v>256</v>
      </c>
    </row>
    <row r="258" spans="1:33" x14ac:dyDescent="0.25">
      <c r="A258" s="9">
        <v>18</v>
      </c>
      <c r="B258" s="9" t="s">
        <v>674</v>
      </c>
      <c r="C258" s="148">
        <v>46025</v>
      </c>
      <c r="D258" s="208" t="s">
        <v>672</v>
      </c>
      <c r="E258" s="9" t="s">
        <v>0</v>
      </c>
      <c r="F258" s="9"/>
      <c r="G258" s="9" t="s">
        <v>12</v>
      </c>
      <c r="H258" s="9" t="s">
        <v>676</v>
      </c>
      <c r="I258" s="9">
        <v>2</v>
      </c>
      <c r="J258" s="9">
        <v>0</v>
      </c>
      <c r="K258" s="9"/>
      <c r="L258" s="9"/>
      <c r="M258" s="9"/>
      <c r="N258" s="9"/>
      <c r="O258" s="149" t="str">
        <f>IF(I258&lt;&gt;"",IF(I258=J258,"TIE",INDEX(Index!$F$1:$F$32,MATCH(E258,Index!$E$1:$E$32,0))),INDEX(Index!$F$1:$F$32,MATCH(E258,Index!$E$1:$E$32,0)))</f>
        <v>TB</v>
      </c>
      <c r="P258" s="150" t="str">
        <f>IF(I258&lt;&gt;"",IF(I258=J258,"TIE",INDEX(Index!$F$1:$F$32,MATCH(G258,Index!$E$1:$E$32,0))),INDEX(Index!$F$1:$F$32,MATCH(G258,Index!$E$1:$E$32,0)))</f>
        <v>CAR</v>
      </c>
      <c r="Q258" s="155" t="str">
        <f>IF(O258="TIE",INDEX(Index!$F$1:$F$32,MATCH(E258,Index!$E$1:$E$32,0)),"")</f>
        <v/>
      </c>
      <c r="R258" s="155" t="str">
        <f>IF(P258="TIE",INDEX(Index!$F$1:$F$32,MATCH(G258,Index!$E$1:$E$32,0)),"")</f>
        <v/>
      </c>
      <c r="S258" s="151" t="str">
        <f t="shared" si="21"/>
        <v>H</v>
      </c>
      <c r="T258" s="156" t="str">
        <f>INDEX(Index!$H$1:$H$32,MATCH($E258,Index!$E$1:$E$32,0))</f>
        <v>NS</v>
      </c>
      <c r="U258" s="156" t="str">
        <f>INDEX(Index!$H$1:$H$32,MATCH($G258,Index!$E$1:$E$32,0))</f>
        <v>NS</v>
      </c>
      <c r="V258" s="156" t="str">
        <f t="shared" ref="V258:V273" si="28">IF(T258=U258,"Div",IF(LEFT(T258,1)=LEFT(U258,1),"Con","Non"))</f>
        <v>Div</v>
      </c>
      <c r="W258" s="152" t="str">
        <f t="shared" ref="W258:W273" si="29">IF(I258&lt;&gt;"","Y","N")</f>
        <v>Y</v>
      </c>
      <c r="X258" s="149" t="str">
        <f>INDEX(Index!$G$1:$G$32,MATCH(E258,Index!$E$1:$E$32,0))</f>
        <v>TB</v>
      </c>
      <c r="Y258" s="150" t="str">
        <f>INDEX(Index!$G$1:$G$32,MATCH(G258,Index!$E$1:$E$32,0))</f>
        <v>CAR</v>
      </c>
      <c r="Z258" s="147" t="str">
        <f t="shared" ref="Z258:Z273" si="30">IF(W258="Y","","Simulate")</f>
        <v/>
      </c>
      <c r="AA258" s="174" t="str" cm="1">
        <f t="array" ref="AA258">IFERROR(IF($W258="Y","",INDEX(EPA!$N$2:$N$512,MATCH(X258&amp;Index!$K$1,EPA!$A$2:$A$512&amp;EPA!$W$2:$W$512,0))),"")</f>
        <v/>
      </c>
      <c r="AB258" s="174" t="str" cm="1">
        <f t="array" ref="AB258">IFERROR(IF($W258="Y","",INDEX(EPA!$N$2:$N$512,MATCH(Y258&amp;Index!$K$1,EPA!$A$2:$A$512&amp;EPA!$W$2:$W$512,0))),"")</f>
        <v/>
      </c>
      <c r="AC258" s="174" t="str">
        <f ca="1">IF(AA258&lt;&gt;"",_xlfn.NORM.INV(RAND(),AA258,Index!$K$2),"")</f>
        <v/>
      </c>
      <c r="AD258" s="174" t="str">
        <f ca="1">IF(AB258&lt;&gt;"",_xlfn.NORM.INV(RAND(),AB258,Index!$K$2),"")</f>
        <v/>
      </c>
      <c r="AE258" s="157" t="str">
        <f t="shared" ref="AE258:AE273" si="31">IF(W258="Y",O258,IF(AC258&gt;AD258,O258,P258))</f>
        <v>TB</v>
      </c>
      <c r="AF258" s="158" t="str">
        <f t="shared" ref="AF258:AF273" si="32">IF(W258="Y",P258,IF(AC258&gt;AD258,P258,O258))</f>
        <v>CAR</v>
      </c>
      <c r="AG258" s="149">
        <f t="shared" si="27"/>
        <v>257</v>
      </c>
    </row>
    <row r="259" spans="1:33" x14ac:dyDescent="0.25">
      <c r="A259" s="9">
        <v>18</v>
      </c>
      <c r="B259" s="9" t="s">
        <v>674</v>
      </c>
      <c r="C259" s="148">
        <v>46025</v>
      </c>
      <c r="D259" s="208" t="s">
        <v>660</v>
      </c>
      <c r="E259" s="9" t="s">
        <v>8</v>
      </c>
      <c r="F259" s="9" t="s">
        <v>663</v>
      </c>
      <c r="G259" s="9" t="s">
        <v>30</v>
      </c>
      <c r="H259" s="9" t="s">
        <v>676</v>
      </c>
      <c r="I259" s="9">
        <v>2</v>
      </c>
      <c r="J259" s="9">
        <v>0</v>
      </c>
      <c r="K259" s="9"/>
      <c r="L259" s="9"/>
      <c r="M259" s="9"/>
      <c r="N259" s="9"/>
      <c r="O259" s="149" t="str">
        <f>IF(I259&lt;&gt;"",IF(I259=J259,"TIE",INDEX(Index!$F$1:$F$32,MATCH(E259,Index!$E$1:$E$32,0))),INDEX(Index!$F$1:$F$32,MATCH(E259,Index!$E$1:$E$32,0)))</f>
        <v>SEA</v>
      </c>
      <c r="P259" s="150" t="str">
        <f>IF(I259&lt;&gt;"",IF(I259=J259,"TIE",INDEX(Index!$F$1:$F$32,MATCH(G259,Index!$E$1:$E$32,0))),INDEX(Index!$F$1:$F$32,MATCH(G259,Index!$E$1:$E$32,0)))</f>
        <v>SF</v>
      </c>
      <c r="Q259" s="155" t="str">
        <f>IF(O259="TIE",INDEX(Index!$F$1:$F$32,MATCH(E259,Index!$E$1:$E$32,0)),"")</f>
        <v/>
      </c>
      <c r="R259" s="155" t="str">
        <f>IF(P259="TIE",INDEX(Index!$F$1:$F$32,MATCH(G259,Index!$E$1:$E$32,0)),"")</f>
        <v/>
      </c>
      <c r="S259" s="151" t="str">
        <f t="shared" ref="S259:S273" si="33">IF(F259="@","A","H")</f>
        <v>A</v>
      </c>
      <c r="T259" s="156" t="str">
        <f>INDEX(Index!$H$1:$H$32,MATCH($E259,Index!$E$1:$E$32,0))</f>
        <v>NW</v>
      </c>
      <c r="U259" s="156" t="str">
        <f>INDEX(Index!$H$1:$H$32,MATCH($G259,Index!$E$1:$E$32,0))</f>
        <v>NW</v>
      </c>
      <c r="V259" s="156" t="str">
        <f t="shared" si="28"/>
        <v>Div</v>
      </c>
      <c r="W259" s="152" t="str">
        <f t="shared" si="29"/>
        <v>Y</v>
      </c>
      <c r="X259" s="149" t="str">
        <f>INDEX(Index!$G$1:$G$32,MATCH(E259,Index!$E$1:$E$32,0))</f>
        <v>SEA</v>
      </c>
      <c r="Y259" s="150" t="str">
        <f>INDEX(Index!$G$1:$G$32,MATCH(G259,Index!$E$1:$E$32,0))</f>
        <v>SF</v>
      </c>
      <c r="Z259" s="147" t="str">
        <f t="shared" si="30"/>
        <v/>
      </c>
      <c r="AA259" s="174" t="str" cm="1">
        <f t="array" ref="AA259">IFERROR(IF($W259="Y","",INDEX(EPA!$N$2:$N$512,MATCH(X259&amp;Index!$K$1,EPA!$A$2:$A$512&amp;EPA!$W$2:$W$512,0))),"")</f>
        <v/>
      </c>
      <c r="AB259" s="174" t="str" cm="1">
        <f t="array" ref="AB259">IFERROR(IF($W259="Y","",INDEX(EPA!$N$2:$N$512,MATCH(Y259&amp;Index!$K$1,EPA!$A$2:$A$512&amp;EPA!$W$2:$W$512,0))),"")</f>
        <v/>
      </c>
      <c r="AC259" s="174" t="str">
        <f ca="1">IF(AA259&lt;&gt;"",_xlfn.NORM.INV(RAND(),AA259,Index!$K$2),"")</f>
        <v/>
      </c>
      <c r="AD259" s="174" t="str">
        <f ca="1">IF(AB259&lt;&gt;"",_xlfn.NORM.INV(RAND(),AB259,Index!$K$2),"")</f>
        <v/>
      </c>
      <c r="AE259" s="157" t="str">
        <f t="shared" si="31"/>
        <v>SEA</v>
      </c>
      <c r="AF259" s="158" t="str">
        <f t="shared" si="32"/>
        <v>SF</v>
      </c>
      <c r="AG259" s="149">
        <f t="shared" ref="AG259:AG273" si="34">ROW(A259)-1</f>
        <v>258</v>
      </c>
    </row>
    <row r="260" spans="1:33" x14ac:dyDescent="0.25">
      <c r="A260" s="9">
        <v>18</v>
      </c>
      <c r="B260" s="9" t="s">
        <v>661</v>
      </c>
      <c r="C260" s="148">
        <v>46026</v>
      </c>
      <c r="D260" s="9" t="s">
        <v>662</v>
      </c>
      <c r="E260" s="9" t="s">
        <v>83</v>
      </c>
      <c r="F260" s="9" t="s">
        <v>663</v>
      </c>
      <c r="G260" s="9" t="s">
        <v>53</v>
      </c>
      <c r="H260" s="9" t="s">
        <v>676</v>
      </c>
      <c r="I260" s="9">
        <v>2</v>
      </c>
      <c r="J260" s="9">
        <v>0</v>
      </c>
      <c r="K260" s="9"/>
      <c r="L260" s="9"/>
      <c r="M260" s="9"/>
      <c r="N260" s="9"/>
      <c r="O260" s="149" t="str">
        <f>IF(I260&lt;&gt;"",IF(I260=J260,"TIE",INDEX(Index!$F$1:$F$32,MATCH(E260,Index!$E$1:$E$32,0))),INDEX(Index!$F$1:$F$32,MATCH(E260,Index!$E$1:$E$32,0)))</f>
        <v>CLE</v>
      </c>
      <c r="P260" s="150" t="str">
        <f>IF(I260&lt;&gt;"",IF(I260=J260,"TIE",INDEX(Index!$F$1:$F$32,MATCH(G260,Index!$E$1:$E$32,0))),INDEX(Index!$F$1:$F$32,MATCH(G260,Index!$E$1:$E$32,0)))</f>
        <v>CIN</v>
      </c>
      <c r="Q260" s="155" t="str">
        <f>IF(O260="TIE",INDEX(Index!$F$1:$F$32,MATCH(E260,Index!$E$1:$E$32,0)),"")</f>
        <v/>
      </c>
      <c r="R260" s="155" t="str">
        <f>IF(P260="TIE",INDEX(Index!$F$1:$F$32,MATCH(G260,Index!$E$1:$E$32,0)),"")</f>
        <v/>
      </c>
      <c r="S260" s="151" t="str">
        <f t="shared" si="33"/>
        <v>A</v>
      </c>
      <c r="T260" s="156" t="str">
        <f>INDEX(Index!$H$1:$H$32,MATCH($E260,Index!$E$1:$E$32,0))</f>
        <v>AN</v>
      </c>
      <c r="U260" s="156" t="str">
        <f>INDEX(Index!$H$1:$H$32,MATCH($G260,Index!$E$1:$E$32,0))</f>
        <v>AN</v>
      </c>
      <c r="V260" s="156" t="str">
        <f t="shared" si="28"/>
        <v>Div</v>
      </c>
      <c r="W260" s="152" t="str">
        <f t="shared" si="29"/>
        <v>Y</v>
      </c>
      <c r="X260" s="149" t="str">
        <f>INDEX(Index!$G$1:$G$32,MATCH(E260,Index!$E$1:$E$32,0))</f>
        <v>CLE</v>
      </c>
      <c r="Y260" s="150" t="str">
        <f>INDEX(Index!$G$1:$G$32,MATCH(G260,Index!$E$1:$E$32,0))</f>
        <v>CIN</v>
      </c>
      <c r="Z260" s="147" t="str">
        <f t="shared" si="30"/>
        <v/>
      </c>
      <c r="AA260" s="174" t="str" cm="1">
        <f t="array" ref="AA260">IFERROR(IF($W260="Y","",INDEX(EPA!$N$2:$N$512,MATCH(X260&amp;Index!$K$1,EPA!$A$2:$A$512&amp;EPA!$W$2:$W$512,0))),"")</f>
        <v/>
      </c>
      <c r="AB260" s="174" t="str" cm="1">
        <f t="array" ref="AB260">IFERROR(IF($W260="Y","",INDEX(EPA!$N$2:$N$512,MATCH(Y260&amp;Index!$K$1,EPA!$A$2:$A$512&amp;EPA!$W$2:$W$512,0))),"")</f>
        <v/>
      </c>
      <c r="AC260" s="174" t="str">
        <f ca="1">IF(AA260&lt;&gt;"",_xlfn.NORM.INV(RAND(),AA260,Index!$K$2),"")</f>
        <v/>
      </c>
      <c r="AD260" s="174" t="str">
        <f ca="1">IF(AB260&lt;&gt;"",_xlfn.NORM.INV(RAND(),AB260,Index!$K$2),"")</f>
        <v/>
      </c>
      <c r="AE260" s="157" t="str">
        <f t="shared" si="31"/>
        <v>CLE</v>
      </c>
      <c r="AF260" s="158" t="str">
        <f t="shared" si="32"/>
        <v>CIN</v>
      </c>
      <c r="AG260" s="149">
        <f t="shared" si="34"/>
        <v>259</v>
      </c>
    </row>
    <row r="261" spans="1:33" x14ac:dyDescent="0.25">
      <c r="A261" s="9">
        <v>18</v>
      </c>
      <c r="B261" s="9" t="s">
        <v>661</v>
      </c>
      <c r="C261" s="148">
        <v>46026</v>
      </c>
      <c r="D261" s="9" t="s">
        <v>662</v>
      </c>
      <c r="E261" s="9" t="s">
        <v>33</v>
      </c>
      <c r="F261" s="9"/>
      <c r="G261" s="9" t="s">
        <v>42</v>
      </c>
      <c r="H261" s="9" t="s">
        <v>676</v>
      </c>
      <c r="I261" s="9">
        <v>2</v>
      </c>
      <c r="J261" s="9">
        <v>0</v>
      </c>
      <c r="K261" s="9"/>
      <c r="L261" s="9"/>
      <c r="M261" s="9"/>
      <c r="N261" s="9"/>
      <c r="O261" s="149" t="str">
        <f>IF(I261&lt;&gt;"",IF(I261=J261,"TIE",INDEX(Index!$F$1:$F$32,MATCH(E261,Index!$E$1:$E$32,0))),INDEX(Index!$F$1:$F$32,MATCH(E261,Index!$E$1:$E$32,0)))</f>
        <v>HOU</v>
      </c>
      <c r="P261" s="150" t="str">
        <f>IF(I261&lt;&gt;"",IF(I261=J261,"TIE",INDEX(Index!$F$1:$F$32,MATCH(G261,Index!$E$1:$E$32,0))),INDEX(Index!$F$1:$F$32,MATCH(G261,Index!$E$1:$E$32,0)))</f>
        <v>IND</v>
      </c>
      <c r="Q261" s="155" t="str">
        <f>IF(O261="TIE",INDEX(Index!$F$1:$F$32,MATCH(E261,Index!$E$1:$E$32,0)),"")</f>
        <v/>
      </c>
      <c r="R261" s="155" t="str">
        <f>IF(P261="TIE",INDEX(Index!$F$1:$F$32,MATCH(G261,Index!$E$1:$E$32,0)),"")</f>
        <v/>
      </c>
      <c r="S261" s="151" t="str">
        <f t="shared" si="33"/>
        <v>H</v>
      </c>
      <c r="T261" s="156" t="str">
        <f>INDEX(Index!$H$1:$H$32,MATCH($E261,Index!$E$1:$E$32,0))</f>
        <v>AS</v>
      </c>
      <c r="U261" s="156" t="str">
        <f>INDEX(Index!$H$1:$H$32,MATCH($G261,Index!$E$1:$E$32,0))</f>
        <v>AS</v>
      </c>
      <c r="V261" s="156" t="str">
        <f t="shared" si="28"/>
        <v>Div</v>
      </c>
      <c r="W261" s="152" t="str">
        <f t="shared" si="29"/>
        <v>Y</v>
      </c>
      <c r="X261" s="149" t="str">
        <f>INDEX(Index!$G$1:$G$32,MATCH(E261,Index!$E$1:$E$32,0))</f>
        <v>HOU</v>
      </c>
      <c r="Y261" s="150" t="str">
        <f>INDEX(Index!$G$1:$G$32,MATCH(G261,Index!$E$1:$E$32,0))</f>
        <v>IND</v>
      </c>
      <c r="Z261" s="147" t="str">
        <f t="shared" si="30"/>
        <v/>
      </c>
      <c r="AA261" s="174" t="str" cm="1">
        <f t="array" ref="AA261">IFERROR(IF($W261="Y","",INDEX(EPA!$N$2:$N$512,MATCH(X261&amp;Index!$K$1,EPA!$A$2:$A$512&amp;EPA!$W$2:$W$512,0))),"")</f>
        <v/>
      </c>
      <c r="AB261" s="174" t="str" cm="1">
        <f t="array" ref="AB261">IFERROR(IF($W261="Y","",INDEX(EPA!$N$2:$N$512,MATCH(Y261&amp;Index!$K$1,EPA!$A$2:$A$512&amp;EPA!$W$2:$W$512,0))),"")</f>
        <v/>
      </c>
      <c r="AC261" s="174" t="str">
        <f ca="1">IF(AA261&lt;&gt;"",_xlfn.NORM.INV(RAND(),AA261,Index!$K$2),"")</f>
        <v/>
      </c>
      <c r="AD261" s="174" t="str">
        <f ca="1">IF(AB261&lt;&gt;"",_xlfn.NORM.INV(RAND(),AB261,Index!$K$2),"")</f>
        <v/>
      </c>
      <c r="AE261" s="157" t="str">
        <f t="shared" si="31"/>
        <v>HOU</v>
      </c>
      <c r="AF261" s="158" t="str">
        <f t="shared" si="32"/>
        <v>IND</v>
      </c>
      <c r="AG261" s="149">
        <f t="shared" si="34"/>
        <v>260</v>
      </c>
    </row>
    <row r="262" spans="1:33" x14ac:dyDescent="0.25">
      <c r="A262" s="9">
        <v>18</v>
      </c>
      <c r="B262" s="9" t="s">
        <v>661</v>
      </c>
      <c r="C262" s="148">
        <v>46026</v>
      </c>
      <c r="D262" s="9" t="s">
        <v>662</v>
      </c>
      <c r="E262" s="9" t="s">
        <v>49</v>
      </c>
      <c r="F262" s="9"/>
      <c r="G262" s="9" t="s">
        <v>56</v>
      </c>
      <c r="H262" s="9" t="s">
        <v>676</v>
      </c>
      <c r="I262" s="9">
        <v>2</v>
      </c>
      <c r="J262" s="9">
        <v>0</v>
      </c>
      <c r="K262" s="9"/>
      <c r="L262" s="9"/>
      <c r="M262" s="9"/>
      <c r="N262" s="9"/>
      <c r="O262" s="149" t="str">
        <f>IF(I262&lt;&gt;"",IF(I262=J262,"TIE",INDEX(Index!$F$1:$F$32,MATCH(E262,Index!$E$1:$E$32,0))),INDEX(Index!$F$1:$F$32,MATCH(E262,Index!$E$1:$E$32,0)))</f>
        <v>NYG</v>
      </c>
      <c r="P262" s="150" t="str">
        <f>IF(I262&lt;&gt;"",IF(I262=J262,"TIE",INDEX(Index!$F$1:$F$32,MATCH(G262,Index!$E$1:$E$32,0))),INDEX(Index!$F$1:$F$32,MATCH(G262,Index!$E$1:$E$32,0)))</f>
        <v>DAL</v>
      </c>
      <c r="Q262" s="155" t="str">
        <f>IF(O262="TIE",INDEX(Index!$F$1:$F$32,MATCH(E262,Index!$E$1:$E$32,0)),"")</f>
        <v/>
      </c>
      <c r="R262" s="155" t="str">
        <f>IF(P262="TIE",INDEX(Index!$F$1:$F$32,MATCH(G262,Index!$E$1:$E$32,0)),"")</f>
        <v/>
      </c>
      <c r="S262" s="151" t="str">
        <f t="shared" si="33"/>
        <v>H</v>
      </c>
      <c r="T262" s="156" t="str">
        <f>INDEX(Index!$H$1:$H$32,MATCH($E262,Index!$E$1:$E$32,0))</f>
        <v>NE</v>
      </c>
      <c r="U262" s="156" t="str">
        <f>INDEX(Index!$H$1:$H$32,MATCH($G262,Index!$E$1:$E$32,0))</f>
        <v>NE</v>
      </c>
      <c r="V262" s="156" t="str">
        <f t="shared" si="28"/>
        <v>Div</v>
      </c>
      <c r="W262" s="152" t="str">
        <f t="shared" si="29"/>
        <v>Y</v>
      </c>
      <c r="X262" s="149" t="str">
        <f>INDEX(Index!$G$1:$G$32,MATCH(E262,Index!$E$1:$E$32,0))</f>
        <v>NYG</v>
      </c>
      <c r="Y262" s="150" t="str">
        <f>INDEX(Index!$G$1:$G$32,MATCH(G262,Index!$E$1:$E$32,0))</f>
        <v>DAL</v>
      </c>
      <c r="Z262" s="147" t="str">
        <f t="shared" si="30"/>
        <v/>
      </c>
      <c r="AA262" s="174" t="str" cm="1">
        <f t="array" ref="AA262">IFERROR(IF($W262="Y","",INDEX(EPA!$N$2:$N$512,MATCH(X262&amp;Index!$K$1,EPA!$A$2:$A$512&amp;EPA!$W$2:$W$512,0))),"")</f>
        <v/>
      </c>
      <c r="AB262" s="174" t="str" cm="1">
        <f t="array" ref="AB262">IFERROR(IF($W262="Y","",INDEX(EPA!$N$2:$N$512,MATCH(Y262&amp;Index!$K$1,EPA!$A$2:$A$512&amp;EPA!$W$2:$W$512,0))),"")</f>
        <v/>
      </c>
      <c r="AC262" s="174" t="str">
        <f ca="1">IF(AA262&lt;&gt;"",_xlfn.NORM.INV(RAND(),AA262,Index!$K$2),"")</f>
        <v/>
      </c>
      <c r="AD262" s="174" t="str">
        <f ca="1">IF(AB262&lt;&gt;"",_xlfn.NORM.INV(RAND(),AB262,Index!$K$2),"")</f>
        <v/>
      </c>
      <c r="AE262" s="157" t="str">
        <f t="shared" si="31"/>
        <v>NYG</v>
      </c>
      <c r="AF262" s="158" t="str">
        <f t="shared" si="32"/>
        <v>DAL</v>
      </c>
      <c r="AG262" s="149">
        <f t="shared" si="34"/>
        <v>261</v>
      </c>
    </row>
    <row r="263" spans="1:33" x14ac:dyDescent="0.25">
      <c r="A263" s="9">
        <v>18</v>
      </c>
      <c r="B263" s="9" t="s">
        <v>661</v>
      </c>
      <c r="C263" s="148">
        <v>46026</v>
      </c>
      <c r="D263" s="9" t="s">
        <v>662</v>
      </c>
      <c r="E263" s="9" t="s">
        <v>58</v>
      </c>
      <c r="F263" s="9"/>
      <c r="G263" s="9" t="s">
        <v>88</v>
      </c>
      <c r="H263" s="9" t="s">
        <v>676</v>
      </c>
      <c r="I263" s="9">
        <v>2</v>
      </c>
      <c r="J263" s="9">
        <v>0</v>
      </c>
      <c r="K263" s="9"/>
      <c r="L263" s="9"/>
      <c r="M263" s="9"/>
      <c r="N263" s="9"/>
      <c r="O263" s="149" t="str">
        <f>IF(I263&lt;&gt;"",IF(I263=J263,"TIE",INDEX(Index!$F$1:$F$32,MATCH(E263,Index!$E$1:$E$32,0))),INDEX(Index!$F$1:$F$32,MATCH(E263,Index!$E$1:$E$32,0)))</f>
        <v>MIN</v>
      </c>
      <c r="P263" s="150" t="str">
        <f>IF(I263&lt;&gt;"",IF(I263=J263,"TIE",INDEX(Index!$F$1:$F$32,MATCH(G263,Index!$E$1:$E$32,0))),INDEX(Index!$F$1:$F$32,MATCH(G263,Index!$E$1:$E$32,0)))</f>
        <v>GB</v>
      </c>
      <c r="Q263" s="155" t="str">
        <f>IF(O263="TIE",INDEX(Index!$F$1:$F$32,MATCH(E263,Index!$E$1:$E$32,0)),"")</f>
        <v/>
      </c>
      <c r="R263" s="155" t="str">
        <f>IF(P263="TIE",INDEX(Index!$F$1:$F$32,MATCH(G263,Index!$E$1:$E$32,0)),"")</f>
        <v/>
      </c>
      <c r="S263" s="151" t="str">
        <f t="shared" si="33"/>
        <v>H</v>
      </c>
      <c r="T263" s="156" t="str">
        <f>INDEX(Index!$H$1:$H$32,MATCH($E263,Index!$E$1:$E$32,0))</f>
        <v>NN</v>
      </c>
      <c r="U263" s="156" t="str">
        <f>INDEX(Index!$H$1:$H$32,MATCH($G263,Index!$E$1:$E$32,0))</f>
        <v>NN</v>
      </c>
      <c r="V263" s="156" t="str">
        <f t="shared" si="28"/>
        <v>Div</v>
      </c>
      <c r="W263" s="152" t="str">
        <f t="shared" si="29"/>
        <v>Y</v>
      </c>
      <c r="X263" s="149" t="str">
        <f>INDEX(Index!$G$1:$G$32,MATCH(E263,Index!$E$1:$E$32,0))</f>
        <v>MIN</v>
      </c>
      <c r="Y263" s="150" t="str">
        <f>INDEX(Index!$G$1:$G$32,MATCH(G263,Index!$E$1:$E$32,0))</f>
        <v>GB</v>
      </c>
      <c r="Z263" s="147" t="str">
        <f t="shared" si="30"/>
        <v/>
      </c>
      <c r="AA263" s="174" t="str" cm="1">
        <f t="array" ref="AA263">IFERROR(IF($W263="Y","",INDEX(EPA!$N$2:$N$512,MATCH(X263&amp;Index!$K$1,EPA!$A$2:$A$512&amp;EPA!$W$2:$W$512,0))),"")</f>
        <v/>
      </c>
      <c r="AB263" s="174" t="str" cm="1">
        <f t="array" ref="AB263">IFERROR(IF($W263="Y","",INDEX(EPA!$N$2:$N$512,MATCH(Y263&amp;Index!$K$1,EPA!$A$2:$A$512&amp;EPA!$W$2:$W$512,0))),"")</f>
        <v/>
      </c>
      <c r="AC263" s="174" t="str">
        <f ca="1">IF(AA263&lt;&gt;"",_xlfn.NORM.INV(RAND(),AA263,Index!$K$2),"")</f>
        <v/>
      </c>
      <c r="AD263" s="174" t="str">
        <f ca="1">IF(AB263&lt;&gt;"",_xlfn.NORM.INV(RAND(),AB263,Index!$K$2),"")</f>
        <v/>
      </c>
      <c r="AE263" s="157" t="str">
        <f t="shared" si="31"/>
        <v>MIN</v>
      </c>
      <c r="AF263" s="158" t="str">
        <f t="shared" si="32"/>
        <v>GB</v>
      </c>
      <c r="AG263" s="149">
        <f t="shared" si="34"/>
        <v>262</v>
      </c>
    </row>
    <row r="264" spans="1:33" x14ac:dyDescent="0.25">
      <c r="A264" s="9">
        <v>18</v>
      </c>
      <c r="B264" s="9" t="s">
        <v>661</v>
      </c>
      <c r="C264" s="148">
        <v>46026</v>
      </c>
      <c r="D264" s="9" t="s">
        <v>662</v>
      </c>
      <c r="E264" s="9" t="s">
        <v>78</v>
      </c>
      <c r="F264" s="9"/>
      <c r="G264" s="9" t="s">
        <v>71</v>
      </c>
      <c r="H264" s="9" t="s">
        <v>676</v>
      </c>
      <c r="I264" s="9">
        <v>2</v>
      </c>
      <c r="J264" s="9">
        <v>0</v>
      </c>
      <c r="K264" s="9"/>
      <c r="L264" s="9"/>
      <c r="M264" s="9"/>
      <c r="N264" s="9"/>
      <c r="O264" s="149" t="str">
        <f>IF(I264&lt;&gt;"",IF(I264=J264,"TIE",INDEX(Index!$F$1:$F$32,MATCH(E264,Index!$E$1:$E$32,0))),INDEX(Index!$F$1:$F$32,MATCH(E264,Index!$E$1:$E$32,0)))</f>
        <v>ATL</v>
      </c>
      <c r="P264" s="150" t="str">
        <f>IF(I264&lt;&gt;"",IF(I264=J264,"TIE",INDEX(Index!$F$1:$F$32,MATCH(G264,Index!$E$1:$E$32,0))),INDEX(Index!$F$1:$F$32,MATCH(G264,Index!$E$1:$E$32,0)))</f>
        <v>NO</v>
      </c>
      <c r="Q264" s="155" t="str">
        <f>IF(O264="TIE",INDEX(Index!$F$1:$F$32,MATCH(E264,Index!$E$1:$E$32,0)),"")</f>
        <v/>
      </c>
      <c r="R264" s="155" t="str">
        <f>IF(P264="TIE",INDEX(Index!$F$1:$F$32,MATCH(G264,Index!$E$1:$E$32,0)),"")</f>
        <v/>
      </c>
      <c r="S264" s="151" t="str">
        <f t="shared" si="33"/>
        <v>H</v>
      </c>
      <c r="T264" s="156" t="str">
        <f>INDEX(Index!$H$1:$H$32,MATCH($E264,Index!$E$1:$E$32,0))</f>
        <v>NS</v>
      </c>
      <c r="U264" s="156" t="str">
        <f>INDEX(Index!$H$1:$H$32,MATCH($G264,Index!$E$1:$E$32,0))</f>
        <v>NS</v>
      </c>
      <c r="V264" s="156" t="str">
        <f t="shared" si="28"/>
        <v>Div</v>
      </c>
      <c r="W264" s="152" t="str">
        <f t="shared" si="29"/>
        <v>Y</v>
      </c>
      <c r="X264" s="149" t="str">
        <f>INDEX(Index!$G$1:$G$32,MATCH(E264,Index!$E$1:$E$32,0))</f>
        <v>ATL</v>
      </c>
      <c r="Y264" s="150" t="str">
        <f>INDEX(Index!$G$1:$G$32,MATCH(G264,Index!$E$1:$E$32,0))</f>
        <v>NO</v>
      </c>
      <c r="Z264" s="147" t="str">
        <f t="shared" si="30"/>
        <v/>
      </c>
      <c r="AA264" s="174" t="str" cm="1">
        <f t="array" ref="AA264">IFERROR(IF($W264="Y","",INDEX(EPA!$N$2:$N$512,MATCH(X264&amp;Index!$K$1,EPA!$A$2:$A$512&amp;EPA!$W$2:$W$512,0))),"")</f>
        <v/>
      </c>
      <c r="AB264" s="174" t="str" cm="1">
        <f t="array" ref="AB264">IFERROR(IF($W264="Y","",INDEX(EPA!$N$2:$N$512,MATCH(Y264&amp;Index!$K$1,EPA!$A$2:$A$512&amp;EPA!$W$2:$W$512,0))),"")</f>
        <v/>
      </c>
      <c r="AC264" s="174" t="str">
        <f ca="1">IF(AA264&lt;&gt;"",_xlfn.NORM.INV(RAND(),AA264,Index!$K$2),"")</f>
        <v/>
      </c>
      <c r="AD264" s="174" t="str">
        <f ca="1">IF(AB264&lt;&gt;"",_xlfn.NORM.INV(RAND(),AB264,Index!$K$2),"")</f>
        <v/>
      </c>
      <c r="AE264" s="157" t="str">
        <f t="shared" si="31"/>
        <v>ATL</v>
      </c>
      <c r="AF264" s="158" t="str">
        <f t="shared" si="32"/>
        <v>NO</v>
      </c>
      <c r="AG264" s="149">
        <f t="shared" si="34"/>
        <v>263</v>
      </c>
    </row>
    <row r="265" spans="1:33" x14ac:dyDescent="0.25">
      <c r="A265" s="9">
        <v>18</v>
      </c>
      <c r="B265" s="9" t="s">
        <v>661</v>
      </c>
      <c r="C265" s="148">
        <v>46026</v>
      </c>
      <c r="D265" s="9" t="s">
        <v>662</v>
      </c>
      <c r="E265" s="9" t="s">
        <v>36</v>
      </c>
      <c r="F265" s="9"/>
      <c r="G265" s="9" t="s">
        <v>19</v>
      </c>
      <c r="H265" s="9" t="s">
        <v>676</v>
      </c>
      <c r="I265" s="9">
        <v>2</v>
      </c>
      <c r="J265" s="9">
        <v>0</v>
      </c>
      <c r="K265" s="9"/>
      <c r="L265" s="9"/>
      <c r="M265" s="9"/>
      <c r="N265" s="9"/>
      <c r="O265" s="149" t="str">
        <f>IF(I265&lt;&gt;"",IF(I265=J265,"TIE",INDEX(Index!$F$1:$F$32,MATCH(E265,Index!$E$1:$E$32,0))),INDEX(Index!$F$1:$F$32,MATCH(E265,Index!$E$1:$E$32,0)))</f>
        <v>JAX</v>
      </c>
      <c r="P265" s="150" t="str">
        <f>IF(I265&lt;&gt;"",IF(I265=J265,"TIE",INDEX(Index!$F$1:$F$32,MATCH(G265,Index!$E$1:$E$32,0))),INDEX(Index!$F$1:$F$32,MATCH(G265,Index!$E$1:$E$32,0)))</f>
        <v>TEN</v>
      </c>
      <c r="Q265" s="155" t="str">
        <f>IF(O265="TIE",INDEX(Index!$F$1:$F$32,MATCH(E265,Index!$E$1:$E$32,0)),"")</f>
        <v/>
      </c>
      <c r="R265" s="155" t="str">
        <f>IF(P265="TIE",INDEX(Index!$F$1:$F$32,MATCH(G265,Index!$E$1:$E$32,0)),"")</f>
        <v/>
      </c>
      <c r="S265" s="151" t="str">
        <f t="shared" si="33"/>
        <v>H</v>
      </c>
      <c r="T265" s="156" t="str">
        <f>INDEX(Index!$H$1:$H$32,MATCH($E265,Index!$E$1:$E$32,0))</f>
        <v>AS</v>
      </c>
      <c r="U265" s="156" t="str">
        <f>INDEX(Index!$H$1:$H$32,MATCH($G265,Index!$E$1:$E$32,0))</f>
        <v>AS</v>
      </c>
      <c r="V265" s="156" t="str">
        <f t="shared" si="28"/>
        <v>Div</v>
      </c>
      <c r="W265" s="152" t="str">
        <f t="shared" si="29"/>
        <v>Y</v>
      </c>
      <c r="X265" s="149" t="str">
        <f>INDEX(Index!$G$1:$G$32,MATCH(E265,Index!$E$1:$E$32,0))</f>
        <v>JAX</v>
      </c>
      <c r="Y265" s="150" t="str">
        <f>INDEX(Index!$G$1:$G$32,MATCH(G265,Index!$E$1:$E$32,0))</f>
        <v>TEN</v>
      </c>
      <c r="Z265" s="147" t="str">
        <f t="shared" si="30"/>
        <v/>
      </c>
      <c r="AA265" s="174" t="str" cm="1">
        <f t="array" ref="AA265">IFERROR(IF($W265="Y","",INDEX(EPA!$N$2:$N$512,MATCH(X265&amp;Index!$K$1,EPA!$A$2:$A$512&amp;EPA!$W$2:$W$512,0))),"")</f>
        <v/>
      </c>
      <c r="AB265" s="174" t="str" cm="1">
        <f t="array" ref="AB265">IFERROR(IF($W265="Y","",INDEX(EPA!$N$2:$N$512,MATCH(Y265&amp;Index!$K$1,EPA!$A$2:$A$512&amp;EPA!$W$2:$W$512,0))),"")</f>
        <v/>
      </c>
      <c r="AC265" s="174" t="str">
        <f ca="1">IF(AA265&lt;&gt;"",_xlfn.NORM.INV(RAND(),AA265,Index!$K$2),"")</f>
        <v/>
      </c>
      <c r="AD265" s="174" t="str">
        <f ca="1">IF(AB265&lt;&gt;"",_xlfn.NORM.INV(RAND(),AB265,Index!$K$2),"")</f>
        <v/>
      </c>
      <c r="AE265" s="157" t="str">
        <f t="shared" si="31"/>
        <v>JAX</v>
      </c>
      <c r="AF265" s="158" t="str">
        <f t="shared" si="32"/>
        <v>TEN</v>
      </c>
      <c r="AG265" s="149">
        <f t="shared" si="34"/>
        <v>264</v>
      </c>
    </row>
    <row r="266" spans="1:33" x14ac:dyDescent="0.25">
      <c r="A266" s="9">
        <v>18</v>
      </c>
      <c r="B266" s="9" t="s">
        <v>661</v>
      </c>
      <c r="C266" s="148">
        <v>46026</v>
      </c>
      <c r="D266" s="9" t="s">
        <v>665</v>
      </c>
      <c r="E266" s="9" t="s">
        <v>90</v>
      </c>
      <c r="F266" s="9"/>
      <c r="G266" s="9" t="s">
        <v>27</v>
      </c>
      <c r="H266" s="9" t="s">
        <v>676</v>
      </c>
      <c r="I266" s="9">
        <v>2</v>
      </c>
      <c r="J266" s="9">
        <v>0</v>
      </c>
      <c r="K266" s="9"/>
      <c r="L266" s="9"/>
      <c r="M266" s="9"/>
      <c r="N266" s="9"/>
      <c r="O266" s="149" t="str">
        <f>IF(I266&lt;&gt;"",IF(I266=J266,"TIE",INDEX(Index!$F$1:$F$32,MATCH(E266,Index!$E$1:$E$32,0))),INDEX(Index!$F$1:$F$32,MATCH(E266,Index!$E$1:$E$32,0)))</f>
        <v>LAR</v>
      </c>
      <c r="P266" s="150" t="str">
        <f>IF(I266&lt;&gt;"",IF(I266=J266,"TIE",INDEX(Index!$F$1:$F$32,MATCH(G266,Index!$E$1:$E$32,0))),INDEX(Index!$F$1:$F$32,MATCH(G266,Index!$E$1:$E$32,0)))</f>
        <v>ARI</v>
      </c>
      <c r="Q266" s="155" t="str">
        <f>IF(O266="TIE",INDEX(Index!$F$1:$F$32,MATCH(E266,Index!$E$1:$E$32,0)),"")</f>
        <v/>
      </c>
      <c r="R266" s="155" t="str">
        <f>IF(P266="TIE",INDEX(Index!$F$1:$F$32,MATCH(G266,Index!$E$1:$E$32,0)),"")</f>
        <v/>
      </c>
      <c r="S266" s="151" t="str">
        <f t="shared" si="33"/>
        <v>H</v>
      </c>
      <c r="T266" s="156" t="str">
        <f>INDEX(Index!$H$1:$H$32,MATCH($E266,Index!$E$1:$E$32,0))</f>
        <v>NW</v>
      </c>
      <c r="U266" s="156" t="str">
        <f>INDEX(Index!$H$1:$H$32,MATCH($G266,Index!$E$1:$E$32,0))</f>
        <v>NW</v>
      </c>
      <c r="V266" s="156" t="str">
        <f t="shared" si="28"/>
        <v>Div</v>
      </c>
      <c r="W266" s="152" t="str">
        <f t="shared" si="29"/>
        <v>Y</v>
      </c>
      <c r="X266" s="149" t="str">
        <f>INDEX(Index!$G$1:$G$32,MATCH(E266,Index!$E$1:$E$32,0))</f>
        <v>LAR</v>
      </c>
      <c r="Y266" s="150" t="str">
        <f>INDEX(Index!$G$1:$G$32,MATCH(G266,Index!$E$1:$E$32,0))</f>
        <v>ARI</v>
      </c>
      <c r="Z266" s="147" t="str">
        <f t="shared" si="30"/>
        <v/>
      </c>
      <c r="AA266" s="174" t="str" cm="1">
        <f t="array" ref="AA266">IFERROR(IF($W266="Y","",INDEX(EPA!$N$2:$N$512,MATCH(X266&amp;Index!$K$1,EPA!$A$2:$A$512&amp;EPA!$W$2:$W$512,0))),"")</f>
        <v/>
      </c>
      <c r="AB266" s="174" t="str" cm="1">
        <f t="array" ref="AB266">IFERROR(IF($W266="Y","",INDEX(EPA!$N$2:$N$512,MATCH(Y266&amp;Index!$K$1,EPA!$A$2:$A$512&amp;EPA!$W$2:$W$512,0))),"")</f>
        <v/>
      </c>
      <c r="AC266" s="174" t="str">
        <f ca="1">IF(AA266&lt;&gt;"",_xlfn.NORM.INV(RAND(),AA266,Index!$K$2),"")</f>
        <v/>
      </c>
      <c r="AD266" s="174" t="str">
        <f ca="1">IF(AB266&lt;&gt;"",_xlfn.NORM.INV(RAND(),AB266,Index!$K$2),"")</f>
        <v/>
      </c>
      <c r="AE266" s="157" t="str">
        <f t="shared" si="31"/>
        <v>LAR</v>
      </c>
      <c r="AF266" s="158" t="str">
        <f t="shared" si="32"/>
        <v>ARI</v>
      </c>
      <c r="AG266" s="149">
        <f t="shared" si="34"/>
        <v>265</v>
      </c>
    </row>
    <row r="267" spans="1:33" x14ac:dyDescent="0.25">
      <c r="A267" s="9">
        <v>18</v>
      </c>
      <c r="B267" s="9" t="s">
        <v>661</v>
      </c>
      <c r="C267" s="148">
        <v>46026</v>
      </c>
      <c r="D267" s="208" t="s">
        <v>665</v>
      </c>
      <c r="E267" s="9" t="s">
        <v>86</v>
      </c>
      <c r="F267" s="9" t="s">
        <v>663</v>
      </c>
      <c r="G267" s="9" t="s">
        <v>65</v>
      </c>
      <c r="H267" s="9" t="s">
        <v>676</v>
      </c>
      <c r="I267" s="9">
        <v>2</v>
      </c>
      <c r="J267" s="9">
        <v>0</v>
      </c>
      <c r="K267" s="9"/>
      <c r="L267" s="9"/>
      <c r="M267" s="9"/>
      <c r="N267" s="9"/>
      <c r="O267" s="149" t="str">
        <f>IF(I267&lt;&gt;"",IF(I267=J267,"TIE",INDEX(Index!$F$1:$F$32,MATCH(E267,Index!$E$1:$E$32,0))),INDEX(Index!$F$1:$F$32,MATCH(E267,Index!$E$1:$E$32,0)))</f>
        <v>DET</v>
      </c>
      <c r="P267" s="150" t="str">
        <f>IF(I267&lt;&gt;"",IF(I267=J267,"TIE",INDEX(Index!$F$1:$F$32,MATCH(G267,Index!$E$1:$E$32,0))),INDEX(Index!$F$1:$F$32,MATCH(G267,Index!$E$1:$E$32,0)))</f>
        <v>CHI</v>
      </c>
      <c r="Q267" s="155" t="str">
        <f>IF(O267="TIE",INDEX(Index!$F$1:$F$32,MATCH(E267,Index!$E$1:$E$32,0)),"")</f>
        <v/>
      </c>
      <c r="R267" s="155" t="str">
        <f>IF(P267="TIE",INDEX(Index!$F$1:$F$32,MATCH(G267,Index!$E$1:$E$32,0)),"")</f>
        <v/>
      </c>
      <c r="S267" s="151" t="str">
        <f t="shared" si="33"/>
        <v>A</v>
      </c>
      <c r="T267" s="156" t="str">
        <f>INDEX(Index!$H$1:$H$32,MATCH($E267,Index!$E$1:$E$32,0))</f>
        <v>NN</v>
      </c>
      <c r="U267" s="156" t="str">
        <f>INDEX(Index!$H$1:$H$32,MATCH($G267,Index!$E$1:$E$32,0))</f>
        <v>NN</v>
      </c>
      <c r="V267" s="156" t="str">
        <f t="shared" si="28"/>
        <v>Div</v>
      </c>
      <c r="W267" s="152" t="str">
        <f t="shared" si="29"/>
        <v>Y</v>
      </c>
      <c r="X267" s="149" t="str">
        <f>INDEX(Index!$G$1:$G$32,MATCH(E267,Index!$E$1:$E$32,0))</f>
        <v>DET</v>
      </c>
      <c r="Y267" s="150" t="str">
        <f>INDEX(Index!$G$1:$G$32,MATCH(G267,Index!$E$1:$E$32,0))</f>
        <v>CHI</v>
      </c>
      <c r="Z267" s="147" t="str">
        <f t="shared" si="30"/>
        <v/>
      </c>
      <c r="AA267" s="174" t="str" cm="1">
        <f t="array" ref="AA267">IFERROR(IF($W267="Y","",INDEX(EPA!$N$2:$N$512,MATCH(X267&amp;Index!$K$1,EPA!$A$2:$A$512&amp;EPA!$W$2:$W$512,0))),"")</f>
        <v/>
      </c>
      <c r="AB267" s="174" t="str" cm="1">
        <f t="array" ref="AB267">IFERROR(IF($W267="Y","",INDEX(EPA!$N$2:$N$512,MATCH(Y267&amp;Index!$K$1,EPA!$A$2:$A$512&amp;EPA!$W$2:$W$512,0))),"")</f>
        <v/>
      </c>
      <c r="AC267" s="174" t="str">
        <f ca="1">IF(AA267&lt;&gt;"",_xlfn.NORM.INV(RAND(),AA267,Index!$K$2),"")</f>
        <v/>
      </c>
      <c r="AD267" s="174" t="str">
        <f ca="1">IF(AB267&lt;&gt;"",_xlfn.NORM.INV(RAND(),AB267,Index!$K$2),"")</f>
        <v/>
      </c>
      <c r="AE267" s="157" t="str">
        <f t="shared" si="31"/>
        <v>DET</v>
      </c>
      <c r="AF267" s="158" t="str">
        <f t="shared" si="32"/>
        <v>CHI</v>
      </c>
      <c r="AG267" s="149">
        <f t="shared" si="34"/>
        <v>266</v>
      </c>
    </row>
    <row r="268" spans="1:33" x14ac:dyDescent="0.25">
      <c r="A268" s="9">
        <v>18</v>
      </c>
      <c r="B268" s="9" t="s">
        <v>661</v>
      </c>
      <c r="C268" s="148">
        <v>46026</v>
      </c>
      <c r="D268" s="208" t="s">
        <v>665</v>
      </c>
      <c r="E268" s="9" t="s">
        <v>80</v>
      </c>
      <c r="F268" s="9"/>
      <c r="G268" s="9" t="s">
        <v>16</v>
      </c>
      <c r="H268" s="9" t="s">
        <v>676</v>
      </c>
      <c r="I268" s="9">
        <v>2</v>
      </c>
      <c r="J268" s="9">
        <v>0</v>
      </c>
      <c r="K268" s="9"/>
      <c r="L268" s="9"/>
      <c r="M268" s="9"/>
      <c r="N268" s="9"/>
      <c r="O268" s="149" t="str">
        <f>IF(I268&lt;&gt;"",IF(I268=J268,"TIE",INDEX(Index!$F$1:$F$32,MATCH(E268,Index!$E$1:$E$32,0))),INDEX(Index!$F$1:$F$32,MATCH(E268,Index!$E$1:$E$32,0)))</f>
        <v>LV</v>
      </c>
      <c r="P268" s="150" t="str">
        <f>IF(I268&lt;&gt;"",IF(I268=J268,"TIE",INDEX(Index!$F$1:$F$32,MATCH(G268,Index!$E$1:$E$32,0))),INDEX(Index!$F$1:$F$32,MATCH(G268,Index!$E$1:$E$32,0)))</f>
        <v>KC</v>
      </c>
      <c r="Q268" s="155" t="str">
        <f>IF(O268="TIE",INDEX(Index!$F$1:$F$32,MATCH(E268,Index!$E$1:$E$32,0)),"")</f>
        <v/>
      </c>
      <c r="R268" s="155" t="str">
        <f>IF(P268="TIE",INDEX(Index!$F$1:$F$32,MATCH(G268,Index!$E$1:$E$32,0)),"")</f>
        <v/>
      </c>
      <c r="S268" s="151" t="str">
        <f t="shared" si="33"/>
        <v>H</v>
      </c>
      <c r="T268" s="156" t="str">
        <f>INDEX(Index!$H$1:$H$32,MATCH($E268,Index!$E$1:$E$32,0))</f>
        <v>AW</v>
      </c>
      <c r="U268" s="156" t="str">
        <f>INDEX(Index!$H$1:$H$32,MATCH($G268,Index!$E$1:$E$32,0))</f>
        <v>AW</v>
      </c>
      <c r="V268" s="156" t="str">
        <f t="shared" si="28"/>
        <v>Div</v>
      </c>
      <c r="W268" s="152" t="str">
        <f t="shared" si="29"/>
        <v>Y</v>
      </c>
      <c r="X268" s="149" t="str">
        <f>INDEX(Index!$G$1:$G$32,MATCH(E268,Index!$E$1:$E$32,0))</f>
        <v>OAK</v>
      </c>
      <c r="Y268" s="150" t="str">
        <f>INDEX(Index!$G$1:$G$32,MATCH(G268,Index!$E$1:$E$32,0))</f>
        <v>KC</v>
      </c>
      <c r="Z268" s="147" t="str">
        <f t="shared" si="30"/>
        <v/>
      </c>
      <c r="AA268" s="174" t="str" cm="1">
        <f t="array" ref="AA268">IFERROR(IF($W268="Y","",INDEX(EPA!$N$2:$N$512,MATCH(X268&amp;Index!$K$1,EPA!$A$2:$A$512&amp;EPA!$W$2:$W$512,0))),"")</f>
        <v/>
      </c>
      <c r="AB268" s="174" t="str" cm="1">
        <f t="array" ref="AB268">IFERROR(IF($W268="Y","",INDEX(EPA!$N$2:$N$512,MATCH(Y268&amp;Index!$K$1,EPA!$A$2:$A$512&amp;EPA!$W$2:$W$512,0))),"")</f>
        <v/>
      </c>
      <c r="AC268" s="174" t="str">
        <f ca="1">IF(AA268&lt;&gt;"",_xlfn.NORM.INV(RAND(),AA268,Index!$K$2),"")</f>
        <v/>
      </c>
      <c r="AD268" s="174" t="str">
        <f ca="1">IF(AB268&lt;&gt;"",_xlfn.NORM.INV(RAND(),AB268,Index!$K$2),"")</f>
        <v/>
      </c>
      <c r="AE268" s="157" t="str">
        <f t="shared" si="31"/>
        <v>LV</v>
      </c>
      <c r="AF268" s="158" t="str">
        <f t="shared" si="32"/>
        <v>KC</v>
      </c>
      <c r="AG268" s="149">
        <f t="shared" si="34"/>
        <v>267</v>
      </c>
    </row>
    <row r="269" spans="1:33" x14ac:dyDescent="0.25">
      <c r="A269" s="9">
        <v>18</v>
      </c>
      <c r="B269" s="9" t="s">
        <v>661</v>
      </c>
      <c r="C269" s="148">
        <v>46026</v>
      </c>
      <c r="D269" s="208" t="s">
        <v>665</v>
      </c>
      <c r="E269" s="9" t="s">
        <v>45</v>
      </c>
      <c r="F269" s="9"/>
      <c r="G269" s="9" t="s">
        <v>62</v>
      </c>
      <c r="H269" s="9" t="s">
        <v>676</v>
      </c>
      <c r="I269" s="9">
        <v>2</v>
      </c>
      <c r="J269" s="9">
        <v>0</v>
      </c>
      <c r="K269" s="9"/>
      <c r="L269" s="9"/>
      <c r="M269" s="9"/>
      <c r="N269" s="9"/>
      <c r="O269" s="149" t="str">
        <f>IF(I269&lt;&gt;"",IF(I269=J269,"TIE",INDEX(Index!$F$1:$F$32,MATCH(E269,Index!$E$1:$E$32,0))),INDEX(Index!$F$1:$F$32,MATCH(E269,Index!$E$1:$E$32,0)))</f>
        <v>NE</v>
      </c>
      <c r="P269" s="150" t="str">
        <f>IF(I269&lt;&gt;"",IF(I269=J269,"TIE",INDEX(Index!$F$1:$F$32,MATCH(G269,Index!$E$1:$E$32,0))),INDEX(Index!$F$1:$F$32,MATCH(G269,Index!$E$1:$E$32,0)))</f>
        <v>MIA</v>
      </c>
      <c r="Q269" s="155" t="str">
        <f>IF(O269="TIE",INDEX(Index!$F$1:$F$32,MATCH(E269,Index!$E$1:$E$32,0)),"")</f>
        <v/>
      </c>
      <c r="R269" s="155" t="str">
        <f>IF(P269="TIE",INDEX(Index!$F$1:$F$32,MATCH(G269,Index!$E$1:$E$32,0)),"")</f>
        <v/>
      </c>
      <c r="S269" s="151" t="str">
        <f t="shared" si="33"/>
        <v>H</v>
      </c>
      <c r="T269" s="156" t="str">
        <f>INDEX(Index!$H$1:$H$32,MATCH($E269,Index!$E$1:$E$32,0))</f>
        <v>AE</v>
      </c>
      <c r="U269" s="156" t="str">
        <f>INDEX(Index!$H$1:$H$32,MATCH($G269,Index!$E$1:$E$32,0))</f>
        <v>AE</v>
      </c>
      <c r="V269" s="156" t="str">
        <f t="shared" si="28"/>
        <v>Div</v>
      </c>
      <c r="W269" s="152" t="str">
        <f t="shared" si="29"/>
        <v>Y</v>
      </c>
      <c r="X269" s="149" t="str">
        <f>INDEX(Index!$G$1:$G$32,MATCH(E269,Index!$E$1:$E$32,0))</f>
        <v>NE</v>
      </c>
      <c r="Y269" s="150" t="str">
        <f>INDEX(Index!$G$1:$G$32,MATCH(G269,Index!$E$1:$E$32,0))</f>
        <v>MIA</v>
      </c>
      <c r="Z269" s="147" t="str">
        <f t="shared" si="30"/>
        <v/>
      </c>
      <c r="AA269" s="174" t="str" cm="1">
        <f t="array" ref="AA269">IFERROR(IF($W269="Y","",INDEX(EPA!$N$2:$N$512,MATCH(X269&amp;Index!$K$1,EPA!$A$2:$A$512&amp;EPA!$W$2:$W$512,0))),"")</f>
        <v/>
      </c>
      <c r="AB269" s="174" t="str" cm="1">
        <f t="array" ref="AB269">IFERROR(IF($W269="Y","",INDEX(EPA!$N$2:$N$512,MATCH(Y269&amp;Index!$K$1,EPA!$A$2:$A$512&amp;EPA!$W$2:$W$512,0))),"")</f>
        <v/>
      </c>
      <c r="AC269" s="174" t="str">
        <f ca="1">IF(AA269&lt;&gt;"",_xlfn.NORM.INV(RAND(),AA269,Index!$K$2),"")</f>
        <v/>
      </c>
      <c r="AD269" s="174" t="str">
        <f ca="1">IF(AB269&lt;&gt;"",_xlfn.NORM.INV(RAND(),AB269,Index!$K$2),"")</f>
        <v/>
      </c>
      <c r="AE269" s="157" t="str">
        <f t="shared" si="31"/>
        <v>NE</v>
      </c>
      <c r="AF269" s="158" t="str">
        <f t="shared" si="32"/>
        <v>MIA</v>
      </c>
      <c r="AG269" s="149">
        <f t="shared" si="34"/>
        <v>268</v>
      </c>
    </row>
    <row r="270" spans="1:33" x14ac:dyDescent="0.25">
      <c r="A270" s="9">
        <v>18</v>
      </c>
      <c r="B270" s="9" t="s">
        <v>661</v>
      </c>
      <c r="C270" s="148">
        <v>46026</v>
      </c>
      <c r="D270" s="208" t="s">
        <v>665</v>
      </c>
      <c r="E270" s="9" t="s">
        <v>40</v>
      </c>
      <c r="F270" s="9"/>
      <c r="G270" s="9" t="s">
        <v>23</v>
      </c>
      <c r="H270" s="9" t="s">
        <v>676</v>
      </c>
      <c r="I270" s="9">
        <v>2</v>
      </c>
      <c r="J270" s="9">
        <v>0</v>
      </c>
      <c r="K270" s="9"/>
      <c r="L270" s="9"/>
      <c r="M270" s="9"/>
      <c r="N270" s="9"/>
      <c r="O270" s="149" t="str">
        <f>IF(I270&lt;&gt;"",IF(I270=J270,"TIE",INDEX(Index!$F$1:$F$32,MATCH(E270,Index!$E$1:$E$32,0))),INDEX(Index!$F$1:$F$32,MATCH(E270,Index!$E$1:$E$32,0)))</f>
        <v>BUF</v>
      </c>
      <c r="P270" s="150" t="str">
        <f>IF(I270&lt;&gt;"",IF(I270=J270,"TIE",INDEX(Index!$F$1:$F$32,MATCH(G270,Index!$E$1:$E$32,0))),INDEX(Index!$F$1:$F$32,MATCH(G270,Index!$E$1:$E$32,0)))</f>
        <v>NYJ</v>
      </c>
      <c r="Q270" s="155" t="str">
        <f>IF(O270="TIE",INDEX(Index!$F$1:$F$32,MATCH(E270,Index!$E$1:$E$32,0)),"")</f>
        <v/>
      </c>
      <c r="R270" s="155" t="str">
        <f>IF(P270="TIE",INDEX(Index!$F$1:$F$32,MATCH(G270,Index!$E$1:$E$32,0)),"")</f>
        <v/>
      </c>
      <c r="S270" s="151" t="str">
        <f t="shared" si="33"/>
        <v>H</v>
      </c>
      <c r="T270" s="156" t="str">
        <f>INDEX(Index!$H$1:$H$32,MATCH($E270,Index!$E$1:$E$32,0))</f>
        <v>AE</v>
      </c>
      <c r="U270" s="156" t="str">
        <f>INDEX(Index!$H$1:$H$32,MATCH($G270,Index!$E$1:$E$32,0))</f>
        <v>AE</v>
      </c>
      <c r="V270" s="156" t="str">
        <f t="shared" si="28"/>
        <v>Div</v>
      </c>
      <c r="W270" s="152" t="str">
        <f t="shared" si="29"/>
        <v>Y</v>
      </c>
      <c r="X270" s="149" t="str">
        <f>INDEX(Index!$G$1:$G$32,MATCH(E270,Index!$E$1:$E$32,0))</f>
        <v>BUF</v>
      </c>
      <c r="Y270" s="150" t="str">
        <f>INDEX(Index!$G$1:$G$32,MATCH(G270,Index!$E$1:$E$32,0))</f>
        <v>NYJ</v>
      </c>
      <c r="Z270" s="147" t="str">
        <f t="shared" si="30"/>
        <v/>
      </c>
      <c r="AA270" s="174" t="str" cm="1">
        <f t="array" ref="AA270">IFERROR(IF($W270="Y","",INDEX(EPA!$N$2:$N$512,MATCH(X270&amp;Index!$K$1,EPA!$A$2:$A$512&amp;EPA!$W$2:$W$512,0))),"")</f>
        <v/>
      </c>
      <c r="AB270" s="174" t="str" cm="1">
        <f t="array" ref="AB270">IFERROR(IF($W270="Y","",INDEX(EPA!$N$2:$N$512,MATCH(Y270&amp;Index!$K$1,EPA!$A$2:$A$512&amp;EPA!$W$2:$W$512,0))),"")</f>
        <v/>
      </c>
      <c r="AC270" s="174" t="str">
        <f ca="1">IF(AA270&lt;&gt;"",_xlfn.NORM.INV(RAND(),AA270,Index!$K$2),"")</f>
        <v/>
      </c>
      <c r="AD270" s="174" t="str">
        <f ca="1">IF(AB270&lt;&gt;"",_xlfn.NORM.INV(RAND(),AB270,Index!$K$2),"")</f>
        <v/>
      </c>
      <c r="AE270" s="157" t="str">
        <f t="shared" si="31"/>
        <v>BUF</v>
      </c>
      <c r="AF270" s="158" t="str">
        <f t="shared" si="32"/>
        <v>NYJ</v>
      </c>
      <c r="AG270" s="149">
        <f t="shared" si="34"/>
        <v>269</v>
      </c>
    </row>
    <row r="271" spans="1:33" x14ac:dyDescent="0.25">
      <c r="A271" s="9">
        <v>18</v>
      </c>
      <c r="B271" s="9" t="s">
        <v>661</v>
      </c>
      <c r="C271" s="148">
        <v>46026</v>
      </c>
      <c r="D271" s="208" t="s">
        <v>665</v>
      </c>
      <c r="E271" s="9" t="s">
        <v>94</v>
      </c>
      <c r="F271" s="9"/>
      <c r="G271" s="9" t="s">
        <v>68</v>
      </c>
      <c r="H271" s="9" t="s">
        <v>676</v>
      </c>
      <c r="I271" s="9">
        <v>2</v>
      </c>
      <c r="J271" s="9">
        <v>0</v>
      </c>
      <c r="K271" s="9"/>
      <c r="L271" s="9"/>
      <c r="M271" s="9"/>
      <c r="N271" s="9"/>
      <c r="O271" s="149" t="str">
        <f>IF(I271&lt;&gt;"",IF(I271=J271,"TIE",INDEX(Index!$F$1:$F$32,MATCH(E271,Index!$E$1:$E$32,0))),INDEX(Index!$F$1:$F$32,MATCH(E271,Index!$E$1:$E$32,0)))</f>
        <v>DEN</v>
      </c>
      <c r="P271" s="150" t="str">
        <f>IF(I271&lt;&gt;"",IF(I271=J271,"TIE",INDEX(Index!$F$1:$F$32,MATCH(G271,Index!$E$1:$E$32,0))),INDEX(Index!$F$1:$F$32,MATCH(G271,Index!$E$1:$E$32,0)))</f>
        <v>LAC</v>
      </c>
      <c r="Q271" s="155" t="str">
        <f>IF(O271="TIE",INDEX(Index!$F$1:$F$32,MATCH(E271,Index!$E$1:$E$32,0)),"")</f>
        <v/>
      </c>
      <c r="R271" s="155" t="str">
        <f>IF(P271="TIE",INDEX(Index!$F$1:$F$32,MATCH(G271,Index!$E$1:$E$32,0)),"")</f>
        <v/>
      </c>
      <c r="S271" s="151" t="str">
        <f t="shared" si="33"/>
        <v>H</v>
      </c>
      <c r="T271" s="156" t="str">
        <f>INDEX(Index!$H$1:$H$32,MATCH($E271,Index!$E$1:$E$32,0))</f>
        <v>AW</v>
      </c>
      <c r="U271" s="156" t="str">
        <f>INDEX(Index!$H$1:$H$32,MATCH($G271,Index!$E$1:$E$32,0))</f>
        <v>AW</v>
      </c>
      <c r="V271" s="156" t="str">
        <f t="shared" si="28"/>
        <v>Div</v>
      </c>
      <c r="W271" s="152" t="str">
        <f t="shared" si="29"/>
        <v>Y</v>
      </c>
      <c r="X271" s="149" t="str">
        <f>INDEX(Index!$G$1:$G$32,MATCH(E271,Index!$E$1:$E$32,0))</f>
        <v>DEN</v>
      </c>
      <c r="Y271" s="150" t="str">
        <f>INDEX(Index!$G$1:$G$32,MATCH(G271,Index!$E$1:$E$32,0))</f>
        <v>LAC</v>
      </c>
      <c r="Z271" s="147" t="str">
        <f t="shared" si="30"/>
        <v/>
      </c>
      <c r="AA271" s="174" t="str" cm="1">
        <f t="array" ref="AA271">IFERROR(IF($W271="Y","",INDEX(EPA!$N$2:$N$512,MATCH(X271&amp;Index!$K$1,EPA!$A$2:$A$512&amp;EPA!$W$2:$W$512,0))),"")</f>
        <v/>
      </c>
      <c r="AB271" s="174" t="str" cm="1">
        <f t="array" ref="AB271">IFERROR(IF($W271="Y","",INDEX(EPA!$N$2:$N$512,MATCH(Y271&amp;Index!$K$1,EPA!$A$2:$A$512&amp;EPA!$W$2:$W$512,0))),"")</f>
        <v/>
      </c>
      <c r="AC271" s="174" t="str">
        <f ca="1">IF(AA271&lt;&gt;"",_xlfn.NORM.INV(RAND(),AA271,Index!$K$2),"")</f>
        <v/>
      </c>
      <c r="AD271" s="174" t="str">
        <f ca="1">IF(AB271&lt;&gt;"",_xlfn.NORM.INV(RAND(),AB271,Index!$K$2),"")</f>
        <v/>
      </c>
      <c r="AE271" s="157" t="str">
        <f t="shared" si="31"/>
        <v>DEN</v>
      </c>
      <c r="AF271" s="158" t="str">
        <f t="shared" si="32"/>
        <v>LAC</v>
      </c>
      <c r="AG271" s="149">
        <f t="shared" si="34"/>
        <v>270</v>
      </c>
    </row>
    <row r="272" spans="1:33" x14ac:dyDescent="0.25">
      <c r="A272" s="9">
        <v>18</v>
      </c>
      <c r="B272" s="9" t="s">
        <v>661</v>
      </c>
      <c r="C272" s="148">
        <v>46026</v>
      </c>
      <c r="D272" s="208" t="s">
        <v>665</v>
      </c>
      <c r="E272" s="9" t="s">
        <v>4</v>
      </c>
      <c r="F272" s="9" t="s">
        <v>663</v>
      </c>
      <c r="G272" s="9" t="s">
        <v>92</v>
      </c>
      <c r="H272" s="9" t="s">
        <v>676</v>
      </c>
      <c r="I272" s="9">
        <v>2</v>
      </c>
      <c r="J272" s="9">
        <v>0</v>
      </c>
      <c r="K272" s="9"/>
      <c r="L272" s="9"/>
      <c r="M272" s="9"/>
      <c r="N272" s="9"/>
      <c r="O272" s="149" t="str">
        <f>IF(I272&lt;&gt;"",IF(I272=J272,"TIE",INDEX(Index!$F$1:$F$32,MATCH(E272,Index!$E$1:$E$32,0))),INDEX(Index!$F$1:$F$32,MATCH(E272,Index!$E$1:$E$32,0)))</f>
        <v>WAS</v>
      </c>
      <c r="P272" s="150" t="str">
        <f>IF(I272&lt;&gt;"",IF(I272=J272,"TIE",INDEX(Index!$F$1:$F$32,MATCH(G272,Index!$E$1:$E$32,0))),INDEX(Index!$F$1:$F$32,MATCH(G272,Index!$E$1:$E$32,0)))</f>
        <v>PHI</v>
      </c>
      <c r="Q272" s="155" t="str">
        <f>IF(O272="TIE",INDEX(Index!$F$1:$F$32,MATCH(E272,Index!$E$1:$E$32,0)),"")</f>
        <v/>
      </c>
      <c r="R272" s="155" t="str">
        <f>IF(P272="TIE",INDEX(Index!$F$1:$F$32,MATCH(G272,Index!$E$1:$E$32,0)),"")</f>
        <v/>
      </c>
      <c r="S272" s="151" t="str">
        <f t="shared" si="33"/>
        <v>A</v>
      </c>
      <c r="T272" s="156" t="str">
        <f>INDEX(Index!$H$1:$H$32,MATCH($E272,Index!$E$1:$E$32,0))</f>
        <v>NE</v>
      </c>
      <c r="U272" s="156" t="str">
        <f>INDEX(Index!$H$1:$H$32,MATCH($G272,Index!$E$1:$E$32,0))</f>
        <v>NE</v>
      </c>
      <c r="V272" s="156" t="str">
        <f t="shared" si="28"/>
        <v>Div</v>
      </c>
      <c r="W272" s="152" t="str">
        <f t="shared" si="29"/>
        <v>Y</v>
      </c>
      <c r="X272" s="149" t="str">
        <f>INDEX(Index!$G$1:$G$32,MATCH(E272,Index!$E$1:$E$32,0))</f>
        <v>WAS</v>
      </c>
      <c r="Y272" s="150" t="str">
        <f>INDEX(Index!$G$1:$G$32,MATCH(G272,Index!$E$1:$E$32,0))</f>
        <v>PHI</v>
      </c>
      <c r="Z272" s="147" t="str">
        <f t="shared" si="30"/>
        <v/>
      </c>
      <c r="AA272" s="174" t="str" cm="1">
        <f t="array" ref="AA272">IFERROR(IF($W272="Y","",INDEX(EPA!$N$2:$N$512,MATCH(X272&amp;Index!$K$1,EPA!$A$2:$A$512&amp;EPA!$W$2:$W$512,0))),"")</f>
        <v/>
      </c>
      <c r="AB272" s="174" t="str" cm="1">
        <f t="array" ref="AB272">IFERROR(IF($W272="Y","",INDEX(EPA!$N$2:$N$512,MATCH(Y272&amp;Index!$K$1,EPA!$A$2:$A$512&amp;EPA!$W$2:$W$512,0))),"")</f>
        <v/>
      </c>
      <c r="AC272" s="174" t="str">
        <f ca="1">IF(AA272&lt;&gt;"",_xlfn.NORM.INV(RAND(),AA272,Index!$K$2),"")</f>
        <v/>
      </c>
      <c r="AD272" s="174" t="str">
        <f ca="1">IF(AB272&lt;&gt;"",_xlfn.NORM.INV(RAND(),AB272,Index!$K$2),"")</f>
        <v/>
      </c>
      <c r="AE272" s="157" t="str">
        <f t="shared" si="31"/>
        <v>WAS</v>
      </c>
      <c r="AF272" s="158" t="str">
        <f t="shared" si="32"/>
        <v>PHI</v>
      </c>
      <c r="AG272" s="149">
        <f t="shared" si="34"/>
        <v>271</v>
      </c>
    </row>
    <row r="273" spans="1:33" x14ac:dyDescent="0.25">
      <c r="A273" s="9">
        <v>18</v>
      </c>
      <c r="B273" s="9" t="s">
        <v>661</v>
      </c>
      <c r="C273" s="148">
        <v>46026</v>
      </c>
      <c r="D273" s="208" t="s">
        <v>657</v>
      </c>
      <c r="E273" s="9" t="s">
        <v>73</v>
      </c>
      <c r="F273" s="9"/>
      <c r="G273" s="9" t="s">
        <v>76</v>
      </c>
      <c r="H273" s="9" t="s">
        <v>676</v>
      </c>
      <c r="I273" s="9">
        <v>2</v>
      </c>
      <c r="J273" s="9">
        <v>0</v>
      </c>
      <c r="K273" s="9"/>
      <c r="L273" s="9"/>
      <c r="M273" s="9"/>
      <c r="N273" s="9"/>
      <c r="O273" s="149" t="str">
        <f>IF(I273&lt;&gt;"",IF(I273=J273,"TIE",INDEX(Index!$F$1:$F$32,MATCH(E273,Index!$E$1:$E$32,0))),INDEX(Index!$F$1:$F$32,MATCH(E273,Index!$E$1:$E$32,0)))</f>
        <v>PIT</v>
      </c>
      <c r="P273" s="150" t="str">
        <f>IF(I273&lt;&gt;"",IF(I273=J273,"TIE",INDEX(Index!$F$1:$F$32,MATCH(G273,Index!$E$1:$E$32,0))),INDEX(Index!$F$1:$F$32,MATCH(G273,Index!$E$1:$E$32,0)))</f>
        <v>BAL</v>
      </c>
      <c r="Q273" s="155" t="str">
        <f>IF(O273="TIE",INDEX(Index!$F$1:$F$32,MATCH(E273,Index!$E$1:$E$32,0)),"")</f>
        <v/>
      </c>
      <c r="R273" s="155" t="str">
        <f>IF(P273="TIE",INDEX(Index!$F$1:$F$32,MATCH(G273,Index!$E$1:$E$32,0)),"")</f>
        <v/>
      </c>
      <c r="S273" s="151" t="str">
        <f t="shared" si="33"/>
        <v>H</v>
      </c>
      <c r="T273" s="156" t="str">
        <f>INDEX(Index!$H$1:$H$32,MATCH($E273,Index!$E$1:$E$32,0))</f>
        <v>AN</v>
      </c>
      <c r="U273" s="156" t="str">
        <f>INDEX(Index!$H$1:$H$32,MATCH($G273,Index!$E$1:$E$32,0))</f>
        <v>AN</v>
      </c>
      <c r="V273" s="156" t="str">
        <f t="shared" si="28"/>
        <v>Div</v>
      </c>
      <c r="W273" s="152" t="str">
        <f t="shared" si="29"/>
        <v>Y</v>
      </c>
      <c r="X273" s="149" t="str">
        <f>INDEX(Index!$G$1:$G$32,MATCH(E273,Index!$E$1:$E$32,0))</f>
        <v>PIT</v>
      </c>
      <c r="Y273" s="150" t="str">
        <f>INDEX(Index!$G$1:$G$32,MATCH(G273,Index!$E$1:$E$32,0))</f>
        <v>BAL</v>
      </c>
      <c r="Z273" s="147" t="str">
        <f t="shared" si="30"/>
        <v/>
      </c>
      <c r="AA273" s="174" t="str" cm="1">
        <f t="array" ref="AA273">IFERROR(IF($W273="Y","",INDEX(EPA!$N$2:$N$512,MATCH(X273&amp;Index!$K$1,EPA!$A$2:$A$512&amp;EPA!$W$2:$W$512,0))),"")</f>
        <v/>
      </c>
      <c r="AB273" s="174" t="str" cm="1">
        <f t="array" ref="AB273">IFERROR(IF($W273="Y","",INDEX(EPA!$N$2:$N$512,MATCH(Y273&amp;Index!$K$1,EPA!$A$2:$A$512&amp;EPA!$W$2:$W$512,0))),"")</f>
        <v/>
      </c>
      <c r="AC273" s="174" t="str">
        <f ca="1">IF(AA273&lt;&gt;"",_xlfn.NORM.INV(RAND(),AA273,Index!$K$2),"")</f>
        <v/>
      </c>
      <c r="AD273" s="174" t="str">
        <f ca="1">IF(AB273&lt;&gt;"",_xlfn.NORM.INV(RAND(),AB273,Index!$K$2),"")</f>
        <v/>
      </c>
      <c r="AE273" s="157" t="str">
        <f t="shared" si="31"/>
        <v>PIT</v>
      </c>
      <c r="AF273" s="158" t="str">
        <f t="shared" si="32"/>
        <v>BAL</v>
      </c>
      <c r="AG273" s="149">
        <f t="shared" si="34"/>
        <v>272</v>
      </c>
    </row>
  </sheetData>
  <autoFilter ref="A1:AG1" xr:uid="{C3A5C7C6-0EC5-4820-AB59-1E9E828E9D71}"/>
  <conditionalFormatting sqref="AC27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F647-A787-44EB-92E0-43B00F78836D}">
  <dimension ref="A1:N2"/>
  <sheetViews>
    <sheetView zoomScale="80" zoomScaleNormal="80" workbookViewId="0">
      <selection activeCell="A2" sqref="A2:N2"/>
    </sheetView>
  </sheetViews>
  <sheetFormatPr defaultRowHeight="15" x14ac:dyDescent="0.25"/>
  <cols>
    <col min="1" max="14" width="15.7109375" customWidth="1"/>
  </cols>
  <sheetData>
    <row r="1" spans="1:14" ht="15.75" thickBot="1" x14ac:dyDescent="0.3">
      <c r="A1" s="161" t="s">
        <v>677</v>
      </c>
      <c r="B1" s="165" t="s">
        <v>678</v>
      </c>
      <c r="C1" s="165" t="s">
        <v>679</v>
      </c>
      <c r="D1" s="165" t="s">
        <v>680</v>
      </c>
      <c r="E1" s="166" t="s">
        <v>681</v>
      </c>
      <c r="F1" s="166" t="s">
        <v>682</v>
      </c>
      <c r="G1" s="166" t="s">
        <v>683</v>
      </c>
      <c r="H1" s="160" t="s">
        <v>684</v>
      </c>
      <c r="I1" s="163" t="s">
        <v>685</v>
      </c>
      <c r="J1" s="163" t="s">
        <v>686</v>
      </c>
      <c r="K1" s="163" t="s">
        <v>687</v>
      </c>
      <c r="L1" s="163" t="s">
        <v>688</v>
      </c>
      <c r="M1" s="163" t="s">
        <v>689</v>
      </c>
      <c r="N1" s="164" t="s">
        <v>690</v>
      </c>
    </row>
    <row r="2" spans="1:14" ht="15.75" thickBot="1" x14ac:dyDescent="0.3">
      <c r="A2" s="159" t="e">
        <f>INDEX(#REF!,MATCH(A$1,#REF!,0))</f>
        <v>#REF!</v>
      </c>
      <c r="B2" s="159" t="e">
        <f>INDEX(#REF!,MATCH(B$1,#REF!,0))</f>
        <v>#REF!</v>
      </c>
      <c r="C2" s="159" t="e">
        <f>INDEX(#REF!,MATCH(C$1,#REF!,0))</f>
        <v>#REF!</v>
      </c>
      <c r="D2" s="159" t="e">
        <f>INDEX(#REF!,MATCH(D$1,#REF!,0))</f>
        <v>#REF!</v>
      </c>
      <c r="E2" s="159" t="e">
        <f>INDEX(#REF!,MATCH(E$1,#REF!,0))</f>
        <v>#REF!</v>
      </c>
      <c r="F2" s="159" t="e">
        <f>INDEX(#REF!,MATCH(F$1,#REF!,0))</f>
        <v>#REF!</v>
      </c>
      <c r="G2" s="159" t="e">
        <f>INDEX(#REF!,MATCH(G$1,#REF!,0))</f>
        <v>#REF!</v>
      </c>
      <c r="H2" s="159" t="e">
        <f>INDEX(#REF!,MATCH(H$1,#REF!,0))</f>
        <v>#REF!</v>
      </c>
      <c r="I2" s="159" t="e">
        <f>INDEX(#REF!,MATCH(I$1,#REF!,0))</f>
        <v>#REF!</v>
      </c>
      <c r="J2" s="159" t="e">
        <f>INDEX(#REF!,MATCH(J$1,#REF!,0))</f>
        <v>#REF!</v>
      </c>
      <c r="K2" s="159" t="e">
        <f>INDEX(#REF!,MATCH(K$1,#REF!,0))</f>
        <v>#REF!</v>
      </c>
      <c r="L2" s="159" t="e">
        <f>INDEX(#REF!,MATCH(L$1,#REF!,0))</f>
        <v>#REF!</v>
      </c>
      <c r="M2" s="159" t="e">
        <f>INDEX(#REF!,MATCH(M$1,#REF!,0))</f>
        <v>#REF!</v>
      </c>
      <c r="N2" s="162" t="e">
        <f>INDEX(#REF!,MATCH(N$1,#REF!,0))</f>
        <v>#REF!</v>
      </c>
    </row>
  </sheetData>
  <autoFilter ref="A1:N2" xr:uid="{8B84F647-A787-44EB-92E0-43B00F78836D}"/>
  <conditionalFormatting sqref="A2:N2">
    <cfRule type="containsText" dxfId="21" priority="1" operator="containsText" text="Panthers">
      <formula>NOT(ISERROR(SEARCH("Panthers",A2)))</formula>
    </cfRule>
    <cfRule type="containsText" dxfId="20" priority="2" operator="containsText" text="Bears">
      <formula>NOT(ISERROR(SEARCH("Bears",A2)))</formula>
    </cfRule>
    <cfRule type="containsText" dxfId="19" priority="3" operator="containsText" text="Texans">
      <formula>NOT(ISERROR(SEARCH("Texans",A2)))</formula>
    </cfRule>
    <cfRule type="containsText" dxfId="18" priority="4" operator="containsText" text="Chargers">
      <formula>NOT(ISERROR(SEARCH("Chargers",A2)))</formula>
    </cfRule>
    <cfRule type="containsText" dxfId="17" priority="5" operator="containsText" text="Steelers">
      <formula>NOT(ISERROR(SEARCH("Steelers",A2)))</formula>
    </cfRule>
    <cfRule type="containsText" dxfId="16" priority="6" operator="containsText" text="Buccaneers">
      <formula>NOT(ISERROR(SEARCH("Buccaneers",A2)))</formula>
    </cfRule>
    <cfRule type="containsText" dxfId="15" priority="7" operator="containsText" text="Rams">
      <formula>NOT(ISERROR(SEARCH("Rams",A2)))</formula>
    </cfRule>
    <cfRule type="containsText" dxfId="14" priority="8" operator="containsText" text="Ravens">
      <formula>NOT(ISERROR(SEARCH("Ravens",A2)))</formula>
    </cfRule>
    <cfRule type="containsText" dxfId="13" priority="9" operator="containsText" text="Seahawks">
      <formula>NOT(ISERROR(SEARCH("Seahawks",A2)))</formula>
    </cfRule>
    <cfRule type="containsText" dxfId="12" priority="10" operator="containsText" text="Broncos">
      <formula>NOT(ISERROR(SEARCH("Broncos",A2)))</formula>
    </cfRule>
    <cfRule type="containsText" dxfId="11" priority="11" operator="containsText" text="Patriots">
      <formula>NOT(ISERROR(SEARCH("Patriots",A2)))</formula>
    </cfRule>
    <cfRule type="containsText" dxfId="10" priority="12" operator="containsText" text="Colts">
      <formula>NOT(ISERROR(SEARCH("Colts",A2)))</formula>
    </cfRule>
    <cfRule type="containsText" dxfId="9" priority="13" operator="containsText" text="49ers">
      <formula>NOT(ISERROR(SEARCH("49ers",A2)))</formula>
    </cfRule>
    <cfRule type="containsText" dxfId="8" priority="14" operator="containsText" text="Jaguars">
      <formula>NOT(ISERROR(SEARCH("Jaguars",A2)))</formula>
    </cfRule>
    <cfRule type="containsText" dxfId="7" priority="15" operator="containsText" text="Eagles">
      <formula>NOT(ISERROR(SEARCH("Eagles",A2)))</formula>
    </cfRule>
    <cfRule type="containsText" dxfId="6" priority="16" operator="containsText" text="Packers">
      <formula>NOT(ISERROR(SEARCH("Packers",A2)))</formula>
    </cfRule>
    <cfRule type="containsText" dxfId="5" priority="17" operator="containsText" text="Bills">
      <formula>NOT(ISERROR(SEARCH("Bills",A2)))</formula>
    </cfRule>
    <cfRule type="containsText" dxfId="4" priority="18" operator="containsText" text="Lions">
      <formula>NOT(ISERROR(SEARCH("Lions",A2)))</formula>
    </cfRule>
    <cfRule type="containsText" dxfId="3" priority="19" operator="containsText" text="Chiefs">
      <formula>NOT(ISERROR(SEARCH("Chiefs",A2)))</formula>
    </cfRule>
  </conditionalFormatting>
  <conditionalFormatting sqref="A1:XFD1048576">
    <cfRule type="containsBlanks" dxfId="2" priority="20">
      <formula>LEN(TRIM(A1))=0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866F-CDF4-4D47-A16D-7640FACA9563}">
  <sheetPr>
    <tabColor theme="7" tint="0.79998168889431442"/>
  </sheetPr>
  <dimension ref="A1:AV143"/>
  <sheetViews>
    <sheetView zoomScale="80" zoomScaleNormal="80" workbookViewId="0">
      <selection activeCell="B58" sqref="B58"/>
    </sheetView>
  </sheetViews>
  <sheetFormatPr defaultRowHeight="15" x14ac:dyDescent="0.25"/>
  <cols>
    <col min="1" max="1" width="18.140625" bestFit="1" customWidth="1"/>
    <col min="2" max="2" width="5.5703125" bestFit="1" customWidth="1"/>
    <col min="3" max="3" width="12" bestFit="1" customWidth="1"/>
    <col min="5" max="5" width="26.7109375" bestFit="1" customWidth="1"/>
    <col min="6" max="7" width="5.5703125" bestFit="1" customWidth="1"/>
    <col min="8" max="8" width="4.5703125" bestFit="1" customWidth="1"/>
    <col min="10" max="10" width="10.85546875" bestFit="1" customWidth="1"/>
    <col min="11" max="11" width="5" bestFit="1" customWidth="1"/>
    <col min="47" max="47" width="11.42578125" bestFit="1" customWidth="1"/>
    <col min="48" max="48" width="7.7109375" bestFit="1" customWidth="1"/>
  </cols>
  <sheetData>
    <row r="1" spans="1:48" x14ac:dyDescent="0.25">
      <c r="A1" t="s">
        <v>550</v>
      </c>
      <c r="B1" t="s">
        <v>47</v>
      </c>
      <c r="C1" t="s">
        <v>691</v>
      </c>
      <c r="E1" t="s">
        <v>92</v>
      </c>
      <c r="F1" t="s">
        <v>38</v>
      </c>
      <c r="G1" t="s">
        <v>38</v>
      </c>
      <c r="H1" t="s">
        <v>404</v>
      </c>
      <c r="J1" t="s">
        <v>692</v>
      </c>
      <c r="K1">
        <v>15</v>
      </c>
      <c r="AU1" t="s">
        <v>548</v>
      </c>
      <c r="AV1" t="s">
        <v>549</v>
      </c>
    </row>
    <row r="2" spans="1:48" x14ac:dyDescent="0.25">
      <c r="A2" t="s">
        <v>551</v>
      </c>
      <c r="B2" t="s">
        <v>25</v>
      </c>
      <c r="C2" t="s">
        <v>693</v>
      </c>
      <c r="E2" t="s">
        <v>68</v>
      </c>
      <c r="F2" t="s">
        <v>60</v>
      </c>
      <c r="G2" t="s">
        <v>60</v>
      </c>
      <c r="H2" t="s">
        <v>694</v>
      </c>
      <c r="J2" t="s">
        <v>695</v>
      </c>
      <c r="K2" s="167">
        <v>0.2</v>
      </c>
      <c r="AV2" t="str">
        <f>IF(AS2&lt;&gt;"",COUNTIFS($AW$2:$AW$977,AW2,#REF!,"&gt;"&amp;#REF!)+1,"")</f>
        <v/>
      </c>
    </row>
    <row r="3" spans="1:48" x14ac:dyDescent="0.25">
      <c r="A3" t="s">
        <v>552</v>
      </c>
      <c r="B3" t="s">
        <v>399</v>
      </c>
      <c r="C3" t="s">
        <v>696</v>
      </c>
      <c r="E3" t="s">
        <v>73</v>
      </c>
      <c r="F3" t="s">
        <v>85</v>
      </c>
      <c r="G3" t="s">
        <v>85</v>
      </c>
      <c r="H3" t="s">
        <v>697</v>
      </c>
      <c r="AV3" t="str">
        <f>IF(AS3&lt;&gt;"",COUNTIFS($AW$2:$AW$977,AW3,#REF!,"&gt;"&amp;#REF!)+1,"")</f>
        <v/>
      </c>
    </row>
    <row r="4" spans="1:48" x14ac:dyDescent="0.25">
      <c r="A4" t="s">
        <v>553</v>
      </c>
      <c r="B4" t="s">
        <v>10</v>
      </c>
      <c r="C4" t="s">
        <v>698</v>
      </c>
      <c r="E4" t="s">
        <v>4</v>
      </c>
      <c r="F4" t="s">
        <v>41</v>
      </c>
      <c r="G4" t="s">
        <v>41</v>
      </c>
      <c r="H4" t="s">
        <v>404</v>
      </c>
      <c r="AV4" t="str">
        <f>IF(AS4&lt;&gt;"",COUNTIFS($AW$2:$AW$977,AW4,#REF!,"&gt;"&amp;#REF!)+1,"")</f>
        <v/>
      </c>
    </row>
    <row r="5" spans="1:48" x14ac:dyDescent="0.25">
      <c r="A5" t="s">
        <v>554</v>
      </c>
      <c r="B5" t="s">
        <v>38</v>
      </c>
      <c r="C5" t="s">
        <v>699</v>
      </c>
      <c r="E5" t="s">
        <v>36</v>
      </c>
      <c r="F5" t="s">
        <v>44</v>
      </c>
      <c r="G5" t="s">
        <v>44</v>
      </c>
      <c r="H5" t="s">
        <v>700</v>
      </c>
      <c r="AV5" t="str">
        <f>IF(AS5&lt;&gt;"",COUNTIFS($AW$2:$AW$977,AW5,#REF!,"&gt;"&amp;#REF!)+1,"")</f>
        <v/>
      </c>
    </row>
    <row r="6" spans="1:48" x14ac:dyDescent="0.25">
      <c r="A6" t="s">
        <v>555</v>
      </c>
      <c r="B6" t="s">
        <v>14</v>
      </c>
      <c r="C6" t="s">
        <v>701</v>
      </c>
      <c r="E6" t="s">
        <v>80</v>
      </c>
      <c r="F6" t="s">
        <v>423</v>
      </c>
      <c r="G6" t="s">
        <v>401</v>
      </c>
      <c r="H6" t="s">
        <v>694</v>
      </c>
      <c r="AV6" t="str">
        <f>IF(AS6&lt;&gt;"",COUNTIFS($AW$2:$AW$977,AW6,#REF!,"&gt;"&amp;#REF!)+1,"")</f>
        <v/>
      </c>
    </row>
    <row r="7" spans="1:48" x14ac:dyDescent="0.25">
      <c r="A7" t="s">
        <v>556</v>
      </c>
      <c r="B7" t="s">
        <v>93</v>
      </c>
      <c r="C7" t="s">
        <v>702</v>
      </c>
      <c r="E7" t="s">
        <v>0</v>
      </c>
      <c r="F7" t="s">
        <v>402</v>
      </c>
      <c r="G7" t="s">
        <v>402</v>
      </c>
      <c r="H7" t="s">
        <v>703</v>
      </c>
      <c r="AV7" t="str">
        <f>IF(AS7&lt;&gt;"",COUNTIFS($AW$2:$AW$977,AW7,#REF!,"&gt;"&amp;#REF!)+1,"")</f>
        <v/>
      </c>
    </row>
    <row r="8" spans="1:48" x14ac:dyDescent="0.25">
      <c r="A8" t="s">
        <v>557</v>
      </c>
      <c r="B8" t="s">
        <v>77</v>
      </c>
      <c r="C8" t="s">
        <v>704</v>
      </c>
      <c r="E8" t="s">
        <v>53</v>
      </c>
      <c r="F8" t="s">
        <v>77</v>
      </c>
      <c r="G8" t="s">
        <v>77</v>
      </c>
      <c r="H8" t="s">
        <v>697</v>
      </c>
      <c r="AV8" t="str">
        <f>IF(AS8&lt;&gt;"",COUNTIFS($AW$2:$AW$977,AW8,#REF!,"&gt;"&amp;#REF!)+1,"")</f>
        <v/>
      </c>
    </row>
    <row r="9" spans="1:48" x14ac:dyDescent="0.25">
      <c r="A9" t="s">
        <v>558</v>
      </c>
      <c r="B9" t="s">
        <v>400</v>
      </c>
      <c r="C9" t="s">
        <v>705</v>
      </c>
      <c r="E9" t="s">
        <v>27</v>
      </c>
      <c r="F9" t="s">
        <v>93</v>
      </c>
      <c r="G9" t="s">
        <v>93</v>
      </c>
      <c r="H9" t="s">
        <v>706</v>
      </c>
      <c r="AV9" t="str">
        <f>IF(AS9&lt;&gt;"",COUNTIFS($AW$2:$AW$977,AW9,#REF!,"&gt;"&amp;#REF!)+1,"")</f>
        <v/>
      </c>
    </row>
    <row r="10" spans="1:48" x14ac:dyDescent="0.25">
      <c r="A10" t="s">
        <v>559</v>
      </c>
      <c r="B10" t="s">
        <v>402</v>
      </c>
      <c r="C10" t="s">
        <v>707</v>
      </c>
      <c r="E10" t="s">
        <v>42</v>
      </c>
      <c r="F10" t="s">
        <v>57</v>
      </c>
      <c r="G10" t="s">
        <v>57</v>
      </c>
      <c r="H10" t="s">
        <v>700</v>
      </c>
      <c r="AV10" t="str">
        <f>IF(AS10&lt;&gt;"",COUNTIFS($AW$2:$AW$977,AW10,#REF!,"&gt;"&amp;#REF!)+1,"")</f>
        <v/>
      </c>
    </row>
    <row r="11" spans="1:48" x14ac:dyDescent="0.25">
      <c r="A11" t="s">
        <v>560</v>
      </c>
      <c r="B11" t="s">
        <v>405</v>
      </c>
      <c r="C11" t="s">
        <v>708</v>
      </c>
      <c r="E11" t="s">
        <v>94</v>
      </c>
      <c r="F11" t="s">
        <v>63</v>
      </c>
      <c r="G11" t="s">
        <v>63</v>
      </c>
      <c r="H11" t="s">
        <v>694</v>
      </c>
      <c r="AV11" t="str">
        <f>IF(AS11&lt;&gt;"",COUNTIFS($AW$2:$AW$977,AW11,#REF!,"&gt;"&amp;#REF!)+1,"")</f>
        <v/>
      </c>
    </row>
    <row r="12" spans="1:48" x14ac:dyDescent="0.25">
      <c r="A12" t="s">
        <v>561</v>
      </c>
      <c r="B12" t="s">
        <v>63</v>
      </c>
      <c r="C12" t="s">
        <v>709</v>
      </c>
      <c r="E12" t="s">
        <v>30</v>
      </c>
      <c r="F12" t="s">
        <v>405</v>
      </c>
      <c r="G12" t="s">
        <v>405</v>
      </c>
      <c r="H12" t="s">
        <v>706</v>
      </c>
      <c r="AV12" t="str">
        <f>IF(AS12&lt;&gt;"",COUNTIFS($AW$2:$AW$977,AW12,#REF!,"&gt;"&amp;#REF!)+1,"")</f>
        <v/>
      </c>
    </row>
    <row r="13" spans="1:48" x14ac:dyDescent="0.25">
      <c r="A13" t="s">
        <v>562</v>
      </c>
      <c r="B13" t="s">
        <v>41</v>
      </c>
      <c r="C13" t="s">
        <v>710</v>
      </c>
      <c r="E13" t="s">
        <v>88</v>
      </c>
      <c r="F13" t="s">
        <v>400</v>
      </c>
      <c r="G13" t="s">
        <v>400</v>
      </c>
      <c r="H13" t="s">
        <v>711</v>
      </c>
      <c r="AV13" t="str">
        <f>IF(AS13&lt;&gt;"",COUNTIFS($AW$2:$AW$977,AW13,#REF!,"&gt;"&amp;#REF!)+1,"")</f>
        <v/>
      </c>
    </row>
    <row r="14" spans="1:48" x14ac:dyDescent="0.25">
      <c r="A14" t="s">
        <v>563</v>
      </c>
      <c r="B14" t="s">
        <v>60</v>
      </c>
      <c r="C14" t="s">
        <v>712</v>
      </c>
      <c r="E14" t="s">
        <v>90</v>
      </c>
      <c r="F14" t="s">
        <v>21</v>
      </c>
      <c r="G14" t="s">
        <v>21</v>
      </c>
      <c r="H14" t="s">
        <v>706</v>
      </c>
      <c r="AV14" t="str">
        <f>IF(AS14&lt;&gt;"",COUNTIFS($AW$2:$AW$977,AW14,#REF!,"&gt;"&amp;#REF!)+1,"")</f>
        <v/>
      </c>
    </row>
    <row r="15" spans="1:48" x14ac:dyDescent="0.25">
      <c r="A15" t="s">
        <v>564</v>
      </c>
      <c r="B15" t="s">
        <v>95</v>
      </c>
      <c r="C15" t="s">
        <v>713</v>
      </c>
      <c r="E15" t="s">
        <v>40</v>
      </c>
      <c r="F15" t="s">
        <v>25</v>
      </c>
      <c r="G15" t="s">
        <v>25</v>
      </c>
      <c r="H15" t="s">
        <v>714</v>
      </c>
      <c r="AV15" t="str">
        <f>IF(AS15&lt;&gt;"",COUNTIFS($AW$2:$AW$977,AW15,#REF!,"&gt;"&amp;#REF!)+1,"")</f>
        <v/>
      </c>
    </row>
    <row r="16" spans="1:48" x14ac:dyDescent="0.25">
      <c r="A16" t="s">
        <v>565</v>
      </c>
      <c r="B16" t="s">
        <v>2</v>
      </c>
      <c r="C16" t="s">
        <v>715</v>
      </c>
      <c r="E16" t="s">
        <v>58</v>
      </c>
      <c r="F16" t="s">
        <v>75</v>
      </c>
      <c r="G16" t="s">
        <v>75</v>
      </c>
      <c r="H16" t="s">
        <v>711</v>
      </c>
      <c r="AV16" t="str">
        <f>IF(AS16&lt;&gt;"",COUNTIFS($AW$2:$AW$977,AW16,#REF!,"&gt;"&amp;#REF!)+1,"")</f>
        <v/>
      </c>
    </row>
    <row r="17" spans="1:48" x14ac:dyDescent="0.25">
      <c r="A17" t="s">
        <v>566</v>
      </c>
      <c r="B17" t="s">
        <v>400</v>
      </c>
      <c r="C17" t="s">
        <v>716</v>
      </c>
      <c r="E17" t="s">
        <v>8</v>
      </c>
      <c r="F17" t="s">
        <v>55</v>
      </c>
      <c r="G17" t="s">
        <v>55</v>
      </c>
      <c r="H17" t="s">
        <v>706</v>
      </c>
      <c r="AV17" t="str">
        <f>IF(AS17&lt;&gt;"",COUNTIFS($AW$2:$AW$977,AW17,#REF!,"&gt;"&amp;#REF!)+1,"")</f>
        <v/>
      </c>
    </row>
    <row r="18" spans="1:48" x14ac:dyDescent="0.25">
      <c r="A18" t="s">
        <v>567</v>
      </c>
      <c r="B18" t="s">
        <v>21</v>
      </c>
      <c r="C18" t="s">
        <v>717</v>
      </c>
      <c r="E18" t="s">
        <v>45</v>
      </c>
      <c r="F18" t="s">
        <v>404</v>
      </c>
      <c r="G18" t="s">
        <v>404</v>
      </c>
      <c r="H18" t="s">
        <v>714</v>
      </c>
      <c r="AV18" t="str">
        <f>IF(AS18&lt;&gt;"",COUNTIFS($AW$2:$AW$977,AW18,#REF!,"&gt;"&amp;#REF!)+1,"")</f>
        <v/>
      </c>
    </row>
    <row r="19" spans="1:48" x14ac:dyDescent="0.25">
      <c r="A19" t="s">
        <v>568</v>
      </c>
      <c r="B19" t="s">
        <v>57</v>
      </c>
      <c r="C19" t="s">
        <v>718</v>
      </c>
      <c r="E19" t="s">
        <v>86</v>
      </c>
      <c r="F19" t="s">
        <v>10</v>
      </c>
      <c r="G19" t="s">
        <v>10</v>
      </c>
      <c r="H19" t="s">
        <v>711</v>
      </c>
      <c r="AV19" t="str">
        <f>IF(AS19&lt;&gt;"",COUNTIFS($AW$2:$AW$977,AW19,#REF!,"&gt;"&amp;#REF!)+1,"")</f>
        <v/>
      </c>
    </row>
    <row r="20" spans="1:48" x14ac:dyDescent="0.25">
      <c r="A20" t="s">
        <v>569</v>
      </c>
      <c r="B20" t="s">
        <v>79</v>
      </c>
      <c r="C20" t="s">
        <v>719</v>
      </c>
      <c r="E20" t="s">
        <v>56</v>
      </c>
      <c r="F20" t="s">
        <v>14</v>
      </c>
      <c r="G20" t="s">
        <v>14</v>
      </c>
      <c r="H20" t="s">
        <v>404</v>
      </c>
      <c r="AV20" t="str">
        <f>IF(AS20&lt;&gt;"",COUNTIFS($AW$2:$AW$977,AW20,#REF!,"&gt;"&amp;#REF!)+1,"")</f>
        <v/>
      </c>
    </row>
    <row r="21" spans="1:48" x14ac:dyDescent="0.25">
      <c r="A21" t="s">
        <v>570</v>
      </c>
      <c r="B21" t="s">
        <v>404</v>
      </c>
      <c r="C21" t="s">
        <v>720</v>
      </c>
      <c r="E21" t="s">
        <v>76</v>
      </c>
      <c r="F21" t="s">
        <v>47</v>
      </c>
      <c r="G21" t="s">
        <v>47</v>
      </c>
      <c r="H21" t="s">
        <v>697</v>
      </c>
      <c r="AV21" t="str">
        <f>IF(AS21&lt;&gt;"",COUNTIFS($AW$2:$AW$977,AW21,#REF!,"&gt;"&amp;#REF!)+1,"")</f>
        <v/>
      </c>
    </row>
    <row r="22" spans="1:48" x14ac:dyDescent="0.25">
      <c r="A22" t="s">
        <v>571</v>
      </c>
      <c r="B22" t="s">
        <v>44</v>
      </c>
      <c r="C22" t="s">
        <v>721</v>
      </c>
      <c r="E22" t="s">
        <v>78</v>
      </c>
      <c r="F22" t="s">
        <v>69</v>
      </c>
      <c r="G22" t="s">
        <v>69</v>
      </c>
      <c r="H22" t="s">
        <v>703</v>
      </c>
      <c r="AV22" t="str">
        <f>IF(AS22&lt;&gt;"",COUNTIFS($AW$2:$AW$977,AW22,#REF!,"&gt;"&amp;#REF!)+1,"")</f>
        <v/>
      </c>
    </row>
    <row r="23" spans="1:48" x14ac:dyDescent="0.25">
      <c r="A23" t="s">
        <v>572</v>
      </c>
      <c r="B23" t="s">
        <v>423</v>
      </c>
      <c r="C23" t="s">
        <v>722</v>
      </c>
      <c r="E23" t="s">
        <v>62</v>
      </c>
      <c r="F23" t="s">
        <v>2</v>
      </c>
      <c r="G23" t="s">
        <v>2</v>
      </c>
      <c r="H23" t="s">
        <v>714</v>
      </c>
      <c r="AV23" t="str">
        <f>IF(AS23&lt;&gt;"",COUNTIFS($AW$2:$AW$977,AW23,#REF!,"&gt;"&amp;#REF!)+1,"")</f>
        <v/>
      </c>
    </row>
    <row r="24" spans="1:48" x14ac:dyDescent="0.25">
      <c r="A24" t="s">
        <v>573</v>
      </c>
      <c r="B24" t="s">
        <v>55</v>
      </c>
      <c r="C24" t="s">
        <v>723</v>
      </c>
      <c r="E24" t="s">
        <v>33</v>
      </c>
      <c r="F24" t="s">
        <v>31</v>
      </c>
      <c r="G24" t="s">
        <v>31</v>
      </c>
      <c r="H24" t="s">
        <v>700</v>
      </c>
      <c r="AV24" t="str">
        <f>IF(AS24&lt;&gt;"",COUNTIFS($AW$2:$AW$977,AW24,#REF!,"&gt;"&amp;#REF!)+1,"")</f>
        <v/>
      </c>
    </row>
    <row r="25" spans="1:48" x14ac:dyDescent="0.25">
      <c r="A25" t="s">
        <v>574</v>
      </c>
      <c r="B25" t="s">
        <v>72</v>
      </c>
      <c r="C25" t="s">
        <v>724</v>
      </c>
      <c r="E25" t="s">
        <v>23</v>
      </c>
      <c r="F25" t="s">
        <v>79</v>
      </c>
      <c r="G25" t="s">
        <v>79</v>
      </c>
      <c r="H25" t="s">
        <v>714</v>
      </c>
      <c r="AV25" t="str">
        <f>IF(AS25&lt;&gt;"",COUNTIFS($AW$2:$AW$977,AW25,#REF!,"&gt;"&amp;#REF!)+1,"")</f>
        <v/>
      </c>
    </row>
    <row r="26" spans="1:48" x14ac:dyDescent="0.25">
      <c r="A26" t="s">
        <v>575</v>
      </c>
      <c r="B26" t="s">
        <v>405</v>
      </c>
      <c r="C26" t="s">
        <v>718</v>
      </c>
      <c r="E26" t="s">
        <v>71</v>
      </c>
      <c r="F26" t="s">
        <v>403</v>
      </c>
      <c r="G26" t="s">
        <v>403</v>
      </c>
      <c r="H26" t="s">
        <v>703</v>
      </c>
      <c r="AV26" t="str">
        <f>IF(AS26&lt;&gt;"",COUNTIFS($AW$2:$AW$977,AW26,#REF!,"&gt;"&amp;#REF!)+1,"")</f>
        <v/>
      </c>
    </row>
    <row r="27" spans="1:48" x14ac:dyDescent="0.25">
      <c r="A27" t="s">
        <v>576</v>
      </c>
      <c r="B27" t="s">
        <v>67</v>
      </c>
      <c r="C27" t="s">
        <v>725</v>
      </c>
      <c r="E27" t="s">
        <v>16</v>
      </c>
      <c r="F27" t="s">
        <v>399</v>
      </c>
      <c r="G27" t="s">
        <v>399</v>
      </c>
      <c r="H27" t="s">
        <v>694</v>
      </c>
      <c r="AV27" t="str">
        <f>IF(AS27&lt;&gt;"",COUNTIFS($AW$2:$AW$977,AW27,#REF!,"&gt;"&amp;#REF!)+1,"")</f>
        <v/>
      </c>
    </row>
    <row r="28" spans="1:48" x14ac:dyDescent="0.25">
      <c r="A28" t="s">
        <v>577</v>
      </c>
      <c r="B28" t="s">
        <v>77</v>
      </c>
      <c r="C28" t="s">
        <v>726</v>
      </c>
      <c r="E28" t="s">
        <v>12</v>
      </c>
      <c r="F28" t="s">
        <v>67</v>
      </c>
      <c r="G28" t="s">
        <v>67</v>
      </c>
      <c r="H28" t="s">
        <v>703</v>
      </c>
      <c r="AV28" t="str">
        <f>IF(AS28&lt;&gt;"",COUNTIFS($AW$2:$AW$977,AW28,#REF!,"&gt;"&amp;#REF!)+1,"")</f>
        <v/>
      </c>
    </row>
    <row r="29" spans="1:48" x14ac:dyDescent="0.25">
      <c r="A29" t="s">
        <v>578</v>
      </c>
      <c r="B29" t="s">
        <v>69</v>
      </c>
      <c r="C29" t="s">
        <v>727</v>
      </c>
      <c r="E29" t="s">
        <v>83</v>
      </c>
      <c r="F29" t="s">
        <v>91</v>
      </c>
      <c r="G29" t="s">
        <v>91</v>
      </c>
      <c r="H29" t="s">
        <v>697</v>
      </c>
      <c r="AV29" t="str">
        <f>IF(AS29&lt;&gt;"",COUNTIFS($AW$2:$AW$977,AW29,#REF!,"&gt;"&amp;#REF!)+1,"")</f>
        <v/>
      </c>
    </row>
    <row r="30" spans="1:48" x14ac:dyDescent="0.25">
      <c r="A30" t="s">
        <v>579</v>
      </c>
      <c r="B30" t="s">
        <v>31</v>
      </c>
      <c r="C30" t="s">
        <v>728</v>
      </c>
      <c r="E30" t="s">
        <v>19</v>
      </c>
      <c r="F30" t="s">
        <v>89</v>
      </c>
      <c r="G30" t="s">
        <v>89</v>
      </c>
      <c r="H30" t="s">
        <v>700</v>
      </c>
      <c r="AV30" t="str">
        <f>IF(AS30&lt;&gt;"",COUNTIFS($AW$2:$AW$977,AW30,#REF!,"&gt;"&amp;#REF!)+1,"")</f>
        <v/>
      </c>
    </row>
    <row r="31" spans="1:48" x14ac:dyDescent="0.25">
      <c r="A31" t="s">
        <v>580</v>
      </c>
      <c r="B31" t="s">
        <v>75</v>
      </c>
      <c r="C31" t="s">
        <v>729</v>
      </c>
      <c r="E31" t="s">
        <v>65</v>
      </c>
      <c r="F31" t="s">
        <v>72</v>
      </c>
      <c r="G31" t="s">
        <v>72</v>
      </c>
      <c r="H31" t="s">
        <v>711</v>
      </c>
      <c r="AV31" t="str">
        <f>IF(AS31&lt;&gt;"",COUNTIFS($AW$2:$AW$977,AW31,#REF!,"&gt;"&amp;#REF!)+1,"")</f>
        <v/>
      </c>
    </row>
    <row r="32" spans="1:48" x14ac:dyDescent="0.25">
      <c r="A32" t="s">
        <v>581</v>
      </c>
      <c r="B32" t="s">
        <v>403</v>
      </c>
      <c r="C32" t="s">
        <v>730</v>
      </c>
      <c r="E32" t="s">
        <v>49</v>
      </c>
      <c r="F32" t="s">
        <v>95</v>
      </c>
      <c r="G32" t="s">
        <v>95</v>
      </c>
      <c r="H32" t="s">
        <v>404</v>
      </c>
      <c r="AV32" t="str">
        <f>IF(AS32&lt;&gt;"",COUNTIFS($AW$2:$AW$977,AW32,#REF!,"&gt;"&amp;#REF!)+1,"")</f>
        <v/>
      </c>
    </row>
    <row r="33" spans="1:48" x14ac:dyDescent="0.25">
      <c r="A33" t="s">
        <v>582</v>
      </c>
      <c r="B33" t="s">
        <v>89</v>
      </c>
      <c r="C33" t="s">
        <v>731</v>
      </c>
      <c r="AV33" t="str">
        <f>IF(AS33&lt;&gt;"",COUNTIFS($AW$2:$AW$977,AW33,#REF!,"&gt;"&amp;#REF!)+1,"")</f>
        <v/>
      </c>
    </row>
    <row r="34" spans="1:48" x14ac:dyDescent="0.25">
      <c r="A34" t="s">
        <v>583</v>
      </c>
      <c r="B34" t="s">
        <v>41</v>
      </c>
      <c r="C34" t="s">
        <v>732</v>
      </c>
      <c r="AV34" t="str">
        <f>IF(AS34&lt;&gt;"",COUNTIFS($AW$2:$AW$977,AW34,#REF!,"&gt;"&amp;#REF!)+1,"")</f>
        <v/>
      </c>
    </row>
    <row r="35" spans="1:48" x14ac:dyDescent="0.25">
      <c r="A35" t="s">
        <v>584</v>
      </c>
      <c r="B35" t="s">
        <v>79</v>
      </c>
      <c r="C35" t="s">
        <v>733</v>
      </c>
      <c r="AV35" t="str">
        <f>IF(AS35&lt;&gt;"",COUNTIFS($AW$2:$AW$977,AW35,#REF!,"&gt;"&amp;#REF!)+1,"")</f>
        <v/>
      </c>
    </row>
    <row r="36" spans="1:48" x14ac:dyDescent="0.25">
      <c r="A36" t="s">
        <v>585</v>
      </c>
      <c r="B36" t="s">
        <v>77</v>
      </c>
      <c r="C36" t="s">
        <v>734</v>
      </c>
      <c r="AV36" t="str">
        <f>IF(AS36&lt;&gt;"",COUNTIFS($AW$2:$AW$977,AW36,#REF!,"&gt;"&amp;#REF!)+1,"")</f>
        <v/>
      </c>
    </row>
    <row r="37" spans="1:48" x14ac:dyDescent="0.25">
      <c r="A37" t="s">
        <v>586</v>
      </c>
      <c r="B37" t="s">
        <v>75</v>
      </c>
      <c r="C37" t="s">
        <v>735</v>
      </c>
      <c r="AV37" t="str">
        <f>IF(AS37&lt;&gt;"",COUNTIFS($AW$2:$AW$977,AW37,#REF!,"&gt;"&amp;#REF!)+1,"")</f>
        <v/>
      </c>
    </row>
    <row r="38" spans="1:48" x14ac:dyDescent="0.25">
      <c r="A38" t="s">
        <v>587</v>
      </c>
      <c r="B38" t="s">
        <v>95</v>
      </c>
      <c r="C38" t="s">
        <v>736</v>
      </c>
      <c r="AV38" t="str">
        <f>IF(AS38&lt;&gt;"",COUNTIFS($AW$2:$AW$977,AW38,#REF!,"&gt;"&amp;#REF!)+1,"")</f>
        <v/>
      </c>
    </row>
    <row r="39" spans="1:48" x14ac:dyDescent="0.25">
      <c r="A39" t="s">
        <v>588</v>
      </c>
      <c r="B39" t="s">
        <v>47</v>
      </c>
      <c r="C39" t="s">
        <v>737</v>
      </c>
      <c r="AV39" t="str">
        <f>IF(AS39&lt;&gt;"",COUNTIFS($AW$2:$AW$977,AW39,#REF!,"&gt;"&amp;#REF!)+1,"")</f>
        <v/>
      </c>
    </row>
    <row r="40" spans="1:48" x14ac:dyDescent="0.25">
      <c r="A40" t="s">
        <v>589</v>
      </c>
      <c r="B40" t="s">
        <v>91</v>
      </c>
      <c r="C40" t="s">
        <v>738</v>
      </c>
      <c r="AV40" t="str">
        <f>IF(AS40&lt;&gt;"",COUNTIFS($AW$2:$AW$977,AW40,#REF!,"&gt;"&amp;#REF!)+1,"")</f>
        <v/>
      </c>
    </row>
    <row r="41" spans="1:48" x14ac:dyDescent="0.25">
      <c r="A41" t="s">
        <v>590</v>
      </c>
      <c r="B41" t="s">
        <v>93</v>
      </c>
      <c r="C41" t="s">
        <v>739</v>
      </c>
      <c r="AV41" t="str">
        <f>IF(AS41&lt;&gt;"",COUNTIFS($AW$2:$AW$977,AW41,#REF!,"&gt;"&amp;#REF!)+1,"")</f>
        <v/>
      </c>
    </row>
    <row r="42" spans="1:48" x14ac:dyDescent="0.25">
      <c r="A42" t="s">
        <v>591</v>
      </c>
      <c r="B42" t="s">
        <v>69</v>
      </c>
      <c r="C42" t="s">
        <v>740</v>
      </c>
      <c r="AV42" t="str">
        <f>IF(AS42&lt;&gt;"",COUNTIFS($AW$2:$AW$977,AW42,#REF!,"&gt;"&amp;#REF!)+1,"")</f>
        <v/>
      </c>
    </row>
    <row r="43" spans="1:48" x14ac:dyDescent="0.25">
      <c r="A43" t="s">
        <v>592</v>
      </c>
      <c r="B43" t="s">
        <v>47</v>
      </c>
      <c r="C43" t="s">
        <v>741</v>
      </c>
      <c r="AV43" t="str">
        <f>IF(AS43&lt;&gt;"",COUNTIFS($AW$2:$AW$977,AW43,#REF!,"&gt;"&amp;#REF!)+1,"")</f>
        <v/>
      </c>
    </row>
    <row r="44" spans="1:48" x14ac:dyDescent="0.25">
      <c r="A44" t="s">
        <v>593</v>
      </c>
      <c r="B44" t="s">
        <v>67</v>
      </c>
      <c r="C44" t="s">
        <v>742</v>
      </c>
      <c r="AV44" t="str">
        <f>IF(AS44&lt;&gt;"",COUNTIFS($AW$2:$AW$977,AW44,#REF!,"&gt;"&amp;#REF!)+1,"")</f>
        <v/>
      </c>
    </row>
    <row r="45" spans="1:48" x14ac:dyDescent="0.25">
      <c r="A45" t="s">
        <v>594</v>
      </c>
      <c r="B45" t="s">
        <v>403</v>
      </c>
      <c r="C45" t="s">
        <v>743</v>
      </c>
      <c r="AV45" t="str">
        <f>IF(AS45&lt;&gt;"",COUNTIFS($AW$2:$AW$977,AW45,#REF!,"&gt;"&amp;#REF!)+1,"")</f>
        <v/>
      </c>
    </row>
    <row r="46" spans="1:48" x14ac:dyDescent="0.25">
      <c r="A46" t="s">
        <v>596</v>
      </c>
      <c r="B46" t="s">
        <v>95</v>
      </c>
      <c r="C46" t="s">
        <v>744</v>
      </c>
      <c r="AV46" t="str">
        <f>IF(AS46&lt;&gt;"",COUNTIFS($AW$2:$AW$977,AW46,#REF!,"&gt;"&amp;#REF!)+1,"")</f>
        <v/>
      </c>
    </row>
    <row r="47" spans="1:48" x14ac:dyDescent="0.25">
      <c r="A47" t="s">
        <v>595</v>
      </c>
      <c r="B47" t="s">
        <v>31</v>
      </c>
      <c r="C47" t="s">
        <v>745</v>
      </c>
      <c r="AV47" t="str">
        <f>IF(AS47&lt;&gt;"",COUNTIFS($AW$2:$AW$977,AW47,#REF!,"&gt;"&amp;#REF!)+1,"")</f>
        <v/>
      </c>
    </row>
    <row r="48" spans="1:48" x14ac:dyDescent="0.25">
      <c r="A48" t="s">
        <v>598</v>
      </c>
      <c r="B48" t="s">
        <v>91</v>
      </c>
      <c r="C48" t="s">
        <v>746</v>
      </c>
      <c r="AV48" t="str">
        <f>IF(AS48&lt;&gt;"",COUNTIFS($AW$2:$AW$977,AW48,#REF!,"&gt;"&amp;#REF!)+1,"")</f>
        <v/>
      </c>
    </row>
    <row r="49" spans="1:48" x14ac:dyDescent="0.25">
      <c r="A49" t="s">
        <v>597</v>
      </c>
      <c r="B49" t="s">
        <v>85</v>
      </c>
      <c r="C49" t="s">
        <v>747</v>
      </c>
      <c r="AV49" t="str">
        <f>IF(AS49&lt;&gt;"",COUNTIFS($AW$2:$AW$977,AW49,#REF!,"&gt;"&amp;#REF!)+1,"")</f>
        <v/>
      </c>
    </row>
    <row r="50" spans="1:48" x14ac:dyDescent="0.25">
      <c r="A50" t="s">
        <v>599</v>
      </c>
      <c r="B50" t="s">
        <v>75</v>
      </c>
      <c r="C50" t="s">
        <v>748</v>
      </c>
      <c r="AV50" t="str">
        <f>IF(AS50&lt;&gt;"",COUNTIFS($AW$2:$AW$977,AW50,#REF!,"&gt;"&amp;#REF!)+1,"")</f>
        <v/>
      </c>
    </row>
    <row r="51" spans="1:48" x14ac:dyDescent="0.25">
      <c r="A51" t="s">
        <v>600</v>
      </c>
      <c r="B51" t="s">
        <v>57</v>
      </c>
      <c r="C51" t="s">
        <v>749</v>
      </c>
      <c r="AV51" t="str">
        <f>IF(AS51&lt;&gt;"",COUNTIFS($AW$2:$AW$977,AW51,#REF!,"&gt;"&amp;#REF!)+1,"")</f>
        <v/>
      </c>
    </row>
    <row r="52" spans="1:48" x14ac:dyDescent="0.25">
      <c r="A52" t="s">
        <v>602</v>
      </c>
      <c r="B52" t="s">
        <v>79</v>
      </c>
      <c r="C52" t="s">
        <v>750</v>
      </c>
      <c r="AV52" t="str">
        <f>IF(AS52&lt;&gt;"",COUNTIFS($AW$2:$AW$977,AW52,#REF!,"&gt;"&amp;#REF!)+1,"")</f>
        <v/>
      </c>
    </row>
    <row r="53" spans="1:48" x14ac:dyDescent="0.25">
      <c r="A53" t="s">
        <v>601</v>
      </c>
      <c r="B53" t="s">
        <v>423</v>
      </c>
      <c r="C53" t="s">
        <v>751</v>
      </c>
      <c r="AV53" t="str">
        <f>IF(AS53&lt;&gt;"",COUNTIFS($AW$2:$AW$977,AW53,#REF!,"&gt;"&amp;#REF!)+1,"")</f>
        <v/>
      </c>
    </row>
    <row r="54" spans="1:48" x14ac:dyDescent="0.25">
      <c r="A54" t="s">
        <v>603</v>
      </c>
      <c r="B54" t="s">
        <v>399</v>
      </c>
      <c r="C54" t="s">
        <v>752</v>
      </c>
      <c r="AV54" t="str">
        <f>IF(AS54&lt;&gt;"",COUNTIFS($AW$2:$AW$977,AW54,#REF!,"&gt;"&amp;#REF!)+1,"")</f>
        <v/>
      </c>
    </row>
    <row r="55" spans="1:48" x14ac:dyDescent="0.25">
      <c r="A55" t="s">
        <v>604</v>
      </c>
      <c r="B55" t="s">
        <v>2</v>
      </c>
      <c r="C55" t="s">
        <v>753</v>
      </c>
      <c r="AV55" t="str">
        <f>IF(AS55&lt;&gt;"",COUNTIFS($AW$2:$AW$977,AW55,#REF!,"&gt;"&amp;#REF!)+1,"")</f>
        <v/>
      </c>
    </row>
    <row r="56" spans="1:48" x14ac:dyDescent="0.25">
      <c r="A56" t="s">
        <v>606</v>
      </c>
      <c r="B56" t="s">
        <v>399</v>
      </c>
      <c r="C56" t="s">
        <v>754</v>
      </c>
      <c r="AV56" t="str">
        <f>IF(AS56&lt;&gt;"",COUNTIFS($AW$2:$AW$977,AW56,#REF!,"&gt;"&amp;#REF!)+1,"")</f>
        <v/>
      </c>
    </row>
    <row r="57" spans="1:48" x14ac:dyDescent="0.25">
      <c r="A57" t="s">
        <v>607</v>
      </c>
      <c r="B57" t="s">
        <v>41</v>
      </c>
      <c r="C57" t="s">
        <v>755</v>
      </c>
      <c r="AV57" t="str">
        <f>IF(AS57&lt;&gt;"",COUNTIFS($AW$2:$AW$977,AW57,#REF!,"&gt;"&amp;#REF!)+1,"")</f>
        <v/>
      </c>
    </row>
    <row r="58" spans="1:48" x14ac:dyDescent="0.25">
      <c r="A58" t="s">
        <v>605</v>
      </c>
      <c r="B58" t="s">
        <v>400</v>
      </c>
      <c r="C58" t="s">
        <v>756</v>
      </c>
      <c r="AV58" t="str">
        <f>IF(AS58&lt;&gt;"",COUNTIFS($AW$2:$AW$977,AW58,#REF!,"&gt;"&amp;#REF!)+1,"")</f>
        <v/>
      </c>
    </row>
    <row r="59" spans="1:48" x14ac:dyDescent="0.25">
      <c r="AV59" t="str">
        <f>IF(AS59&lt;&gt;"",COUNTIFS($AW$2:$AW$977,AW59,#REF!,"&gt;"&amp;#REF!)+1,"")</f>
        <v/>
      </c>
    </row>
    <row r="60" spans="1:48" x14ac:dyDescent="0.25">
      <c r="AV60" t="str">
        <f>IF(AS60&lt;&gt;"",COUNTIFS($AW$2:$AW$977,AW60,#REF!,"&gt;"&amp;#REF!)+1,"")</f>
        <v/>
      </c>
    </row>
    <row r="61" spans="1:48" x14ac:dyDescent="0.25">
      <c r="AV61" t="str">
        <f>IF(AS61&lt;&gt;"",COUNTIFS($AW$2:$AW$977,AW61,#REF!,"&gt;"&amp;#REF!)+1,"")</f>
        <v/>
      </c>
    </row>
    <row r="62" spans="1:48" x14ac:dyDescent="0.25">
      <c r="AV62" t="str">
        <f>IF(AS62&lt;&gt;"",COUNTIFS($AW$2:$AW$977,AW62,#REF!,"&gt;"&amp;#REF!)+1,"")</f>
        <v/>
      </c>
    </row>
    <row r="63" spans="1:48" x14ac:dyDescent="0.25">
      <c r="AV63" t="str">
        <f>IF(AS63&lt;&gt;"",COUNTIFS($AW$2:$AW$977,AW63,#REF!,"&gt;"&amp;#REF!)+1,"")</f>
        <v/>
      </c>
    </row>
    <row r="64" spans="1:48" x14ac:dyDescent="0.25">
      <c r="AV64" t="str">
        <f>IF(AS64&lt;&gt;"",COUNTIFS($AW$2:$AW$977,AW64,#REF!,"&gt;"&amp;#REF!)+1,"")</f>
        <v/>
      </c>
    </row>
    <row r="65" spans="48:48" x14ac:dyDescent="0.25">
      <c r="AV65" t="str">
        <f>IF(AS65&lt;&gt;"",COUNTIFS($AW$2:$AW$977,AW65,#REF!,"&gt;"&amp;#REF!)+1,"")</f>
        <v/>
      </c>
    </row>
    <row r="66" spans="48:48" x14ac:dyDescent="0.25">
      <c r="AV66" t="str">
        <f>IF(AS66&lt;&gt;"",COUNTIFS($AW$2:$AW$977,AW66,#REF!,"&gt;"&amp;#REF!)+1,"")</f>
        <v/>
      </c>
    </row>
    <row r="67" spans="48:48" x14ac:dyDescent="0.25">
      <c r="AV67" t="str">
        <f>IF(AS67&lt;&gt;"",COUNTIFS($AW$2:$AW$977,AW67,#REF!,"&gt;"&amp;#REF!)+1,"")</f>
        <v/>
      </c>
    </row>
    <row r="68" spans="48:48" x14ac:dyDescent="0.25">
      <c r="AV68" t="str">
        <f>IF(AS68&lt;&gt;"",COUNTIFS($AW$2:$AW$977,AW68,#REF!,"&gt;"&amp;#REF!)+1,"")</f>
        <v/>
      </c>
    </row>
    <row r="69" spans="48:48" x14ac:dyDescent="0.25">
      <c r="AV69" t="str">
        <f>IF(AS69&lt;&gt;"",COUNTIFS($AW$2:$AW$977,AW69,#REF!,"&gt;"&amp;#REF!)+1,"")</f>
        <v/>
      </c>
    </row>
    <row r="70" spans="48:48" x14ac:dyDescent="0.25">
      <c r="AV70" t="str">
        <f>IF(AS70&lt;&gt;"",COUNTIFS($AW$2:$AW$977,AW70,#REF!,"&gt;"&amp;#REF!)+1,"")</f>
        <v/>
      </c>
    </row>
    <row r="71" spans="48:48" x14ac:dyDescent="0.25">
      <c r="AV71" t="str">
        <f>IF(AS71&lt;&gt;"",COUNTIFS($AW$2:$AW$977,AW71,#REF!,"&gt;"&amp;#REF!)+1,"")</f>
        <v/>
      </c>
    </row>
    <row r="72" spans="48:48" x14ac:dyDescent="0.25">
      <c r="AV72" t="str">
        <f>IF(AS72&lt;&gt;"",COUNTIFS($AW$2:$AW$977,AW72,#REF!,"&gt;"&amp;#REF!)+1,"")</f>
        <v/>
      </c>
    </row>
    <row r="73" spans="48:48" x14ac:dyDescent="0.25">
      <c r="AV73" t="str">
        <f>IF(AS73&lt;&gt;"",COUNTIFS($AW$2:$AW$977,AW73,#REF!,"&gt;"&amp;#REF!)+1,"")</f>
        <v/>
      </c>
    </row>
    <row r="74" spans="48:48" x14ac:dyDescent="0.25">
      <c r="AV74" t="str">
        <f>IF(AS74&lt;&gt;"",COUNTIFS($AW$2:$AW$977,AW74,#REF!,"&gt;"&amp;#REF!)+1,"")</f>
        <v/>
      </c>
    </row>
    <row r="75" spans="48:48" x14ac:dyDescent="0.25">
      <c r="AV75" t="str">
        <f>IF(AS75&lt;&gt;"",COUNTIFS($AW$2:$AW$977,AW75,#REF!,"&gt;"&amp;#REF!)+1,"")</f>
        <v/>
      </c>
    </row>
    <row r="76" spans="48:48" x14ac:dyDescent="0.25">
      <c r="AV76" t="str">
        <f>IF(AS76&lt;&gt;"",COUNTIFS($AW$2:$AW$977,AW76,#REF!,"&gt;"&amp;#REF!)+1,"")</f>
        <v/>
      </c>
    </row>
    <row r="77" spans="48:48" x14ac:dyDescent="0.25">
      <c r="AV77" t="str">
        <f>IF(AS77&lt;&gt;"",COUNTIFS($AW$2:$AW$977,AW77,#REF!,"&gt;"&amp;#REF!)+1,"")</f>
        <v/>
      </c>
    </row>
    <row r="78" spans="48:48" x14ac:dyDescent="0.25">
      <c r="AV78" t="str">
        <f>IF(AS78&lt;&gt;"",COUNTIFS($AW$2:$AW$977,AW78,#REF!,"&gt;"&amp;#REF!)+1,"")</f>
        <v/>
      </c>
    </row>
    <row r="79" spans="48:48" x14ac:dyDescent="0.25">
      <c r="AV79" t="str">
        <f>IF(AS79&lt;&gt;"",COUNTIFS($AW$2:$AW$977,AW79,#REF!,"&gt;"&amp;#REF!)+1,"")</f>
        <v/>
      </c>
    </row>
    <row r="80" spans="48:48" x14ac:dyDescent="0.25">
      <c r="AV80" t="str">
        <f>IF(AS80&lt;&gt;"",COUNTIFS($AW$2:$AW$977,AW80,#REF!,"&gt;"&amp;#REF!)+1,"")</f>
        <v/>
      </c>
    </row>
    <row r="81" spans="48:48" x14ac:dyDescent="0.25">
      <c r="AV81" t="str">
        <f>IF(AS81&lt;&gt;"",COUNTIFS($AW$2:$AW$977,AW81,#REF!,"&gt;"&amp;#REF!)+1,"")</f>
        <v/>
      </c>
    </row>
    <row r="82" spans="48:48" x14ac:dyDescent="0.25">
      <c r="AV82" t="str">
        <f>IF(AS82&lt;&gt;"",COUNTIFS($AW$2:$AW$977,AW82,#REF!,"&gt;"&amp;#REF!)+1,"")</f>
        <v/>
      </c>
    </row>
    <row r="83" spans="48:48" x14ac:dyDescent="0.25">
      <c r="AV83" t="str">
        <f>IF(AS83&lt;&gt;"",COUNTIFS($AW$2:$AW$977,AW83,#REF!,"&gt;"&amp;#REF!)+1,"")</f>
        <v/>
      </c>
    </row>
    <row r="84" spans="48:48" x14ac:dyDescent="0.25">
      <c r="AV84" t="str">
        <f>IF(AS84&lt;&gt;"",COUNTIFS($AW$2:$AW$977,AW84,#REF!,"&gt;"&amp;#REF!)+1,"")</f>
        <v/>
      </c>
    </row>
    <row r="85" spans="48:48" x14ac:dyDescent="0.25">
      <c r="AV85" t="str">
        <f>IF(AS85&lt;&gt;"",COUNTIFS($AW$2:$AW$977,AW85,#REF!,"&gt;"&amp;#REF!)+1,"")</f>
        <v/>
      </c>
    </row>
    <row r="86" spans="48:48" x14ac:dyDescent="0.25">
      <c r="AV86" t="str">
        <f>IF(AS86&lt;&gt;"",COUNTIFS($AW$2:$AW$977,AW86,#REF!,"&gt;"&amp;#REF!)+1,"")</f>
        <v/>
      </c>
    </row>
    <row r="87" spans="48:48" x14ac:dyDescent="0.25">
      <c r="AV87" t="str">
        <f>IF(AS87&lt;&gt;"",COUNTIFS($AW$2:$AW$977,AW87,#REF!,"&gt;"&amp;#REF!)+1,"")</f>
        <v/>
      </c>
    </row>
    <row r="88" spans="48:48" x14ac:dyDescent="0.25">
      <c r="AV88" t="str">
        <f>IF(AS88&lt;&gt;"",COUNTIFS($AW$2:$AW$977,AW88,#REF!,"&gt;"&amp;#REF!)+1,"")</f>
        <v/>
      </c>
    </row>
    <row r="89" spans="48:48" x14ac:dyDescent="0.25">
      <c r="AV89" t="str">
        <f>IF(AS89&lt;&gt;"",COUNTIFS($AW$2:$AW$977,AW89,#REF!,"&gt;"&amp;#REF!)+1,"")</f>
        <v/>
      </c>
    </row>
    <row r="90" spans="48:48" x14ac:dyDescent="0.25">
      <c r="AV90" t="str">
        <f>IF(AS90&lt;&gt;"",COUNTIFS($AW$2:$AW$977,AW90,#REF!,"&gt;"&amp;#REF!)+1,"")</f>
        <v/>
      </c>
    </row>
    <row r="91" spans="48:48" x14ac:dyDescent="0.25">
      <c r="AV91" t="str">
        <f>IF(AS91&lt;&gt;"",COUNTIFS($AW$2:$AW$977,AW91,#REF!,"&gt;"&amp;#REF!)+1,"")</f>
        <v/>
      </c>
    </row>
    <row r="92" spans="48:48" x14ac:dyDescent="0.25">
      <c r="AV92" t="str">
        <f>IF(AS92&lt;&gt;"",COUNTIFS($AW$2:$AW$977,AW92,#REF!,"&gt;"&amp;#REF!)+1,"")</f>
        <v/>
      </c>
    </row>
    <row r="93" spans="48:48" x14ac:dyDescent="0.25">
      <c r="AV93" t="str">
        <f>IF(AS93&lt;&gt;"",COUNTIFS($AW$2:$AW$977,AW93,#REF!,"&gt;"&amp;#REF!)+1,"")</f>
        <v/>
      </c>
    </row>
    <row r="94" spans="48:48" x14ac:dyDescent="0.25">
      <c r="AV94" t="str">
        <f>IF(AS94&lt;&gt;"",COUNTIFS($AW$2:$AW$977,AW94,#REF!,"&gt;"&amp;#REF!)+1,"")</f>
        <v/>
      </c>
    </row>
    <row r="95" spans="48:48" x14ac:dyDescent="0.25">
      <c r="AV95" t="str">
        <f>IF(AS95&lt;&gt;"",COUNTIFS($AW$2:$AW$977,AW95,#REF!,"&gt;"&amp;#REF!)+1,"")</f>
        <v/>
      </c>
    </row>
    <row r="96" spans="48:48" x14ac:dyDescent="0.25">
      <c r="AV96" t="str">
        <f>IF(AS96&lt;&gt;"",COUNTIFS($AW$2:$AW$977,AW96,#REF!,"&gt;"&amp;#REF!)+1,"")</f>
        <v/>
      </c>
    </row>
    <row r="97" spans="48:48" x14ac:dyDescent="0.25">
      <c r="AV97" t="str">
        <f>IF(AS97&lt;&gt;"",COUNTIFS($AW$2:$AW$977,AW97,#REF!,"&gt;"&amp;#REF!)+1,"")</f>
        <v/>
      </c>
    </row>
    <row r="98" spans="48:48" x14ac:dyDescent="0.25">
      <c r="AV98" t="str">
        <f>IF(AS98&lt;&gt;"",COUNTIFS($AW$2:$AW$977,AW98,#REF!,"&gt;"&amp;#REF!)+1,"")</f>
        <v/>
      </c>
    </row>
    <row r="99" spans="48:48" x14ac:dyDescent="0.25">
      <c r="AV99" t="str">
        <f>IF(AS99&lt;&gt;"",COUNTIFS($AW$2:$AW$977,AW99,#REF!,"&gt;"&amp;#REF!)+1,"")</f>
        <v/>
      </c>
    </row>
    <row r="100" spans="48:48" x14ac:dyDescent="0.25">
      <c r="AV100" t="str">
        <f>IF(AS100&lt;&gt;"",COUNTIFS($AW$2:$AW$977,AW100,#REF!,"&gt;"&amp;#REF!)+1,"")</f>
        <v/>
      </c>
    </row>
    <row r="101" spans="48:48" x14ac:dyDescent="0.25">
      <c r="AV101" t="str">
        <f>IF(AS101&lt;&gt;"",COUNTIFS($AW$2:$AW$977,AW101,#REF!,"&gt;"&amp;#REF!)+1,"")</f>
        <v/>
      </c>
    </row>
    <row r="102" spans="48:48" x14ac:dyDescent="0.25">
      <c r="AV102" t="str">
        <f>IF(AS102&lt;&gt;"",COUNTIFS($AW$2:$AW$977,AW102,#REF!,"&gt;"&amp;#REF!)+1,"")</f>
        <v/>
      </c>
    </row>
    <row r="103" spans="48:48" x14ac:dyDescent="0.25">
      <c r="AV103" t="str">
        <f>IF(AS103&lt;&gt;"",COUNTIFS($AW$2:$AW$977,AW103,#REF!,"&gt;"&amp;#REF!)+1,"")</f>
        <v/>
      </c>
    </row>
    <row r="104" spans="48:48" x14ac:dyDescent="0.25">
      <c r="AV104" t="str">
        <f>IF(AS104&lt;&gt;"",COUNTIFS($AW$2:$AW$977,AW104,#REF!,"&gt;"&amp;#REF!)+1,"")</f>
        <v/>
      </c>
    </row>
    <row r="105" spans="48:48" x14ac:dyDescent="0.25">
      <c r="AV105" t="str">
        <f>IF(AS105&lt;&gt;"",COUNTIFS($AW$2:$AW$977,AW105,#REF!,"&gt;"&amp;#REF!)+1,"")</f>
        <v/>
      </c>
    </row>
    <row r="106" spans="48:48" x14ac:dyDescent="0.25">
      <c r="AV106" t="str">
        <f>IF(AS106&lt;&gt;"",COUNTIFS($AW$2:$AW$977,AW106,#REF!,"&gt;"&amp;#REF!)+1,"")</f>
        <v/>
      </c>
    </row>
    <row r="107" spans="48:48" x14ac:dyDescent="0.25">
      <c r="AV107" t="str">
        <f>IF(AS107&lt;&gt;"",COUNTIFS($AW$2:$AW$977,AW107,#REF!,"&gt;"&amp;#REF!)+1,"")</f>
        <v/>
      </c>
    </row>
    <row r="108" spans="48:48" x14ac:dyDescent="0.25">
      <c r="AV108" t="str">
        <f>IF(AS108&lt;&gt;"",COUNTIFS($AW$2:$AW$977,AW108,#REF!,"&gt;"&amp;#REF!)+1,"")</f>
        <v/>
      </c>
    </row>
    <row r="109" spans="48:48" x14ac:dyDescent="0.25">
      <c r="AV109" t="str">
        <f>IF(AS109&lt;&gt;"",COUNTIFS($AW$2:$AW$977,AW109,#REF!,"&gt;"&amp;#REF!)+1,"")</f>
        <v/>
      </c>
    </row>
    <row r="110" spans="48:48" x14ac:dyDescent="0.25">
      <c r="AV110" t="str">
        <f>IF(AS110&lt;&gt;"",COUNTIFS($AW$2:$AW$977,AW110,#REF!,"&gt;"&amp;#REF!)+1,"")</f>
        <v/>
      </c>
    </row>
    <row r="111" spans="48:48" x14ac:dyDescent="0.25">
      <c r="AV111" t="str">
        <f>IF(AS111&lt;&gt;"",COUNTIFS($AW$2:$AW$977,AW111,#REF!,"&gt;"&amp;#REF!)+1,"")</f>
        <v/>
      </c>
    </row>
    <row r="112" spans="48:48" x14ac:dyDescent="0.25">
      <c r="AV112" t="str">
        <f>IF(AS112&lt;&gt;"",COUNTIFS($AW$2:$AW$977,AW112,#REF!,"&gt;"&amp;#REF!)+1,"")</f>
        <v/>
      </c>
    </row>
    <row r="113" spans="48:48" x14ac:dyDescent="0.25">
      <c r="AV113" t="str">
        <f>IF(AS113&lt;&gt;"",COUNTIFS($AW$2:$AW$977,AW113,#REF!,"&gt;"&amp;#REF!)+1,"")</f>
        <v/>
      </c>
    </row>
    <row r="114" spans="48:48" x14ac:dyDescent="0.25">
      <c r="AV114" t="str">
        <f>IF(AS114&lt;&gt;"",COUNTIFS($AW$2:$AW$977,AW114,#REF!,"&gt;"&amp;#REF!)+1,"")</f>
        <v/>
      </c>
    </row>
    <row r="115" spans="48:48" x14ac:dyDescent="0.25">
      <c r="AV115" t="str">
        <f>IF(AS115&lt;&gt;"",COUNTIFS($AW$2:$AW$977,AW115,#REF!,"&gt;"&amp;#REF!)+1,"")</f>
        <v/>
      </c>
    </row>
    <row r="116" spans="48:48" x14ac:dyDescent="0.25">
      <c r="AV116" t="str">
        <f>IF(AS116&lt;&gt;"",COUNTIFS($AW$2:$AW$977,AW116,#REF!,"&gt;"&amp;#REF!)+1,"")</f>
        <v/>
      </c>
    </row>
    <row r="117" spans="48:48" x14ac:dyDescent="0.25">
      <c r="AV117" t="str">
        <f>IF(AS117&lt;&gt;"",COUNTIFS($AW$2:$AW$977,AW117,#REF!,"&gt;"&amp;#REF!)+1,"")</f>
        <v/>
      </c>
    </row>
    <row r="118" spans="48:48" x14ac:dyDescent="0.25">
      <c r="AV118" t="str">
        <f>IF(AS118&lt;&gt;"",COUNTIFS($AW$2:$AW$977,AW118,#REF!,"&gt;"&amp;#REF!)+1,"")</f>
        <v/>
      </c>
    </row>
    <row r="119" spans="48:48" x14ac:dyDescent="0.25">
      <c r="AV119" t="str">
        <f>IF(AS119&lt;&gt;"",COUNTIFS($AW$2:$AW$977,AW119,#REF!,"&gt;"&amp;#REF!)+1,"")</f>
        <v/>
      </c>
    </row>
    <row r="120" spans="48:48" x14ac:dyDescent="0.25">
      <c r="AV120" t="str">
        <f>IF(AS120&lt;&gt;"",COUNTIFS($AW$2:$AW$977,AW120,#REF!,"&gt;"&amp;#REF!)+1,"")</f>
        <v/>
      </c>
    </row>
    <row r="121" spans="48:48" x14ac:dyDescent="0.25">
      <c r="AV121" t="str">
        <f>IF(AS121&lt;&gt;"",COUNTIFS($AW$2:$AW$977,AW121,#REF!,"&gt;"&amp;#REF!)+1,"")</f>
        <v/>
      </c>
    </row>
    <row r="122" spans="48:48" x14ac:dyDescent="0.25">
      <c r="AV122" t="str">
        <f>IF(AS122&lt;&gt;"",COUNTIFS($AW$2:$AW$977,AW122,#REF!,"&gt;"&amp;#REF!)+1,"")</f>
        <v/>
      </c>
    </row>
    <row r="123" spans="48:48" x14ac:dyDescent="0.25">
      <c r="AV123" t="str">
        <f>IF(AS123&lt;&gt;"",COUNTIFS($AW$2:$AW$977,AW123,#REF!,"&gt;"&amp;#REF!)+1,"")</f>
        <v/>
      </c>
    </row>
    <row r="124" spans="48:48" x14ac:dyDescent="0.25">
      <c r="AV124" t="str">
        <f>IF(AS124&lt;&gt;"",COUNTIFS($AW$2:$AW$977,AW124,#REF!,"&gt;"&amp;#REF!)+1,"")</f>
        <v/>
      </c>
    </row>
    <row r="125" spans="48:48" x14ac:dyDescent="0.25">
      <c r="AV125" t="str">
        <f>IF(AS125&lt;&gt;"",COUNTIFS($AW$2:$AW$977,AW125,#REF!,"&gt;"&amp;#REF!)+1,"")</f>
        <v/>
      </c>
    </row>
    <row r="126" spans="48:48" x14ac:dyDescent="0.25">
      <c r="AV126" t="str">
        <f>IF(AS126&lt;&gt;"",COUNTIFS($AW$2:$AW$977,AW126,#REF!,"&gt;"&amp;#REF!)+1,"")</f>
        <v/>
      </c>
    </row>
    <row r="127" spans="48:48" x14ac:dyDescent="0.25">
      <c r="AV127" t="str">
        <f>IF(AS127&lt;&gt;"",COUNTIFS($AW$2:$AW$977,AW127,#REF!,"&gt;"&amp;#REF!)+1,"")</f>
        <v/>
      </c>
    </row>
    <row r="128" spans="48:48" x14ac:dyDescent="0.25">
      <c r="AV128" t="str">
        <f>IF(AS128&lt;&gt;"",COUNTIFS($AW$2:$AW$977,AW128,#REF!,"&gt;"&amp;#REF!)+1,"")</f>
        <v/>
      </c>
    </row>
    <row r="129" spans="48:48" x14ac:dyDescent="0.25">
      <c r="AV129" t="str">
        <f>IF(AS129&lt;&gt;"",COUNTIFS($AW$2:$AW$977,AW129,#REF!,"&gt;"&amp;#REF!)+1,"")</f>
        <v/>
      </c>
    </row>
    <row r="130" spans="48:48" x14ac:dyDescent="0.25">
      <c r="AV130" t="str">
        <f>IF(AS130&lt;&gt;"",COUNTIFS($AW$2:$AW$977,AW130,#REF!,"&gt;"&amp;#REF!)+1,"")</f>
        <v/>
      </c>
    </row>
    <row r="131" spans="48:48" x14ac:dyDescent="0.25">
      <c r="AV131" t="str">
        <f>IF(AS131&lt;&gt;"",COUNTIFS($AW$2:$AW$977,AW131,#REF!,"&gt;"&amp;#REF!)+1,"")</f>
        <v/>
      </c>
    </row>
    <row r="132" spans="48:48" x14ac:dyDescent="0.25">
      <c r="AV132" t="str">
        <f>IF(AS132&lt;&gt;"",COUNTIFS($AW$2:$AW$977,AW132,#REF!,"&gt;"&amp;#REF!)+1,"")</f>
        <v/>
      </c>
    </row>
    <row r="133" spans="48:48" x14ac:dyDescent="0.25">
      <c r="AV133" t="str">
        <f>IF(AS133&lt;&gt;"",COUNTIFS($AW$2:$AW$977,AW133,#REF!,"&gt;"&amp;#REF!)+1,"")</f>
        <v/>
      </c>
    </row>
    <row r="134" spans="48:48" x14ac:dyDescent="0.25">
      <c r="AV134" t="str">
        <f>IF(AS134&lt;&gt;"",COUNTIFS($AW$2:$AW$977,AW134,#REF!,"&gt;"&amp;#REF!)+1,"")</f>
        <v/>
      </c>
    </row>
    <row r="135" spans="48:48" x14ac:dyDescent="0.25">
      <c r="AV135" t="str">
        <f>IF(AS135&lt;&gt;"",COUNTIFS($AW$2:$AW$977,AW135,#REF!,"&gt;"&amp;#REF!)+1,"")</f>
        <v/>
      </c>
    </row>
    <row r="136" spans="48:48" x14ac:dyDescent="0.25">
      <c r="AV136" t="str">
        <f>IF(AS136&lt;&gt;"",COUNTIFS($AW$2:$AW$977,AW136,#REF!,"&gt;"&amp;#REF!)+1,"")</f>
        <v/>
      </c>
    </row>
    <row r="137" spans="48:48" x14ac:dyDescent="0.25">
      <c r="AV137" t="str">
        <f>IF(AS137&lt;&gt;"",COUNTIFS($AW$2:$AW$977,AW137,#REF!,"&gt;"&amp;#REF!)+1,"")</f>
        <v/>
      </c>
    </row>
    <row r="138" spans="48:48" x14ac:dyDescent="0.25">
      <c r="AV138" t="str">
        <f>IF(AS138&lt;&gt;"",COUNTIFS($AW$2:$AW$977,AW138,#REF!,"&gt;"&amp;#REF!)+1,"")</f>
        <v/>
      </c>
    </row>
    <row r="139" spans="48:48" x14ac:dyDescent="0.25">
      <c r="AV139" t="str">
        <f>IF(AS139&lt;&gt;"",COUNTIFS($AW$2:$AW$977,AW139,#REF!,"&gt;"&amp;#REF!)+1,"")</f>
        <v/>
      </c>
    </row>
    <row r="140" spans="48:48" x14ac:dyDescent="0.25">
      <c r="AV140" t="str">
        <f>IF(AS140&lt;&gt;"",COUNTIFS($AW$2:$AW$977,AW140,#REF!,"&gt;"&amp;#REF!)+1,"")</f>
        <v/>
      </c>
    </row>
    <row r="141" spans="48:48" x14ac:dyDescent="0.25">
      <c r="AV141" t="str">
        <f>IF(AS141&lt;&gt;"",COUNTIFS($AW$2:$AW$977,AW141,#REF!,"&gt;"&amp;#REF!)+1,"")</f>
        <v/>
      </c>
    </row>
    <row r="142" spans="48:48" x14ac:dyDescent="0.25">
      <c r="AV142" t="str">
        <f>IF(AS142&lt;&gt;"",COUNTIFS($AW$2:$AW$977,AW142,#REF!,"&gt;"&amp;#REF!)+1,"")</f>
        <v/>
      </c>
    </row>
    <row r="143" spans="48:48" x14ac:dyDescent="0.25">
      <c r="AV143" t="str">
        <f>IF(AS143&lt;&gt;"",COUNTIFS($AW$2:$AW$977,AW143,#REF!,"&gt;"&amp;#REF!)+1,"")</f>
        <v/>
      </c>
    </row>
  </sheetData>
  <conditionalFormatting sqref="H1:H32">
    <cfRule type="uniqueValues" dxfId="1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0282-C374-4F79-95DF-A2DD3597928D}">
  <dimension ref="A1:D33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17.5703125" bestFit="1" customWidth="1"/>
    <col min="3" max="3" width="12.85546875" bestFit="1" customWidth="1"/>
    <col min="4" max="4" width="14.42578125" bestFit="1" customWidth="1"/>
  </cols>
  <sheetData>
    <row r="1" spans="1:4" x14ac:dyDescent="0.25">
      <c r="A1" s="33" t="s">
        <v>333</v>
      </c>
      <c r="B1" s="33" t="s">
        <v>757</v>
      </c>
      <c r="C1" s="33" t="s">
        <v>758</v>
      </c>
      <c r="D1" s="33" t="s">
        <v>759</v>
      </c>
    </row>
    <row r="2" spans="1:4" x14ac:dyDescent="0.25">
      <c r="A2" s="33" t="s">
        <v>93</v>
      </c>
      <c r="B2" s="33" t="s">
        <v>760</v>
      </c>
      <c r="C2" s="33">
        <v>33.5276</v>
      </c>
      <c r="D2" s="33">
        <v>-112.26260000000001</v>
      </c>
    </row>
    <row r="3" spans="1:4" x14ac:dyDescent="0.25">
      <c r="A3" s="33" t="s">
        <v>69</v>
      </c>
      <c r="B3" s="33" t="s">
        <v>761</v>
      </c>
      <c r="C3" s="33">
        <v>33.755499999999998</v>
      </c>
      <c r="D3" s="33">
        <v>-84.400599999999997</v>
      </c>
    </row>
    <row r="4" spans="1:4" x14ac:dyDescent="0.25">
      <c r="A4" s="33" t="s">
        <v>47</v>
      </c>
      <c r="B4" s="33" t="s">
        <v>762</v>
      </c>
      <c r="C4" s="33">
        <v>39.277999999999999</v>
      </c>
      <c r="D4" s="33">
        <v>-76.622699999999995</v>
      </c>
    </row>
    <row r="5" spans="1:4" x14ac:dyDescent="0.25">
      <c r="A5" s="33" t="s">
        <v>25</v>
      </c>
      <c r="B5" s="33" t="s">
        <v>763</v>
      </c>
      <c r="C5" s="33">
        <v>42.773800000000001</v>
      </c>
      <c r="D5" s="33">
        <v>-78.787000000000006</v>
      </c>
    </row>
    <row r="6" spans="1:4" x14ac:dyDescent="0.25">
      <c r="A6" s="33" t="s">
        <v>67</v>
      </c>
      <c r="B6" s="33" t="s">
        <v>764</v>
      </c>
      <c r="C6" s="33">
        <v>35.2258</v>
      </c>
      <c r="D6" s="33">
        <v>-80.852800000000002</v>
      </c>
    </row>
    <row r="7" spans="1:4" x14ac:dyDescent="0.25">
      <c r="A7" s="33" t="s">
        <v>72</v>
      </c>
      <c r="B7" s="33" t="s">
        <v>765</v>
      </c>
      <c r="C7" s="33">
        <v>41.862299999999998</v>
      </c>
      <c r="D7" s="33">
        <v>-87.616699999999994</v>
      </c>
    </row>
    <row r="8" spans="1:4" x14ac:dyDescent="0.25">
      <c r="A8" s="33" t="s">
        <v>77</v>
      </c>
      <c r="B8" s="33" t="s">
        <v>766</v>
      </c>
      <c r="C8" s="33">
        <v>39.095500000000001</v>
      </c>
      <c r="D8" s="33">
        <v>-84.516099999999994</v>
      </c>
    </row>
    <row r="9" spans="1:4" x14ac:dyDescent="0.25">
      <c r="A9" s="33" t="s">
        <v>91</v>
      </c>
      <c r="B9" s="33" t="s">
        <v>767</v>
      </c>
      <c r="C9" s="33">
        <v>41.506100000000004</v>
      </c>
      <c r="D9" s="33">
        <v>-81.6995</v>
      </c>
    </row>
    <row r="10" spans="1:4" x14ac:dyDescent="0.25">
      <c r="A10" s="33" t="s">
        <v>14</v>
      </c>
      <c r="B10" s="33" t="s">
        <v>768</v>
      </c>
      <c r="C10" s="33">
        <v>32.747300000000003</v>
      </c>
      <c r="D10" s="33">
        <v>-97.094499999999996</v>
      </c>
    </row>
    <row r="11" spans="1:4" x14ac:dyDescent="0.25">
      <c r="A11" s="33" t="s">
        <v>63</v>
      </c>
      <c r="B11" s="33" t="s">
        <v>769</v>
      </c>
      <c r="C11" s="33">
        <v>39.743899999999996</v>
      </c>
      <c r="D11" s="33">
        <v>-105.0201</v>
      </c>
    </row>
    <row r="12" spans="1:4" x14ac:dyDescent="0.25">
      <c r="A12" s="33" t="s">
        <v>10</v>
      </c>
      <c r="B12" s="33" t="s">
        <v>770</v>
      </c>
      <c r="C12" s="33">
        <v>42.34</v>
      </c>
      <c r="D12" s="33">
        <v>-83.045599999999993</v>
      </c>
    </row>
    <row r="13" spans="1:4" x14ac:dyDescent="0.25">
      <c r="A13" s="33" t="s">
        <v>400</v>
      </c>
      <c r="B13" s="33" t="s">
        <v>771</v>
      </c>
      <c r="C13" s="33">
        <v>44.501300000000001</v>
      </c>
      <c r="D13" s="33">
        <v>-88.062200000000004</v>
      </c>
    </row>
    <row r="14" spans="1:4" x14ac:dyDescent="0.25">
      <c r="A14" s="33" t="s">
        <v>31</v>
      </c>
      <c r="B14" s="33" t="s">
        <v>772</v>
      </c>
      <c r="C14" s="33">
        <v>29.684699999999999</v>
      </c>
      <c r="D14" s="33">
        <v>-95.410700000000006</v>
      </c>
    </row>
    <row r="15" spans="1:4" x14ac:dyDescent="0.25">
      <c r="A15" s="33" t="s">
        <v>57</v>
      </c>
      <c r="B15" s="33" t="s">
        <v>773</v>
      </c>
      <c r="C15" s="33">
        <v>39.760100000000001</v>
      </c>
      <c r="D15" s="33">
        <v>-86.163899999999998</v>
      </c>
    </row>
    <row r="16" spans="1:4" x14ac:dyDescent="0.25">
      <c r="A16" s="33" t="s">
        <v>44</v>
      </c>
      <c r="B16" s="33" t="s">
        <v>774</v>
      </c>
      <c r="C16" s="33">
        <v>30.324000000000002</v>
      </c>
      <c r="D16" s="33">
        <v>-81.6374</v>
      </c>
    </row>
    <row r="17" spans="1:4" x14ac:dyDescent="0.25">
      <c r="A17" s="33" t="s">
        <v>399</v>
      </c>
      <c r="B17" s="33" t="s">
        <v>775</v>
      </c>
      <c r="C17" s="33">
        <v>39.048900000000003</v>
      </c>
      <c r="D17" s="33">
        <v>-94.483900000000006</v>
      </c>
    </row>
    <row r="18" spans="1:4" x14ac:dyDescent="0.25">
      <c r="A18" s="33" t="s">
        <v>60</v>
      </c>
      <c r="B18" s="33" t="s">
        <v>776</v>
      </c>
      <c r="C18" s="33">
        <v>32.783099999999997</v>
      </c>
      <c r="D18" s="33">
        <v>-117.11969999999999</v>
      </c>
    </row>
    <row r="19" spans="1:4" x14ac:dyDescent="0.25">
      <c r="A19" s="33" t="s">
        <v>21</v>
      </c>
      <c r="B19" s="33" t="s">
        <v>777</v>
      </c>
      <c r="C19" s="33">
        <v>33.953499999999998</v>
      </c>
      <c r="D19" s="33">
        <v>-118.33920000000001</v>
      </c>
    </row>
    <row r="20" spans="1:4" x14ac:dyDescent="0.25">
      <c r="A20" s="33" t="s">
        <v>423</v>
      </c>
      <c r="B20" s="33" t="s">
        <v>778</v>
      </c>
      <c r="C20" s="33">
        <v>36.090899999999998</v>
      </c>
      <c r="D20" s="33">
        <v>-115.1833</v>
      </c>
    </row>
    <row r="21" spans="1:4" x14ac:dyDescent="0.25">
      <c r="A21" s="33" t="s">
        <v>2</v>
      </c>
      <c r="B21" s="33" t="s">
        <v>779</v>
      </c>
      <c r="C21" s="33">
        <v>25.957999999999998</v>
      </c>
      <c r="D21" s="33">
        <v>-80.238900000000001</v>
      </c>
    </row>
    <row r="22" spans="1:4" x14ac:dyDescent="0.25">
      <c r="A22" s="33" t="s">
        <v>75</v>
      </c>
      <c r="B22" s="33" t="s">
        <v>780</v>
      </c>
      <c r="C22" s="33">
        <v>44.973799999999997</v>
      </c>
      <c r="D22" s="33">
        <v>-93.258099999999999</v>
      </c>
    </row>
    <row r="23" spans="1:4" x14ac:dyDescent="0.25">
      <c r="A23" s="33" t="s">
        <v>404</v>
      </c>
      <c r="B23" s="33" t="s">
        <v>781</v>
      </c>
      <c r="C23" s="33">
        <v>42.090899999999998</v>
      </c>
      <c r="D23" s="33">
        <v>-71.264300000000006</v>
      </c>
    </row>
    <row r="24" spans="1:4" x14ac:dyDescent="0.25">
      <c r="A24" s="33" t="s">
        <v>403</v>
      </c>
      <c r="B24" s="33" t="s">
        <v>782</v>
      </c>
      <c r="C24" s="33">
        <v>29.9511</v>
      </c>
      <c r="D24" s="33">
        <v>-90.081199999999995</v>
      </c>
    </row>
    <row r="25" spans="1:4" x14ac:dyDescent="0.25">
      <c r="A25" s="33" t="s">
        <v>95</v>
      </c>
      <c r="B25" s="33" t="s">
        <v>783</v>
      </c>
      <c r="C25" s="33">
        <v>40.712800000000001</v>
      </c>
      <c r="D25" s="33">
        <v>-74.006</v>
      </c>
    </row>
    <row r="26" spans="1:4" x14ac:dyDescent="0.25">
      <c r="A26" s="33" t="s">
        <v>79</v>
      </c>
      <c r="B26" s="33" t="s">
        <v>784</v>
      </c>
      <c r="C26" s="33">
        <v>40.812800000000003</v>
      </c>
      <c r="D26" s="33">
        <v>-74.074200000000005</v>
      </c>
    </row>
    <row r="27" spans="1:4" x14ac:dyDescent="0.25">
      <c r="A27" s="33" t="s">
        <v>38</v>
      </c>
      <c r="B27" s="33" t="s">
        <v>785</v>
      </c>
      <c r="C27" s="33">
        <v>39.900799999999997</v>
      </c>
      <c r="D27" s="33">
        <v>-75.167500000000004</v>
      </c>
    </row>
    <row r="28" spans="1:4" x14ac:dyDescent="0.25">
      <c r="A28" s="33" t="s">
        <v>85</v>
      </c>
      <c r="B28" s="33" t="s">
        <v>786</v>
      </c>
      <c r="C28" s="33">
        <v>40.446800000000003</v>
      </c>
      <c r="D28" s="33">
        <v>-80.015799999999999</v>
      </c>
    </row>
    <row r="29" spans="1:4" x14ac:dyDescent="0.25">
      <c r="A29" s="33" t="s">
        <v>55</v>
      </c>
      <c r="B29" s="33" t="s">
        <v>787</v>
      </c>
      <c r="C29" s="33">
        <v>47.595199999999998</v>
      </c>
      <c r="D29" s="33">
        <v>-122.33159999999999</v>
      </c>
    </row>
    <row r="30" spans="1:4" x14ac:dyDescent="0.25">
      <c r="A30" s="33" t="s">
        <v>405</v>
      </c>
      <c r="B30" s="33" t="s">
        <v>788</v>
      </c>
      <c r="C30" s="33">
        <v>37.403199999999998</v>
      </c>
      <c r="D30" s="33">
        <v>-121.96980000000001</v>
      </c>
    </row>
    <row r="31" spans="1:4" x14ac:dyDescent="0.25">
      <c r="A31" s="33" t="s">
        <v>402</v>
      </c>
      <c r="B31" s="33" t="s">
        <v>789</v>
      </c>
      <c r="C31" s="33">
        <v>27.975899999999999</v>
      </c>
      <c r="D31" s="33">
        <v>-82.503299999999996</v>
      </c>
    </row>
    <row r="32" spans="1:4" x14ac:dyDescent="0.25">
      <c r="A32" s="33" t="s">
        <v>89</v>
      </c>
      <c r="B32" s="33" t="s">
        <v>790</v>
      </c>
      <c r="C32" s="33">
        <v>36.166499999999999</v>
      </c>
      <c r="D32" s="33">
        <v>-86.771299999999997</v>
      </c>
    </row>
    <row r="33" spans="1:4" x14ac:dyDescent="0.25">
      <c r="A33" s="33" t="s">
        <v>41</v>
      </c>
      <c r="B33" s="33" t="s">
        <v>791</v>
      </c>
      <c r="C33" s="33">
        <v>38.907600000000002</v>
      </c>
      <c r="D33" s="33">
        <v>-76.864500000000007</v>
      </c>
    </row>
  </sheetData>
  <autoFilter ref="A1:D33" xr:uid="{0EF90282-C374-4F79-95DF-A2DD3597928D}">
    <sortState xmlns:xlrd2="http://schemas.microsoft.com/office/spreadsheetml/2017/richdata2" ref="A2:D33">
      <sortCondition ref="A1:A33"/>
    </sortState>
  </autoFilter>
  <conditionalFormatting sqref="B2:B33">
    <cfRule type="duplicateValues" dxfId="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90ED-5C22-402A-A595-71780274CA0E}">
  <dimension ref="A1:L38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I43" sqref="I43"/>
    </sheetView>
  </sheetViews>
  <sheetFormatPr defaultRowHeight="15" x14ac:dyDescent="0.25"/>
  <cols>
    <col min="1" max="1" width="7.42578125" style="9" bestFit="1" customWidth="1"/>
    <col min="2" max="2" width="9.85546875" style="9" bestFit="1" customWidth="1"/>
    <col min="3" max="3" width="11" style="9" bestFit="1" customWidth="1"/>
    <col min="4" max="4" width="9.85546875" style="9" bestFit="1" customWidth="1"/>
    <col min="5" max="5" width="11" style="9" bestFit="1" customWidth="1"/>
    <col min="6" max="6" width="6.5703125" style="9" bestFit="1" customWidth="1"/>
    <col min="7" max="7" width="11" style="9" bestFit="1" customWidth="1"/>
    <col min="8" max="8" width="6.5703125" style="9" customWidth="1"/>
    <col min="9" max="9" width="11" style="9" bestFit="1" customWidth="1"/>
    <col min="10" max="10" width="6.5703125" style="9" bestFit="1" customWidth="1"/>
    <col min="11" max="11" width="11" style="9" bestFit="1" customWidth="1"/>
    <col min="12" max="12" width="6.5703125" style="9" bestFit="1" customWidth="1"/>
    <col min="13" max="16384" width="9.140625" style="9"/>
  </cols>
  <sheetData>
    <row r="1" spans="1:12" x14ac:dyDescent="0.25">
      <c r="A1" s="10" t="s">
        <v>409</v>
      </c>
      <c r="B1" s="175" t="s">
        <v>792</v>
      </c>
      <c r="C1" s="176" t="s">
        <v>793</v>
      </c>
    </row>
    <row r="2" spans="1:12" x14ac:dyDescent="0.25">
      <c r="A2" s="13" t="s">
        <v>457</v>
      </c>
      <c r="B2" s="21">
        <v>1</v>
      </c>
      <c r="C2" s="14">
        <v>1</v>
      </c>
    </row>
    <row r="3" spans="1:12" x14ac:dyDescent="0.25">
      <c r="A3" s="13" t="s">
        <v>509</v>
      </c>
      <c r="B3" s="21">
        <v>2</v>
      </c>
      <c r="C3" s="14">
        <v>1</v>
      </c>
    </row>
    <row r="4" spans="1:12" x14ac:dyDescent="0.25">
      <c r="A4" s="13" t="s">
        <v>794</v>
      </c>
      <c r="B4" s="21">
        <v>4</v>
      </c>
      <c r="C4" s="14">
        <v>2</v>
      </c>
    </row>
    <row r="5" spans="1:12" ht="15.75" thickBot="1" x14ac:dyDescent="0.3">
      <c r="A5" s="15" t="s">
        <v>795</v>
      </c>
      <c r="B5" s="24">
        <v>8</v>
      </c>
      <c r="C5" s="177">
        <v>4</v>
      </c>
    </row>
    <row r="7" spans="1:12" ht="15.75" thickBot="1" x14ac:dyDescent="0.3"/>
    <row r="8" spans="1:12" x14ac:dyDescent="0.25">
      <c r="A8" s="178" t="s">
        <v>409</v>
      </c>
      <c r="B8" s="179" t="s">
        <v>639</v>
      </c>
      <c r="C8" s="179" t="s">
        <v>640</v>
      </c>
      <c r="D8" s="179" t="s">
        <v>796</v>
      </c>
      <c r="E8" s="179" t="s">
        <v>376</v>
      </c>
      <c r="F8" s="179" t="s">
        <v>513</v>
      </c>
      <c r="G8" s="179" t="s">
        <v>381</v>
      </c>
      <c r="H8" s="179" t="s">
        <v>513</v>
      </c>
      <c r="I8" s="179" t="s">
        <v>382</v>
      </c>
      <c r="J8" s="179" t="s">
        <v>513</v>
      </c>
      <c r="K8" s="179" t="s">
        <v>380</v>
      </c>
      <c r="L8" s="180" t="s">
        <v>513</v>
      </c>
    </row>
    <row r="9" spans="1:12" x14ac:dyDescent="0.25">
      <c r="A9" s="13" t="s">
        <v>457</v>
      </c>
      <c r="B9" s="21" t="s">
        <v>64</v>
      </c>
      <c r="C9" s="21" t="s">
        <v>26</v>
      </c>
      <c r="D9" s="21" t="s">
        <v>26</v>
      </c>
      <c r="E9" s="21" t="s">
        <v>64</v>
      </c>
      <c r="F9" s="21">
        <f>IF(E9=$D9,INDEX($B$2:$B$5,MATCH($A9,$A$2:$A$5,0)),0)</f>
        <v>0</v>
      </c>
      <c r="G9" s="21" t="s">
        <v>64</v>
      </c>
      <c r="H9" s="21">
        <f>IF(G9=$D9,INDEX($B$2:$B$5,MATCH($A9,$A$2:$A$5,0)),0)</f>
        <v>0</v>
      </c>
      <c r="I9" s="21" t="s">
        <v>26</v>
      </c>
      <c r="J9" s="21">
        <f>IF(I9=$D9,INDEX($B$2:$B$5,MATCH($A9,$A$2:$A$5,0)),0)</f>
        <v>1</v>
      </c>
      <c r="K9" s="21" t="s">
        <v>26</v>
      </c>
      <c r="L9" s="21">
        <f>IF(K9=$D9,INDEX($B$2:$B$5,MATCH($A9,$A$2:$A$5,0)),0)</f>
        <v>1</v>
      </c>
    </row>
    <row r="10" spans="1:12" x14ac:dyDescent="0.25">
      <c r="A10" s="13" t="s">
        <v>457</v>
      </c>
      <c r="B10" s="21" t="s">
        <v>37</v>
      </c>
      <c r="C10" s="21" t="s">
        <v>61</v>
      </c>
      <c r="D10" s="21" t="s">
        <v>37</v>
      </c>
      <c r="E10" s="21" t="s">
        <v>37</v>
      </c>
      <c r="F10" s="21">
        <f t="shared" ref="F10:H21" si="0">IF(E10=$D10,INDEX($B$2:$B$5,MATCH($A10,$A$2:$A$5,0)),0)</f>
        <v>1</v>
      </c>
      <c r="G10" s="21" t="s">
        <v>37</v>
      </c>
      <c r="H10" s="21">
        <f t="shared" si="0"/>
        <v>1</v>
      </c>
      <c r="I10" s="21" t="s">
        <v>61</v>
      </c>
      <c r="J10" s="21">
        <f t="shared" ref="J10" si="1">IF(I10=$D10,INDEX($B$2:$B$5,MATCH($A10,$A$2:$A$5,0)),0)</f>
        <v>0</v>
      </c>
      <c r="K10" s="21" t="s">
        <v>61</v>
      </c>
      <c r="L10" s="21">
        <f t="shared" ref="L10" si="2">IF(K10=$D10,INDEX($B$2:$B$5,MATCH($A10,$A$2:$A$5,0)),0)</f>
        <v>0</v>
      </c>
    </row>
    <row r="11" spans="1:12" x14ac:dyDescent="0.25">
      <c r="A11" s="13" t="s">
        <v>457</v>
      </c>
      <c r="B11" s="21" t="s">
        <v>74</v>
      </c>
      <c r="C11" s="21" t="s">
        <v>32</v>
      </c>
      <c r="D11" s="21" t="s">
        <v>32</v>
      </c>
      <c r="E11" s="21" t="s">
        <v>32</v>
      </c>
      <c r="F11" s="21">
        <f t="shared" si="0"/>
        <v>1</v>
      </c>
      <c r="G11" s="21" t="s">
        <v>74</v>
      </c>
      <c r="H11" s="21">
        <f t="shared" si="0"/>
        <v>0</v>
      </c>
      <c r="I11" s="21" t="s">
        <v>32</v>
      </c>
      <c r="J11" s="21">
        <f t="shared" ref="J11" si="3">IF(I11=$D11,INDEX($B$2:$B$5,MATCH($A11,$A$2:$A$5,0)),0)</f>
        <v>1</v>
      </c>
      <c r="K11" s="21" t="s">
        <v>32</v>
      </c>
      <c r="L11" s="21">
        <f t="shared" ref="L11" si="4">IF(K11=$D11,INDEX($B$2:$B$5,MATCH($A11,$A$2:$A$5,0)),0)</f>
        <v>1</v>
      </c>
    </row>
    <row r="12" spans="1:12" x14ac:dyDescent="0.25">
      <c r="A12" s="13" t="s">
        <v>457</v>
      </c>
      <c r="B12" s="21" t="s">
        <v>35</v>
      </c>
      <c r="C12" s="21" t="s">
        <v>11</v>
      </c>
      <c r="D12" s="21" t="s">
        <v>11</v>
      </c>
      <c r="E12" s="21" t="s">
        <v>35</v>
      </c>
      <c r="F12" s="21">
        <f t="shared" si="0"/>
        <v>0</v>
      </c>
      <c r="G12" s="21" t="s">
        <v>11</v>
      </c>
      <c r="H12" s="21">
        <f t="shared" si="0"/>
        <v>1</v>
      </c>
      <c r="I12" s="21" t="s">
        <v>35</v>
      </c>
      <c r="J12" s="21">
        <f t="shared" ref="J12" si="5">IF(I12=$D12,INDEX($B$2:$B$5,MATCH($A12,$A$2:$A$5,0)),0)</f>
        <v>0</v>
      </c>
      <c r="K12" s="21" t="s">
        <v>11</v>
      </c>
      <c r="L12" s="21">
        <f t="shared" ref="L12" si="6">IF(K12=$D12,INDEX($B$2:$B$5,MATCH($A12,$A$2:$A$5,0)),0)</f>
        <v>1</v>
      </c>
    </row>
    <row r="13" spans="1:12" x14ac:dyDescent="0.25">
      <c r="A13" s="13" t="s">
        <v>457</v>
      </c>
      <c r="B13" s="21" t="s">
        <v>39</v>
      </c>
      <c r="C13" s="21" t="s">
        <v>7</v>
      </c>
      <c r="D13" s="21" t="s">
        <v>39</v>
      </c>
      <c r="E13" s="21" t="s">
        <v>7</v>
      </c>
      <c r="F13" s="21">
        <f t="shared" si="0"/>
        <v>0</v>
      </c>
      <c r="G13" s="21" t="s">
        <v>39</v>
      </c>
      <c r="H13" s="21">
        <f t="shared" si="0"/>
        <v>1</v>
      </c>
      <c r="I13" s="21" t="s">
        <v>39</v>
      </c>
      <c r="J13" s="21">
        <f t="shared" ref="J13" si="7">IF(I13=$D13,INDEX($B$2:$B$5,MATCH($A13,$A$2:$A$5,0)),0)</f>
        <v>1</v>
      </c>
      <c r="K13" s="21" t="s">
        <v>7</v>
      </c>
      <c r="L13" s="21">
        <f t="shared" ref="L13" si="8">IF(K13=$D13,INDEX($B$2:$B$5,MATCH($A13,$A$2:$A$5,0)),0)</f>
        <v>0</v>
      </c>
    </row>
    <row r="14" spans="1:12" ht="15.75" thickBot="1" x14ac:dyDescent="0.3">
      <c r="A14" s="181" t="s">
        <v>457</v>
      </c>
      <c r="B14" s="182" t="s">
        <v>13</v>
      </c>
      <c r="C14" s="182" t="s">
        <v>9</v>
      </c>
      <c r="D14" s="182" t="s">
        <v>13</v>
      </c>
      <c r="E14" s="182" t="s">
        <v>9</v>
      </c>
      <c r="F14" s="182">
        <f t="shared" si="0"/>
        <v>0</v>
      </c>
      <c r="G14" s="182" t="s">
        <v>9</v>
      </c>
      <c r="H14" s="182">
        <f t="shared" si="0"/>
        <v>0</v>
      </c>
      <c r="I14" s="182" t="s">
        <v>9</v>
      </c>
      <c r="J14" s="182">
        <f t="shared" ref="J14:J21" si="9">IF(I14=$D14,INDEX($B$2:$B$5,MATCH($A14,$A$2:$A$5,0)),0)</f>
        <v>0</v>
      </c>
      <c r="K14" s="182" t="s">
        <v>9</v>
      </c>
      <c r="L14" s="182">
        <f t="shared" ref="L14:L21" si="10">IF(K14=$D14,INDEX($B$2:$B$5,MATCH($A14,$A$2:$A$5,0)),0)</f>
        <v>0</v>
      </c>
    </row>
    <row r="15" spans="1:12" x14ac:dyDescent="0.25">
      <c r="A15" s="10" t="s">
        <v>509</v>
      </c>
      <c r="B15" s="175" t="s">
        <v>46</v>
      </c>
      <c r="C15" s="175" t="s">
        <v>26</v>
      </c>
      <c r="D15" s="175" t="s">
        <v>46</v>
      </c>
      <c r="E15" s="175" t="s">
        <v>32</v>
      </c>
      <c r="F15" s="175">
        <f t="shared" si="0"/>
        <v>0</v>
      </c>
      <c r="G15" s="175" t="s">
        <v>46</v>
      </c>
      <c r="H15" s="175">
        <f t="shared" si="0"/>
        <v>2</v>
      </c>
      <c r="I15" s="175" t="s">
        <v>26</v>
      </c>
      <c r="J15" s="175">
        <f t="shared" si="9"/>
        <v>0</v>
      </c>
      <c r="K15" s="175" t="s">
        <v>46</v>
      </c>
      <c r="L15" s="176">
        <f t="shared" si="10"/>
        <v>2</v>
      </c>
    </row>
    <row r="16" spans="1:12" x14ac:dyDescent="0.25">
      <c r="A16" s="13" t="s">
        <v>509</v>
      </c>
      <c r="B16" s="21" t="s">
        <v>37</v>
      </c>
      <c r="C16" s="21" t="s">
        <v>32</v>
      </c>
      <c r="D16" s="21" t="s">
        <v>37</v>
      </c>
      <c r="E16" s="21" t="s">
        <v>64</v>
      </c>
      <c r="F16" s="21">
        <f t="shared" si="0"/>
        <v>0</v>
      </c>
      <c r="G16" s="21" t="s">
        <v>64</v>
      </c>
      <c r="H16" s="21">
        <f t="shared" si="0"/>
        <v>0</v>
      </c>
      <c r="I16" s="21" t="s">
        <v>32</v>
      </c>
      <c r="J16" s="21">
        <f t="shared" si="9"/>
        <v>0</v>
      </c>
      <c r="K16" s="21" t="s">
        <v>61</v>
      </c>
      <c r="L16" s="14">
        <f t="shared" si="10"/>
        <v>0</v>
      </c>
    </row>
    <row r="17" spans="1:12" x14ac:dyDescent="0.25">
      <c r="A17" s="13" t="s">
        <v>509</v>
      </c>
      <c r="B17" s="21" t="s">
        <v>22</v>
      </c>
      <c r="C17" s="21" t="s">
        <v>11</v>
      </c>
      <c r="D17" s="21" t="s">
        <v>22</v>
      </c>
      <c r="E17" s="21" t="s">
        <v>22</v>
      </c>
      <c r="F17" s="21">
        <f t="shared" si="0"/>
        <v>2</v>
      </c>
      <c r="G17" s="21" t="s">
        <v>22</v>
      </c>
      <c r="H17" s="21">
        <f t="shared" si="0"/>
        <v>2</v>
      </c>
      <c r="I17" s="21" t="s">
        <v>9</v>
      </c>
      <c r="J17" s="21">
        <f t="shared" si="9"/>
        <v>0</v>
      </c>
      <c r="K17" s="21" t="s">
        <v>22</v>
      </c>
      <c r="L17" s="14">
        <f t="shared" si="10"/>
        <v>2</v>
      </c>
    </row>
    <row r="18" spans="1:12" ht="15.75" thickBot="1" x14ac:dyDescent="0.3">
      <c r="A18" s="15" t="s">
        <v>509</v>
      </c>
      <c r="B18" s="24" t="s">
        <v>39</v>
      </c>
      <c r="C18" s="24" t="s">
        <v>13</v>
      </c>
      <c r="D18" s="24" t="s">
        <v>13</v>
      </c>
      <c r="E18" s="24" t="s">
        <v>35</v>
      </c>
      <c r="F18" s="24">
        <f t="shared" si="0"/>
        <v>0</v>
      </c>
      <c r="G18" s="24" t="s">
        <v>9</v>
      </c>
      <c r="H18" s="24">
        <f t="shared" si="0"/>
        <v>0</v>
      </c>
      <c r="I18" s="24" t="s">
        <v>39</v>
      </c>
      <c r="J18" s="24">
        <f t="shared" si="9"/>
        <v>0</v>
      </c>
      <c r="K18" s="24" t="s">
        <v>7</v>
      </c>
      <c r="L18" s="177">
        <f t="shared" si="10"/>
        <v>0</v>
      </c>
    </row>
    <row r="19" spans="1:12" x14ac:dyDescent="0.25">
      <c r="A19" s="183" t="s">
        <v>794</v>
      </c>
      <c r="B19" s="184" t="s">
        <v>46</v>
      </c>
      <c r="C19" s="184" t="s">
        <v>37</v>
      </c>
      <c r="D19" s="184" t="s">
        <v>37</v>
      </c>
      <c r="E19" s="184" t="s">
        <v>64</v>
      </c>
      <c r="F19" s="184">
        <f t="shared" si="0"/>
        <v>0</v>
      </c>
      <c r="G19" s="184" t="s">
        <v>46</v>
      </c>
      <c r="H19" s="184">
        <f t="shared" si="0"/>
        <v>0</v>
      </c>
      <c r="I19" s="184" t="s">
        <v>26</v>
      </c>
      <c r="J19" s="184">
        <f t="shared" si="9"/>
        <v>0</v>
      </c>
      <c r="K19" s="184" t="s">
        <v>46</v>
      </c>
      <c r="L19" s="185">
        <f t="shared" si="10"/>
        <v>0</v>
      </c>
    </row>
    <row r="20" spans="1:12" ht="15.75" thickBot="1" x14ac:dyDescent="0.3">
      <c r="A20" s="181" t="s">
        <v>794</v>
      </c>
      <c r="B20" s="182" t="s">
        <v>22</v>
      </c>
      <c r="C20" s="182" t="s">
        <v>13</v>
      </c>
      <c r="D20" s="182" t="s">
        <v>22</v>
      </c>
      <c r="E20" s="182" t="s">
        <v>22</v>
      </c>
      <c r="F20" s="182">
        <f t="shared" si="0"/>
        <v>4</v>
      </c>
      <c r="G20" s="182" t="s">
        <v>9</v>
      </c>
      <c r="H20" s="182">
        <f t="shared" si="0"/>
        <v>0</v>
      </c>
      <c r="I20" s="182" t="s">
        <v>39</v>
      </c>
      <c r="J20" s="182">
        <f t="shared" si="9"/>
        <v>0</v>
      </c>
      <c r="K20" s="182" t="s">
        <v>22</v>
      </c>
      <c r="L20" s="186">
        <f t="shared" si="10"/>
        <v>4</v>
      </c>
    </row>
    <row r="21" spans="1:12" ht="15.75" thickBot="1" x14ac:dyDescent="0.3">
      <c r="A21" s="187" t="s">
        <v>795</v>
      </c>
      <c r="B21" s="188" t="s">
        <v>22</v>
      </c>
      <c r="C21" s="188" t="s">
        <v>37</v>
      </c>
      <c r="D21" s="188" t="s">
        <v>37</v>
      </c>
      <c r="E21" s="188" t="s">
        <v>22</v>
      </c>
      <c r="F21" s="188">
        <f t="shared" si="0"/>
        <v>0</v>
      </c>
      <c r="G21" s="188" t="s">
        <v>9</v>
      </c>
      <c r="H21" s="188">
        <f t="shared" si="0"/>
        <v>0</v>
      </c>
      <c r="I21" s="188" t="s">
        <v>39</v>
      </c>
      <c r="J21" s="188">
        <f t="shared" si="9"/>
        <v>0</v>
      </c>
      <c r="K21" s="188" t="s">
        <v>22</v>
      </c>
      <c r="L21" s="189">
        <f t="shared" si="10"/>
        <v>0</v>
      </c>
    </row>
    <row r="22" spans="1:12" ht="15.75" thickBot="1" x14ac:dyDescent="0.3">
      <c r="A22" s="190" t="s">
        <v>409</v>
      </c>
      <c r="B22" s="191" t="s">
        <v>639</v>
      </c>
      <c r="C22" s="191" t="s">
        <v>640</v>
      </c>
      <c r="D22" s="191"/>
      <c r="E22" s="191" t="s">
        <v>376</v>
      </c>
      <c r="F22" s="191" t="s">
        <v>513</v>
      </c>
      <c r="G22" s="179" t="s">
        <v>381</v>
      </c>
      <c r="H22" s="191" t="s">
        <v>513</v>
      </c>
      <c r="I22" s="191" t="s">
        <v>382</v>
      </c>
      <c r="J22" s="191" t="s">
        <v>513</v>
      </c>
      <c r="K22" s="191" t="s">
        <v>380</v>
      </c>
      <c r="L22" s="192" t="s">
        <v>513</v>
      </c>
    </row>
    <row r="23" spans="1:12" x14ac:dyDescent="0.25">
      <c r="A23" s="183" t="s">
        <v>457</v>
      </c>
      <c r="B23" s="184" t="str">
        <f>IF(B9&lt;&gt;"",B9,"")</f>
        <v>Broncos</v>
      </c>
      <c r="C23" s="184" t="str">
        <f t="shared" ref="C23:C35" si="11">IF(C9&lt;&gt;"",C9,"")</f>
        <v>Bills</v>
      </c>
      <c r="D23" s="184" t="s">
        <v>64</v>
      </c>
      <c r="E23" s="184" t="str">
        <f ca="1">IF(RANDBETWEEN(1,10)&gt;5,$B23,$C23)</f>
        <v>Broncos</v>
      </c>
      <c r="F23" s="21">
        <f ca="1">IF(E23&lt;&gt;"",IF(E23=$D23,INDEX($C$2:$C$5,MATCH($A23,$A$2:$A$5,0)),0),"")</f>
        <v>1</v>
      </c>
      <c r="G23" s="184" t="str">
        <f ca="1">IF(RANDBETWEEN(1,10)&gt;5,$B23,$C23)</f>
        <v>Bills</v>
      </c>
      <c r="H23" s="21">
        <f ca="1">IF(G23&lt;&gt;"",IF(G23=$D23,INDEX($C$2:$C$5,MATCH($A23,$A$2:$A$5,0)),0),"")</f>
        <v>0</v>
      </c>
      <c r="I23" s="184" t="str">
        <f ca="1">IF(RANDBETWEEN(1,10)&gt;5,$B23,$C23)</f>
        <v>Bills</v>
      </c>
      <c r="J23" s="21">
        <f ca="1">IF(I23&lt;&gt;"",IF(I23=$D23,INDEX($C$2:$C$5,MATCH($A23,$A$2:$A$5,0)),0),"")</f>
        <v>0</v>
      </c>
      <c r="K23" s="184" t="str">
        <f ca="1">IF(RANDBETWEEN(1,10)&gt;5,$B23,$C23)</f>
        <v>Broncos</v>
      </c>
      <c r="L23" s="21">
        <f ca="1">IF(K23&lt;&gt;"",IF(K23=$D23,INDEX($C$2:$C$5,MATCH($A23,$A$2:$A$5,0)),0),"")</f>
        <v>1</v>
      </c>
    </row>
    <row r="24" spans="1:12" x14ac:dyDescent="0.25">
      <c r="A24" s="13" t="s">
        <v>457</v>
      </c>
      <c r="B24" s="21" t="str">
        <f t="shared" ref="B24" si="12">IF(B10&lt;&gt;"",B10,"")</f>
        <v>Jaguars</v>
      </c>
      <c r="C24" s="21" t="str">
        <f t="shared" si="11"/>
        <v>Chargers</v>
      </c>
      <c r="D24" s="21" t="s">
        <v>37</v>
      </c>
      <c r="E24" s="21" t="str">
        <f t="shared" ref="E24:K35" ca="1" si="13">IF(RANDBETWEEN(1,10)&gt;5,$B24,$C24)</f>
        <v>Chargers</v>
      </c>
      <c r="F24" s="21">
        <f t="shared" ref="F24:H35" ca="1" si="14">IF(E24&lt;&gt;"",IF(E24=$D24,INDEX($C$2:$C$5,MATCH($A24,$A$2:$A$5,0)),0),"")</f>
        <v>0</v>
      </c>
      <c r="G24" s="21" t="str">
        <f t="shared" ca="1" si="13"/>
        <v>Chargers</v>
      </c>
      <c r="H24" s="21">
        <f t="shared" ca="1" si="14"/>
        <v>0</v>
      </c>
      <c r="I24" s="21" t="str">
        <f t="shared" ca="1" si="13"/>
        <v>Chargers</v>
      </c>
      <c r="J24" s="21">
        <f t="shared" ref="J24" ca="1" si="15">IF(I24&lt;&gt;"",IF(I24=$D24,INDEX($C$2:$C$5,MATCH($A24,$A$2:$A$5,0)),0),"")</f>
        <v>0</v>
      </c>
      <c r="K24" s="21" t="str">
        <f t="shared" ca="1" si="13"/>
        <v>Chargers</v>
      </c>
      <c r="L24" s="21">
        <f t="shared" ref="L24" ca="1" si="16">IF(K24&lt;&gt;"",IF(K24=$D24,INDEX($C$2:$C$5,MATCH($A24,$A$2:$A$5,0)),0),"")</f>
        <v>0</v>
      </c>
    </row>
    <row r="25" spans="1:12" x14ac:dyDescent="0.25">
      <c r="A25" s="13" t="s">
        <v>457</v>
      </c>
      <c r="B25" s="21" t="str">
        <f t="shared" ref="B25" si="17">IF(B11&lt;&gt;"",B11,"")</f>
        <v>Steelers</v>
      </c>
      <c r="C25" s="21" t="str">
        <f t="shared" si="11"/>
        <v>Texans</v>
      </c>
      <c r="D25" s="21" t="s">
        <v>32</v>
      </c>
      <c r="E25" s="21" t="str">
        <f t="shared" ca="1" si="13"/>
        <v>Steelers</v>
      </c>
      <c r="F25" s="21">
        <f t="shared" ca="1" si="14"/>
        <v>0</v>
      </c>
      <c r="G25" s="21" t="str">
        <f t="shared" ca="1" si="13"/>
        <v>Texans</v>
      </c>
      <c r="H25" s="21">
        <f t="shared" ca="1" si="14"/>
        <v>1</v>
      </c>
      <c r="I25" s="21" t="str">
        <f t="shared" ca="1" si="13"/>
        <v>Steelers</v>
      </c>
      <c r="J25" s="21">
        <f t="shared" ref="J25" ca="1" si="18">IF(I25&lt;&gt;"",IF(I25=$D25,INDEX($C$2:$C$5,MATCH($A25,$A$2:$A$5,0)),0),"")</f>
        <v>0</v>
      </c>
      <c r="K25" s="21" t="str">
        <f t="shared" ca="1" si="13"/>
        <v>Steelers</v>
      </c>
      <c r="L25" s="21">
        <f t="shared" ref="L25" ca="1" si="19">IF(K25&lt;&gt;"",IF(K25=$D25,INDEX($C$2:$C$5,MATCH($A25,$A$2:$A$5,0)),0),"")</f>
        <v>0</v>
      </c>
    </row>
    <row r="26" spans="1:12" x14ac:dyDescent="0.25">
      <c r="A26" s="13" t="s">
        <v>457</v>
      </c>
      <c r="B26" s="21" t="str">
        <f t="shared" ref="B26" si="20">IF(B12&lt;&gt;"",B12,"")</f>
        <v>Packers</v>
      </c>
      <c r="C26" s="21" t="str">
        <f t="shared" si="11"/>
        <v>Lions</v>
      </c>
      <c r="D26" s="21" t="s">
        <v>11</v>
      </c>
      <c r="E26" s="21" t="str">
        <f t="shared" ca="1" si="13"/>
        <v>Packers</v>
      </c>
      <c r="F26" s="21">
        <f t="shared" ca="1" si="14"/>
        <v>0</v>
      </c>
      <c r="G26" s="21" t="str">
        <f t="shared" ca="1" si="13"/>
        <v>Lions</v>
      </c>
      <c r="H26" s="21">
        <f t="shared" ca="1" si="14"/>
        <v>1</v>
      </c>
      <c r="I26" s="21" t="str">
        <f t="shared" ca="1" si="13"/>
        <v>Packers</v>
      </c>
      <c r="J26" s="21">
        <f t="shared" ref="J26" ca="1" si="21">IF(I26&lt;&gt;"",IF(I26=$D26,INDEX($C$2:$C$5,MATCH($A26,$A$2:$A$5,0)),0),"")</f>
        <v>0</v>
      </c>
      <c r="K26" s="21" t="str">
        <f t="shared" ca="1" si="13"/>
        <v>Packers</v>
      </c>
      <c r="L26" s="21">
        <f t="shared" ref="L26" ca="1" si="22">IF(K26&lt;&gt;"",IF(K26=$D26,INDEX($C$2:$C$5,MATCH($A26,$A$2:$A$5,0)),0),"")</f>
        <v>0</v>
      </c>
    </row>
    <row r="27" spans="1:12" x14ac:dyDescent="0.25">
      <c r="A27" s="13" t="s">
        <v>457</v>
      </c>
      <c r="B27" s="21" t="str">
        <f t="shared" ref="B27" si="23">IF(B13&lt;&gt;"",B13,"")</f>
        <v>Eagles</v>
      </c>
      <c r="C27" s="21" t="str">
        <f t="shared" si="11"/>
        <v>49ers</v>
      </c>
      <c r="D27" s="21" t="s">
        <v>39</v>
      </c>
      <c r="E27" s="21" t="str">
        <f t="shared" ca="1" si="13"/>
        <v>Eagles</v>
      </c>
      <c r="F27" s="21">
        <f t="shared" ca="1" si="14"/>
        <v>1</v>
      </c>
      <c r="G27" s="21" t="str">
        <f t="shared" ca="1" si="13"/>
        <v>49ers</v>
      </c>
      <c r="H27" s="21">
        <f t="shared" ca="1" si="14"/>
        <v>0</v>
      </c>
      <c r="I27" s="21" t="str">
        <f t="shared" ca="1" si="13"/>
        <v>Eagles</v>
      </c>
      <c r="J27" s="21">
        <f t="shared" ref="J27" ca="1" si="24">IF(I27&lt;&gt;"",IF(I27=$D27,INDEX($C$2:$C$5,MATCH($A27,$A$2:$A$5,0)),0),"")</f>
        <v>1</v>
      </c>
      <c r="K27" s="21" t="str">
        <f t="shared" ca="1" si="13"/>
        <v>Eagles</v>
      </c>
      <c r="L27" s="21">
        <f t="shared" ref="L27" ca="1" si="25">IF(K27&lt;&gt;"",IF(K27=$D27,INDEX($C$2:$C$5,MATCH($A27,$A$2:$A$5,0)),0),"")</f>
        <v>1</v>
      </c>
    </row>
    <row r="28" spans="1:12" ht="15.75" thickBot="1" x14ac:dyDescent="0.3">
      <c r="A28" s="181" t="s">
        <v>457</v>
      </c>
      <c r="B28" s="182" t="str">
        <f t="shared" ref="B28" si="26">IF(B14&lt;&gt;"",B14,"")</f>
        <v>Panthers</v>
      </c>
      <c r="C28" s="182" t="str">
        <f t="shared" si="11"/>
        <v>Seahawks</v>
      </c>
      <c r="D28" s="182" t="s">
        <v>13</v>
      </c>
      <c r="E28" s="182" t="str">
        <f t="shared" ca="1" si="13"/>
        <v>Seahawks</v>
      </c>
      <c r="F28" s="182">
        <f t="shared" ca="1" si="14"/>
        <v>0</v>
      </c>
      <c r="G28" s="182" t="str">
        <f t="shared" ca="1" si="13"/>
        <v>Panthers</v>
      </c>
      <c r="H28" s="182">
        <f t="shared" ca="1" si="14"/>
        <v>1</v>
      </c>
      <c r="I28" s="182" t="str">
        <f t="shared" ca="1" si="13"/>
        <v>Panthers</v>
      </c>
      <c r="J28" s="182">
        <f t="shared" ref="J28" ca="1" si="27">IF(I28&lt;&gt;"",IF(I28=$D28,INDEX($C$2:$C$5,MATCH($A28,$A$2:$A$5,0)),0),"")</f>
        <v>1</v>
      </c>
      <c r="K28" s="182" t="str">
        <f t="shared" ca="1" si="13"/>
        <v>Panthers</v>
      </c>
      <c r="L28" s="182">
        <f t="shared" ref="L28" ca="1" si="28">IF(K28&lt;&gt;"",IF(K28=$D28,INDEX($C$2:$C$5,MATCH($A28,$A$2:$A$5,0)),0),"")</f>
        <v>1</v>
      </c>
    </row>
    <row r="29" spans="1:12" x14ac:dyDescent="0.25">
      <c r="A29" s="10" t="s">
        <v>509</v>
      </c>
      <c r="B29" s="175" t="str">
        <f t="shared" ref="B29" si="29">IF(B15&lt;&gt;"",B15,"")</f>
        <v>Patriots</v>
      </c>
      <c r="C29" s="175" t="str">
        <f t="shared" si="11"/>
        <v>Bills</v>
      </c>
      <c r="D29" s="175" t="s">
        <v>46</v>
      </c>
      <c r="E29" s="175" t="str">
        <f t="shared" ca="1" si="13"/>
        <v>Patriots</v>
      </c>
      <c r="F29" s="175">
        <f t="shared" ca="1" si="14"/>
        <v>1</v>
      </c>
      <c r="G29" s="175" t="str">
        <f t="shared" ca="1" si="13"/>
        <v>Patriots</v>
      </c>
      <c r="H29" s="175">
        <f t="shared" ca="1" si="14"/>
        <v>1</v>
      </c>
      <c r="I29" s="175" t="str">
        <f t="shared" ca="1" si="13"/>
        <v>Bills</v>
      </c>
      <c r="J29" s="175">
        <f t="shared" ref="J29" ca="1" si="30">IF(I29&lt;&gt;"",IF(I29=$D29,INDEX($C$2:$C$5,MATCH($A29,$A$2:$A$5,0)),0),"")</f>
        <v>0</v>
      </c>
      <c r="K29" s="175" t="str">
        <f t="shared" ca="1" si="13"/>
        <v>Bills</v>
      </c>
      <c r="L29" s="175">
        <f t="shared" ref="L29" ca="1" si="31">IF(K29&lt;&gt;"",IF(K29=$D29,INDEX($C$2:$C$5,MATCH($A29,$A$2:$A$5,0)),0),"")</f>
        <v>0</v>
      </c>
    </row>
    <row r="30" spans="1:12" x14ac:dyDescent="0.25">
      <c r="A30" s="13" t="s">
        <v>509</v>
      </c>
      <c r="B30" s="21" t="str">
        <f t="shared" ref="B30" si="32">IF(B16&lt;&gt;"",B16,"")</f>
        <v>Jaguars</v>
      </c>
      <c r="C30" s="21" t="str">
        <f t="shared" si="11"/>
        <v>Texans</v>
      </c>
      <c r="D30" s="21" t="s">
        <v>37</v>
      </c>
      <c r="E30" s="21" t="str">
        <f t="shared" ca="1" si="13"/>
        <v>Jaguars</v>
      </c>
      <c r="F30" s="21">
        <f t="shared" ca="1" si="14"/>
        <v>1</v>
      </c>
      <c r="G30" s="21" t="str">
        <f t="shared" ca="1" si="13"/>
        <v>Jaguars</v>
      </c>
      <c r="H30" s="21">
        <f t="shared" ca="1" si="14"/>
        <v>1</v>
      </c>
      <c r="I30" s="21" t="str">
        <f t="shared" ca="1" si="13"/>
        <v>Jaguars</v>
      </c>
      <c r="J30" s="21">
        <f t="shared" ref="J30" ca="1" si="33">IF(I30&lt;&gt;"",IF(I30=$D30,INDEX($C$2:$C$5,MATCH($A30,$A$2:$A$5,0)),0),"")</f>
        <v>1</v>
      </c>
      <c r="K30" s="21" t="str">
        <f t="shared" ca="1" si="13"/>
        <v>Jaguars</v>
      </c>
      <c r="L30" s="21">
        <f t="shared" ref="L30" ca="1" si="34">IF(K30&lt;&gt;"",IF(K30=$D30,INDEX($C$2:$C$5,MATCH($A30,$A$2:$A$5,0)),0),"")</f>
        <v>1</v>
      </c>
    </row>
    <row r="31" spans="1:12" x14ac:dyDescent="0.25">
      <c r="A31" s="13" t="s">
        <v>509</v>
      </c>
      <c r="B31" s="21" t="str">
        <f t="shared" ref="B31" si="35">IF(B17&lt;&gt;"",B17,"")</f>
        <v>Rams</v>
      </c>
      <c r="C31" s="21" t="str">
        <f t="shared" si="11"/>
        <v>Lions</v>
      </c>
      <c r="D31" s="21" t="s">
        <v>11</v>
      </c>
      <c r="E31" s="21" t="str">
        <f t="shared" ca="1" si="13"/>
        <v>Lions</v>
      </c>
      <c r="F31" s="21">
        <f t="shared" ca="1" si="14"/>
        <v>1</v>
      </c>
      <c r="G31" s="21" t="str">
        <f t="shared" ca="1" si="13"/>
        <v>Rams</v>
      </c>
      <c r="H31" s="21">
        <f t="shared" ca="1" si="14"/>
        <v>0</v>
      </c>
      <c r="I31" s="21" t="str">
        <f t="shared" ca="1" si="13"/>
        <v>Lions</v>
      </c>
      <c r="J31" s="21">
        <f t="shared" ref="J31" ca="1" si="36">IF(I31&lt;&gt;"",IF(I31=$D31,INDEX($C$2:$C$5,MATCH($A31,$A$2:$A$5,0)),0),"")</f>
        <v>1</v>
      </c>
      <c r="K31" s="21" t="str">
        <f t="shared" ca="1" si="13"/>
        <v>Lions</v>
      </c>
      <c r="L31" s="21">
        <f t="shared" ref="L31" ca="1" si="37">IF(K31&lt;&gt;"",IF(K31=$D31,INDEX($C$2:$C$5,MATCH($A31,$A$2:$A$5,0)),0),"")</f>
        <v>1</v>
      </c>
    </row>
    <row r="32" spans="1:12" ht="15.75" thickBot="1" x14ac:dyDescent="0.3">
      <c r="A32" s="15" t="s">
        <v>509</v>
      </c>
      <c r="B32" s="24" t="str">
        <f t="shared" ref="B32" si="38">IF(B18&lt;&gt;"",B18,"")</f>
        <v>Eagles</v>
      </c>
      <c r="C32" s="24" t="str">
        <f t="shared" si="11"/>
        <v>Panthers</v>
      </c>
      <c r="D32" s="24" t="s">
        <v>13</v>
      </c>
      <c r="E32" s="24" t="str">
        <f t="shared" ca="1" si="13"/>
        <v>Panthers</v>
      </c>
      <c r="F32" s="24">
        <f t="shared" ca="1" si="14"/>
        <v>1</v>
      </c>
      <c r="G32" s="24" t="str">
        <f t="shared" ca="1" si="13"/>
        <v>Eagles</v>
      </c>
      <c r="H32" s="24">
        <f t="shared" ca="1" si="14"/>
        <v>0</v>
      </c>
      <c r="I32" s="24" t="str">
        <f t="shared" ca="1" si="13"/>
        <v>Eagles</v>
      </c>
      <c r="J32" s="24">
        <f t="shared" ref="J32" ca="1" si="39">IF(I32&lt;&gt;"",IF(I32=$D32,INDEX($C$2:$C$5,MATCH($A32,$A$2:$A$5,0)),0),"")</f>
        <v>0</v>
      </c>
      <c r="K32" s="24" t="str">
        <f t="shared" ca="1" si="13"/>
        <v>Panthers</v>
      </c>
      <c r="L32" s="24">
        <f t="shared" ref="L32" ca="1" si="40">IF(K32&lt;&gt;"",IF(K32=$D32,INDEX($C$2:$C$5,MATCH($A32,$A$2:$A$5,0)),0),"")</f>
        <v>1</v>
      </c>
    </row>
    <row r="33" spans="1:12" x14ac:dyDescent="0.25">
      <c r="A33" s="183" t="s">
        <v>794</v>
      </c>
      <c r="B33" s="184" t="str">
        <f t="shared" ref="B33" si="41">IF(B19&lt;&gt;"",B19,"")</f>
        <v>Patriots</v>
      </c>
      <c r="C33" s="184" t="str">
        <f t="shared" si="11"/>
        <v>Jaguars</v>
      </c>
      <c r="D33" s="184" t="s">
        <v>37</v>
      </c>
      <c r="E33" s="184" t="str">
        <f t="shared" ca="1" si="13"/>
        <v>Jaguars</v>
      </c>
      <c r="F33" s="184">
        <f t="shared" ca="1" si="14"/>
        <v>2</v>
      </c>
      <c r="G33" s="184" t="str">
        <f t="shared" ca="1" si="13"/>
        <v>Jaguars</v>
      </c>
      <c r="H33" s="184">
        <f t="shared" ca="1" si="14"/>
        <v>2</v>
      </c>
      <c r="I33" s="184" t="str">
        <f t="shared" ca="1" si="13"/>
        <v>Jaguars</v>
      </c>
      <c r="J33" s="184">
        <f t="shared" ref="J33" ca="1" si="42">IF(I33&lt;&gt;"",IF(I33=$D33,INDEX($C$2:$C$5,MATCH($A33,$A$2:$A$5,0)),0),"")</f>
        <v>2</v>
      </c>
      <c r="K33" s="184" t="str">
        <f t="shared" ca="1" si="13"/>
        <v>Jaguars</v>
      </c>
      <c r="L33" s="184">
        <f t="shared" ref="L33" ca="1" si="43">IF(K33&lt;&gt;"",IF(K33=$D33,INDEX($C$2:$C$5,MATCH($A33,$A$2:$A$5,0)),0),"")</f>
        <v>2</v>
      </c>
    </row>
    <row r="34" spans="1:12" ht="15.75" thickBot="1" x14ac:dyDescent="0.3">
      <c r="A34" s="181" t="s">
        <v>794</v>
      </c>
      <c r="B34" s="182" t="str">
        <f t="shared" ref="B34" si="44">IF(B20&lt;&gt;"",B20,"")</f>
        <v>Rams</v>
      </c>
      <c r="C34" s="182" t="str">
        <f t="shared" si="11"/>
        <v>Panthers</v>
      </c>
      <c r="D34" s="182" t="s">
        <v>13</v>
      </c>
      <c r="E34" s="182" t="str">
        <f t="shared" ca="1" si="13"/>
        <v>Panthers</v>
      </c>
      <c r="F34" s="182">
        <f t="shared" ca="1" si="14"/>
        <v>2</v>
      </c>
      <c r="G34" s="182" t="str">
        <f t="shared" ca="1" si="13"/>
        <v>Panthers</v>
      </c>
      <c r="H34" s="182">
        <f t="shared" ca="1" si="14"/>
        <v>2</v>
      </c>
      <c r="I34" s="182" t="str">
        <f t="shared" ca="1" si="13"/>
        <v>Panthers</v>
      </c>
      <c r="J34" s="182">
        <f t="shared" ref="J34" ca="1" si="45">IF(I34&lt;&gt;"",IF(I34=$D34,INDEX($C$2:$C$5,MATCH($A34,$A$2:$A$5,0)),0),"")</f>
        <v>2</v>
      </c>
      <c r="K34" s="182" t="str">
        <f t="shared" ca="1" si="13"/>
        <v>Rams</v>
      </c>
      <c r="L34" s="182">
        <f t="shared" ref="L34" ca="1" si="46">IF(K34&lt;&gt;"",IF(K34=$D34,INDEX($C$2:$C$5,MATCH($A34,$A$2:$A$5,0)),0),"")</f>
        <v>0</v>
      </c>
    </row>
    <row r="35" spans="1:12" ht="15.75" thickBot="1" x14ac:dyDescent="0.3">
      <c r="A35" s="187" t="s">
        <v>795</v>
      </c>
      <c r="B35" s="188" t="str">
        <f t="shared" ref="B35" si="47">IF(B21&lt;&gt;"",B21,"")</f>
        <v>Rams</v>
      </c>
      <c r="C35" s="188" t="str">
        <f t="shared" si="11"/>
        <v>Jaguars</v>
      </c>
      <c r="D35" s="188" t="s">
        <v>37</v>
      </c>
      <c r="E35" s="188" t="str">
        <f t="shared" ca="1" si="13"/>
        <v>Jaguars</v>
      </c>
      <c r="F35" s="188">
        <f t="shared" ca="1" si="14"/>
        <v>4</v>
      </c>
      <c r="G35" s="188" t="str">
        <f t="shared" ca="1" si="13"/>
        <v>Jaguars</v>
      </c>
      <c r="H35" s="188">
        <f t="shared" ca="1" si="14"/>
        <v>4</v>
      </c>
      <c r="I35" s="188" t="str">
        <f t="shared" ca="1" si="13"/>
        <v>Jaguars</v>
      </c>
      <c r="J35" s="188">
        <f t="shared" ref="J35" ca="1" si="48">IF(I35&lt;&gt;"",IF(I35=$D35,INDEX($C$2:$C$5,MATCH($A35,$A$2:$A$5,0)),0),"")</f>
        <v>4</v>
      </c>
      <c r="K35" s="188" t="str">
        <f t="shared" ca="1" si="13"/>
        <v>Rams</v>
      </c>
      <c r="L35" s="188">
        <f t="shared" ref="L35" ca="1" si="49">IF(K35&lt;&gt;"",IF(K35=$D35,INDEX($C$2:$C$5,MATCH($A35,$A$2:$A$5,0)),0),"")</f>
        <v>0</v>
      </c>
    </row>
    <row r="36" spans="1:12" ht="15.75" thickBot="1" x14ac:dyDescent="0.3">
      <c r="A36" s="26" t="s">
        <v>360</v>
      </c>
      <c r="B36" s="193"/>
      <c r="C36" s="193"/>
      <c r="D36" s="193"/>
      <c r="E36" s="193"/>
      <c r="F36" s="194">
        <f>SUM(F9:F21)</f>
        <v>8</v>
      </c>
      <c r="G36" s="193"/>
      <c r="H36" s="194">
        <f>SUM(H9:H21)</f>
        <v>7</v>
      </c>
      <c r="I36" s="193"/>
      <c r="J36" s="194">
        <f>SUM(J9:J21)</f>
        <v>3</v>
      </c>
      <c r="K36" s="193"/>
      <c r="L36" s="194">
        <f>SUM(L9:L21)</f>
        <v>11</v>
      </c>
    </row>
    <row r="37" spans="1:12" ht="15.75" thickBot="1" x14ac:dyDescent="0.3">
      <c r="A37" s="26" t="s">
        <v>360</v>
      </c>
      <c r="B37" s="193"/>
      <c r="C37" s="193"/>
      <c r="D37" s="193"/>
      <c r="E37" s="193"/>
      <c r="F37" s="194">
        <f ca="1">SUM(F23:F35)</f>
        <v>14</v>
      </c>
      <c r="G37" s="193"/>
      <c r="H37" s="194">
        <f ca="1">SUM(H23:H35)</f>
        <v>13</v>
      </c>
      <c r="I37" s="193"/>
      <c r="J37" s="194">
        <f ca="1">SUM(J23:J35)</f>
        <v>12</v>
      </c>
      <c r="K37" s="193"/>
      <c r="L37" s="194">
        <f ca="1">SUM(L23:L35)</f>
        <v>8</v>
      </c>
    </row>
    <row r="38" spans="1:12" ht="15.75" thickBot="1" x14ac:dyDescent="0.3">
      <c r="A38" s="26" t="s">
        <v>360</v>
      </c>
      <c r="B38" s="193"/>
      <c r="C38" s="193"/>
      <c r="D38" s="193"/>
      <c r="E38" s="193"/>
      <c r="F38" s="194">
        <f ca="1">SUM(F9:F21)+SUM(F23:F35)</f>
        <v>22</v>
      </c>
      <c r="G38" s="193"/>
      <c r="H38" s="194">
        <f ca="1">SUM(H9:H21)+SUM(H23:H35)</f>
        <v>20</v>
      </c>
      <c r="I38" s="193"/>
      <c r="J38" s="194">
        <f ca="1">SUM(J9:J21)+SUM(J23:J35)</f>
        <v>15</v>
      </c>
      <c r="K38" s="193"/>
      <c r="L38" s="194">
        <f ca="1">SUM(L9:L21)+SUM(L23:L35)</f>
        <v>19</v>
      </c>
    </row>
  </sheetData>
  <conditionalFormatting sqref="A8:L35 A36:A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Index A</vt:lpstr>
      <vt:lpstr>Paste</vt:lpstr>
      <vt:lpstr>Auction</vt:lpstr>
      <vt:lpstr>SOS</vt:lpstr>
      <vt:lpstr>Value</vt:lpstr>
      <vt:lpstr>Timeline</vt:lpstr>
      <vt:lpstr>EPA</vt:lpstr>
      <vt:lpstr>Playoffs</vt:lpstr>
      <vt:lpstr>QB</vt:lpstr>
      <vt:lpstr>DVOA</vt:lpstr>
      <vt:lpstr>Schedule</vt:lpstr>
      <vt:lpstr>Table Ref</vt:lpstr>
      <vt:lpstr>Index</vt:lpstr>
      <vt:lpstr>Coordinates</vt:lpstr>
      <vt:lpstr>Playoff Pool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Sean Linkletter</dc:creator>
  <cp:keywords/>
  <dc:description/>
  <cp:lastModifiedBy>Linkletter, Sean</cp:lastModifiedBy>
  <cp:revision/>
  <dcterms:created xsi:type="dcterms:W3CDTF">2024-08-28T05:53:49Z</dcterms:created>
  <dcterms:modified xsi:type="dcterms:W3CDTF">2026-08-26T14:37:17Z</dcterms:modified>
  <cp:category/>
  <cp:contentStatus/>
</cp:coreProperties>
</file>